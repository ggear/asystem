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4B68212-B6A0-6A42-AE0D-BEFDD57617B6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27" i="1" l="1"/>
  <c r="AR325" i="1"/>
  <c r="AR26" i="1"/>
  <c r="AL327" i="1"/>
  <c r="AL325" i="1"/>
  <c r="AL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<sst xmlns="http://schemas.openxmlformats.org/spreadsheetml/2006/main" count="7862" uniqueCount="1556">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</sst>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TempSta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R26" zoomScale="121" zoomScaleNormal="120" workbookViewId="0">
      <selection activeCell="AR327" sqref="AR32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1142</v>
      </c>
      <c r="L1" s="2" t="s">
        <v>1142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1124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1221</v>
      </c>
      <c r="AY1" s="6" t="s">
        <v>1221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1125</v>
      </c>
      <c r="E2" s="11" t="s">
        <v>1126</v>
      </c>
      <c r="F2" s="11" t="s">
        <v>1127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1128</v>
      </c>
      <c r="L2" s="11" t="s">
        <v>1129</v>
      </c>
      <c r="M2" s="11" t="s">
        <v>1130</v>
      </c>
      <c r="N2" s="11" t="s">
        <v>1131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1377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1132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1133</v>
      </c>
      <c r="AK2" s="16" t="s">
        <v>1134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1222</v>
      </c>
      <c r="AY2" s="16" t="s">
        <v>1218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1135</v>
      </c>
      <c r="BH2" s="16" t="s">
        <v>1161</v>
      </c>
      <c r="BI2" s="16" t="s">
        <v>1160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1136</v>
      </c>
      <c r="N3" s="21" t="s">
        <v>1137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1219</v>
      </c>
      <c r="AY3" s="27" t="s">
        <v>1220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1422</v>
      </c>
      <c r="BF3" s="28" t="s">
        <v>19</v>
      </c>
      <c r="BG3" s="27" t="s">
        <v>23</v>
      </c>
      <c r="BH3" s="27" t="s">
        <v>1162</v>
      </c>
      <c r="BI3" s="27" t="s">
        <v>1159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1186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1174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1262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1180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1262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1337</v>
      </c>
      <c r="O10" s="31"/>
      <c r="P10" s="30"/>
      <c r="T10" s="37"/>
      <c r="U10" s="30"/>
      <c r="V10" s="31" t="s">
        <v>1176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1183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1262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1247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1248</v>
      </c>
      <c r="O14" s="31"/>
      <c r="P14" s="30"/>
      <c r="T14" s="37"/>
      <c r="U14" s="30"/>
      <c r="V14" s="31" t="s">
        <v>1178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1262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1249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1250</v>
      </c>
      <c r="O16" s="31"/>
      <c r="P16" s="30"/>
      <c r="T16" s="37"/>
      <c r="U16" s="30"/>
      <c r="V16" s="31" t="s">
        <v>1175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1262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1339</v>
      </c>
      <c r="O18" s="31"/>
      <c r="P18" s="30"/>
      <c r="T18" s="37"/>
      <c r="U18" s="30"/>
      <c r="V18" s="31" t="s">
        <v>1177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1341</v>
      </c>
      <c r="O20" s="31"/>
      <c r="P20" s="30"/>
      <c r="T20" s="37"/>
      <c r="U20" s="30"/>
      <c r="V20" s="31" t="s">
        <v>1176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1182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1262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1168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1169</v>
      </c>
      <c r="O24" s="31"/>
      <c r="P24" s="30"/>
      <c r="T24" s="37"/>
      <c r="U24" s="30"/>
      <c r="V24" s="31" t="s">
        <v>1185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1186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1223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1169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1554</v>
      </c>
      <c r="D26" s="30" t="s">
        <v>27</v>
      </c>
      <c r="E26" s="30" t="s">
        <v>1171</v>
      </c>
      <c r="F26" s="36" t="str">
        <f>IF(ISBLANK(Table2[[#This Row],[unique_id]]), "", PROPER(SUBSTITUTE(Table2[[#This Row],[unique_id]], "_", " ")))</f>
        <v>Utility Temperature</v>
      </c>
      <c r="G26" s="30" t="s">
        <v>1170</v>
      </c>
      <c r="H26" s="30" t="s">
        <v>87</v>
      </c>
      <c r="I26" s="30" t="s">
        <v>30</v>
      </c>
      <c r="K26" s="30" t="s">
        <v>1172</v>
      </c>
      <c r="O26" s="31"/>
      <c r="P26" s="30"/>
      <c r="T26" s="37"/>
      <c r="U26" s="30"/>
      <c r="V26" s="31" t="s">
        <v>1184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tempstat/macmini-may/data</v>
      </c>
      <c r="AL26" s="30" t="str">
        <f>IF(ISBLANK(Table2[[#This Row],[index]]), "", _xlfn.CONCAT(LOWER(Table2[[#This Row],[device_via_device]]), "/", Table2[[#This Row],[unique_id_device]], "/command"))</f>
        <v>tempstat/macmini-may/command</v>
      </c>
      <c r="AM26" s="30" t="str">
        <f>IF(ISBLANK(Table2[[#This Row],[index]]), "", _xlfn.CONCAT(LOWER(Table2[[#This Row],[device_via_device]]), "/", Table2[[#This Row],[unique_id_device]], "/status"))</f>
        <v>tempstat/macmini-may/status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1118</v>
      </c>
      <c r="BD26" s="30" t="s">
        <v>1114</v>
      </c>
      <c r="BF26" s="30" t="s">
        <v>1119</v>
      </c>
      <c r="BG26" s="30" t="s">
        <v>28</v>
      </c>
      <c r="BL26" s="30" t="s">
        <v>1138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1554</v>
      </c>
      <c r="D27" s="30" t="s">
        <v>27</v>
      </c>
      <c r="E27" s="30" t="s">
        <v>1172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1170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1163</v>
      </c>
      <c r="O28" s="31"/>
      <c r="P28" s="30"/>
      <c r="T28" s="37"/>
      <c r="U28" s="30" t="s">
        <v>436</v>
      </c>
      <c r="V28" s="31" t="s">
        <v>1179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1163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1343</v>
      </c>
      <c r="O30" s="31"/>
      <c r="P30" s="30"/>
      <c r="T30" s="37"/>
      <c r="U30" s="30"/>
      <c r="V30" s="31" t="s">
        <v>1176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1143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1186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1144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1186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1145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1186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1146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1186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1147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1186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1223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1148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1186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1240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1239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1425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1149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1150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1151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1152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1246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1245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1153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1173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1223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1154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1155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1156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1244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1243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1157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1186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1186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1187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1186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1186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1388</v>
      </c>
      <c r="F94" s="36" t="str">
        <f>IF(ISBLANK(Table2[[#This Row],[unique_id]]), "", PROPER(SUBSTITUTE(Table2[[#This Row],[unique_id]], "_", " ")))</f>
        <v>Home Started</v>
      </c>
      <c r="G94" s="30" t="s">
        <v>1389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1361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1362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1382</v>
      </c>
      <c r="F103" s="36" t="str">
        <f>IF(ISBLANK(Table2[[#This Row],[unique_id]]), "", PROPER(SUBSTITUTE(Table2[[#This Row],[unique_id]], "_", " ")))</f>
        <v>Edwin Wakeup</v>
      </c>
      <c r="G103" s="30" t="s">
        <v>1380</v>
      </c>
      <c r="H103" s="30" t="s">
        <v>311</v>
      </c>
      <c r="I103" s="30" t="s">
        <v>132</v>
      </c>
      <c r="J103" s="30" t="s">
        <v>1385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1383</v>
      </c>
      <c r="F104" s="36" t="str">
        <f>IF(ISBLANK(Table2[[#This Row],[unique_id]]), "", PROPER(SUBSTITUTE(Table2[[#This Row],[unique_id]], "_", " ")))</f>
        <v>Edwin Playtime</v>
      </c>
      <c r="G104" s="30" t="s">
        <v>1390</v>
      </c>
      <c r="H104" s="30" t="s">
        <v>311</v>
      </c>
      <c r="I104" s="30" t="s">
        <v>132</v>
      </c>
      <c r="J104" s="30" t="s">
        <v>1386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1384</v>
      </c>
      <c r="F105" s="36" t="str">
        <f>IF(ISBLANK(Table2[[#This Row],[unique_id]]), "", PROPER(SUBSTITUTE(Table2[[#This Row],[unique_id]], "_", " ")))</f>
        <v>Edwin Goodnight</v>
      </c>
      <c r="G105" s="30" t="s">
        <v>1381</v>
      </c>
      <c r="H105" s="30" t="s">
        <v>311</v>
      </c>
      <c r="I105" s="30" t="s">
        <v>132</v>
      </c>
      <c r="J105" s="30" t="s">
        <v>1387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1394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1333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1395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1333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1263</v>
      </c>
      <c r="BL107" s="55" t="s">
        <v>346</v>
      </c>
      <c r="BM107" s="55" t="s">
        <v>1304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1333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1333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1263</v>
      </c>
      <c r="BL109" s="30" t="s">
        <v>353</v>
      </c>
      <c r="BM109" s="30" t="s">
        <v>1314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1263</v>
      </c>
      <c r="BL110" s="30" t="s">
        <v>371</v>
      </c>
      <c r="BM110" s="30" t="s">
        <v>1281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1263</v>
      </c>
      <c r="BL111" s="30" t="s">
        <v>372</v>
      </c>
      <c r="BM111" s="30" t="s">
        <v>1282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1263</v>
      </c>
      <c r="BL112" s="30" t="s">
        <v>375</v>
      </c>
      <c r="BM112" s="30" t="s">
        <v>1283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1263</v>
      </c>
      <c r="BL114" s="30" t="s">
        <v>921</v>
      </c>
      <c r="BM114" s="30" t="s">
        <v>1285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1263</v>
      </c>
      <c r="BL117" s="30" t="s">
        <v>376</v>
      </c>
      <c r="BM117" s="30" t="s">
        <v>1286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1263</v>
      </c>
      <c r="BL119" s="30" t="s">
        <v>373</v>
      </c>
      <c r="BM119" s="30" t="s">
        <v>1287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1263</v>
      </c>
      <c r="BL120" s="30" t="s">
        <v>374</v>
      </c>
      <c r="BM120" s="39" t="s">
        <v>1288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1237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1234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1427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1324</v>
      </c>
      <c r="BA131" s="30" t="str">
        <f>IF(ISBLANK(Table2[[#This Row],[device_model]]), "", Table2[[#This Row],[device_suggested_area]])</f>
        <v>Home</v>
      </c>
      <c r="BB131" s="30" t="s">
        <v>1328</v>
      </c>
      <c r="BC131" s="30" t="s">
        <v>1325</v>
      </c>
      <c r="BD131" s="30" t="s">
        <v>1324</v>
      </c>
      <c r="BF131" s="30" t="s">
        <v>1326</v>
      </c>
      <c r="BG131" s="30" t="s">
        <v>165</v>
      </c>
      <c r="BK131" s="30" t="s">
        <v>1262</v>
      </c>
      <c r="BL131" s="46" t="s">
        <v>1327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1423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1423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1423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1423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1423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1423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1423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1423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1423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1423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1423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1217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1423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1423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1423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1423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1423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1423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1423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1423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1423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1423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1423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1510</v>
      </c>
      <c r="BD161" s="30" t="s">
        <v>377</v>
      </c>
      <c r="BE161" s="30" t="s">
        <v>1423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1510</v>
      </c>
      <c r="BD162" s="30" t="s">
        <v>377</v>
      </c>
      <c r="BE162" s="30" t="s">
        <v>1423</v>
      </c>
      <c r="BF162" s="30" t="s">
        <v>488</v>
      </c>
      <c r="BG162" s="30" t="s">
        <v>194</v>
      </c>
      <c r="BI162" s="30" t="s">
        <v>687</v>
      </c>
      <c r="BL162" s="30" t="s">
        <v>1508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1503</v>
      </c>
      <c r="F163" s="36" t="str">
        <f>IF(ISBLANK(Table2[[#This Row],[unique_id]]), "", PROPER(SUBSTITUTE(Table2[[#This Row],[unique_id]], "_", " ")))</f>
        <v>Lounge Reading</v>
      </c>
      <c r="G163" s="30" t="s">
        <v>1516</v>
      </c>
      <c r="H163" s="30" t="s">
        <v>139</v>
      </c>
      <c r="I163" s="30" t="s">
        <v>132</v>
      </c>
      <c r="J163" s="30" t="s">
        <v>1506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1506</v>
      </c>
      <c r="BC163" s="30" t="s">
        <v>1509</v>
      </c>
      <c r="BD163" s="30" t="s">
        <v>377</v>
      </c>
      <c r="BE163" s="30" t="s">
        <v>1423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1504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1507</v>
      </c>
      <c r="BC164" s="30" t="s">
        <v>1509</v>
      </c>
      <c r="BD164" s="30" t="s">
        <v>377</v>
      </c>
      <c r="BE164" s="30" t="s">
        <v>1423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1423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1423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1423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1423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1423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1423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1423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1423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1423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1423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1423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1230</v>
      </c>
      <c r="F180" s="36" t="str">
        <f>IF(ISBLANK(Table2[[#This Row],[unique_id]]), "", PROPER(SUBSTITUTE(Table2[[#This Row],[unique_id]], "_", " ")))</f>
        <v>Kitchen Bench Lights Plug</v>
      </c>
      <c r="G180" s="30" t="s">
        <v>1231</v>
      </c>
      <c r="H180" s="30" t="s">
        <v>139</v>
      </c>
      <c r="I180" s="30" t="s">
        <v>132</v>
      </c>
      <c r="J180" s="30" t="s">
        <v>1233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1232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1263</v>
      </c>
      <c r="BL180" s="30" t="s">
        <v>919</v>
      </c>
      <c r="BM180" s="30" t="s">
        <v>1289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1423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1423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1423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1423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1423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1423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1423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1423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1423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1423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1423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1423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1396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1397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1263</v>
      </c>
      <c r="BL201" s="55" t="s">
        <v>561</v>
      </c>
      <c r="BM201" s="55" t="s">
        <v>1290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1263</v>
      </c>
      <c r="BL203" s="30" t="s">
        <v>1052</v>
      </c>
      <c r="BM203" s="30" t="s">
        <v>1291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1205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1398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1399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1263</v>
      </c>
      <c r="BL206" s="55" t="s">
        <v>560</v>
      </c>
      <c r="BM206" s="55" t="s">
        <v>1292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1263</v>
      </c>
      <c r="BL208" s="30" t="s">
        <v>1051</v>
      </c>
      <c r="BM208" s="30" t="s">
        <v>1293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1423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1423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1423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1423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1423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1423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1423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1423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1423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1423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1423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1423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1423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1263</v>
      </c>
      <c r="BL224" s="30" t="s">
        <v>350</v>
      </c>
      <c r="BM224" s="30" t="s">
        <v>1294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1167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1167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1263</v>
      </c>
      <c r="BL226" s="30" t="s">
        <v>442</v>
      </c>
      <c r="BM226" s="30" t="s">
        <v>1295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1263</v>
      </c>
      <c r="BL230" s="30" t="s">
        <v>1045</v>
      </c>
      <c r="BM230" s="30" t="s">
        <v>1296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1158</v>
      </c>
      <c r="H233" s="30" t="s">
        <v>1332</v>
      </c>
      <c r="I233" s="30" t="s">
        <v>132</v>
      </c>
      <c r="K233" s="30" t="s">
        <v>1166</v>
      </c>
      <c r="O233" s="31"/>
      <c r="P233" s="30"/>
      <c r="T233" s="37"/>
      <c r="U233" s="30" t="s">
        <v>436</v>
      </c>
      <c r="V233" s="31" t="s">
        <v>1181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1166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1158</v>
      </c>
      <c r="H234" s="30" t="s">
        <v>1332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1167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1167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1262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1329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1189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1120</v>
      </c>
      <c r="BC283" s="30" t="s">
        <v>1122</v>
      </c>
      <c r="BD283" s="30" t="s">
        <v>1121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1226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1120</v>
      </c>
      <c r="BC284" s="30" t="s">
        <v>1122</v>
      </c>
      <c r="BD284" s="30" t="s">
        <v>1121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1227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1120</v>
      </c>
      <c r="BC285" s="30" t="s">
        <v>1122</v>
      </c>
      <c r="BD285" s="30" t="s">
        <v>1121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1120</v>
      </c>
      <c r="BC286" s="30" t="s">
        <v>1122</v>
      </c>
      <c r="BD286" s="30" t="s">
        <v>1121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1224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1229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1120</v>
      </c>
      <c r="BC287" s="30" t="s">
        <v>1122</v>
      </c>
      <c r="BD287" s="30" t="s">
        <v>1121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1199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1202</v>
      </c>
      <c r="H288" s="30" t="s">
        <v>1198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1201</v>
      </c>
      <c r="AF288" s="30">
        <v>200</v>
      </c>
      <c r="AG288" s="31" t="s">
        <v>34</v>
      </c>
      <c r="AH288" s="31"/>
      <c r="AI288" s="30" t="s">
        <v>1141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1186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1120</v>
      </c>
      <c r="BC288" s="30" t="s">
        <v>1122</v>
      </c>
      <c r="BD288" s="30" t="s">
        <v>1121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1200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1203</v>
      </c>
      <c r="H289" s="30" t="s">
        <v>1198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1201</v>
      </c>
      <c r="AF289" s="30">
        <v>200</v>
      </c>
      <c r="AG289" s="31" t="s">
        <v>34</v>
      </c>
      <c r="AH289" s="31"/>
      <c r="AI289" s="30" t="s">
        <v>1141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1186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1120</v>
      </c>
      <c r="BC289" s="30" t="s">
        <v>1122</v>
      </c>
      <c r="BD289" s="30" t="s">
        <v>1121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1511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1512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1499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1223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1191</v>
      </c>
      <c r="D301" s="30" t="s">
        <v>134</v>
      </c>
      <c r="E301" s="30" t="s">
        <v>1519</v>
      </c>
      <c r="F301" s="30" t="str">
        <f>IF(ISBLANK(Table2[[#This Row],[unique_id]]), "", PROPER(SUBSTITUTE(Table2[[#This Row],[unique_id]], "_", " ")))</f>
        <v>Service Plex</v>
      </c>
      <c r="G301" s="30" t="s">
        <v>1192</v>
      </c>
      <c r="H301" s="30" t="s">
        <v>1190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1553</v>
      </c>
      <c r="AF301" s="30">
        <v>6</v>
      </c>
      <c r="AG301" s="31" t="s">
        <v>34</v>
      </c>
      <c r="AH301" s="31"/>
      <c r="AI301" s="30" t="s">
        <v>1480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1191</v>
      </c>
      <c r="BC301" s="30" t="s">
        <v>1517</v>
      </c>
      <c r="BD301" s="30" t="s">
        <v>1121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1191</v>
      </c>
      <c r="D302" s="30" t="s">
        <v>134</v>
      </c>
      <c r="E302" s="30" t="s">
        <v>1520</v>
      </c>
      <c r="F302" s="30" t="str">
        <f>IF(ISBLANK(Table2[[#This Row],[unique_id]]), "", PROPER(SUBSTITUTE(Table2[[#This Row],[unique_id]], "_", " ")))</f>
        <v>Service Sabnzbd</v>
      </c>
      <c r="G302" s="30" t="s">
        <v>1544</v>
      </c>
      <c r="H302" s="30" t="s">
        <v>1190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1553</v>
      </c>
      <c r="AF302" s="30">
        <v>6</v>
      </c>
      <c r="AG302" s="31" t="s">
        <v>34</v>
      </c>
      <c r="AH302" s="31"/>
      <c r="AI302" s="30" t="s">
        <v>1480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1191</v>
      </c>
      <c r="BC302" s="30" t="s">
        <v>1517</v>
      </c>
      <c r="BD302" s="30" t="s">
        <v>1121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1191</v>
      </c>
      <c r="D303" s="30" t="s">
        <v>134</v>
      </c>
      <c r="E303" s="30" t="s">
        <v>1521</v>
      </c>
      <c r="F303" s="30" t="str">
        <f>IF(ISBLANK(Table2[[#This Row],[unique_id]]), "", PROPER(SUBSTITUTE(Table2[[#This Row],[unique_id]], "_", " ")))</f>
        <v>Service Influxdb3</v>
      </c>
      <c r="G303" s="30" t="s">
        <v>1543</v>
      </c>
      <c r="H303" s="30" t="s">
        <v>1190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1553</v>
      </c>
      <c r="AF303" s="30">
        <v>6</v>
      </c>
      <c r="AG303" s="31" t="s">
        <v>34</v>
      </c>
      <c r="AH303" s="31"/>
      <c r="AI303" s="30" t="s">
        <v>1481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1191</v>
      </c>
      <c r="BC303" s="30" t="s">
        <v>1517</v>
      </c>
      <c r="BD303" s="30" t="s">
        <v>1121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1191</v>
      </c>
      <c r="D304" s="30" t="s">
        <v>134</v>
      </c>
      <c r="E304" s="30" t="s">
        <v>1522</v>
      </c>
      <c r="F304" s="30" t="str">
        <f>IF(ISBLANK(Table2[[#This Row],[unique_id]]), "", PROPER(SUBSTITUTE(Table2[[#This Row],[unique_id]], "_", " ")))</f>
        <v>Service Mlflow</v>
      </c>
      <c r="G304" s="30" t="s">
        <v>1545</v>
      </c>
      <c r="H304" s="30" t="s">
        <v>1190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1553</v>
      </c>
      <c r="AF304" s="30">
        <v>6</v>
      </c>
      <c r="AG304" s="31" t="s">
        <v>34</v>
      </c>
      <c r="AH304" s="31"/>
      <c r="AI304" s="30" t="s">
        <v>1481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1191</v>
      </c>
      <c r="BC304" s="30" t="s">
        <v>1517</v>
      </c>
      <c r="BD304" s="30" t="s">
        <v>1121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1191</v>
      </c>
      <c r="D305" s="30" t="s">
        <v>134</v>
      </c>
      <c r="E305" s="30" t="s">
        <v>1523</v>
      </c>
      <c r="F305" s="30" t="str">
        <f>IF(ISBLANK(Table2[[#This Row],[unique_id]]), "", PROPER(SUBSTITUTE(Table2[[#This Row],[unique_id]], "_", " ")))</f>
        <v>Service Mlserver</v>
      </c>
      <c r="G305" s="30" t="s">
        <v>1546</v>
      </c>
      <c r="H305" s="30" t="s">
        <v>1190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1553</v>
      </c>
      <c r="AF305" s="30">
        <v>6</v>
      </c>
      <c r="AG305" s="31" t="s">
        <v>34</v>
      </c>
      <c r="AH305" s="31"/>
      <c r="AI305" s="30" t="s">
        <v>1481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1191</v>
      </c>
      <c r="BC305" s="30" t="s">
        <v>1517</v>
      </c>
      <c r="BD305" s="30" t="s">
        <v>1121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1191</v>
      </c>
      <c r="D306" s="30" t="s">
        <v>134</v>
      </c>
      <c r="E306" s="30" t="s">
        <v>1524</v>
      </c>
      <c r="F306" s="30" t="str">
        <f>IF(ISBLANK(Table2[[#This Row],[unique_id]]), "", PROPER(SUBSTITUTE(Table2[[#This Row],[unique_id]], "_", " ")))</f>
        <v>Service Openra</v>
      </c>
      <c r="G306" s="30" t="s">
        <v>1547</v>
      </c>
      <c r="H306" s="30" t="s">
        <v>1190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1553</v>
      </c>
      <c r="AF306" s="30">
        <v>6</v>
      </c>
      <c r="AG306" s="31" t="s">
        <v>34</v>
      </c>
      <c r="AH306" s="31"/>
      <c r="AI306" s="30" t="s">
        <v>1481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1191</v>
      </c>
      <c r="BC306" s="30" t="s">
        <v>1517</v>
      </c>
      <c r="BD306" s="30" t="s">
        <v>1121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1191</v>
      </c>
      <c r="D307" s="30" t="s">
        <v>134</v>
      </c>
      <c r="E307" s="30" t="s">
        <v>1525</v>
      </c>
      <c r="F307" s="30" t="str">
        <f>IF(ISBLANK(Table2[[#This Row],[unique_id]]), "", PROPER(SUBSTITUTE(Table2[[#This Row],[unique_id]], "_", " ")))</f>
        <v>Service Rhasspy</v>
      </c>
      <c r="G307" s="30" t="s">
        <v>1540</v>
      </c>
      <c r="H307" s="30" t="s">
        <v>1190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1553</v>
      </c>
      <c r="AF307" s="30">
        <v>6</v>
      </c>
      <c r="AG307" s="31" t="s">
        <v>34</v>
      </c>
      <c r="AH307" s="31"/>
      <c r="AI307" s="30" t="s">
        <v>1481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1191</v>
      </c>
      <c r="BC307" s="30" t="s">
        <v>1517</v>
      </c>
      <c r="BD307" s="30" t="s">
        <v>1121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1191</v>
      </c>
      <c r="D308" s="30" t="s">
        <v>134</v>
      </c>
      <c r="E308" s="30" t="s">
        <v>1526</v>
      </c>
      <c r="F308" s="30" t="str">
        <f>IF(ISBLANK(Table2[[#This Row],[unique_id]]), "", PROPER(SUBSTITUTE(Table2[[#This Row],[unique_id]], "_", " ")))</f>
        <v>Service Digitemp</v>
      </c>
      <c r="G308" s="30" t="s">
        <v>1114</v>
      </c>
      <c r="H308" s="30" t="s">
        <v>1190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1553</v>
      </c>
      <c r="AF308" s="30">
        <v>6</v>
      </c>
      <c r="AG308" s="31" t="s">
        <v>34</v>
      </c>
      <c r="AH308" s="31"/>
      <c r="AI308" s="30" t="s">
        <v>1445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1191</v>
      </c>
      <c r="BC308" s="30" t="s">
        <v>1517</v>
      </c>
      <c r="BD308" s="30" t="s">
        <v>1121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1191</v>
      </c>
      <c r="D309" s="30" t="s">
        <v>134</v>
      </c>
      <c r="E309" s="30" t="s">
        <v>1527</v>
      </c>
      <c r="F309" s="30" t="str">
        <f>IF(ISBLANK(Table2[[#This Row],[unique_id]]), "", PROPER(SUBSTITUTE(Table2[[#This Row],[unique_id]], "_", " ")))</f>
        <v>Service Grafana</v>
      </c>
      <c r="G309" s="30" t="s">
        <v>1193</v>
      </c>
      <c r="H309" s="30" t="s">
        <v>1190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1553</v>
      </c>
      <c r="AF309" s="30">
        <v>6</v>
      </c>
      <c r="AG309" s="31" t="s">
        <v>34</v>
      </c>
      <c r="AH309" s="31"/>
      <c r="AI309" s="30" t="s">
        <v>1445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1191</v>
      </c>
      <c r="BC309" s="30" t="s">
        <v>1517</v>
      </c>
      <c r="BD309" s="30" t="s">
        <v>1121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1191</v>
      </c>
      <c r="D310" s="30" t="s">
        <v>134</v>
      </c>
      <c r="E310" s="30" t="s">
        <v>1528</v>
      </c>
      <c r="F310" s="30" t="str">
        <f>IF(ISBLANK(Table2[[#This Row],[unique_id]]), "", PROPER(SUBSTITUTE(Table2[[#This Row],[unique_id]], "_", " ")))</f>
        <v>Service Influxdb</v>
      </c>
      <c r="G310" s="30" t="s">
        <v>1543</v>
      </c>
      <c r="H310" s="30" t="s">
        <v>1190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1553</v>
      </c>
      <c r="AF310" s="30">
        <v>6</v>
      </c>
      <c r="AG310" s="31" t="s">
        <v>34</v>
      </c>
      <c r="AH310" s="31"/>
      <c r="AI310" s="30" t="s">
        <v>1445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1191</v>
      </c>
      <c r="BC310" s="30" t="s">
        <v>1517</v>
      </c>
      <c r="BD310" s="30" t="s">
        <v>1121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1191</v>
      </c>
      <c r="D311" s="30" t="s">
        <v>134</v>
      </c>
      <c r="E311" s="30" t="s">
        <v>1529</v>
      </c>
      <c r="F311" s="30" t="str">
        <f>IF(ISBLANK(Table2[[#This Row],[unique_id]]), "", PROPER(SUBSTITUTE(Table2[[#This Row],[unique_id]], "_", " ")))</f>
        <v>Service Letsencrypt</v>
      </c>
      <c r="G311" s="30" t="s">
        <v>1548</v>
      </c>
      <c r="H311" s="30" t="s">
        <v>1190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1553</v>
      </c>
      <c r="AF311" s="30">
        <v>6</v>
      </c>
      <c r="AG311" s="31" t="s">
        <v>34</v>
      </c>
      <c r="AH311" s="31"/>
      <c r="AI311" s="30" t="s">
        <v>1445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1191</v>
      </c>
      <c r="BC311" s="30" t="s">
        <v>1517</v>
      </c>
      <c r="BD311" s="30" t="s">
        <v>1121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1191</v>
      </c>
      <c r="D312" s="30" t="s">
        <v>134</v>
      </c>
      <c r="E312" s="30" t="s">
        <v>1530</v>
      </c>
      <c r="F312" s="30" t="str">
        <f>IF(ISBLANK(Table2[[#This Row],[unique_id]]), "", PROPER(SUBSTITUTE(Table2[[#This Row],[unique_id]], "_", " ")))</f>
        <v>Service Sonarr</v>
      </c>
      <c r="G312" s="30" t="s">
        <v>1541</v>
      </c>
      <c r="H312" s="30" t="s">
        <v>1190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1553</v>
      </c>
      <c r="AF312" s="30">
        <v>6</v>
      </c>
      <c r="AG312" s="31" t="s">
        <v>34</v>
      </c>
      <c r="AH312" s="31"/>
      <c r="AI312" s="30" t="s">
        <v>1445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1552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1191</v>
      </c>
      <c r="BC312" s="30" t="s">
        <v>1517</v>
      </c>
      <c r="BD312" s="30" t="s">
        <v>1121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1191</v>
      </c>
      <c r="D313" s="30" t="s">
        <v>134</v>
      </c>
      <c r="E313" s="30" t="s">
        <v>1531</v>
      </c>
      <c r="F313" s="30" t="str">
        <f>IF(ISBLANK(Table2[[#This Row],[unique_id]]), "", PROPER(SUBSTITUTE(Table2[[#This Row],[unique_id]], "_", " ")))</f>
        <v>Service Unpoller</v>
      </c>
      <c r="G313" s="30" t="s">
        <v>1542</v>
      </c>
      <c r="H313" s="30" t="s">
        <v>1190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1553</v>
      </c>
      <c r="AF313" s="30">
        <v>6</v>
      </c>
      <c r="AG313" s="31" t="s">
        <v>34</v>
      </c>
      <c r="AH313" s="31"/>
      <c r="AI313" s="30" t="s">
        <v>1445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1552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1191</v>
      </c>
      <c r="BC313" s="30" t="s">
        <v>1517</v>
      </c>
      <c r="BD313" s="30" t="s">
        <v>1121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1191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Wrangle</v>
      </c>
      <c r="G314" s="30" t="s">
        <v>1194</v>
      </c>
      <c r="H314" s="30" t="s">
        <v>1190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1553</v>
      </c>
      <c r="AF314" s="30">
        <v>6</v>
      </c>
      <c r="AG314" s="31" t="s">
        <v>34</v>
      </c>
      <c r="AH314" s="31"/>
      <c r="AI314" s="30" t="s">
        <v>1480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1552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1191</v>
      </c>
      <c r="BC314" s="30" t="s">
        <v>1517</v>
      </c>
      <c r="BD314" s="30" t="s">
        <v>1121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1191</v>
      </c>
      <c r="D315" s="30" t="s">
        <v>134</v>
      </c>
      <c r="E315" s="30" t="s">
        <v>1518</v>
      </c>
      <c r="F315" s="30" t="str">
        <f>IF(ISBLANK(Table2[[#This Row],[unique_id]]), "", PROPER(SUBSTITUTE(Table2[[#This Row],[unique_id]], "_", " ")))</f>
        <v>Service Homeassistant</v>
      </c>
      <c r="G315" s="30" t="s">
        <v>1197</v>
      </c>
      <c r="H315" s="30" t="s">
        <v>1190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1553</v>
      </c>
      <c r="AF315" s="30">
        <v>6</v>
      </c>
      <c r="AG315" s="31" t="s">
        <v>34</v>
      </c>
      <c r="AH315" s="31"/>
      <c r="AI315" s="30" t="s">
        <v>1141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1552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1191</v>
      </c>
      <c r="BC315" s="30" t="s">
        <v>1517</v>
      </c>
      <c r="BD315" s="30" t="s">
        <v>1121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1191</v>
      </c>
      <c r="D316" s="30" t="s">
        <v>134</v>
      </c>
      <c r="E316" s="30" t="s">
        <v>1533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1190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1553</v>
      </c>
      <c r="AF316" s="30">
        <v>6</v>
      </c>
      <c r="AG316" s="31" t="s">
        <v>34</v>
      </c>
      <c r="AH316" s="31"/>
      <c r="AI316" s="30" t="s">
        <v>1141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1552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1191</v>
      </c>
      <c r="BC316" s="30" t="s">
        <v>1517</v>
      </c>
      <c r="BD316" s="30" t="s">
        <v>1121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1191</v>
      </c>
      <c r="D317" s="30" t="s">
        <v>134</v>
      </c>
      <c r="E317" s="30" t="s">
        <v>1534</v>
      </c>
      <c r="F317" s="30" t="str">
        <f>IF(ISBLANK(Table2[[#This Row],[unique_id]]), "", PROPER(SUBSTITUTE(Table2[[#This Row],[unique_id]], "_", " ")))</f>
        <v>Service Mariadb</v>
      </c>
      <c r="G317" s="30" t="s">
        <v>1549</v>
      </c>
      <c r="H317" s="30" t="s">
        <v>1190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1553</v>
      </c>
      <c r="AF317" s="30">
        <v>6</v>
      </c>
      <c r="AG317" s="31" t="s">
        <v>34</v>
      </c>
      <c r="AH317" s="31"/>
      <c r="AI317" s="30" t="s">
        <v>1141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1552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1191</v>
      </c>
      <c r="BC317" s="30" t="s">
        <v>1517</v>
      </c>
      <c r="BD317" s="30" t="s">
        <v>1121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1191</v>
      </c>
      <c r="D318" s="30" t="s">
        <v>134</v>
      </c>
      <c r="E318" s="30" t="s">
        <v>1535</v>
      </c>
      <c r="F318" s="30" t="str">
        <f>IF(ISBLANK(Table2[[#This Row],[unique_id]]), "", PROPER(SUBSTITUTE(Table2[[#This Row],[unique_id]], "_", " ")))</f>
        <v>Service Nginx</v>
      </c>
      <c r="G318" s="30" t="s">
        <v>1195</v>
      </c>
      <c r="H318" s="30" t="s">
        <v>1190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1553</v>
      </c>
      <c r="AF318" s="30">
        <v>6</v>
      </c>
      <c r="AG318" s="31" t="s">
        <v>34</v>
      </c>
      <c r="AH318" s="31"/>
      <c r="AI318" s="30" t="s">
        <v>1141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1552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1191</v>
      </c>
      <c r="BC318" s="30" t="s">
        <v>1517</v>
      </c>
      <c r="BD318" s="30" t="s">
        <v>1121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1191</v>
      </c>
      <c r="D319" s="30" t="s">
        <v>134</v>
      </c>
      <c r="E319" s="30" t="s">
        <v>1536</v>
      </c>
      <c r="F319" s="30" t="str">
        <f>IF(ISBLANK(Table2[[#This Row],[unique_id]]), "", PROPER(SUBSTITUTE(Table2[[#This Row],[unique_id]], "_", " ")))</f>
        <v>Service Postgres</v>
      </c>
      <c r="G319" s="30" t="s">
        <v>1196</v>
      </c>
      <c r="H319" s="30" t="s">
        <v>1190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1553</v>
      </c>
      <c r="AF319" s="30">
        <v>6</v>
      </c>
      <c r="AG319" s="31" t="s">
        <v>34</v>
      </c>
      <c r="AH319" s="31"/>
      <c r="AI319" s="30" t="s">
        <v>1480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1552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1191</v>
      </c>
      <c r="BC319" s="30" t="s">
        <v>1517</v>
      </c>
      <c r="BD319" s="30" t="s">
        <v>1121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1191</v>
      </c>
      <c r="D320" s="30" t="s">
        <v>134</v>
      </c>
      <c r="E320" s="30" t="s">
        <v>1537</v>
      </c>
      <c r="F320" s="30" t="str">
        <f>IF(ISBLANK(Table2[[#This Row],[unique_id]]), "", PROPER(SUBSTITUTE(Table2[[#This Row],[unique_id]], "_", " ")))</f>
        <v>Service Vernemq</v>
      </c>
      <c r="G320" s="30" t="s">
        <v>1550</v>
      </c>
      <c r="H320" s="30" t="s">
        <v>1190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1553</v>
      </c>
      <c r="AF320" s="30">
        <v>6</v>
      </c>
      <c r="AG320" s="31" t="s">
        <v>34</v>
      </c>
      <c r="AH320" s="31"/>
      <c r="AI320" s="30" t="s">
        <v>1141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1552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1191</v>
      </c>
      <c r="BC320" s="30" t="s">
        <v>1517</v>
      </c>
      <c r="BD320" s="30" t="s">
        <v>1121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1191</v>
      </c>
      <c r="D321" s="30" t="s">
        <v>134</v>
      </c>
      <c r="E321" s="30" t="s">
        <v>1538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1190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1553</v>
      </c>
      <c r="AF321" s="30">
        <v>6</v>
      </c>
      <c r="AG321" s="31" t="s">
        <v>34</v>
      </c>
      <c r="AH321" s="31"/>
      <c r="AI321" s="30" t="s">
        <v>1448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1552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1191</v>
      </c>
      <c r="BC321" s="30" t="s">
        <v>1517</v>
      </c>
      <c r="BD321" s="30" t="s">
        <v>1121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1191</v>
      </c>
      <c r="D322" s="30" t="s">
        <v>134</v>
      </c>
      <c r="E322" s="30" t="s">
        <v>1539</v>
      </c>
      <c r="F322" s="30" t="str">
        <f>IF(ISBLANK(Table2[[#This Row],[unique_id]]), "", PROPER(SUBSTITUTE(Table2[[#This Row],[unique_id]], "_", " ")))</f>
        <v>Service Zigbee2Mqtt</v>
      </c>
      <c r="G322" s="30" t="s">
        <v>1551</v>
      </c>
      <c r="H322" s="30" t="s">
        <v>1190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1553</v>
      </c>
      <c r="AF322" s="30">
        <v>6</v>
      </c>
      <c r="AG322" s="31" t="s">
        <v>34</v>
      </c>
      <c r="AH322" s="31"/>
      <c r="AI322" s="30" t="s">
        <v>1448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1552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1191</v>
      </c>
      <c r="BC322" s="30" t="s">
        <v>1517</v>
      </c>
      <c r="BD322" s="30" t="s">
        <v>1121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1190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1208</v>
      </c>
      <c r="D324" s="30" t="s">
        <v>27</v>
      </c>
      <c r="E324" s="30" t="s">
        <v>1214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1209</v>
      </c>
      <c r="H324" s="30" t="s">
        <v>1211</v>
      </c>
      <c r="I324" s="30" t="s">
        <v>291</v>
      </c>
      <c r="K324" s="30" t="s">
        <v>1172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1554</v>
      </c>
      <c r="D325" s="30" t="s">
        <v>27</v>
      </c>
      <c r="E325" s="30" t="s">
        <v>1115</v>
      </c>
      <c r="F325" s="36" t="str">
        <f>IF(ISBLANK(Table2[[#This Row],[unique_id]]), "", PROPER(SUBSTITUTE(Table2[[#This Row],[unique_id]], "_", " ")))</f>
        <v>Rack Top Temperature</v>
      </c>
      <c r="G325" s="30" t="s">
        <v>1117</v>
      </c>
      <c r="H325" s="30" t="s">
        <v>1211</v>
      </c>
      <c r="I325" s="30" t="s">
        <v>291</v>
      </c>
      <c r="K325" s="30" t="s">
        <v>1164</v>
      </c>
      <c r="O325" s="31"/>
      <c r="P325" s="30"/>
      <c r="T325" s="37"/>
      <c r="U325" s="30"/>
      <c r="V325" s="31" t="s">
        <v>1184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1445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tempstat/macmini-may/data</v>
      </c>
      <c r="AL325" s="30" t="str">
        <f>IF(ISBLANK(Table2[[#This Row],[index]]), "", _xlfn.CONCAT(LOWER(Table2[[#This Row],[device_via_device]]), "/", Table2[[#This Row],[unique_id_device]], "/command"))</f>
        <v>tempstat/macmini-may/command</v>
      </c>
      <c r="AM325" s="30" t="str">
        <f>IF(ISBLANK(Table2[[#This Row],[index]]), "", _xlfn.CONCAT(LOWER(Table2[[#This Row],[device_via_device]]), "/", Table2[[#This Row],[unique_id_device]], "/status"))</f>
        <v>tempstat/macmini-may/status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1118</v>
      </c>
      <c r="BD325" s="30" t="s">
        <v>1114</v>
      </c>
      <c r="BF325" s="30" t="s">
        <v>1119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1554</v>
      </c>
      <c r="D326" s="30" t="s">
        <v>27</v>
      </c>
      <c r="E326" s="30" t="s">
        <v>1164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1117</v>
      </c>
      <c r="H326" s="30" t="s">
        <v>1211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1554</v>
      </c>
      <c r="D327" s="30" t="s">
        <v>27</v>
      </c>
      <c r="E327" s="30" t="s">
        <v>1116</v>
      </c>
      <c r="F327" s="36" t="str">
        <f>IF(ISBLANK(Table2[[#This Row],[unique_id]]), "", PROPER(SUBSTITUTE(Table2[[#This Row],[unique_id]], "_", " ")))</f>
        <v>Rack Bottom Temperature</v>
      </c>
      <c r="G327" s="30" t="s">
        <v>1123</v>
      </c>
      <c r="H327" s="30" t="s">
        <v>1211</v>
      </c>
      <c r="I327" s="30" t="s">
        <v>291</v>
      </c>
      <c r="K327" s="30" t="s">
        <v>1165</v>
      </c>
      <c r="O327" s="31"/>
      <c r="P327" s="30"/>
      <c r="T327" s="37"/>
      <c r="U327" s="30"/>
      <c r="V327" s="31" t="s">
        <v>1184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1445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tempstat/macmini-may/data</v>
      </c>
      <c r="AL327" s="30" t="str">
        <f>IF(ISBLANK(Table2[[#This Row],[index]]), "", _xlfn.CONCAT(LOWER(Table2[[#This Row],[device_via_device]]), "/", Table2[[#This Row],[unique_id_device]], "/command"))</f>
        <v>tempstat/macmini-may/command</v>
      </c>
      <c r="AM327" s="30" t="str">
        <f>IF(ISBLANK(Table2[[#This Row],[index]]), "", _xlfn.CONCAT(LOWER(Table2[[#This Row],[device_via_device]]), "/", Table2[[#This Row],[unique_id_device]], "/status"))</f>
        <v>tempstat/macmini-may/status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1118</v>
      </c>
      <c r="BD327" s="30" t="s">
        <v>1114</v>
      </c>
      <c r="BF327" s="30" t="s">
        <v>1119</v>
      </c>
      <c r="BG327" s="30" t="s">
        <v>28</v>
      </c>
      <c r="BL327" s="30" t="s">
        <v>1139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1554</v>
      </c>
      <c r="D328" s="30" t="s">
        <v>27</v>
      </c>
      <c r="E328" s="30" t="s">
        <v>1165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1123</v>
      </c>
      <c r="H328" s="30" t="s">
        <v>1211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1191</v>
      </c>
      <c r="D329" s="30" t="s">
        <v>27</v>
      </c>
      <c r="E329" s="30" t="s">
        <v>1474</v>
      </c>
      <c r="F329" s="30" t="str">
        <f>IF(ISBLANK(Table2[[#This Row],[unique_id]]), "", PROPER(SUBSTITUTE(Table2[[#This Row],[unique_id]], "_", " ")))</f>
        <v>Host Mad Temperature</v>
      </c>
      <c r="G329" s="30" t="s">
        <v>1478</v>
      </c>
      <c r="H329" s="30" t="s">
        <v>1211</v>
      </c>
      <c r="I329" s="30" t="s">
        <v>291</v>
      </c>
      <c r="K329" s="30" t="s">
        <v>1475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1480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1191</v>
      </c>
      <c r="BC329" s="30" t="s">
        <v>1517</v>
      </c>
      <c r="BD329" s="30" t="s">
        <v>1121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1191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1478</v>
      </c>
      <c r="H330" s="30" t="s">
        <v>1211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1191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Host Max Temperature</v>
      </c>
      <c r="G331" s="30" t="s">
        <v>1479</v>
      </c>
      <c r="H331" s="30" t="s">
        <v>1211</v>
      </c>
      <c r="I331" s="30" t="s">
        <v>291</v>
      </c>
      <c r="K331" s="30" t="s">
        <v>1477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1481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1191</v>
      </c>
      <c r="BC331" s="30" t="s">
        <v>1517</v>
      </c>
      <c r="BD331" s="30" t="s">
        <v>1121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1191</v>
      </c>
      <c r="D332" s="30" t="s">
        <v>27</v>
      </c>
      <c r="E332" s="30" t="s">
        <v>1477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1479</v>
      </c>
      <c r="H332" s="30" t="s">
        <v>1211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1191</v>
      </c>
      <c r="D333" s="30" t="s">
        <v>27</v>
      </c>
      <c r="E333" s="30" t="s">
        <v>1439</v>
      </c>
      <c r="F333" s="30" t="str">
        <f>IF(ISBLANK(Table2[[#This Row],[unique_id]]), "", PROPER(SUBSTITUTE(Table2[[#This Row],[unique_id]], "_", " ")))</f>
        <v>Host May Temperature</v>
      </c>
      <c r="G333" s="30" t="s">
        <v>1438</v>
      </c>
      <c r="H333" s="30" t="s">
        <v>1211</v>
      </c>
      <c r="I333" s="30" t="s">
        <v>291</v>
      </c>
      <c r="K333" s="30" t="s">
        <v>1440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1445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1191</v>
      </c>
      <c r="BC333" s="30" t="s">
        <v>1517</v>
      </c>
      <c r="BD333" s="30" t="s">
        <v>1121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1191</v>
      </c>
      <c r="D334" s="30" t="s">
        <v>27</v>
      </c>
      <c r="E334" s="30" t="s">
        <v>1440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1438</v>
      </c>
      <c r="H334" s="30" t="s">
        <v>1211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1191</v>
      </c>
      <c r="D335" s="30" t="s">
        <v>27</v>
      </c>
      <c r="E335" s="30" t="s">
        <v>1204</v>
      </c>
      <c r="F335" s="30" t="str">
        <f>IF(ISBLANK(Table2[[#This Row],[unique_id]]), "", PROPER(SUBSTITUTE(Table2[[#This Row],[unique_id]], "_", " ")))</f>
        <v>Host Meg Temperature</v>
      </c>
      <c r="G335" s="30" t="s">
        <v>1207</v>
      </c>
      <c r="H335" s="30" t="s">
        <v>1211</v>
      </c>
      <c r="I335" s="30" t="s">
        <v>291</v>
      </c>
      <c r="K335" s="30" t="s">
        <v>1206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1141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1191</v>
      </c>
      <c r="BC335" s="30" t="s">
        <v>1517</v>
      </c>
      <c r="BD335" s="30" t="s">
        <v>1121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1191</v>
      </c>
      <c r="D336" s="30" t="s">
        <v>27</v>
      </c>
      <c r="E336" s="30" t="s">
        <v>1206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1207</v>
      </c>
      <c r="H336" s="30" t="s">
        <v>1211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1208</v>
      </c>
      <c r="D337" s="30" t="s">
        <v>27</v>
      </c>
      <c r="E337" s="30" t="s">
        <v>1216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1213</v>
      </c>
      <c r="H337" s="30" t="s">
        <v>1212</v>
      </c>
      <c r="I337" s="30" t="s">
        <v>291</v>
      </c>
      <c r="K337" s="30" t="s">
        <v>1163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1208</v>
      </c>
      <c r="D338" s="30" t="s">
        <v>27</v>
      </c>
      <c r="E338" s="30" t="s">
        <v>1215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1424</v>
      </c>
      <c r="H338" s="30" t="s">
        <v>1210</v>
      </c>
      <c r="I338" s="30" t="s">
        <v>291</v>
      </c>
      <c r="K338" s="30" t="s">
        <v>1169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1191</v>
      </c>
      <c r="D339" s="30" t="s">
        <v>27</v>
      </c>
      <c r="E339" s="30" t="s">
        <v>1451</v>
      </c>
      <c r="F339" s="30" t="str">
        <f>IF(ISBLANK(Table2[[#This Row],[unique_id]]), "", PROPER(SUBSTITUTE(Table2[[#This Row],[unique_id]], "_", " ")))</f>
        <v>Host Jen Temperature</v>
      </c>
      <c r="G339" s="30" t="s">
        <v>1452</v>
      </c>
      <c r="H339" s="30" t="s">
        <v>1210</v>
      </c>
      <c r="I339" s="30" t="s">
        <v>291</v>
      </c>
      <c r="K339" s="30" t="s">
        <v>1447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1448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1191</v>
      </c>
      <c r="BC339" s="30" t="s">
        <v>1517</v>
      </c>
      <c r="BD339" s="30" t="s">
        <v>1121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1191</v>
      </c>
      <c r="D340" s="30" t="s">
        <v>27</v>
      </c>
      <c r="E340" s="30" t="s">
        <v>1447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1452</v>
      </c>
      <c r="H340" s="30" t="s">
        <v>1210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1210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1188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1188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1188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1188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1188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1188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1188</v>
      </c>
      <c r="I348" s="49" t="s">
        <v>291</v>
      </c>
      <c r="O348" s="51"/>
      <c r="T348" s="52"/>
      <c r="V348" s="51" t="s">
        <v>1225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1186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1223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1357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1188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1358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1188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1359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1188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1360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1188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1188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1188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1188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1482</v>
      </c>
      <c r="F357" s="36" t="str">
        <f>IF(ISBLANK(Table2[[#This Row],[unique_id]]), "", PROPER(SUBSTITUTE(Table2[[#This Row],[unique_id]], "_", " ")))</f>
        <v>Rack Printer Plug</v>
      </c>
      <c r="G357" s="30" t="s">
        <v>1497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1263</v>
      </c>
      <c r="BL357" s="30" t="s">
        <v>1502</v>
      </c>
      <c r="BM357" s="30" t="s">
        <v>1498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1492</v>
      </c>
      <c r="F358" s="36" t="str">
        <f>IF(ISBLANK(Table2[[#This Row],[unique_id]]), "", PROPER(SUBSTITUTE(Table2[[#This Row],[unique_id]], "_", " ")))</f>
        <v>Rack Screen Plug</v>
      </c>
      <c r="G358" s="30" t="s">
        <v>1485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1486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1489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1263</v>
      </c>
      <c r="BL358" s="30" t="s">
        <v>1494</v>
      </c>
      <c r="BM358" s="30" t="s">
        <v>1490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1466</v>
      </c>
      <c r="F359" s="36" t="str">
        <f>IF(ISBLANK(Table2[[#This Row],[unique_id]]), "", PROPER(SUBSTITUTE(Table2[[#This Row],[unique_id]], "_", " ")))</f>
        <v>Rack Backup Plug</v>
      </c>
      <c r="G359" s="30" t="s">
        <v>1484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1487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1488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1263</v>
      </c>
      <c r="BL359" s="30" t="s">
        <v>1493</v>
      </c>
      <c r="BM359" s="30" t="s">
        <v>1491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1263</v>
      </c>
      <c r="BL360" s="30" t="s">
        <v>589</v>
      </c>
      <c r="BM360" s="30" t="s">
        <v>1317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1263</v>
      </c>
      <c r="BL362" s="30" t="s">
        <v>349</v>
      </c>
      <c r="BM362" s="30" t="s">
        <v>1297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1400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1401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1263</v>
      </c>
      <c r="BL364" s="55" t="s">
        <v>340</v>
      </c>
      <c r="BM364" s="55" t="s">
        <v>1298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1402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1403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1263</v>
      </c>
      <c r="BL366" s="55" t="s">
        <v>351</v>
      </c>
      <c r="BM366" s="55" t="s">
        <v>1299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1404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1405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1263</v>
      </c>
      <c r="BL368" s="55" t="s">
        <v>352</v>
      </c>
      <c r="BM368" s="55" t="s">
        <v>1300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1406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1407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1263</v>
      </c>
      <c r="BL370" s="55" t="s">
        <v>343</v>
      </c>
      <c r="BM370" s="55" t="s">
        <v>1301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1263</v>
      </c>
      <c r="BL372" s="30" t="s">
        <v>355</v>
      </c>
      <c r="BM372" s="30" t="s">
        <v>1312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1408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1409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1263</v>
      </c>
      <c r="BL374" s="55" t="s">
        <v>344</v>
      </c>
      <c r="BM374" s="55" t="s">
        <v>1302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1410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1411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1263</v>
      </c>
      <c r="BL376" s="55" t="s">
        <v>345</v>
      </c>
      <c r="BM376" s="55" t="s">
        <v>1303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1496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1495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1263</v>
      </c>
      <c r="BL378" s="63" t="s">
        <v>1467</v>
      </c>
      <c r="BM378" s="63" t="s">
        <v>1468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1263</v>
      </c>
      <c r="BL380" s="30" t="s">
        <v>347</v>
      </c>
      <c r="BM380" s="30" t="s">
        <v>1305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1392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1393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1393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1391</v>
      </c>
      <c r="F382" s="36" t="str">
        <f>IF(ISBLANK(Table2[[#This Row],[unique_id]]), "", PROPER(SUBSTITUTE(Table2[[#This Row],[unique_id]], "_", " ")))</f>
        <v>Garden Sewerage Blower Plug</v>
      </c>
      <c r="G382" s="30" t="s">
        <v>1393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1393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1263</v>
      </c>
      <c r="BL382" s="36" t="s">
        <v>363</v>
      </c>
      <c r="BM382" s="36" t="s">
        <v>1284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1412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1413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1263</v>
      </c>
      <c r="BL384" s="55" t="s">
        <v>341</v>
      </c>
      <c r="BM384" s="55" t="s">
        <v>1306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1414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1415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1263</v>
      </c>
      <c r="BL386" s="55" t="s">
        <v>342</v>
      </c>
      <c r="BM386" s="55" t="s">
        <v>1307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1416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1417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1263</v>
      </c>
      <c r="BL388" s="55" t="s">
        <v>800</v>
      </c>
      <c r="BM388" s="55" t="s">
        <v>1308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Ada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1501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1500</v>
      </c>
      <c r="F392" s="36" t="str">
        <f>IF(ISBLANK(Table2[[#This Row],[unique_id]]), "", PROPER(SUBSTITUTE(Table2[[#This Row],[unique_id]], "_", " ")))</f>
        <v>Edwin Desk Outlet</v>
      </c>
      <c r="G392" s="30" t="s">
        <v>1499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1501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1441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1442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1446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1443</v>
      </c>
      <c r="F394" s="57" t="str">
        <f>IF(ISBLANK(Table2[[#This Row],[unique_id]]), "", PROPER(SUBSTITUTE(Table2[[#This Row],[unique_id]], "_", " ")))</f>
        <v>Broken Server May Plug</v>
      </c>
      <c r="G394" s="55" t="s">
        <v>1442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1446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1263</v>
      </c>
      <c r="BL394" s="55" t="s">
        <v>804</v>
      </c>
      <c r="BM394" s="55" t="s">
        <v>1309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1418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1419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1263</v>
      </c>
      <c r="BL396" s="55" t="s">
        <v>803</v>
      </c>
      <c r="BM396" s="55" t="s">
        <v>1310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1449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1453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1454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1450</v>
      </c>
      <c r="F398" s="36" t="str">
        <f>IF(ISBLANK(Table2[[#This Row],[unique_id]]), "", PROPER(SUBSTITUTE(Table2[[#This Row],[unique_id]], "_", " ")))</f>
        <v>Server Jen Plug</v>
      </c>
      <c r="G398" s="30" t="s">
        <v>1453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1454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1263</v>
      </c>
      <c r="BL398" s="30" t="s">
        <v>348</v>
      </c>
      <c r="BM398" s="30" t="s">
        <v>1311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1263</v>
      </c>
      <c r="BL400" s="30" t="s">
        <v>914</v>
      </c>
      <c r="BM400" s="30" t="s">
        <v>1313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1433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1433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1263</v>
      </c>
      <c r="BL404" s="41" t="s">
        <v>979</v>
      </c>
      <c r="BM404" s="30" t="s">
        <v>1315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1433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1433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1420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1421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1263</v>
      </c>
      <c r="BL408" s="55" t="s">
        <v>354</v>
      </c>
      <c r="BM408" s="55" t="s">
        <v>1316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1505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1262</v>
      </c>
      <c r="BL435" s="41" t="s">
        <v>420</v>
      </c>
      <c r="BM435" s="39" t="s">
        <v>1264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1262</v>
      </c>
      <c r="BL436" s="41" t="s">
        <v>419</v>
      </c>
      <c r="BM436" s="39" t="s">
        <v>1265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1262</v>
      </c>
      <c r="BL437" s="41" t="s">
        <v>637</v>
      </c>
      <c r="BM437" s="39" t="s">
        <v>1266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1262</v>
      </c>
      <c r="BL438" s="41" t="s">
        <v>730</v>
      </c>
      <c r="BM438" s="39" t="s">
        <v>1267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1262</v>
      </c>
      <c r="BL439" s="41" t="s">
        <v>417</v>
      </c>
      <c r="BM439" s="39" t="s">
        <v>1268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1262</v>
      </c>
      <c r="BL440" s="41" t="s">
        <v>418</v>
      </c>
      <c r="BM440" s="39" t="s">
        <v>1269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1262</v>
      </c>
      <c r="BL441" s="41" t="s">
        <v>1241</v>
      </c>
      <c r="BM441" s="39" t="s">
        <v>1270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1262</v>
      </c>
      <c r="BL442" s="41" t="s">
        <v>1242</v>
      </c>
      <c r="BM442" s="39" t="s">
        <v>1273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1262</v>
      </c>
      <c r="BL443" s="41" t="s">
        <v>581</v>
      </c>
      <c r="BM443" s="39" t="s">
        <v>1271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1262</v>
      </c>
      <c r="BL444" s="41" t="s">
        <v>399</v>
      </c>
      <c r="BM444" s="39" t="s">
        <v>1272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1262</v>
      </c>
      <c r="BL445" s="41" t="s">
        <v>421</v>
      </c>
      <c r="BM445" s="39" t="s">
        <v>1274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1262</v>
      </c>
      <c r="BL447" s="30" t="s">
        <v>585</v>
      </c>
      <c r="BM447" s="39" t="s">
        <v>1275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1262</v>
      </c>
      <c r="BL449" s="30" t="s">
        <v>368</v>
      </c>
      <c r="BM449" s="39" t="s">
        <v>1276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1262</v>
      </c>
      <c r="BL450" s="37" t="s">
        <v>367</v>
      </c>
      <c r="BM450" s="39" t="s">
        <v>1277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1262</v>
      </c>
      <c r="BL452" s="30" t="s">
        <v>366</v>
      </c>
      <c r="BM452" s="39" t="s">
        <v>1278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1321</v>
      </c>
      <c r="F453" s="36" t="str">
        <f>IF(ISBLANK(Table2[[#This Row],[unique_id]]), "", PROPER(SUBSTITUTE(Table2[[#This Row],[unique_id]], "_", " ")))</f>
        <v>Parents Homepod</v>
      </c>
      <c r="G453" s="30" t="s">
        <v>1322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1323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1262</v>
      </c>
      <c r="BL453" s="41" t="s">
        <v>400</v>
      </c>
      <c r="BM453" s="39" t="s">
        <v>1279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1334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1434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1263</v>
      </c>
      <c r="BL472" s="30" t="s">
        <v>383</v>
      </c>
      <c r="BM472" s="30" t="s">
        <v>1318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1335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1434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1263</v>
      </c>
      <c r="BL474" s="30" t="s">
        <v>384</v>
      </c>
      <c r="BM474" s="30" t="s">
        <v>1319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1435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1256</v>
      </c>
      <c r="BL476" s="30" t="s">
        <v>405</v>
      </c>
      <c r="BM476" s="30" t="s">
        <v>1257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1436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1256</v>
      </c>
      <c r="BL477" s="30" t="s">
        <v>611</v>
      </c>
      <c r="BM477" s="30" t="s">
        <v>1258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1436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1256</v>
      </c>
      <c r="BL478" s="30" t="s">
        <v>406</v>
      </c>
      <c r="BM478" s="30" t="s">
        <v>1472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1436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1471</v>
      </c>
      <c r="BD479" s="30" t="s">
        <v>234</v>
      </c>
      <c r="BF479" s="30" t="s">
        <v>1065</v>
      </c>
      <c r="BG479" s="30" t="s">
        <v>403</v>
      </c>
      <c r="BK479" s="30" t="s">
        <v>1256</v>
      </c>
      <c r="BL479" s="30" t="s">
        <v>1473</v>
      </c>
      <c r="BM479" s="30" t="s">
        <v>1259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1437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1379</v>
      </c>
      <c r="BD480" s="30" t="s">
        <v>234</v>
      </c>
      <c r="BF480" s="30" t="s">
        <v>1064</v>
      </c>
      <c r="BG480" s="30" t="s">
        <v>404</v>
      </c>
      <c r="BK480" s="30" t="s">
        <v>1256</v>
      </c>
      <c r="BL480" s="30" t="s">
        <v>1378</v>
      </c>
      <c r="BM480" s="30" t="s">
        <v>1260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1437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1430</v>
      </c>
      <c r="BK481" s="30" t="s">
        <v>1256</v>
      </c>
      <c r="BL481" s="30" t="s">
        <v>1432</v>
      </c>
      <c r="BM481" s="30" t="s">
        <v>1261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1437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1429</v>
      </c>
      <c r="BK482" s="30" t="s">
        <v>1256</v>
      </c>
      <c r="BL482" s="30" t="s">
        <v>407</v>
      </c>
      <c r="BM482" s="30" t="s">
        <v>1431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1364</v>
      </c>
      <c r="BA483" s="30" t="str">
        <f>IF(ISBLANK(Table2[[#This Row],[device_model]]), "", Table2[[#This Row],[device_suggested_area]])</f>
        <v>Rack</v>
      </c>
      <c r="BB483" s="30" t="s">
        <v>1375</v>
      </c>
      <c r="BC483" s="30" t="s">
        <v>1366</v>
      </c>
      <c r="BD483" s="30" t="s">
        <v>1364</v>
      </c>
      <c r="BF483" s="30" t="s">
        <v>1372</v>
      </c>
      <c r="BG483" s="30" t="s">
        <v>28</v>
      </c>
      <c r="BL483" s="41"/>
      <c r="BM483" s="30" t="s">
        <v>1374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1364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1366</v>
      </c>
      <c r="BD484" s="30" t="s">
        <v>1364</v>
      </c>
      <c r="BF484" s="30" t="s">
        <v>1372</v>
      </c>
      <c r="BG484" s="30" t="s">
        <v>28</v>
      </c>
      <c r="BL484" s="41"/>
      <c r="BM484" s="30" t="s">
        <v>1367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1368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1369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1368</v>
      </c>
      <c r="BA485" s="30" t="str">
        <f>IF(ISBLANK(Table2[[#This Row],[device_model]]), "", Table2[[#This Row],[device_suggested_area]])</f>
        <v>Rack</v>
      </c>
      <c r="BB485" s="30" t="s">
        <v>1370</v>
      </c>
      <c r="BC485" s="30" t="s">
        <v>1371</v>
      </c>
      <c r="BD485" s="30" t="s">
        <v>1368</v>
      </c>
      <c r="BF485" s="30" t="s">
        <v>1372</v>
      </c>
      <c r="BG485" s="30" t="s">
        <v>28</v>
      </c>
      <c r="BL485" s="41"/>
      <c r="BM485" s="30" t="s">
        <v>1373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1262</v>
      </c>
      <c r="BL486" s="41" t="s">
        <v>432</v>
      </c>
      <c r="BM486" s="30" t="s">
        <v>1280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1455</v>
      </c>
      <c r="BC487" s="30" t="s">
        <v>1034</v>
      </c>
      <c r="BD487" s="30" t="s">
        <v>554</v>
      </c>
      <c r="BF487" s="63" t="s">
        <v>1459</v>
      </c>
      <c r="BG487" s="30" t="s">
        <v>495</v>
      </c>
      <c r="BK487" s="30" t="s">
        <v>401</v>
      </c>
      <c r="BL487" s="30" t="s">
        <v>553</v>
      </c>
      <c r="BM487" s="30" t="s">
        <v>1255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1457</v>
      </c>
      <c r="BC488" s="30" t="s">
        <v>1458</v>
      </c>
      <c r="BD488" s="30" t="s">
        <v>554</v>
      </c>
      <c r="BF488" s="63" t="s">
        <v>1459</v>
      </c>
      <c r="BG488" s="30" t="s">
        <v>1456</v>
      </c>
      <c r="BL488" s="30" t="s">
        <v>1463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1460</v>
      </c>
      <c r="BC489" s="30" t="s">
        <v>1461</v>
      </c>
      <c r="BD489" s="30" t="s">
        <v>264</v>
      </c>
      <c r="BF489" s="63" t="s">
        <v>1465</v>
      </c>
      <c r="BG489" s="30" t="s">
        <v>28</v>
      </c>
      <c r="BK489" s="30" t="s">
        <v>401</v>
      </c>
      <c r="BL489" s="41" t="s">
        <v>1464</v>
      </c>
      <c r="BM489" s="30" t="s">
        <v>1251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1462</v>
      </c>
      <c r="BC490" s="30" t="s">
        <v>1032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46" t="s">
        <v>1470</v>
      </c>
      <c r="BM490" s="30" t="s">
        <v>1252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1444</v>
      </c>
      <c r="BC491" s="30" t="s">
        <v>1032</v>
      </c>
      <c r="BD491" s="30" t="s">
        <v>264</v>
      </c>
      <c r="BF491" s="63" t="s">
        <v>1459</v>
      </c>
      <c r="BG491" s="30" t="s">
        <v>28</v>
      </c>
      <c r="BK491" s="30" t="s">
        <v>401</v>
      </c>
      <c r="BL491" s="46" t="s">
        <v>1330</v>
      </c>
      <c r="BM491" s="30" t="s">
        <v>1253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1459</v>
      </c>
      <c r="BG492" s="30" t="s">
        <v>28</v>
      </c>
      <c r="BK492" s="30" t="s">
        <v>401</v>
      </c>
      <c r="BL492" s="30" t="s">
        <v>587</v>
      </c>
      <c r="BM492" s="30" t="s">
        <v>1254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1263</v>
      </c>
      <c r="BL493" s="30" t="s">
        <v>379</v>
      </c>
      <c r="BM493" s="30" t="s">
        <v>1320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2026-07-20T04:50:33Z</dcterms:modified>
</cp:coreProperties>
</file>