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0F60CBE8-31DD-FE48-8450-A3402C41D873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299" i="1" l="1"/>
  <c r="BA299" i="1"/>
  <c r="AM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J299" i="1"/>
  <c r="G161" i="1"/>
  <c r="BN383" i="1"/>
  <c r="BA383" i="1"/>
  <c r="AZ383" i="1"/>
  <c r="AW383" i="1" s="1"/>
  <c r="AX383" i="1" s="1"/>
  <c r="AT383" i="1"/>
  <c r="F383" i="1"/>
  <c r="BN295" i="1"/>
  <c r="BA295" i="1"/>
  <c r="AW295" i="1"/>
  <c r="AX295" i="1" s="1"/>
  <c r="AV295" i="1"/>
  <c r="F295" i="1"/>
  <c r="BN412" i="1"/>
  <c r="BA412" i="1"/>
  <c r="AW412" i="1"/>
  <c r="AX412" i="1" s="1"/>
  <c r="AV412" i="1"/>
  <c r="F412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4" i="1"/>
  <c r="AW374" i="1"/>
  <c r="AV374" i="1" s="1"/>
  <c r="T374" i="1"/>
  <c r="S374" i="1"/>
  <c r="F374" i="1"/>
  <c r="BN373" i="1"/>
  <c r="AW373" i="1"/>
  <c r="AX373" i="1" s="1"/>
  <c r="T373" i="1"/>
  <c r="S373" i="1"/>
  <c r="F373" i="1"/>
  <c r="BN400" i="1"/>
  <c r="BA400" i="1"/>
  <c r="AW400" i="1" s="1"/>
  <c r="AX400" i="1" s="1"/>
  <c r="T400" i="1"/>
  <c r="S400" i="1"/>
  <c r="F400" i="1"/>
  <c r="BN399" i="1"/>
  <c r="BA399" i="1"/>
  <c r="AW399" i="1" s="1"/>
  <c r="AX399" i="1" s="1"/>
  <c r="S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M397" i="1"/>
  <c r="AK397" i="1"/>
  <c r="AJ397" i="1"/>
  <c r="F397" i="1"/>
  <c r="BN396" i="1"/>
  <c r="BA396" i="1"/>
  <c r="AW396" i="1" s="1"/>
  <c r="AT396" i="1"/>
  <c r="AM396" i="1"/>
  <c r="AL396" i="1"/>
  <c r="AK396" i="1"/>
  <c r="AJ396" i="1"/>
  <c r="T396" i="1"/>
  <c r="S396" i="1"/>
  <c r="F396" i="1"/>
  <c r="BN395" i="1"/>
  <c r="BA395" i="1"/>
  <c r="AW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AW390" i="1"/>
  <c r="AX390" i="1" s="1"/>
  <c r="T390" i="1"/>
  <c r="S390" i="1"/>
  <c r="F390" i="1"/>
  <c r="BN389" i="1"/>
  <c r="AW389" i="1"/>
  <c r="AX389" i="1" s="1"/>
  <c r="T389" i="1"/>
  <c r="S389" i="1"/>
  <c r="F389" i="1"/>
  <c r="BN388" i="1"/>
  <c r="BA388" i="1"/>
  <c r="AW388" i="1" s="1"/>
  <c r="T388" i="1"/>
  <c r="S388" i="1"/>
  <c r="F388" i="1"/>
  <c r="BN387" i="1"/>
  <c r="BA387" i="1"/>
  <c r="AW387" i="1" s="1"/>
  <c r="S387" i="1"/>
  <c r="F387" i="1"/>
  <c r="BN386" i="1"/>
  <c r="BA386" i="1"/>
  <c r="AW386" i="1" s="1"/>
  <c r="T386" i="1"/>
  <c r="S386" i="1"/>
  <c r="F386" i="1"/>
  <c r="BN385" i="1"/>
  <c r="BA385" i="1"/>
  <c r="AW385" i="1" s="1"/>
  <c r="AX385" i="1" s="1"/>
  <c r="S385" i="1"/>
  <c r="F385" i="1"/>
  <c r="BN352" i="1"/>
  <c r="BA352" i="1"/>
  <c r="AW352" i="1" s="1"/>
  <c r="AV352" i="1" s="1"/>
  <c r="AT352" i="1"/>
  <c r="AM352" i="1"/>
  <c r="AL352" i="1"/>
  <c r="AK352" i="1"/>
  <c r="AJ352" i="1"/>
  <c r="F352" i="1"/>
  <c r="BN351" i="1"/>
  <c r="BA351" i="1"/>
  <c r="AW351" i="1" s="1"/>
  <c r="AV351" i="1" s="1"/>
  <c r="AT351" i="1"/>
  <c r="AM351" i="1"/>
  <c r="AL351" i="1"/>
  <c r="AK351" i="1"/>
  <c r="AJ351" i="1"/>
  <c r="F351" i="1"/>
  <c r="BN350" i="1"/>
  <c r="BA350" i="1"/>
  <c r="AW350" i="1" s="1"/>
  <c r="AT350" i="1"/>
  <c r="AM350" i="1"/>
  <c r="AL350" i="1"/>
  <c r="AK350" i="1"/>
  <c r="AJ350" i="1"/>
  <c r="F350" i="1"/>
  <c r="BN349" i="1"/>
  <c r="BA349" i="1"/>
  <c r="AW349" i="1" s="1"/>
  <c r="AT349" i="1"/>
  <c r="AM349" i="1"/>
  <c r="AL349" i="1"/>
  <c r="AK349" i="1"/>
  <c r="AJ349" i="1"/>
  <c r="F349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N323" i="1"/>
  <c r="BA323" i="1"/>
  <c r="AX323" i="1"/>
  <c r="AK323" i="1"/>
  <c r="AJ323" i="1"/>
  <c r="F323" i="1"/>
  <c r="AY323" i="1" s="1"/>
  <c r="BN322" i="1"/>
  <c r="BA322" i="1"/>
  <c r="AW322" i="1" s="1"/>
  <c r="AK322" i="1"/>
  <c r="AJ322" i="1"/>
  <c r="F322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3" i="1"/>
  <c r="AW363" i="1" s="1"/>
  <c r="BA364" i="1"/>
  <c r="AW364" i="1" s="1"/>
  <c r="S364" i="1"/>
  <c r="S363" i="1"/>
  <c r="BN364" i="1"/>
  <c r="T364" i="1"/>
  <c r="F364" i="1"/>
  <c r="BN363" i="1"/>
  <c r="T363" i="1"/>
  <c r="F363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27" i="1"/>
  <c r="BA327" i="1"/>
  <c r="AX327" i="1"/>
  <c r="AK327" i="1"/>
  <c r="AJ327" i="1"/>
  <c r="F327" i="1"/>
  <c r="AY327" i="1" s="1"/>
  <c r="BN326" i="1"/>
  <c r="BA326" i="1"/>
  <c r="AW326" i="1" s="1"/>
  <c r="AV326" i="1" s="1"/>
  <c r="AK326" i="1"/>
  <c r="AJ326" i="1"/>
  <c r="F326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7" i="1"/>
  <c r="AX319" i="1"/>
  <c r="AX321" i="1"/>
  <c r="AX329" i="1"/>
  <c r="AX330" i="1"/>
  <c r="AX331" i="1"/>
  <c r="AX33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8" i="1"/>
  <c r="F329" i="1"/>
  <c r="AY329" i="1" s="1"/>
  <c r="F330" i="1"/>
  <c r="AY330" i="1" s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53" i="1"/>
  <c r="F354" i="1"/>
  <c r="F355" i="1"/>
  <c r="F356" i="1"/>
  <c r="F357" i="1"/>
  <c r="F358" i="1"/>
  <c r="F359" i="1"/>
  <c r="F360" i="1"/>
  <c r="F361" i="1"/>
  <c r="F362" i="1"/>
  <c r="F365" i="1"/>
  <c r="F366" i="1"/>
  <c r="F367" i="1"/>
  <c r="F368" i="1"/>
  <c r="F369" i="1"/>
  <c r="F370" i="1"/>
  <c r="F371" i="1"/>
  <c r="F372" i="1"/>
  <c r="F375" i="1"/>
  <c r="F376" i="1"/>
  <c r="F377" i="1"/>
  <c r="F378" i="1"/>
  <c r="F379" i="1"/>
  <c r="F380" i="1"/>
  <c r="F381" i="1"/>
  <c r="F382" i="1"/>
  <c r="F384" i="1"/>
  <c r="F401" i="1"/>
  <c r="F402" i="1"/>
  <c r="F403" i="1"/>
  <c r="F404" i="1"/>
  <c r="F405" i="1"/>
  <c r="F406" i="1"/>
  <c r="F407" i="1"/>
  <c r="F408" i="1"/>
  <c r="F409" i="1"/>
  <c r="F410" i="1"/>
  <c r="F411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0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0" i="1"/>
  <c r="AJ318" i="1"/>
  <c r="AJ26" i="1"/>
  <c r="AJ332" i="1"/>
  <c r="AJ328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0" i="1"/>
  <c r="BA330" i="1"/>
  <c r="AK330" i="1"/>
  <c r="AJ330" i="1"/>
  <c r="AJ331" i="1"/>
  <c r="AK331" i="1"/>
  <c r="BA331" i="1"/>
  <c r="BN331" i="1"/>
  <c r="AJ317" i="1"/>
  <c r="AK317" i="1"/>
  <c r="BA317" i="1"/>
  <c r="BN317" i="1"/>
  <c r="BN321" i="1"/>
  <c r="BA321" i="1"/>
  <c r="AK321" i="1"/>
  <c r="AJ321" i="1"/>
  <c r="BN320" i="1"/>
  <c r="BA320" i="1"/>
  <c r="AW320" i="1" s="1"/>
  <c r="AV320" i="1" s="1"/>
  <c r="AR320" i="1"/>
  <c r="AK320" i="1"/>
  <c r="BN319" i="1"/>
  <c r="BA319" i="1"/>
  <c r="AK319" i="1"/>
  <c r="AJ319" i="1"/>
  <c r="BN318" i="1"/>
  <c r="BA318" i="1"/>
  <c r="AW318" i="1" s="1"/>
  <c r="AV318" i="1" s="1"/>
  <c r="AR318" i="1"/>
  <c r="AK318" i="1"/>
  <c r="AJ329" i="1"/>
  <c r="AK329" i="1"/>
  <c r="BA329" i="1"/>
  <c r="BN329" i="1"/>
  <c r="AJ333" i="1"/>
  <c r="AK333" i="1"/>
  <c r="BA333" i="1"/>
  <c r="BN333" i="1"/>
  <c r="AR54" i="1"/>
  <c r="AR44" i="1"/>
  <c r="BN328" i="1"/>
  <c r="BA328" i="1"/>
  <c r="AW328" i="1" s="1"/>
  <c r="AV328" i="1" s="1"/>
  <c r="AK328" i="1"/>
  <c r="BA332" i="1"/>
  <c r="AW332" i="1" s="1"/>
  <c r="AK332" i="1"/>
  <c r="BN332" i="1"/>
  <c r="BN288" i="1"/>
  <c r="BA288" i="1"/>
  <c r="AW288" i="1" s="1"/>
  <c r="AV288" i="1" s="1"/>
  <c r="AK288" i="1"/>
  <c r="BN287" i="1"/>
  <c r="BA287" i="1"/>
  <c r="AW287" i="1" s="1"/>
  <c r="AV287" i="1" s="1"/>
  <c r="AK287" i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AW299" i="1"/>
  <c r="AV299" i="1" s="1"/>
  <c r="BN315" i="1"/>
  <c r="BA315" i="1"/>
  <c r="AW315" i="1"/>
  <c r="AX315" i="1" s="1"/>
  <c r="AV315" i="1"/>
  <c r="BN316" i="1"/>
  <c r="BA316" i="1"/>
  <c r="AW316" i="1"/>
  <c r="AX316" i="1" s="1"/>
  <c r="AV316" i="1"/>
  <c r="AR77" i="1"/>
  <c r="AR76" i="1"/>
  <c r="AR75" i="1"/>
  <c r="AR74" i="1"/>
  <c r="AR73" i="1"/>
  <c r="AR72" i="1"/>
  <c r="AR26" i="1"/>
  <c r="AY383" i="1" l="1"/>
  <c r="AV383" i="1"/>
  <c r="AY295" i="1"/>
  <c r="AY162" i="1"/>
  <c r="AY412" i="1"/>
  <c r="AV161" i="1"/>
  <c r="AY374" i="1"/>
  <c r="AY161" i="1"/>
  <c r="AV162" i="1"/>
  <c r="AX162" i="1"/>
  <c r="AV373" i="1"/>
  <c r="AY373" i="1"/>
  <c r="AY391" i="1"/>
  <c r="AX374" i="1"/>
  <c r="AY395" i="1"/>
  <c r="AV399" i="1"/>
  <c r="AY389" i="1"/>
  <c r="AY399" i="1"/>
  <c r="AX394" i="1"/>
  <c r="AV394" i="1"/>
  <c r="AX393" i="1"/>
  <c r="AV393" i="1"/>
  <c r="AX395" i="1"/>
  <c r="AV395" i="1"/>
  <c r="AX392" i="1"/>
  <c r="AV392" i="1"/>
  <c r="AY390" i="1"/>
  <c r="AY392" i="1"/>
  <c r="AY394" i="1"/>
  <c r="AY393" i="1"/>
  <c r="AY398" i="1"/>
  <c r="AY400" i="1"/>
  <c r="AV389" i="1"/>
  <c r="AX397" i="1"/>
  <c r="AV397" i="1"/>
  <c r="AX388" i="1"/>
  <c r="AV388" i="1"/>
  <c r="AY388" i="1"/>
  <c r="AY386" i="1"/>
  <c r="AX386" i="1"/>
  <c r="AV386" i="1"/>
  <c r="AX396" i="1"/>
  <c r="AV396" i="1"/>
  <c r="AY396" i="1"/>
  <c r="AY387" i="1"/>
  <c r="AY397" i="1"/>
  <c r="AX398" i="1"/>
  <c r="AV398" i="1"/>
  <c r="AV387" i="1"/>
  <c r="AX387" i="1"/>
  <c r="AX391" i="1"/>
  <c r="AV385" i="1"/>
  <c r="AV391" i="1"/>
  <c r="AY385" i="1"/>
  <c r="AV390" i="1"/>
  <c r="AV400" i="1"/>
  <c r="AY349" i="1"/>
  <c r="AX351" i="1"/>
  <c r="AY352" i="1"/>
  <c r="AX349" i="1"/>
  <c r="AY350" i="1"/>
  <c r="AX350" i="1"/>
  <c r="AV350" i="1"/>
  <c r="AY351" i="1"/>
  <c r="AX352" i="1"/>
  <c r="AV349" i="1"/>
  <c r="AX324" i="1"/>
  <c r="AV324" i="1"/>
  <c r="AY324" i="1"/>
  <c r="AX322" i="1"/>
  <c r="AY322" i="1"/>
  <c r="AV322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3" i="1"/>
  <c r="AX364" i="1"/>
  <c r="AV364" i="1"/>
  <c r="AY364" i="1"/>
  <c r="AX363" i="1"/>
  <c r="AV363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6" i="1"/>
  <c r="AY326" i="1"/>
  <c r="AY482" i="1"/>
  <c r="AV482" i="1"/>
  <c r="AV481" i="1"/>
  <c r="AY481" i="1"/>
  <c r="AY41" i="1"/>
  <c r="AY43" i="1"/>
  <c r="AX304" i="1"/>
  <c r="AX314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2" i="1"/>
  <c r="AX328" i="1"/>
  <c r="AX318" i="1"/>
  <c r="AX299" i="1"/>
  <c r="AX311" i="1"/>
  <c r="AX288" i="1"/>
  <c r="AX320" i="1"/>
  <c r="AY15" i="1"/>
  <c r="AY328" i="1"/>
  <c r="AV332" i="1"/>
  <c r="AY332" i="1"/>
  <c r="AY303" i="1"/>
  <c r="AY302" i="1"/>
  <c r="AV314" i="1"/>
  <c r="AY314" i="1"/>
  <c r="AY318" i="1"/>
  <c r="AV306" i="1"/>
  <c r="AY306" i="1"/>
  <c r="AY300" i="1"/>
  <c r="AV307" i="1"/>
  <c r="AY307" i="1"/>
  <c r="AV308" i="1"/>
  <c r="AY308" i="1"/>
  <c r="AY288" i="1"/>
  <c r="AV310" i="1"/>
  <c r="AY310" i="1"/>
  <c r="AV304" i="1"/>
  <c r="AY304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16" i="1"/>
  <c r="AY301" i="1"/>
  <c r="AY321" i="1"/>
  <c r="AY312" i="1"/>
  <c r="AY320" i="1"/>
  <c r="AY311" i="1"/>
  <c r="AY299" i="1"/>
  <c r="AY234" i="1"/>
  <c r="AY23" i="1"/>
  <c r="AY11" i="1"/>
  <c r="AY319" i="1"/>
  <c r="AY21" i="1"/>
  <c r="AY9" i="1"/>
  <c r="AY333" i="1"/>
  <c r="AY317" i="1"/>
  <c r="AY331" i="1"/>
  <c r="AY315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0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348" i="1"/>
  <c r="AX348" i="1" s="1"/>
  <c r="AV348" i="1"/>
  <c r="AW347" i="1"/>
  <c r="AX347" i="1" s="1"/>
  <c r="AV347" i="1"/>
  <c r="AW346" i="1"/>
  <c r="AX346" i="1" s="1"/>
  <c r="AV346" i="1"/>
  <c r="AW345" i="1"/>
  <c r="AX345" i="1" s="1"/>
  <c r="AV345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335" i="1"/>
  <c r="AX335" i="1" s="1"/>
  <c r="AV335" i="1"/>
  <c r="AW334" i="1"/>
  <c r="AX334" i="1" s="1"/>
  <c r="AV334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1" i="1"/>
  <c r="BA410" i="1"/>
  <c r="BA409" i="1"/>
  <c r="BA408" i="1"/>
  <c r="BA407" i="1"/>
  <c r="BA406" i="1"/>
  <c r="BA405" i="1"/>
  <c r="BA404" i="1"/>
  <c r="BA348" i="1"/>
  <c r="BA347" i="1"/>
  <c r="BA346" i="1"/>
  <c r="BA345" i="1"/>
  <c r="BA339" i="1"/>
  <c r="BA338" i="1"/>
  <c r="BA337" i="1"/>
  <c r="BA336" i="1"/>
  <c r="BA335" i="1"/>
  <c r="BA334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81" i="1"/>
  <c r="AW281" i="1" s="1"/>
  <c r="AX281" i="1" s="1"/>
  <c r="BA474" i="1"/>
  <c r="BA469" i="1"/>
  <c r="BA468" i="1"/>
  <c r="BA466" i="1"/>
  <c r="BA464" i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4" i="1"/>
  <c r="BA382" i="1"/>
  <c r="BA381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4" i="1"/>
  <c r="AW344" i="1" s="1"/>
  <c r="AX344" i="1" s="1"/>
  <c r="BA343" i="1"/>
  <c r="AW343" i="1" s="1"/>
  <c r="AX343" i="1" s="1"/>
  <c r="BA342" i="1"/>
  <c r="AW342" i="1" s="1"/>
  <c r="AX342" i="1" s="1"/>
  <c r="BA341" i="1"/>
  <c r="AW341" i="1" s="1"/>
  <c r="AX341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3" i="1"/>
  <c r="BA402" i="1"/>
  <c r="BA401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0" i="1"/>
  <c r="AW340" i="1" s="1"/>
  <c r="AX340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68" i="1"/>
  <c r="S367" i="1"/>
  <c r="S366" i="1"/>
  <c r="S362" i="1"/>
  <c r="S378" i="1"/>
  <c r="S377" i="1"/>
  <c r="S376" i="1"/>
  <c r="S360" i="1"/>
  <c r="S358" i="1"/>
  <c r="T230" i="1"/>
  <c r="T226" i="1"/>
  <c r="T114" i="1"/>
  <c r="S440" i="1"/>
  <c r="S441" i="1"/>
  <c r="S444" i="1"/>
  <c r="S443" i="1"/>
  <c r="S354" i="1"/>
  <c r="S353" i="1"/>
  <c r="S356" i="1"/>
  <c r="S355" i="1"/>
  <c r="S380" i="1"/>
  <c r="S379" i="1"/>
  <c r="T370" i="1"/>
  <c r="T372" i="1"/>
  <c r="T224" i="1"/>
  <c r="T354" i="1"/>
  <c r="T368" i="1"/>
  <c r="T366" i="1"/>
  <c r="T362" i="1"/>
  <c r="T358" i="1"/>
  <c r="T376" i="1"/>
  <c r="T360" i="1"/>
  <c r="T378" i="1"/>
  <c r="T356" i="1"/>
  <c r="T380" i="1"/>
  <c r="S429" i="1"/>
  <c r="S431" i="1"/>
  <c r="S432" i="1"/>
  <c r="S442" i="1"/>
  <c r="S430" i="1"/>
  <c r="S428" i="1"/>
  <c r="S427" i="1"/>
  <c r="S375" i="1"/>
  <c r="S357" i="1"/>
  <c r="S359" i="1"/>
  <c r="S361" i="1"/>
  <c r="S365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4" i="1"/>
  <c r="AW384" i="1" s="1"/>
  <c r="AX384" i="1" s="1"/>
  <c r="AZ382" i="1"/>
  <c r="AW382" i="1" s="1"/>
  <c r="AX382" i="1" s="1"/>
  <c r="AZ381" i="1"/>
  <c r="AW381" i="1" s="1"/>
  <c r="AX381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3" i="1"/>
  <c r="AW403" i="1" s="1"/>
  <c r="AX403" i="1" s="1"/>
  <c r="AZ402" i="1"/>
  <c r="AW402" i="1" s="1"/>
  <c r="AX402" i="1" s="1"/>
  <c r="AZ401" i="1"/>
  <c r="AW401" i="1" s="1"/>
  <c r="AX401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1" i="1"/>
  <c r="S369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53" i="1"/>
  <c r="BN354" i="1"/>
  <c r="BN355" i="1"/>
  <c r="BN356" i="1"/>
  <c r="BN357" i="1"/>
  <c r="BN358" i="1"/>
  <c r="BN359" i="1"/>
  <c r="BN360" i="1"/>
  <c r="BN361" i="1"/>
  <c r="BN362" i="1"/>
  <c r="BN365" i="1"/>
  <c r="BN366" i="1"/>
  <c r="BN367" i="1"/>
  <c r="BN368" i="1"/>
  <c r="BN369" i="1"/>
  <c r="BN370" i="1"/>
  <c r="BN371" i="1"/>
  <c r="BN372" i="1"/>
  <c r="BN375" i="1"/>
  <c r="BN376" i="1"/>
  <c r="BN377" i="1"/>
  <c r="BN378" i="1"/>
  <c r="BN379" i="1"/>
  <c r="BN380" i="1"/>
  <c r="BN381" i="1"/>
  <c r="BN382" i="1"/>
  <c r="BN384" i="1"/>
  <c r="BN401" i="1"/>
  <c r="BN402" i="1"/>
  <c r="BN403" i="1"/>
  <c r="BN404" i="1"/>
  <c r="BN405" i="1"/>
  <c r="BN406" i="1"/>
  <c r="BN407" i="1"/>
  <c r="BN408" i="1"/>
  <c r="BN409" i="1"/>
  <c r="BN410" i="1"/>
  <c r="BN411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9" i="1"/>
  <c r="T205" i="1"/>
  <c r="T200" i="1"/>
  <c r="S372" i="1"/>
  <c r="S370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3" i="1"/>
  <c r="AT402" i="1"/>
  <c r="AT486" i="1"/>
  <c r="AT401" i="1"/>
  <c r="AT384" i="1"/>
  <c r="AT382" i="1"/>
  <c r="AT381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0" i="1"/>
  <c r="AY226" i="1"/>
  <c r="AV384" i="1"/>
  <c r="AV168" i="1"/>
  <c r="AY47" i="1"/>
  <c r="AV120" i="1"/>
  <c r="AY335" i="1"/>
  <c r="AY215" i="1"/>
  <c r="AY216" i="1"/>
  <c r="AY95" i="1"/>
  <c r="AY101" i="1"/>
  <c r="AY336" i="1"/>
  <c r="AY347" i="1"/>
  <c r="AV81" i="1"/>
  <c r="AY8" i="1"/>
  <c r="AY357" i="1"/>
  <c r="AV142" i="1"/>
  <c r="AV192" i="1"/>
  <c r="AY230" i="1"/>
  <c r="AY200" i="1"/>
  <c r="AY233" i="1"/>
  <c r="AY152" i="1"/>
  <c r="AV444" i="1"/>
  <c r="AY447" i="1"/>
  <c r="AY140" i="1"/>
  <c r="AY73" i="1"/>
  <c r="AV431" i="1"/>
  <c r="AY431" i="1"/>
  <c r="AY231" i="1"/>
  <c r="AY485" i="1"/>
  <c r="AY96" i="1"/>
  <c r="AY289" i="1"/>
  <c r="AY296" i="1"/>
  <c r="AY348" i="1"/>
  <c r="AY408" i="1"/>
  <c r="AY421" i="1"/>
  <c r="AY4" i="1"/>
  <c r="AY28" i="1"/>
  <c r="AY26" i="1"/>
  <c r="AV167" i="1"/>
  <c r="AY167" i="1"/>
  <c r="AY368" i="1"/>
  <c r="AY464" i="1"/>
  <c r="AY86" i="1"/>
  <c r="AY178" i="1"/>
  <c r="AY219" i="1"/>
  <c r="AY74" i="1"/>
  <c r="AY87" i="1"/>
  <c r="AV432" i="1"/>
  <c r="AY432" i="1"/>
  <c r="AV202" i="1"/>
  <c r="AY202" i="1"/>
  <c r="AY205" i="1"/>
  <c r="AY354" i="1"/>
  <c r="AY424" i="1"/>
  <c r="AY453" i="1"/>
  <c r="AY89" i="1"/>
  <c r="AV433" i="1"/>
  <c r="AY433" i="1"/>
  <c r="AY68" i="1"/>
  <c r="AV203" i="1"/>
  <c r="AY203" i="1"/>
  <c r="AY206" i="1"/>
  <c r="AY362" i="1"/>
  <c r="AV376" i="1"/>
  <c r="AY240" i="1"/>
  <c r="AY246" i="1"/>
  <c r="AY252" i="1"/>
  <c r="AY264" i="1"/>
  <c r="AY276" i="1"/>
  <c r="AY338" i="1"/>
  <c r="AY409" i="1"/>
  <c r="AY422" i="1"/>
  <c r="AV297" i="1"/>
  <c r="AV454" i="1"/>
  <c r="AY369" i="1"/>
  <c r="AY188" i="1"/>
  <c r="AV190" i="1"/>
  <c r="AY190" i="1"/>
  <c r="AY470" i="1"/>
  <c r="AY436" i="1"/>
  <c r="AV32" i="1"/>
  <c r="AV283" i="1"/>
  <c r="AY283" i="1"/>
  <c r="AV69" i="1"/>
  <c r="AY69" i="1"/>
  <c r="AY204" i="1"/>
  <c r="AY365" i="1"/>
  <c r="AY377" i="1"/>
  <c r="AV154" i="1"/>
  <c r="AV191" i="1"/>
  <c r="AY191" i="1"/>
  <c r="AY150" i="1"/>
  <c r="AV381" i="1"/>
  <c r="AY381" i="1"/>
  <c r="AV284" i="1"/>
  <c r="AY284" i="1"/>
  <c r="AY70" i="1"/>
  <c r="AV112" i="1"/>
  <c r="AY112" i="1"/>
  <c r="AY207" i="1"/>
  <c r="AY241" i="1"/>
  <c r="AY253" i="1"/>
  <c r="AY265" i="1"/>
  <c r="AY277" i="1"/>
  <c r="AY423" i="1"/>
  <c r="AY462" i="1"/>
  <c r="AY380" i="1"/>
  <c r="AV169" i="1"/>
  <c r="AY169" i="1"/>
  <c r="AY75" i="1"/>
  <c r="AY166" i="1"/>
  <c r="AV92" i="1"/>
  <c r="AY92" i="1"/>
  <c r="AV285" i="1"/>
  <c r="AY285" i="1"/>
  <c r="AY71" i="1"/>
  <c r="AY117" i="1"/>
  <c r="AY208" i="1"/>
  <c r="AV443" i="1"/>
  <c r="AY443" i="1"/>
  <c r="AY367" i="1"/>
  <c r="AY379" i="1"/>
  <c r="AY62" i="1"/>
  <c r="AY401" i="1"/>
  <c r="AY466" i="1"/>
  <c r="AY478" i="1"/>
  <c r="AY402" i="1"/>
  <c r="AV145" i="1"/>
  <c r="AY199" i="1"/>
  <c r="AY18" i="1"/>
  <c r="AY55" i="1"/>
  <c r="AV110" i="1"/>
  <c r="AY343" i="1"/>
  <c r="AV181" i="1"/>
  <c r="AY437" i="1"/>
  <c r="AY85" i="1"/>
  <c r="AY183" i="1"/>
  <c r="AY195" i="1"/>
  <c r="AY449" i="1"/>
  <c r="AY133" i="1"/>
  <c r="AY237" i="1"/>
  <c r="AY273" i="1"/>
  <c r="AY413" i="1"/>
  <c r="AY450" i="1"/>
  <c r="AY49" i="1"/>
  <c r="AY63" i="1"/>
  <c r="AV344" i="1"/>
  <c r="AY48" i="1"/>
  <c r="AY249" i="1"/>
  <c r="AV156" i="1"/>
  <c r="AY50" i="1"/>
  <c r="AY358" i="1"/>
  <c r="AY370" i="1"/>
  <c r="AY238" i="1"/>
  <c r="AY414" i="1"/>
  <c r="AY426" i="1"/>
  <c r="AY6" i="1"/>
  <c r="AY425" i="1"/>
  <c r="AY170" i="1"/>
  <c r="AV157" i="1"/>
  <c r="AY12" i="1"/>
  <c r="AY359" i="1"/>
  <c r="AV171" i="1"/>
  <c r="AV193" i="1"/>
  <c r="AY467" i="1"/>
  <c r="AY239" i="1"/>
  <c r="AY251" i="1"/>
  <c r="AY263" i="1"/>
  <c r="AY159" i="1"/>
  <c r="AV111" i="1"/>
  <c r="AY223" i="1"/>
  <c r="AY51" i="1"/>
  <c r="AY135" i="1"/>
  <c r="AY211" i="1"/>
  <c r="AV361" i="1"/>
  <c r="AY345" i="1"/>
  <c r="AY30" i="1"/>
  <c r="AY275" i="1"/>
  <c r="AV375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2" i="1"/>
  <c r="AY259" i="1"/>
  <c r="AY235" i="1"/>
  <c r="AY448" i="1"/>
  <c r="AY212" i="1"/>
  <c r="AY61" i="1"/>
  <c r="AY465" i="1"/>
  <c r="AY143" i="1"/>
  <c r="AY406" i="1"/>
  <c r="AY20" i="1"/>
  <c r="AY250" i="1"/>
  <c r="AY366" i="1"/>
  <c r="AV176" i="1"/>
  <c r="AV430" i="1"/>
  <c r="AV158" i="1"/>
  <c r="AY158" i="1"/>
  <c r="AV177" i="1"/>
  <c r="AV218" i="1"/>
  <c r="AY218" i="1"/>
  <c r="AY14" i="1"/>
  <c r="AY52" i="1"/>
  <c r="AV66" i="1"/>
  <c r="AV281" i="1"/>
  <c r="AY160" i="1"/>
  <c r="AY415" i="1"/>
  <c r="AV4" i="1"/>
  <c r="AV28" i="1"/>
  <c r="AY67" i="1"/>
  <c r="AY224" i="1"/>
  <c r="AY371" i="1"/>
  <c r="AY32" i="1"/>
  <c r="AY155" i="1"/>
  <c r="AY298" i="1"/>
  <c r="AY111" i="1"/>
  <c r="AY262" i="1"/>
  <c r="AY410" i="1"/>
  <c r="AY72" i="1"/>
  <c r="AY229" i="1"/>
  <c r="AY378" i="1"/>
  <c r="AY138" i="1"/>
  <c r="AY99" i="1"/>
  <c r="AY80" i="1"/>
  <c r="AY407" i="1"/>
  <c r="AY65" i="1"/>
  <c r="AV172" i="1"/>
  <c r="AY172" i="1"/>
  <c r="AV198" i="1"/>
  <c r="AV16" i="1"/>
  <c r="AY53" i="1"/>
  <c r="AY232" i="1"/>
  <c r="AY439" i="1"/>
  <c r="AY79" i="1"/>
  <c r="AY46" i="1"/>
  <c r="AY463" i="1"/>
  <c r="AY274" i="1"/>
  <c r="AY474" i="1"/>
  <c r="AY360" i="1"/>
  <c r="AY440" i="1"/>
  <c r="AY455" i="1"/>
  <c r="AY186" i="1"/>
  <c r="AY179" i="1"/>
  <c r="AY372" i="1"/>
  <c r="AY163" i="1"/>
  <c r="AV199" i="1"/>
  <c r="AY220" i="1"/>
  <c r="AV55" i="1"/>
  <c r="AY97" i="1"/>
  <c r="AY290" i="1"/>
  <c r="AY416" i="1"/>
  <c r="AY438" i="1"/>
  <c r="AY58" i="1"/>
  <c r="AY214" i="1"/>
  <c r="AY361" i="1"/>
  <c r="AY468" i="1"/>
  <c r="AY144" i="1"/>
  <c r="AY286" i="1"/>
  <c r="AY435" i="1"/>
  <c r="AY384" i="1"/>
  <c r="AY337" i="1"/>
  <c r="AY486" i="1"/>
  <c r="AY281" i="1"/>
  <c r="AY201" i="1"/>
  <c r="AY66" i="1"/>
  <c r="AY91" i="1"/>
  <c r="AY403" i="1"/>
  <c r="AY149" i="1"/>
  <c r="AY209" i="1"/>
  <c r="AY221" i="1"/>
  <c r="AY76" i="1"/>
  <c r="AV441" i="1"/>
  <c r="AV223" i="1"/>
  <c r="AY258" i="1"/>
  <c r="AY375" i="1"/>
  <c r="AY334" i="1"/>
  <c r="AY156" i="1"/>
  <c r="AY446" i="1"/>
  <c r="AY411" i="1"/>
  <c r="AY353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39" i="1"/>
  <c r="AY270" i="1"/>
  <c r="AY419" i="1"/>
  <c r="AY81" i="1"/>
  <c r="AY236" i="1"/>
  <c r="AY346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69" i="1"/>
  <c r="AY145" i="1"/>
  <c r="AY441" i="1"/>
  <c r="AY271" i="1"/>
  <c r="AY247" i="1"/>
  <c r="AY16" i="1"/>
  <c r="AY198" i="1"/>
  <c r="AY100" i="1"/>
  <c r="AY257" i="1"/>
  <c r="AY136" i="1"/>
  <c r="AY184" i="1"/>
  <c r="AV341" i="1"/>
  <c r="AY40" i="1"/>
  <c r="AY88" i="1"/>
  <c r="AY242" i="1"/>
  <c r="AY254" i="1"/>
  <c r="AY266" i="1"/>
  <c r="AY278" i="1"/>
  <c r="AY442" i="1"/>
  <c r="AY260" i="1"/>
  <c r="AY376" i="1"/>
  <c r="AY34" i="1"/>
  <c r="AY192" i="1"/>
  <c r="AY157" i="1"/>
  <c r="AY404" i="1"/>
  <c r="AY417" i="1"/>
  <c r="AY116" i="1"/>
  <c r="AY293" i="1"/>
  <c r="AY45" i="1"/>
  <c r="AY118" i="1"/>
  <c r="AV146" i="1"/>
  <c r="AY146" i="1"/>
  <c r="AY196" i="1"/>
  <c r="AY137" i="1"/>
  <c r="AY185" i="1"/>
  <c r="AV342" i="1"/>
  <c r="AY355" i="1"/>
  <c r="AY454" i="1"/>
  <c r="AY119" i="1"/>
  <c r="AY272" i="1"/>
  <c r="AY82" i="1"/>
  <c r="AY171" i="1"/>
  <c r="AY452" i="1"/>
  <c r="AY344" i="1"/>
  <c r="AY39" i="1"/>
  <c r="AY256" i="1"/>
  <c r="AY139" i="1"/>
  <c r="AY342" i="1"/>
  <c r="AY217" i="1"/>
  <c r="AY197" i="1"/>
  <c r="AY427" i="1"/>
  <c r="AY113" i="1"/>
  <c r="AY356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8" i="1"/>
  <c r="AY114" i="1"/>
  <c r="AV357" i="1"/>
  <c r="AV369" i="1"/>
  <c r="AY154" i="1"/>
  <c r="AY297" i="1"/>
  <c r="AY444" i="1"/>
  <c r="AY110" i="1"/>
  <c r="AY261" i="1"/>
  <c r="AY228" i="1"/>
  <c r="AY193" i="1"/>
  <c r="AY189" i="1"/>
  <c r="AY420" i="1"/>
  <c r="AY292" i="1"/>
  <c r="AY165" i="1"/>
  <c r="AY418" i="1"/>
  <c r="AY175" i="1"/>
  <c r="AV453" i="1"/>
  <c r="AV54" i="1"/>
  <c r="AV429" i="1"/>
  <c r="AY64" i="1"/>
  <c r="AV115" i="1"/>
  <c r="AV358" i="1"/>
  <c r="AV370" i="1"/>
  <c r="AY451" i="1"/>
  <c r="AY168" i="1"/>
  <c r="AY120" i="1"/>
  <c r="AY430" i="1"/>
  <c r="AY405" i="1"/>
  <c r="AY341" i="1"/>
  <c r="AY77" i="1"/>
  <c r="AY429" i="1"/>
  <c r="AY177" i="1"/>
  <c r="AV65" i="1"/>
  <c r="AV159" i="1"/>
  <c r="AV219" i="1"/>
  <c r="AV53" i="1"/>
  <c r="AV439" i="1"/>
  <c r="AV220" i="1"/>
  <c r="AV76" i="1"/>
  <c r="AV437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3" i="1"/>
  <c r="AV204" i="1"/>
  <c r="AV217" i="1"/>
  <c r="AV12" i="1"/>
  <c r="AV205" i="1"/>
  <c r="AV75" i="1"/>
  <c r="AV33" i="1"/>
  <c r="AV22" i="1"/>
  <c r="AV207" i="1"/>
  <c r="AV366" i="1"/>
  <c r="AV378" i="1"/>
  <c r="AV216" i="1"/>
  <c r="AV64" i="1"/>
  <c r="AV34" i="1"/>
  <c r="AV59" i="1"/>
  <c r="AV208" i="1"/>
  <c r="AV353" i="1"/>
  <c r="AV367" i="1"/>
  <c r="AV379" i="1"/>
  <c r="AV233" i="1"/>
  <c r="AV74" i="1"/>
  <c r="AV286" i="1"/>
  <c r="AV60" i="1"/>
  <c r="AV354" i="1"/>
  <c r="AV368" i="1"/>
  <c r="AV380" i="1"/>
  <c r="AV10" i="1"/>
  <c r="AV86" i="1"/>
  <c r="AV231" i="1"/>
  <c r="AV401" i="1"/>
  <c r="AV87" i="1"/>
  <c r="AV402" i="1"/>
  <c r="AV282" i="1"/>
  <c r="AV449" i="1"/>
  <c r="AV36" i="1"/>
  <c r="AV340" i="1"/>
  <c r="AV435" i="1"/>
  <c r="AV355" i="1"/>
  <c r="AV48" i="1"/>
  <c r="AV62" i="1"/>
  <c r="AV343" i="1"/>
  <c r="AV113" i="1"/>
  <c r="AV356" i="1"/>
  <c r="AV486" i="1"/>
  <c r="AV230" i="1"/>
  <c r="AV14" i="1"/>
  <c r="AV485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2" i="1"/>
  <c r="AV45" i="1"/>
  <c r="AV71" i="1"/>
  <c r="AV117" i="1"/>
  <c r="AV428" i="1"/>
  <c r="AV46" i="1"/>
  <c r="AV119" i="1"/>
  <c r="AV427" i="1"/>
  <c r="AV196" i="1"/>
  <c r="AV47" i="1"/>
  <c r="AV226" i="1"/>
  <c r="AV83" i="1"/>
  <c r="AV197" i="1"/>
  <c r="AV227" i="1"/>
  <c r="AV144" i="1"/>
  <c r="AV440" i="1"/>
  <c r="AV362" i="1"/>
  <c r="AV436" i="1"/>
  <c r="AV365" i="1"/>
  <c r="AV141" i="1"/>
  <c r="AV175" i="1"/>
  <c r="AV188" i="1"/>
  <c r="AV229" i="1"/>
  <c r="AV72" i="1"/>
  <c r="AV200" i="1"/>
  <c r="AV359" i="1"/>
  <c r="AV371" i="1"/>
  <c r="AV73" i="1"/>
  <c r="AV201" i="1"/>
  <c r="AV360" i="1"/>
  <c r="AV372" i="1"/>
  <c r="AV178" i="1"/>
  <c r="AV67" i="1"/>
  <c r="AV189" i="1"/>
  <c r="AV163" i="1"/>
  <c r="AV179" i="1"/>
  <c r="AV89" i="1"/>
  <c r="AV18" i="1"/>
  <c r="AV68" i="1"/>
  <c r="AV206" i="1"/>
  <c r="AV90" i="1"/>
  <c r="AV20" i="1"/>
  <c r="AV377" i="1"/>
  <c r="AV77" i="1"/>
  <c r="AV91" i="1"/>
  <c r="AV442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8" i="1"/>
  <c r="AV221" i="1"/>
  <c r="AV174" i="1"/>
  <c r="AV170" i="1"/>
  <c r="AY445" i="1" l="1"/>
  <c r="AV445" i="1"/>
  <c r="AY180" i="1"/>
  <c r="AV180" i="1"/>
  <c r="AY187" i="1"/>
  <c r="AV187" i="1"/>
</calcChain>
</file>

<file path=xl/sharedStrings.xml><?xml version="1.0" encoding="utf-8"?>
<sst xmlns="http://schemas.openxmlformats.org/spreadsheetml/2006/main" count="7801" uniqueCount="1561">
  <si>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</si>
  <si>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</si>
  <si>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</si>
  <si>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</si>
  <si>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</si>
  <si>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</si>
  <si>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</si>
  <si>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</si>
  <si>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</si>
  <si>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</si>
  <si>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</si>
  <si>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</si>
  <si>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</si>
  <si>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</si>
  <si>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</si>
  <si>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</si>
  <si>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</si>
  <si>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</si>
  <si>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</si>
  <si>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</si>
  <si>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</si>
  <si>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</si>
  <si>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</si>
  <si>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</si>
  <si>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</si>
  <si>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</si>
  <si>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</si>
  <si>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</si>
  <si>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</si>
  <si>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</si>
  <si>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</si>
  <si>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</si>
  <si>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</si>
  <si>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</si>
  <si>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</si>
  <si>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</si>
  <si>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</si>
  <si>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</si>
  <si>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</si>
  <si>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</si>
  <si>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</si>
  <si>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</si>
  <si>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</si>
  <si>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</si>
  <si>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</si>
  <si>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</si>
  <si>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</si>
  <si>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</si>
  <si>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</si>
  <si>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</si>
  <si>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</si>
  <si>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</si>
  <si>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</si>
  <si>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</si>
  <si>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</si>
  <si>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</si>
  <si>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</si>
  <si>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</si>
  <si>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</si>
  <si>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</si>
  <si>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</si>
  <si>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</si>
  <si>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</si>
  <si>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</si>
  <si>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</si>
  <si>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</si>
  <si>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</si>
  <si>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</si>
  <si>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</si>
  <si>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</si>
  <si>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</si>
  <si>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</si>
  <si>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</si>
  <si>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</si>
  <si>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</si>
  <si>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</si>
  <si>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</si>
  <si>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</si>
  <si>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</si>
  <si>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</si>
  <si>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</si>
  <si>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</si>
  <si>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</si>
  <si>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</si>
  <si>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</si>
  <si>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</si>
  <si>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</si>
  <si>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</si>
  <si>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</si>
  <si>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</si>
  <si>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</si>
  <si>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</si>
  <si>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</si>
  <si>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</si>
  <si>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</si>
  <si>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</si>
  <si>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</si>
  <si>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</si>
  <si>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</si>
  <si>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</si>
  <si>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</si>
  <si>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</si>
  <si>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</si>
  <si>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</si>
  <si>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</si>
  <si>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</si>
  <si>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</si>
  <si>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</si>
  <si>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</si>
  <si>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</si>
  <si>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</si>
  <si>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</si>
  <si>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</si>
  <si>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</si>
  <si>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</si>
  <si>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</si>
  <si>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</si>
  <si>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</si>
  <si>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</si>
  <si>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</si>
  <si>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</si>
  <si>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</si>
  <si>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</si>
  <si>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</si>
  <si>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</si>
  <si>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</si>
  <si>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</si>
  <si>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</si>
  <si>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</si>
  <si>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</si>
  <si>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</si>
  <si>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</si>
  <si>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</si>
  <si>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</si>
  <si>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</si>
  <si>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</si>
  <si>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</si>
  <si>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</si>
  <si>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</si>
  <si>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</si>
  <si>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</si>
  <si>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</si>
  <si>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</si>
  <si>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</si>
  <si>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</si>
  <si>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</si>
  <si>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</si>
  <si>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</si>
  <si>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</si>
  <si>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</si>
  <si>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</si>
  <si>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</si>
  <si>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</si>
  <si>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</si>
  <si>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</si>
  <si>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</si>
  <si>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</si>
  <si>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</si>
  <si>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</si>
  <si>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</si>
  <si>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</si>
  <si>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</si>
  <si>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</si>
  <si>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</si>
  <si>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</si>
  <si>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</si>
  <si>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</si>
  <si>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</si>
  <si>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</si>
  <si>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</si>
  <si>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</si>
  <si>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</si>
  <si>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</si>
  <si>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</si>
  <si>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</si>
  <si>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</si>
  <si>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</si>
  <si>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</si>
  <si>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</si>
  <si>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</si>
  <si>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</si>
  <si>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</si>
  <si>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</si>
  <si>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</si>
  <si>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</si>
  <si>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</si>
  <si>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</si>
  <si>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</si>
  <si>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</si>
  <si>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</si>
  <si>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</si>
  <si>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</si>
  <si>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</si>
  <si>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</si>
  <si>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</si>
  <si>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</si>
  <si>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</si>
  <si>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</si>
  <si>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</si>
  <si>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</si>
  <si>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</si>
  <si>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</si>
  <si>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</si>
  <si>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</si>
  <si>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</si>
  <si>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</si>
  <si>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</si>
  <si>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</si>
  <si>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</si>
  <si>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</si>
  <si>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</si>
  <si>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</si>
  <si>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</si>
  <si>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</si>
  <si>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</si>
  <si>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</si>
  <si>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</si>
  <si>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</si>
  <si>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</si>
  <si>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</si>
  <si>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</si>
  <si>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</si>
  <si>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</si>
  <si>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</si>
  <si>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</si>
  <si>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</si>
  <si>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</si>
  <si>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</si>
  <si>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</si>
  <si>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</si>
  <si>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</si>
  <si>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</si>
  <si>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</si>
  <si>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</si>
  <si>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</si>
  <si>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</si>
  <si>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</si>
  <si>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</si>
  <si>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</si>
  <si>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</si>
  <si>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</si>
  <si>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</si>
  <si>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</si>
  <si>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</si>
  <si>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</si>
  <si>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</si>
  <si>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</si>
  <si>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</si>
  <si>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</si>
  <si>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</si>
  <si>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</si>
  <si>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</si>
  <si>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</si>
  <si>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</si>
  <si>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</si>
  <si>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</si>
  <si>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</si>
  <si>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</si>
  <si>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</si>
  <si>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</si>
  <si>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</si>
  <si>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</si>
  <si>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</si>
  <si>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</si>
  <si>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</si>
  <si>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</si>
  <si>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</si>
  <si>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</si>
  <si>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</si>
  <si>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</si>
  <si>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</si>
  <si>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</si>
  <si>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</si>
  <si>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</si>
  <si>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</si>
  <si>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</si>
  <si>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</si>
  <si>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</si>
  <si>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</si>
  <si>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</si>
  <si>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</si>
  <si>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</si>
  <si>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</si>
  <si>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</si>
  <si>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</si>
  <si>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</si>
  <si>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</si>
  <si>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</si>
  <si>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</si>
  <si>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</si>
  <si>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</si>
  <si>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</si>
  <si>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</si>
  <si>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</si>
  <si>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</si>
  <si>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</si>
  <si>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</si>
  <si>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</si>
  <si>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</si>
  <si>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</si>
  <si>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</si>
  <si>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</si>
  <si>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</si>
  <si>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</si>
  <si>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</si>
  <si>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</si>
  <si>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</si>
  <si>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</si>
  <si>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</si>
  <si>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</si>
  <si>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</si>
  <si>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</si>
  <si>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</si>
  <si>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</si>
  <si>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</si>
  <si>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</si>
  <si>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</si>
  <si>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</si>
  <si>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</si>
  <si>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</si>
  <si>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</si>
  <si>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</si>
  <si>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</si>
  <si>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</si>
  <si>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</si>
  <si>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</si>
  <si>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</si>
  <si>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</si>
  <si>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</si>
  <si>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</si>
  <si>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</si>
  <si>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</si>
  <si>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</si>
  <si>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</si>
  <si>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</si>
  <si>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</si>
  <si>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</si>
  <si>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</si>
  <si>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</si>
  <si>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</si>
  <si>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</si>
  <si>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</si>
  <si>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</si>
  <si>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</si>
  <si>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</si>
  <si>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</si>
  <si>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</si>
  <si>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</si>
  <si>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</si>
  <si>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</si>
  <si>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</si>
  <si>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</si>
  <si>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</si>
  <si>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</si>
  <si>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</si>
  <si>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</si>
  <si>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</si>
  <si>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</si>
  <si>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</si>
  <si>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</si>
  <si>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</si>
  <si>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</si>
  <si>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</si>
  <si>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</si>
  <si>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</si>
  <si>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</si>
  <si>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</si>
  <si>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</si>
  <si>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</si>
  <si>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</si>
  <si>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</si>
  <si>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</si>
  <si>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</si>
  <si>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</si>
  <si>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</si>
  <si>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</si>
  <si>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</si>
  <si>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</si>
  <si>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</si>
  <si>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</si>
  <si>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</si>
  <si>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</si>
  <si>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</si>
  <si>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</si>
  <si>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</si>
  <si>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</si>
  <si>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</si>
  <si>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</si>
  <si>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</si>
  <si>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</si>
  <si>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</si>
  <si>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</si>
  <si>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</si>
  <si>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</si>
  <si>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</si>
  <si>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</si>
  <si>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</si>
  <si>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</si>
  <si>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</si>
  <si>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</si>
  <si>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</si>
  <si>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</si>
  <si>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</si>
  <si>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</si>
  <si>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</si>
  <si>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</si>
  <si>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</si>
  <si>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</si>
  <si>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</si>
  <si>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</si>
  <si>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</si>
  <si>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</si>
  <si>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</si>
  <si>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</si>
  <si>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</si>
  <si>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</si>
  <si>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</si>
  <si>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</si>
  <si>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</si>
  <si>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</si>
  <si>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</si>
  <si>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</si>
  <si>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</si>
  <si>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</si>
  <si>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</si>
  <si>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</si>
  <si>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</si>
  <si>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</si>
  <si>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</si>
  <si>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</si>
  <si>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</si>
  <si>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</si>
  <si>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</si>
  <si>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</si>
  <si>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</si>
  <si>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</si>
  <si>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</si>
  <si>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</si>
  <si>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</si>
  <si>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</si>
  <si>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</si>
  <si>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</si>
  <si>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</si>
  <si>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</si>
  <si>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</si>
  <si>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</si>
  <si>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</si>
  <si>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</si>
  <si>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</si>
  <si>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</si>
  <si>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</si>
  <si>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</si>
  <si>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</si>
  <si>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</si>
  <si>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</si>
  <si>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</si>
  <si>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</si>
  <si>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</si>
  <si>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</si>
  <si>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</si>
  <si>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</si>
  <si>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</si>
  <si>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</si>
  <si>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</si>
  <si>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</si>
  <si>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</si>
  <si>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</si>
  <si>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</si>
  <si>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</si>
  <si>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</si>
  <si>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</si>
  <si>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</si>
  <si>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</si>
  <si>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</si>
  <si>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</si>
  <si>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</si>
  <si>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</si>
  <si>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</si>
  <si>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</si>
  <si>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</si>
  <si>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</si>
  <si>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</si>
  <si>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</si>
  <si>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</si>
  <si>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</si>
  <si>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</si>
  <si>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</si>
  <si>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</si>
  <si>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</si>
  <si>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</si>
  <si>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</si>
  <si>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</si>
  <si>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</si>
  <si>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</si>
  <si>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</si>
  <si>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</si>
  <si>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</si>
  <si>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</si>
  <si>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</si>
  <si>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</si>
  <si>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</si>
  <si>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</si>
  <si>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</si>
  <si>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</si>
  <si>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</si>
  <si>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</si>
  <si>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</si>
  <si>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</si>
  <si>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</si>
  <si>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</si>
  <si>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</si>
  <si>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</si>
  <si>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</si>
  <si>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</si>
  <si>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</si>
  <si>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</si>
  <si>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</si>
  <si>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</si>
  <si>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</si>
  <si>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</si>
  <si>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</si>
  <si>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</si>
  <si>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</si>
  <si>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</si>
  <si>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</si>
  <si>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</si>
  <si>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</si>
  <si>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</si>
  <si>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</si>
  <si>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</si>
  <si>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</si>
  <si>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</si>
  <si>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</si>
  <si>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</si>
  <si>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</si>
  <si>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</si>
  <si>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</si>
  <si>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</si>
  <si>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</si>
  <si>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</si>
  <si>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</si>
  <si>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</si>
  <si>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</si>
  <si>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</si>
  <si>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</si>
  <si>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</si>
  <si>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</si>
  <si>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</si>
  <si>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</si>
  <si>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</si>
  <si>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</si>
  <si>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</si>
  <si>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</si>
  <si>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</si>
  <si>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</si>
  <si>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</si>
  <si>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</si>
  <si>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</si>
  <si>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</si>
  <si>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</si>
  <si>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</si>
  <si>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</si>
  <si>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</si>
  <si>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</si>
  <si>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</si>
  <si>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</si>
  <si>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</si>
  <si>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</si>
  <si>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</si>
  <si>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</si>
  <si>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</si>
  <si>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</si>
  <si>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</si>
  <si>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</si>
  <si>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</si>
  <si>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</si>
  <si>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</si>
  <si>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</si>
  <si>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</si>
  <si>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</si>
  <si>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</si>
  <si>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</si>
  <si>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</si>
  <si>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</si>
  <si>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</si>
  <si>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</si>
  <si>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</si>
  <si>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</si>
  <si>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</si>
  <si>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</si>
  <si>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</si>
  <si>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</si>
  <si>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</si>
  <si>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</si>
  <si>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</si>
  <si>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</si>
  <si>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</si>
  <si>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</si>
  <si>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</si>
  <si>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</si>
  <si>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</si>
  <si>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</si>
  <si>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</si>
  <si>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</si>
  <si>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</si>
  <si>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</si>
  <si>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</si>
  <si>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</si>
  <si>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</si>
  <si>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</si>
  <si>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</si>
  <si>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</si>
  <si>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</si>
  <si>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</si>
  <si>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</si>
  <si>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</si>
  <si>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</si>
  <si>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</si>
  <si>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</si>
  <si>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</si>
  <si>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</si>
  <si>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</si>
  <si>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</si>
  <si>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</si>
  <si>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</si>
  <si>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</si>
  <si>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</si>
  <si>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</si>
  <si>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</si>
  <si>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</si>
  <si>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</si>
  <si>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</si>
  <si>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</si>
  <si>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</si>
  <si>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</si>
  <si>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</si>
  <si>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</si>
  <si>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</si>
  <si>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</si>
  <si>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</si>
  <si>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</si>
  <si>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</si>
  <si>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</si>
  <si>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</si>
  <si>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</si>
  <si>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</si>
  <si>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</si>
  <si>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</si>
  <si>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</si>
  <si>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</si>
  <si>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</si>
  <si>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</si>
  <si>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</si>
  <si>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</si>
  <si>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</si>
  <si>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</si>
  <si>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</si>
  <si>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</si>
  <si>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</si>
  <si>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</si>
  <si>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</si>
  <si>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</si>
  <si>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</si>
  <si>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</si>
  <si>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</si>
  <si>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</si>
  <si>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</si>
  <si>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</si>
  <si>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</si>
  <si>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</si>
  <si>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</si>
  <si>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</si>
  <si>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</si>
  <si>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</si>
  <si>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</si>
  <si>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</si>
  <si>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</si>
  <si>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</si>
  <si>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</si>
  <si>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</si>
  <si>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</si>
  <si>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</si>
  <si>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</si>
  <si>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</si>
  <si>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</si>
  <si>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</si>
  <si>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</si>
  <si>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</si>
  <si>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</si>
  <si>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</si>
  <si>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</si>
  <si>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</si>
  <si>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</si>
  <si>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</si>
  <si>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</si>
  <si>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</si>
  <si>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</si>
  <si>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</si>
  <si>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</si>
  <si>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</si>
  <si>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</si>
  <si>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</si>
  <si>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</si>
  <si>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</si>
  <si>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</si>
  <si>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</si>
  <si>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</si>
  <si>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</si>
  <si>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</si>
  <si>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</si>
  <si>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</si>
  <si>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</si>
  <si>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</si>
  <si>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</si>
  <si>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</si>
  <si>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</si>
  <si>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</si>
  <si>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</si>
  <si>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</si>
  <si>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</si>
  <si>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</si>
  <si>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</si>
  <si>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</si>
  <si>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</si>
  <si>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</si>
  <si>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</si>
  <si>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</si>
  <si>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</si>
  <si>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</si>
  <si>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</si>
  <si>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</si>
  <si>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</si>
  <si>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</si>
  <si>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</si>
  <si>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</si>
  <si>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</si>
  <si>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</si>
  <si>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</si>
  <si>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</si>
  <si>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</si>
  <si>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</si>
  <si>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</si>
  <si>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</si>
  <si>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</si>
  <si>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</si>
  <si>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</si>
  <si>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</si>
  <si>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</si>
  <si>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</si>
  <si>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</si>
  <si>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</si>
  <si>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</si>
  <si>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</si>
  <si>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</si>
  <si>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</si>
  <si>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</si>
  <si>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</si>
  <si>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</si>
  <si>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</si>
  <si>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</si>
  <si>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</si>
  <si>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</si>
  <si>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</si>
  <si>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</si>
  <si>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</si>
  <si>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</si>
  <si>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</si>
  <si>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</si>
  <si>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</si>
  <si>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</si>
  <si>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</si>
  <si>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</si>
  <si>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</si>
  <si>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</si>
  <si>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</si>
  <si>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</si>
  <si>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</si>
  <si>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</si>
  <si>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</si>
  <si>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</si>
  <si>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</si>
  <si>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</si>
  <si>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</si>
  <si>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</si>
  <si>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</si>
  <si>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</si>
  <si>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</si>
  <si>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</si>
  <si>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</si>
  <si>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</si>
  <si>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</si>
  <si>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</si>
  <si>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</si>
  <si>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</si>
  <si>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</si>
  <si>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</si>
  <si>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</si>
  <si>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</si>
  <si>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</si>
  <si>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</si>
  <si>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</si>
  <si>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</si>
  <si>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</si>
  <si>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</si>
  <si>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</si>
  <si>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</si>
  <si>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</si>
  <si>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</si>
  <si>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</si>
  <si>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</si>
  <si>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</si>
  <si>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</si>
  <si>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</si>
  <si>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</si>
  <si>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</si>
  <si>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</si>
  <si>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</si>
  <si>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</si>
  <si>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</si>
  <si>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</si>
  <si>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</si>
  <si>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</si>
  <si>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</si>
  <si>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</si>
  <si>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</si>
  <si>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</si>
  <si>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</si>
  <si>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</si>
  <si>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</si>
  <si>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</si>
  <si>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</si>
  <si>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</si>
  <si>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</si>
  <si>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</si>
  <si>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</si>
  <si>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</si>
  <si>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</si>
  <si>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</si>
  <si>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</si>
  <si>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</si>
  <si>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</si>
  <si>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</si>
  <si>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</si>
  <si>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</si>
  <si>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</si>
  <si>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</si>
  <si>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</si>
  <si>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</si>
  <si>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</si>
  <si>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</si>
  <si>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</si>
  <si>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</si>
  <si>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</si>
  <si>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</si>
  <si>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</si>
  <si>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</si>
  <si>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</si>
  <si>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</si>
  <si>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</si>
  <si>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</si>
  <si>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</si>
  <si>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</si>
  <si>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</si>
  <si>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</si>
  <si>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</si>
  <si>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</si>
  <si>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</si>
  <si>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</si>
  <si>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</si>
  <si>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</si>
  <si>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</si>
  <si>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</si>
  <si>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</si>
  <si>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</si>
  <si>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</si>
  <si>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</si>
  <si>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</si>
  <si>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</si>
  <si>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</si>
  <si>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</si>
  <si>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</si>
  <si>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</si>
  <si>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</si>
  <si>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</si>
  <si>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</si>
  <si>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</si>
  <si>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</si>
  <si>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</si>
  <si>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</si>
  <si>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</si>
  <si>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</si>
  <si>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</si>
  <si>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</si>
  <si>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</si>
  <si>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</si>
  <si>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</si>
  <si>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</si>
  <si>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</si>
  <si>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</si>
  <si>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</si>
  <si>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</si>
  <si>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</si>
  <si>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</si>
  <si>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</si>
  <si>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</si>
  <si>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</si>
  <si>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</si>
  <si>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</si>
  <si>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</si>
  <si>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</si>
  <si>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</si>
  <si>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</si>
  <si>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</si>
  <si>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</si>
  <si>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</si>
  <si>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</si>
  <si>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</si>
  <si>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</si>
  <si>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</si>
  <si>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</si>
  <si>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</si>
  <si>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</si>
  <si>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</si>
  <si>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</si>
  <si>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</si>
  <si>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</si>
  <si>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</si>
  <si>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</si>
  <si>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</si>
  <si>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</si>
  <si>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</si>
  <si>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</si>
  <si>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</si>
  <si>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</si>
  <si>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</si>
  <si>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</si>
  <si>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</si>
  <si>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</si>
  <si>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</si>
  <si>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</si>
  <si>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</si>
  <si>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</si>
  <si>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</si>
  <si>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</si>
  <si>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</si>
  <si>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</si>
  <si>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</si>
  <si>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</si>
  <si>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</si>
  <si>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</si>
  <si>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</si>
  <si>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</si>
  <si>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</si>
  <si>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</si>
  <si>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</si>
  <si>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</si>
  <si>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</si>
  <si>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</si>
  <si>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</si>
  <si>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</si>
  <si>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</si>
  <si>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</si>
  <si>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</si>
  <si>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</si>
  <si>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</si>
  <si>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</si>
  <si>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</si>
  <si>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</si>
  <si>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</si>
  <si>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</si>
  <si>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</si>
  <si>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</si>
  <si>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</si>
  <si>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</si>
  <si>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</si>
  <si>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</si>
  <si>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</si>
  <si>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</si>
  <si>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</si>
  <si>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</si>
  <si>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</si>
  <si>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</si>
  <si>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</si>
  <si>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</si>
  <si>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</si>
  <si>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</si>
  <si>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</si>
  <si>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</si>
  <si>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</si>
  <si>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</si>
  <si>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</si>
  <si>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</si>
  <si>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</si>
  <si>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</si>
  <si>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</si>
  <si>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</si>
  <si>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</si>
  <si>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</si>
  <si>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</si>
  <si>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</si>
  <si>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</si>
  <si>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</si>
  <si>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</si>
  <si>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</si>
  <si>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</si>
  <si>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</si>
  <si>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</si>
  <si>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</si>
  <si>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</si>
  <si>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</si>
  <si>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</si>
  <si>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</si>
  <si>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</si>
  <si>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</si>
  <si>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</si>
  <si>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</si>
  <si>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</si>
  <si>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</si>
  <si>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</si>
  <si>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</si>
  <si>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</si>
  <si>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</si>
  <si>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</si>
  <si>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</si>
  <si>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</si>
  <si>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</si>
  <si>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</si>
  <si>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</si>
  <si>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</si>
  <si>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</si>
  <si>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</si>
  <si>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</si>
  <si>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</si>
  <si>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</si>
  <si>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</si>
  <si>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</si>
  <si>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</si>
  <si>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</si>
  <si>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</si>
  <si>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</si>
  <si>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</si>
  <si>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</si>
  <si>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</si>
  <si>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</si>
  <si>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</si>
  <si>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</si>
  <si>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</si>
  <si>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</si>
  <si>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</si>
  <si>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</si>
  <si>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</si>
  <si>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</si>
  <si>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</si>
  <si>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</si>
  <si>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</si>
  <si>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</si>
  <si>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</si>
  <si>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</si>
  <si>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</si>
  <si>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</si>
  <si>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</si>
  <si>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</si>
  <si>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</si>
  <si>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</si>
  <si>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</si>
  <si>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</si>
  <si>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</si>
  <si>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</si>
  <si>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</si>
  <si>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</si>
  <si>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</si>
  <si>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</si>
  <si>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</si>
  <si>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</si>
  <si>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</si>
  <si>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</si>
  <si>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</si>
  <si>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</si>
  <si>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</si>
  <si>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</si>
  <si>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</si>
  <si>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</si>
  <si>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</si>
  <si>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</si>
  <si>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</si>
  <si>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</si>
  <si>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</si>
  <si>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</si>
  <si>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</si>
  <si>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</si>
  <si>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</si>
  <si>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</si>
  <si>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</si>
  <si>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</si>
  <si>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</si>
  <si>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</si>
  <si>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</si>
  <si>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</si>
  <si>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</si>
  <si>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</si>
  <si>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</si>
  <si>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</si>
  <si>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</si>
  <si>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</si>
  <si>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</si>
  <si>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</si>
  <si>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</si>
  <si>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</si>
  <si>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</si>
  <si>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</si>
  <si>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</si>
  <si>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</si>
  <si>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</si>
  <si>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</si>
  <si>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</si>
  <si>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</si>
  <si>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</si>
  <si>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</si>
  <si>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</si>
  <si>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</si>
  <si>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</si>
  <si>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</si>
  <si>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</si>
  <si>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</si>
  <si>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</si>
  <si>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</si>
  <si>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</si>
  <si>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</si>
  <si>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</si>
  <si>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</si>
  <si>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</si>
  <si>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</si>
  <si>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</si>
  <si>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</si>
  <si>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</si>
  <si>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</si>
  <si>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</si>
  <si>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</si>
  <si>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</si>
  <si>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</si>
  <si>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</si>
  <si>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</si>
  <si>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</si>
  <si>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</si>
  <si>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</si>
  <si>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</si>
  <si>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</si>
  <si>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</si>
  <si>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</si>
  <si>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</si>
  <si>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</si>
  <si>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</si>
  <si>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</si>
  <si>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</si>
  <si>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</si>
  <si>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</si>
  <si>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</si>
  <si>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</si>
  <si>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</si>
  <si>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</si>
  <si>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</si>
  <si>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</si>
  <si>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</si>
  <si>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</si>
  <si>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</si>
  <si>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</si>
  <si>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</si>
  <si>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</si>
  <si>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</si>
  <si>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</si>
  <si>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</si>
  <si>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</si>
  <si>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</si>
  <si>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</si>
  <si>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</si>
  <si>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</si>
  <si>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</si>
  <si>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</si>
  <si>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</si>
  <si>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</si>
  <si>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</si>
  <si>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</si>
  <si>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</si>
  <si>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</si>
  <si>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</si>
  <si>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</si>
  <si>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</si>
  <si>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</si>
  <si>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</si>
  <si>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</si>
  <si>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</si>
  <si>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</si>
  <si>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</si>
  <si>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Supervisor</t>
  </si>
  <si>
    <t>Supervisor Script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</si>
  <si>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</si>
  <si>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</si>
  <si>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</si>
  <si>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</si>
  <si>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</si>
  <si>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</si>
  <si>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</si>
  <si>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</si>
  <si>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</si>
  <si>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</si>
  <si>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</si>
  <si>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</si>
  <si>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</si>
  <si>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</si>
  <si>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</si>
  <si>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</si>
  <si>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</si>
  <si>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</si>
  <si>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</si>
  <si>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</si>
  <si>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</si>
  <si>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</si>
  <si>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</si>
  <si>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</si>
  <si>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</si>
  <si>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</si>
  <si>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</si>
  <si>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</si>
  <si>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</si>
  <si>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</si>
  <si>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</si>
  <si>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</si>
  <si>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</si>
  <si>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</si>
  <si>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</si>
  <si>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</si>
  <si>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</si>
  <si>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</si>
  <si>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</si>
  <si>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</si>
  <si>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</si>
  <si>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</si>
  <si>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</si>
  <si>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</si>
  <si>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</si>
  <si>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</si>
  <si>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</si>
  <si>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</si>
  <si>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</si>
  <si>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</si>
  <si>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</si>
  <si>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</si>
  <si>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</si>
  <si>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</si>
  <si>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</si>
  <si>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</si>
  <si>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</si>
  <si>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</si>
  <si>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</si>
  <si>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</si>
  <si>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</si>
  <si>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</si>
  <si>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</si>
  <si>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</si>
  <si>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</si>
  <si>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</si>
  <si>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</si>
  <si>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</si>
  <si>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</si>
  <si>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</si>
  <si>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</si>
  <si>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</si>
  <si>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</si>
  <si>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</si>
  <si>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</si>
  <si>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</si>
  <si>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</si>
  <si>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</si>
  <si>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</si>
  <si>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</si>
  <si>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</si>
  <si>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</si>
  <si>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</si>
  <si>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</si>
  <si>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</si>
  <si>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</si>
  <si>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</si>
  <si>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</si>
  <si>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</si>
  <si>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</si>
  <si>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</si>
  <si>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</si>
  <si>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</si>
  <si>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</si>
  <si>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</si>
  <si>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</si>
  <si>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</si>
  <si>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</si>
  <si>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</si>
  <si>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</si>
  <si>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</si>
  <si>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</si>
  <si>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</si>
  <si>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</si>
  <si>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</si>
  <si>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</si>
  <si>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</si>
  <si>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</si>
  <si>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</si>
  <si>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</si>
  <si>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</si>
  <si>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</si>
  <si>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</si>
  <si>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</si>
  <si>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</si>
  <si>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</si>
  <si>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</si>
  <si>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</si>
  <si>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</si>
  <si>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</si>
  <si>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</si>
  <si>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</si>
  <si>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</si>
  <si>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</si>
  <si>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</si>
  <si>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</si>
  <si>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</si>
  <si>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</si>
  <si>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</si>
  <si>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</si>
  <si>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</si>
  <si>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</si>
  <si>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</si>
  <si>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</si>
  <si>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</si>
  <si>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</si>
  <si>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</si>
  <si>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</si>
  <si>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</si>
  <si>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</si>
  <si>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</si>
  <si>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</si>
  <si>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</si>
  <si>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</si>
  <si>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</si>
  <si>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</si>
  <si>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</si>
  <si>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</si>
  <si>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</si>
  <si>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</si>
  <si>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</si>
  <si>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</si>
  <si>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</si>
  <si>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</si>
  <si>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</si>
  <si>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</si>
  <si>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</si>
  <si>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</si>
  <si>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</si>
  <si>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</si>
  <si>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</si>
  <si>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</si>
  <si>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</si>
  <si>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</si>
  <si>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</si>
  <si>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</si>
  <si>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</si>
  <si>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</si>
  <si>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</si>
  <si>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</si>
  <si>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</si>
  <si>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</si>
  <si>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</si>
  <si>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</si>
  <si>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</si>
  <si>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</si>
  <si>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</si>
  <si>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</si>
  <si>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</si>
  <si>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</si>
  <si>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</si>
  <si>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</si>
  <si>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</si>
  <si>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</si>
  <si>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</si>
  <si>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</si>
  <si>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</si>
  <si>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</si>
  <si>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</si>
  <si>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</si>
  <si>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</si>
  <si>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</si>
  <si>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</si>
  <si>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</si>
  <si>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</si>
  <si>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</si>
  <si>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</si>
  <si>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</si>
  <si>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</si>
  <si>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</si>
  <si>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</si>
  <si>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</si>
  <si>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</si>
  <si>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</si>
  <si>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</si>
  <si>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</si>
  <si>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</si>
  <si>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</si>
  <si>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</si>
  <si>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</si>
  <si>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</si>
  <si>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</si>
  <si>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</si>
  <si>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</si>
  <si>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</si>
  <si>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</si>
  <si>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</si>
  <si>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</si>
  <si>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</si>
  <si>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</si>
  <si>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</si>
  <si>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</si>
  <si>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</si>
  <si>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</si>
  <si>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</si>
  <si>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</si>
  <si>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</si>
  <si>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</si>
  <si>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</si>
  <si>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</si>
  <si>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</si>
  <si>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</si>
  <si>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</si>
  <si>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</si>
  <si>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</si>
  <si>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</si>
  <si>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</si>
  <si>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</si>
  <si>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</si>
  <si>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</si>
  <si>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</si>
  <si>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</si>
  <si>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</si>
  <si>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</si>
  <si>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</si>
  <si>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</si>
  <si>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</si>
  <si>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</si>
  <si>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</si>
  <si>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</si>
  <si>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</si>
  <si>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</si>
  <si>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</si>
  <si>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</si>
  <si>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</si>
  <si>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</si>
  <si>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</si>
  <si>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</si>
  <si>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</si>
  <si>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</si>
  <si>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</si>
  <si>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</si>
  <si>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</si>
  <si>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</si>
  <si>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</si>
  <si>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</si>
  <si>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</si>
  <si>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</si>
  <si>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</si>
  <si>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</si>
  <si>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</si>
  <si>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</si>
  <si>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</si>
  <si>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</si>
  <si>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</si>
  <si>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</si>
  <si>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</si>
  <si>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</si>
  <si>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</si>
  <si>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</si>
  <si>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</si>
  <si>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</si>
  <si>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</si>
  <si>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</si>
  <si>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</si>
  <si>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</si>
  <si>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</si>
  <si>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</si>
  <si>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</si>
  <si>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</si>
  <si>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</si>
  <si>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</si>
  <si>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</si>
  <si>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</si>
  <si>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</si>
  <si>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</si>
  <si>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</si>
  <si>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</si>
  <si>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</si>
  <si>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</si>
  <si>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</si>
  <si>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</si>
  <si>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</si>
  <si>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</si>
  <si>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</si>
  <si>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</si>
  <si>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</si>
  <si>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</si>
  <si>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</si>
  <si>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</si>
  <si>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</si>
  <si>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</si>
  <si>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</si>
  <si>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</si>
  <si>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</si>
  <si>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</si>
  <si>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</si>
  <si>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</si>
  <si>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</si>
  <si>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</si>
  <si>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</si>
  <si>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</si>
  <si>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</si>
  <si>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</si>
  <si>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</si>
  <si>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</si>
  <si>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</si>
  <si>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</si>
  <si>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</si>
  <si>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</si>
  <si>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</si>
  <si>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</si>
  <si>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</si>
  <si>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</si>
  <si>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</si>
  <si>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</si>
  <si>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</si>
  <si>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</si>
  <si>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</si>
  <si>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</si>
  <si>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</si>
  <si>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</si>
  <si>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</si>
  <si>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</si>
  <si>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</si>
  <si>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</si>
  <si>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supervisor/macmini-meg/status</t>
  </si>
  <si>
    <t>service_plex_health_status</t>
  </si>
  <si>
    <t>service_grafana_health_status</t>
  </si>
  <si>
    <t>service_wrangle_health_status</t>
  </si>
  <si>
    <t>service_internet_health_status</t>
  </si>
  <si>
    <t>service_unifi_health_status</t>
  </si>
  <si>
    <t>service_zigbee2mqtt_health_status</t>
  </si>
  <si>
    <t>service_weewx_health_status</t>
  </si>
  <si>
    <t>service_digitemp_health_status</t>
  </si>
  <si>
    <t>service_nginx_health_status</t>
  </si>
  <si>
    <t>service_influxdb_health_status</t>
  </si>
  <si>
    <t>service_mariadb_health_status</t>
  </si>
  <si>
    <t>service_postgres_health_status</t>
  </si>
  <si>
    <t>service_letsencrypt_health_status</t>
  </si>
  <si>
    <t>service_unifipoller_health_status</t>
  </si>
  <si>
    <t>service_monitor_health_status</t>
  </si>
  <si>
    <t>Custom</t>
  </si>
  <si>
    <t>service_homeassistant</t>
  </si>
  <si>
    <t>mdi:cog</t>
  </si>
  <si>
    <t>{{ value_json is mapping and value_json.get('pulse', {}).get('ok', false) | bool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</si>
</sst>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>
    <filterColumn colId="2">
      <filters>
        <filter val="Supervisor"/>
      </filters>
    </filterColumn>
  </autoFilter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AR1" zoomScale="121" zoomScaleNormal="120" workbookViewId="0">
      <selection activeCell="AR300" sqref="AR300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1236</v>
      </c>
      <c r="AY1" s="6" t="s">
        <v>1236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1393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1237</v>
      </c>
      <c r="AY2" s="16" t="s">
        <v>1233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1234</v>
      </c>
      <c r="AY3" s="27" t="s">
        <v>1235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1438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1277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1277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1352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1353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1353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1277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1262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1263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1277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1263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1264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1265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1277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1265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1354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1355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1355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1356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1357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1357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1277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1238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1461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1358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1359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1359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1238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1255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1254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1441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1360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1261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1260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1361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1362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1238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1363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1364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1392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1365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1392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1366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1392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1367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1392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1368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1392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1369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1392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1370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1392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1371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1392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1372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1392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1259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1258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1404</v>
      </c>
      <c r="F94" s="36" t="str">
        <f>IF(ISBLANK(Table2[[#This Row],[unique_id]]), "", PROPER(SUBSTITUTE(Table2[[#This Row],[unique_id]], "_", " ")))</f>
        <v>Home Started</v>
      </c>
      <c r="G94" s="30" t="s">
        <v>1405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1377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1378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1398</v>
      </c>
      <c r="F103" s="36" t="str">
        <f>IF(ISBLANK(Table2[[#This Row],[unique_id]]), "", PROPER(SUBSTITUTE(Table2[[#This Row],[unique_id]], "_", " ")))</f>
        <v>Edwin Wakeup</v>
      </c>
      <c r="G103" s="30" t="s">
        <v>1396</v>
      </c>
      <c r="H103" s="30" t="s">
        <v>311</v>
      </c>
      <c r="I103" s="30" t="s">
        <v>132</v>
      </c>
      <c r="J103" s="30" t="s">
        <v>1401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1399</v>
      </c>
      <c r="F104" s="36" t="str">
        <f>IF(ISBLANK(Table2[[#This Row],[unique_id]]), "", PROPER(SUBSTITUTE(Table2[[#This Row],[unique_id]], "_", " ")))</f>
        <v>Edwin Playtime</v>
      </c>
      <c r="G104" s="30" t="s">
        <v>1406</v>
      </c>
      <c r="H104" s="30" t="s">
        <v>311</v>
      </c>
      <c r="I104" s="30" t="s">
        <v>132</v>
      </c>
      <c r="J104" s="30" t="s">
        <v>1402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1400</v>
      </c>
      <c r="F105" s="36" t="str">
        <f>IF(ISBLANK(Table2[[#This Row],[unique_id]]), "", PROPER(SUBSTITUTE(Table2[[#This Row],[unique_id]], "_", " ")))</f>
        <v>Edwin Goodnight</v>
      </c>
      <c r="G105" s="30" t="s">
        <v>1397</v>
      </c>
      <c r="H105" s="30" t="s">
        <v>311</v>
      </c>
      <c r="I105" s="30" t="s">
        <v>132</v>
      </c>
      <c r="J105" s="30" t="s">
        <v>1403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1410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1349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1411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1349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1278</v>
      </c>
      <c r="BL107" s="55" t="s">
        <v>346</v>
      </c>
      <c r="BM107" s="55" t="s">
        <v>1319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1349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1349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1278</v>
      </c>
      <c r="BL109" s="30" t="s">
        <v>353</v>
      </c>
      <c r="BM109" s="30" t="s">
        <v>1329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1278</v>
      </c>
      <c r="BL110" s="30" t="s">
        <v>371</v>
      </c>
      <c r="BM110" s="30" t="s">
        <v>1296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1278</v>
      </c>
      <c r="BL111" s="30" t="s">
        <v>372</v>
      </c>
      <c r="BM111" s="30" t="s">
        <v>1297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1278</v>
      </c>
      <c r="BL112" s="30" t="s">
        <v>375</v>
      </c>
      <c r="BM112" s="30" t="s">
        <v>1298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1278</v>
      </c>
      <c r="BL114" s="30" t="s">
        <v>921</v>
      </c>
      <c r="BM114" s="30" t="s">
        <v>1300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1278</v>
      </c>
      <c r="BL117" s="30" t="s">
        <v>376</v>
      </c>
      <c r="BM117" s="30" t="s">
        <v>1301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1278</v>
      </c>
      <c r="BL119" s="30" t="s">
        <v>373</v>
      </c>
      <c r="BM119" s="30" t="s">
        <v>1302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1278</v>
      </c>
      <c r="BL120" s="30" t="s">
        <v>374</v>
      </c>
      <c r="BM120" s="39" t="s">
        <v>1303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1251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1252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1346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1250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1249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1444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1442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1443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1253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1339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1339</v>
      </c>
      <c r="BA131" s="30" t="str">
        <f>IF(ISBLANK(Table2[[#This Row],[device_model]]), "", Table2[[#This Row],[device_suggested_area]])</f>
        <v>Home</v>
      </c>
      <c r="BB131" s="30" t="s">
        <v>1343</v>
      </c>
      <c r="BC131" s="30" t="s">
        <v>1340</v>
      </c>
      <c r="BD131" s="30" t="s">
        <v>1339</v>
      </c>
      <c r="BF131" s="30" t="s">
        <v>1341</v>
      </c>
      <c r="BG131" s="30" t="s">
        <v>165</v>
      </c>
      <c r="BK131" s="30" t="s">
        <v>1277</v>
      </c>
      <c r="BL131" s="46" t="s">
        <v>1342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1439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1439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1439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1439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1379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1439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1379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1439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1439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1439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1439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1439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1439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1232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1439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1439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1439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1439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1439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1439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1439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1439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1439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1439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1439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1534</v>
      </c>
      <c r="BD161" s="30" t="s">
        <v>377</v>
      </c>
      <c r="BE161" s="30" t="s">
        <v>1439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1379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1534</v>
      </c>
      <c r="BD162" s="30" t="s">
        <v>377</v>
      </c>
      <c r="BE162" s="30" t="s">
        <v>1439</v>
      </c>
      <c r="BF162" s="30" t="s">
        <v>488</v>
      </c>
      <c r="BG162" s="30" t="s">
        <v>194</v>
      </c>
      <c r="BI162" s="30" t="s">
        <v>687</v>
      </c>
      <c r="BL162" s="30" t="s">
        <v>1532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1527</v>
      </c>
      <c r="F163" s="36" t="str">
        <f>IF(ISBLANK(Table2[[#This Row],[unique_id]]), "", PROPER(SUBSTITUTE(Table2[[#This Row],[unique_id]], "_", " ")))</f>
        <v>Lounge Reading</v>
      </c>
      <c r="G163" s="30" t="s">
        <v>1540</v>
      </c>
      <c r="H163" s="30" t="s">
        <v>139</v>
      </c>
      <c r="I163" s="30" t="s">
        <v>132</v>
      </c>
      <c r="J163" s="30" t="s">
        <v>1530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1530</v>
      </c>
      <c r="BC163" s="30" t="s">
        <v>1533</v>
      </c>
      <c r="BD163" s="30" t="s">
        <v>377</v>
      </c>
      <c r="BE163" s="30" t="s">
        <v>1439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1528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1379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1531</v>
      </c>
      <c r="BC164" s="30" t="s">
        <v>1533</v>
      </c>
      <c r="BD164" s="30" t="s">
        <v>377</v>
      </c>
      <c r="BE164" s="30" t="s">
        <v>1439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1439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1439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1439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1439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1439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1439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1439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1439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1439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1439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1439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1245</v>
      </c>
      <c r="F180" s="36" t="str">
        <f>IF(ISBLANK(Table2[[#This Row],[unique_id]]), "", PROPER(SUBSTITUTE(Table2[[#This Row],[unique_id]], "_", " ")))</f>
        <v>Kitchen Bench Lights Plug</v>
      </c>
      <c r="G180" s="30" t="s">
        <v>1246</v>
      </c>
      <c r="H180" s="30" t="s">
        <v>139</v>
      </c>
      <c r="I180" s="30" t="s">
        <v>132</v>
      </c>
      <c r="J180" s="30" t="s">
        <v>1248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1247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1278</v>
      </c>
      <c r="BL180" s="30" t="s">
        <v>919</v>
      </c>
      <c r="BM180" s="30" t="s">
        <v>1304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1439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1439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1439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1439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1439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1439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1439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1439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1439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1439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1439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1439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1412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1413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1278</v>
      </c>
      <c r="BL201" s="55" t="s">
        <v>561</v>
      </c>
      <c r="BM201" s="55" t="s">
        <v>1305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1278</v>
      </c>
      <c r="BL203" s="30" t="s">
        <v>1053</v>
      </c>
      <c r="BM203" s="30" t="s">
        <v>1306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1219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1414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1415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1278</v>
      </c>
      <c r="BL206" s="55" t="s">
        <v>560</v>
      </c>
      <c r="BM206" s="55" t="s">
        <v>1307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1278</v>
      </c>
      <c r="BL208" s="30" t="s">
        <v>1052</v>
      </c>
      <c r="BM208" s="30" t="s">
        <v>1308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1439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1439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1439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1439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1439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1439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1439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1439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1439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1439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1439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1439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1439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1278</v>
      </c>
      <c r="BL224" s="30" t="s">
        <v>350</v>
      </c>
      <c r="BM224" s="30" t="s">
        <v>1309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1278</v>
      </c>
      <c r="BL226" s="30" t="s">
        <v>442</v>
      </c>
      <c r="BM226" s="30" t="s">
        <v>1310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1278</v>
      </c>
      <c r="BL230" s="30" t="s">
        <v>1046</v>
      </c>
      <c r="BM230" s="30" t="s">
        <v>1311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1348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1348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1277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1241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1242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1243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1239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1244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1211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1214</v>
      </c>
      <c r="H287" s="30" t="s">
        <v>1210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1213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1212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1215</v>
      </c>
      <c r="H288" s="30" t="s">
        <v>1210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1213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1535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1537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1536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1523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1238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1193</v>
      </c>
      <c r="D299" s="30" t="s">
        <v>148</v>
      </c>
      <c r="E299" s="30" t="s">
        <v>1558</v>
      </c>
      <c r="F299" s="30" t="str">
        <f>IF(ISBLANK(Table2[[#This Row],[unique_id]]), "", PROPER(SUBSTITUTE(Table2[[#This Row],[unique_id]], "_", " ")))</f>
        <v>Service Homeassistant</v>
      </c>
      <c r="G299" s="30" t="s">
        <v>1208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E299" s="30" t="s">
        <v>1559</v>
      </c>
      <c r="AF299" s="30">
        <v>6</v>
      </c>
      <c r="AG299" s="31" t="s">
        <v>34</v>
      </c>
      <c r="AH299" s="31"/>
      <c r="AI299" s="30" t="s">
        <v>1142</v>
      </c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M299" s="30" t="str">
        <f>IF(ISBLANK(Table2[[#This Row],[index]]),  "", _xlfn.CONCAT("supervisor/", Table2[[#This Row],[unique_id_device]], "/status"))</f>
        <v>supervisor/macmini-meg/status</v>
      </c>
      <c r="AR299" s="30" t="s">
        <v>1560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1193</v>
      </c>
      <c r="BC299" s="30" t="s">
        <v>1557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1193</v>
      </c>
      <c r="D300" s="30" t="s">
        <v>148</v>
      </c>
      <c r="E300" s="30" t="s">
        <v>1542</v>
      </c>
      <c r="F300" s="30" t="str">
        <f>IF(ISBLANK(Table2[[#This Row],[unique_id]]), "", PROPER(SUBSTITUTE(Table2[[#This Row],[unique_id]], "_", " ")))</f>
        <v>Service Plex Health Status</v>
      </c>
      <c r="G300" s="30" t="s">
        <v>1195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E300" s="30" t="s">
        <v>1559</v>
      </c>
      <c r="AF300" s="30">
        <v>6</v>
      </c>
      <c r="AG300" s="31" t="s">
        <v>34</v>
      </c>
      <c r="AH300" s="31"/>
      <c r="AI300" s="30" t="s">
        <v>1499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homeassistant/binary_sensor/supervisor/service_plex_health_status/config</v>
      </c>
      <c r="AK300" s="30" t="str">
        <f>IF(ISBLANK(Table2[[#This Row],[index]]),  "", _xlfn.CONCAT("supervisor/macmini-meg/data/", SUBSTITUTE(LOWER(Table2[[#This Row],[unique_id]]), "_", "/")))</f>
        <v>supervisor/macmini-meg/data/service/plex/health/status</v>
      </c>
      <c r="AM300" s="30" t="s">
        <v>1541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Health Status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1194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1193</v>
      </c>
      <c r="D301" s="30" t="s">
        <v>148</v>
      </c>
      <c r="E301" s="30" t="s">
        <v>1543</v>
      </c>
      <c r="F301" s="30" t="str">
        <f>IF(ISBLANK(Table2[[#This Row],[unique_id]]), "", PROPER(SUBSTITUTE(Table2[[#This Row],[unique_id]], "_", " ")))</f>
        <v>Service Grafana Health Status</v>
      </c>
      <c r="G301" s="30" t="s">
        <v>1196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E301" s="30" t="s">
        <v>1559</v>
      </c>
      <c r="AF301" s="30">
        <v>6</v>
      </c>
      <c r="AG301" s="31" t="s">
        <v>34</v>
      </c>
      <c r="AH301" s="31"/>
      <c r="AI301" s="30" t="s">
        <v>1142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homeassistant/binary_sensor/supervisor/service_grafana_health_status/config</v>
      </c>
      <c r="AK301" s="30" t="str">
        <f>IF(ISBLANK(Table2[[#This Row],[index]]),  "", _xlfn.CONCAT("supervisor/macmini-meg/data/", SUBSTITUTE(LOWER(Table2[[#This Row],[unique_id]]), "_", "/")))</f>
        <v>supervisor/macmini-meg/data/service/grafana/health/status</v>
      </c>
      <c r="AM301" s="30" t="s">
        <v>1541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Health Status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1194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1193</v>
      </c>
      <c r="D302" s="30" t="s">
        <v>148</v>
      </c>
      <c r="E302" s="30" t="s">
        <v>1544</v>
      </c>
      <c r="F302" s="30" t="str">
        <f>IF(ISBLANK(Table2[[#This Row],[unique_id]]), "", PROPER(SUBSTITUTE(Table2[[#This Row],[unique_id]], "_", " ")))</f>
        <v>Service Wrangle Health Status</v>
      </c>
      <c r="G302" s="30" t="s">
        <v>1197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E302" s="30" t="s">
        <v>1559</v>
      </c>
      <c r="AF302" s="30">
        <v>6</v>
      </c>
      <c r="AG302" s="31" t="s">
        <v>34</v>
      </c>
      <c r="AH302" s="31"/>
      <c r="AI302" s="30" t="s">
        <v>1142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homeassistant/binary_sensor/supervisor/service_wrangle_health_status/config</v>
      </c>
      <c r="AK302" s="30" t="str">
        <f>IF(ISBLANK(Table2[[#This Row],[index]]),  "", _xlfn.CONCAT("supervisor/macmini-meg/data/", SUBSTITUTE(LOWER(Table2[[#This Row],[unique_id]]), "_", "/")))</f>
        <v>supervisor/macmini-meg/data/service/wrangle/health/status</v>
      </c>
      <c r="AM302" s="30" t="s">
        <v>1541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Health Status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1194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1193</v>
      </c>
      <c r="D303" s="30" t="s">
        <v>148</v>
      </c>
      <c r="E303" s="30" t="s">
        <v>1545</v>
      </c>
      <c r="F303" s="30" t="str">
        <f>IF(ISBLANK(Table2[[#This Row],[unique_id]]), "", PROPER(SUBSTITUTE(Table2[[#This Row],[unique_id]], "_", " ")))</f>
        <v>Service Internet Health Status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E303" s="30" t="s">
        <v>1559</v>
      </c>
      <c r="AF303" s="30">
        <v>6</v>
      </c>
      <c r="AG303" s="31" t="s">
        <v>34</v>
      </c>
      <c r="AH303" s="31"/>
      <c r="AI303" s="30" t="s">
        <v>1142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homeassistant/binary_sensor/supervisor/service_internet_health_status/config</v>
      </c>
      <c r="AK303" s="30" t="str">
        <f>IF(ISBLANK(Table2[[#This Row],[index]]),  "", _xlfn.CONCAT("supervisor/macmini-meg/data/", SUBSTITUTE(LOWER(Table2[[#This Row],[unique_id]]), "_", "/")))</f>
        <v>supervisor/macmini-meg/data/service/internet/health/status</v>
      </c>
      <c r="AM303" s="30" t="s">
        <v>1541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Health Status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1194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1193</v>
      </c>
      <c r="D304" s="30" t="s">
        <v>148</v>
      </c>
      <c r="E304" s="30" t="s">
        <v>1546</v>
      </c>
      <c r="F304" s="30" t="str">
        <f>IF(ISBLANK(Table2[[#This Row],[unique_id]]), "", PROPER(SUBSTITUTE(Table2[[#This Row],[unique_id]], "_", " ")))</f>
        <v>Service Unifi Health Status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E304" s="30" t="s">
        <v>1559</v>
      </c>
      <c r="AF304" s="30">
        <v>6</v>
      </c>
      <c r="AG304" s="31" t="s">
        <v>34</v>
      </c>
      <c r="AH304" s="31"/>
      <c r="AI304" s="30" t="s">
        <v>1142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homeassistant/binary_sensor/supervisor/service_unifi_health_status/config</v>
      </c>
      <c r="AK304" s="30" t="str">
        <f>IF(ISBLANK(Table2[[#This Row],[index]]),  "", _xlfn.CONCAT("supervisor/macmini-meg/data/", SUBSTITUTE(LOWER(Table2[[#This Row],[unique_id]]), "_", "/")))</f>
        <v>supervisor/macmini-meg/data/service/unifi/health/status</v>
      </c>
      <c r="AM304" s="30" t="s">
        <v>1541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Health Status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1194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1193</v>
      </c>
      <c r="D305" s="30" t="s">
        <v>148</v>
      </c>
      <c r="E305" s="30" t="s">
        <v>1547</v>
      </c>
      <c r="F305" s="30" t="str">
        <f>IF(ISBLANK(Table2[[#This Row],[unique_id]]), "", PROPER(SUBSTITUTE(Table2[[#This Row],[unique_id]], "_", " ")))</f>
        <v>Service Zigbee2Mqtt Health Status</v>
      </c>
      <c r="G305" s="30" t="s">
        <v>1198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E305" s="30" t="s">
        <v>1559</v>
      </c>
      <c r="AF305" s="30">
        <v>6</v>
      </c>
      <c r="AG305" s="31" t="s">
        <v>34</v>
      </c>
      <c r="AH305" s="31"/>
      <c r="AI305" s="30" t="s">
        <v>1142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homeassistant/binary_sensor/supervisor/service_zigbee2mqtt_health_status/config</v>
      </c>
      <c r="AK305" s="30" t="str">
        <f>IF(ISBLANK(Table2[[#This Row],[index]]),  "", _xlfn.CONCAT("supervisor/macmini-meg/data/", SUBSTITUTE(LOWER(Table2[[#This Row],[unique_id]]), "_", "/")))</f>
        <v>supervisor/macmini-meg/data/service/zigbee2mqtt/health/status</v>
      </c>
      <c r="AM305" s="30" t="s">
        <v>1541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Health Status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1194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1193</v>
      </c>
      <c r="D306" s="30" t="s">
        <v>148</v>
      </c>
      <c r="E306" s="30" t="s">
        <v>1548</v>
      </c>
      <c r="F306" s="30" t="str">
        <f>IF(ISBLANK(Table2[[#This Row],[unique_id]]), "", PROPER(SUBSTITUTE(Table2[[#This Row],[unique_id]], "_", " ")))</f>
        <v>Service Weewx Health Status</v>
      </c>
      <c r="G306" s="30" t="s">
        <v>1199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E306" s="30" t="s">
        <v>1559</v>
      </c>
      <c r="AF306" s="30">
        <v>6</v>
      </c>
      <c r="AG306" s="31" t="s">
        <v>34</v>
      </c>
      <c r="AH306" s="31"/>
      <c r="AI306" s="30" t="s">
        <v>1142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homeassistant/binary_sensor/supervisor/service_weewx_health_status/config</v>
      </c>
      <c r="AK306" s="30" t="str">
        <f>IF(ISBLANK(Table2[[#This Row],[index]]),  "", _xlfn.CONCAT("supervisor/macmini-meg/data/", SUBSTITUTE(LOWER(Table2[[#This Row],[unique_id]]), "_", "/")))</f>
        <v>supervisor/macmini-meg/data/service/weewx/health/status</v>
      </c>
      <c r="AM306" s="30" t="s">
        <v>1541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Health Status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1194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1193</v>
      </c>
      <c r="D307" s="30" t="s">
        <v>148</v>
      </c>
      <c r="E307" s="30" t="s">
        <v>1549</v>
      </c>
      <c r="F307" s="30" t="str">
        <f>IF(ISBLANK(Table2[[#This Row],[unique_id]]), "", PROPER(SUBSTITUTE(Table2[[#This Row],[unique_id]], "_", " ")))</f>
        <v>Service Digitemp Health Status</v>
      </c>
      <c r="G307" s="30" t="s">
        <v>1200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E307" s="30" t="s">
        <v>1559</v>
      </c>
      <c r="AF307" s="30">
        <v>6</v>
      </c>
      <c r="AG307" s="31" t="s">
        <v>34</v>
      </c>
      <c r="AH307" s="31"/>
      <c r="AI307" s="30" t="s">
        <v>1142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homeassistant/binary_sensor/supervisor/service_digitemp_health_status/config</v>
      </c>
      <c r="AK307" s="30" t="str">
        <f>IF(ISBLANK(Table2[[#This Row],[index]]),  "", _xlfn.CONCAT("supervisor/macmini-meg/data/", SUBSTITUTE(LOWER(Table2[[#This Row],[unique_id]]), "_", "/")))</f>
        <v>supervisor/macmini-meg/data/service/digitemp/health/status</v>
      </c>
      <c r="AM307" s="30" t="s">
        <v>1541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Health Status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1194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1193</v>
      </c>
      <c r="D308" s="30" t="s">
        <v>148</v>
      </c>
      <c r="E308" s="30" t="s">
        <v>1550</v>
      </c>
      <c r="F308" s="30" t="str">
        <f>IF(ISBLANK(Table2[[#This Row],[unique_id]]), "", PROPER(SUBSTITUTE(Table2[[#This Row],[unique_id]], "_", " ")))</f>
        <v>Service Nginx Health Status</v>
      </c>
      <c r="G308" s="30" t="s">
        <v>1201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E308" s="30" t="s">
        <v>1559</v>
      </c>
      <c r="AF308" s="30">
        <v>6</v>
      </c>
      <c r="AG308" s="31" t="s">
        <v>34</v>
      </c>
      <c r="AH308" s="31"/>
      <c r="AI308" s="30" t="s">
        <v>1142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homeassistant/binary_sensor/supervisor/service_nginx_health_status/config</v>
      </c>
      <c r="AK308" s="30" t="str">
        <f>IF(ISBLANK(Table2[[#This Row],[index]]),  "", _xlfn.CONCAT("supervisor/macmini-meg/data/", SUBSTITUTE(LOWER(Table2[[#This Row],[unique_id]]), "_", "/")))</f>
        <v>supervisor/macmini-meg/data/service/nginx/health/status</v>
      </c>
      <c r="AM308" s="30" t="s">
        <v>1541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Health Status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1194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1193</v>
      </c>
      <c r="D309" s="30" t="s">
        <v>148</v>
      </c>
      <c r="E309" s="30" t="s">
        <v>1551</v>
      </c>
      <c r="F309" s="30" t="str">
        <f>IF(ISBLANK(Table2[[#This Row],[unique_id]]), "", PROPER(SUBSTITUTE(Table2[[#This Row],[unique_id]], "_", " ")))</f>
        <v>Service Influxdb Health Status</v>
      </c>
      <c r="G309" s="30" t="s">
        <v>1202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E309" s="30" t="s">
        <v>1559</v>
      </c>
      <c r="AF309" s="30">
        <v>6</v>
      </c>
      <c r="AG309" s="31" t="s">
        <v>34</v>
      </c>
      <c r="AH309" s="31"/>
      <c r="AI309" s="30" t="s">
        <v>1142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homeassistant/binary_sensor/supervisor/service_influxdb_health_status/config</v>
      </c>
      <c r="AK309" s="30" t="str">
        <f>IF(ISBLANK(Table2[[#This Row],[index]]),  "", _xlfn.CONCAT("supervisor/macmini-meg/data/", SUBSTITUTE(LOWER(Table2[[#This Row],[unique_id]]), "_", "/")))</f>
        <v>supervisor/macmini-meg/data/service/influxdb/health/status</v>
      </c>
      <c r="AM309" s="30" t="s">
        <v>1541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Health Status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1194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1193</v>
      </c>
      <c r="D310" s="30" t="s">
        <v>148</v>
      </c>
      <c r="E310" s="30" t="s">
        <v>1552</v>
      </c>
      <c r="F310" s="30" t="str">
        <f>IF(ISBLANK(Table2[[#This Row],[unique_id]]), "", PROPER(SUBSTITUTE(Table2[[#This Row],[unique_id]], "_", " ")))</f>
        <v>Service Mariadb Health Status</v>
      </c>
      <c r="G310" s="30" t="s">
        <v>1203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E310" s="30" t="s">
        <v>1559</v>
      </c>
      <c r="AF310" s="30">
        <v>6</v>
      </c>
      <c r="AG310" s="31" t="s">
        <v>34</v>
      </c>
      <c r="AH310" s="31"/>
      <c r="AI310" s="30" t="s">
        <v>1142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homeassistant/binary_sensor/supervisor/service_mariadb_health_status/config</v>
      </c>
      <c r="AK310" s="30" t="str">
        <f>IF(ISBLANK(Table2[[#This Row],[index]]),  "", _xlfn.CONCAT("supervisor/macmini-meg/data/", SUBSTITUTE(LOWER(Table2[[#This Row],[unique_id]]), "_", "/")))</f>
        <v>supervisor/macmini-meg/data/service/mariadb/health/status</v>
      </c>
      <c r="AM310" s="30" t="s">
        <v>1541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Health Status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1194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1193</v>
      </c>
      <c r="D311" s="30" t="s">
        <v>148</v>
      </c>
      <c r="E311" s="30" t="s">
        <v>1553</v>
      </c>
      <c r="F311" s="30" t="str">
        <f>IF(ISBLANK(Table2[[#This Row],[unique_id]]), "", PROPER(SUBSTITUTE(Table2[[#This Row],[unique_id]], "_", " ")))</f>
        <v>Service Postgres Health Status</v>
      </c>
      <c r="G311" s="30" t="s">
        <v>1204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E311" s="30" t="s">
        <v>1559</v>
      </c>
      <c r="AF311" s="30">
        <v>6</v>
      </c>
      <c r="AG311" s="31" t="s">
        <v>34</v>
      </c>
      <c r="AH311" s="31"/>
      <c r="AI311" s="30" t="s">
        <v>1142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homeassistant/binary_sensor/supervisor/service_postgres_health_status/config</v>
      </c>
      <c r="AK311" s="30" t="str">
        <f>IF(ISBLANK(Table2[[#This Row],[index]]),  "", _xlfn.CONCAT("supervisor/macmini-meg/data/", SUBSTITUTE(LOWER(Table2[[#This Row],[unique_id]]), "_", "/")))</f>
        <v>supervisor/macmini-meg/data/service/postgres/health/status</v>
      </c>
      <c r="AM311" s="30" t="s">
        <v>1541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Health Status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1194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1193</v>
      </c>
      <c r="D312" s="30" t="s">
        <v>148</v>
      </c>
      <c r="E312" s="30" t="s">
        <v>1554</v>
      </c>
      <c r="F312" s="30" t="str">
        <f>IF(ISBLANK(Table2[[#This Row],[unique_id]]), "", PROPER(SUBSTITUTE(Table2[[#This Row],[unique_id]], "_", " ")))</f>
        <v>Service Letsencrypt Health Status</v>
      </c>
      <c r="G312" s="30" t="s">
        <v>1205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E312" s="30" t="s">
        <v>1559</v>
      </c>
      <c r="AF312" s="30">
        <v>6</v>
      </c>
      <c r="AG312" s="31" t="s">
        <v>34</v>
      </c>
      <c r="AH312" s="31"/>
      <c r="AI312" s="30" t="s">
        <v>1142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homeassistant/binary_sensor/supervisor/service_letsencrypt_health_status/config</v>
      </c>
      <c r="AK312" s="30" t="str">
        <f>IF(ISBLANK(Table2[[#This Row],[index]]),  "", _xlfn.CONCAT("supervisor/macmini-meg/data/", SUBSTITUTE(LOWER(Table2[[#This Row],[unique_id]]), "_", "/")))</f>
        <v>supervisor/macmini-meg/data/service/letsencrypt/health/status</v>
      </c>
      <c r="AM312" s="30" t="s">
        <v>1541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Health Status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1194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1193</v>
      </c>
      <c r="D313" s="30" t="s">
        <v>148</v>
      </c>
      <c r="E313" s="30" t="s">
        <v>1555</v>
      </c>
      <c r="F313" s="30" t="str">
        <f>IF(ISBLANK(Table2[[#This Row],[unique_id]]), "", PROPER(SUBSTITUTE(Table2[[#This Row],[unique_id]], "_", " ")))</f>
        <v>Service Unifipoller Health Status</v>
      </c>
      <c r="G313" s="30" t="s">
        <v>1206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E313" s="30" t="s">
        <v>1559</v>
      </c>
      <c r="AF313" s="30">
        <v>6</v>
      </c>
      <c r="AG313" s="31" t="s">
        <v>34</v>
      </c>
      <c r="AH313" s="31"/>
      <c r="AI313" s="30" t="s">
        <v>1142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homeassistant/binary_sensor/supervisor/service_unifipoller_health_status/config</v>
      </c>
      <c r="AK313" s="30" t="str">
        <f>IF(ISBLANK(Table2[[#This Row],[index]]),  "", _xlfn.CONCAT("supervisor/macmini-meg/data/", SUBSTITUTE(LOWER(Table2[[#This Row],[unique_id]]), "_", "/")))</f>
        <v>supervisor/macmini-meg/data/service/unifipoller/health/status</v>
      </c>
      <c r="AM313" s="30" t="s">
        <v>1541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Health Status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1194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1193</v>
      </c>
      <c r="D314" s="30" t="s">
        <v>148</v>
      </c>
      <c r="E314" s="30" t="s">
        <v>1556</v>
      </c>
      <c r="F314" s="30" t="str">
        <f>IF(ISBLANK(Table2[[#This Row],[unique_id]]), "", PROPER(SUBSTITUTE(Table2[[#This Row],[unique_id]], "_", " ")))</f>
        <v>Service Monitor Health Status</v>
      </c>
      <c r="G314" s="30" t="s">
        <v>1207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E314" s="30" t="s">
        <v>1559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homeassistant/binary_sensor/supervisor/service_monitor_health_status/config</v>
      </c>
      <c r="AK314" s="30" t="str">
        <f>IF(ISBLANK(Table2[[#This Row],[index]]),  "", _xlfn.CONCAT("supervisor/macmini-meg/data/", SUBSTITUTE(LOWER(Table2[[#This Row],[unique_id]]), "_", "/")))</f>
        <v>supervisor/macmini-meg/data/service/monitor/health/status</v>
      </c>
      <c r="AM314" s="30" t="s">
        <v>1541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Health Status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1194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2538</v>
      </c>
      <c r="B315" s="30" t="s">
        <v>26</v>
      </c>
      <c r="C315" s="30" t="s">
        <v>440</v>
      </c>
      <c r="D315" s="30" t="s">
        <v>333</v>
      </c>
      <c r="E315" s="30" t="s">
        <v>332</v>
      </c>
      <c r="F315" s="36" t="str">
        <f>IF(ISBLANK(Table2[[#This Row],[unique_id]]), "", PROPER(SUBSTITUTE(Table2[[#This Row],[unique_id]], "_", " ")))</f>
        <v>Column Break</v>
      </c>
      <c r="G315" s="30" t="s">
        <v>329</v>
      </c>
      <c r="H315" s="30" t="s">
        <v>1209</v>
      </c>
      <c r="I315" s="30" t="s">
        <v>291</v>
      </c>
      <c r="M315" s="30" t="s">
        <v>330</v>
      </c>
      <c r="N315" s="30" t="s">
        <v>331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G315" s="31"/>
      <c r="AH315" s="31"/>
      <c r="AR315" s="39"/>
      <c r="AT315" s="32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2539</v>
      </c>
      <c r="B316" s="30" t="s">
        <v>26</v>
      </c>
      <c r="C316" s="30" t="s">
        <v>150</v>
      </c>
      <c r="D316" s="30" t="s">
        <v>606</v>
      </c>
      <c r="E316" s="30" t="s">
        <v>1344</v>
      </c>
      <c r="F316" s="36" t="str">
        <f>IF(ISBLANK(Table2[[#This Row],[unique_id]]), "", PROPER(SUBSTITUTE(Table2[[#This Row],[unique_id]], "_", " ")))</f>
        <v>Google Assistant Synchronize Devices</v>
      </c>
      <c r="G316" s="30" t="s">
        <v>1190</v>
      </c>
      <c r="H316" s="30" t="s">
        <v>607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G316" s="31"/>
      <c r="AH316" s="31"/>
      <c r="AR316" s="39"/>
      <c r="AT316" s="32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2540</v>
      </c>
      <c r="B317" s="30" t="s">
        <v>26</v>
      </c>
      <c r="C317" s="30" t="s">
        <v>1223</v>
      </c>
      <c r="D317" s="30" t="s">
        <v>27</v>
      </c>
      <c r="E317" s="30" t="s">
        <v>1229</v>
      </c>
      <c r="F317" s="30" t="str">
        <f>IF(ISBLANK(Table2[[#This Row],[unique_id]]), "", PROPER(SUBSTITUTE(Table2[[#This Row],[unique_id]], "_", " ")))</f>
        <v>Template Utility Temperature Proxy</v>
      </c>
      <c r="G317" s="30" t="s">
        <v>1224</v>
      </c>
      <c r="H317" s="30" t="s">
        <v>1226</v>
      </c>
      <c r="I317" s="30" t="s">
        <v>291</v>
      </c>
      <c r="K317" s="30" t="s">
        <v>1173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 t="s">
        <v>31</v>
      </c>
      <c r="AC317" s="30" t="s">
        <v>88</v>
      </c>
      <c r="AD317" s="30" t="s">
        <v>89</v>
      </c>
      <c r="AE317" s="30" t="s">
        <v>316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R317" s="39"/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2541</v>
      </c>
      <c r="B318" s="30" t="s">
        <v>26</v>
      </c>
      <c r="C318" s="30" t="s">
        <v>1115</v>
      </c>
      <c r="D318" s="30" t="s">
        <v>27</v>
      </c>
      <c r="E318" s="30" t="s">
        <v>1116</v>
      </c>
      <c r="F318" s="36" t="str">
        <f>IF(ISBLANK(Table2[[#This Row],[unique_id]]), "", PROPER(SUBSTITUTE(Table2[[#This Row],[unique_id]], "_", " ")))</f>
        <v>Rack Top Temperature</v>
      </c>
      <c r="G318" s="30" t="s">
        <v>1118</v>
      </c>
      <c r="H318" s="30" t="s">
        <v>1226</v>
      </c>
      <c r="I318" s="30" t="s">
        <v>291</v>
      </c>
      <c r="K318" s="30" t="s">
        <v>1165</v>
      </c>
      <c r="O318" s="31"/>
      <c r="P318" s="30"/>
      <c r="T318" s="37"/>
      <c r="U318" s="30"/>
      <c r="V318" s="31" t="s">
        <v>1185</v>
      </c>
      <c r="W318" s="31"/>
      <c r="X318" s="31"/>
      <c r="Y318" s="31"/>
      <c r="Z318" s="31"/>
      <c r="AA318" s="31"/>
      <c r="AB318" s="30" t="s">
        <v>31</v>
      </c>
      <c r="AC318" s="30" t="s">
        <v>88</v>
      </c>
      <c r="AD318" s="30" t="s">
        <v>89</v>
      </c>
      <c r="AE318" s="30" t="s">
        <v>316</v>
      </c>
      <c r="AF318" s="30">
        <v>300</v>
      </c>
      <c r="AG318" s="31" t="s">
        <v>34</v>
      </c>
      <c r="AH318" s="31"/>
      <c r="AI318" s="30" t="s">
        <v>1461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18" s="30" t="str">
        <f>IF(ISBLANK(Table2[[#This Row],[index]]),  "", _xlfn.CONCAT("telegraf/", Table2[[#This Row],[unique_id_device]], "/", LOWER(Table2[[#This Row],[device_via_device]])))</f>
        <v>telegraf/macmini-may/digitemp</v>
      </c>
      <c r="AR318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87</v>
      </c>
      <c r="BC318" s="30" t="s">
        <v>1119</v>
      </c>
      <c r="BD318" s="30" t="s">
        <v>1115</v>
      </c>
      <c r="BF318" s="30" t="s">
        <v>1120</v>
      </c>
      <c r="BG318" s="30" t="s">
        <v>28</v>
      </c>
      <c r="BL318" s="30" t="s">
        <v>1141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9" spans="1:66" ht="16" hidden="1" customHeight="1" x14ac:dyDescent="0.2">
      <c r="A319" s="30">
        <v>2542</v>
      </c>
      <c r="B319" s="30" t="s">
        <v>26</v>
      </c>
      <c r="C319" s="30" t="s">
        <v>1115</v>
      </c>
      <c r="D319" s="30" t="s">
        <v>27</v>
      </c>
      <c r="E319" s="30" t="s">
        <v>1165</v>
      </c>
      <c r="F319" s="30" t="str">
        <f>IF(ISBLANK(Table2[[#This Row],[unique_id]]), "", PROPER(SUBSTITUTE(Table2[[#This Row],[unique_id]], "_", " ")))</f>
        <v>Compensation Sensor Rack Top Temperature</v>
      </c>
      <c r="G319" s="30" t="s">
        <v>1118</v>
      </c>
      <c r="H319" s="30" t="s">
        <v>1226</v>
      </c>
      <c r="I319" s="30" t="s">
        <v>291</v>
      </c>
      <c r="J319" s="30" t="s">
        <v>87</v>
      </c>
      <c r="M319" s="30" t="s">
        <v>136</v>
      </c>
      <c r="O319" s="31"/>
      <c r="P319" s="30"/>
      <c r="T319" s="37"/>
      <c r="U319" s="30" t="s">
        <v>436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2543</v>
      </c>
      <c r="B320" s="30" t="s">
        <v>26</v>
      </c>
      <c r="C320" s="30" t="s">
        <v>1115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Bottom Temperature</v>
      </c>
      <c r="G320" s="30" t="s">
        <v>1124</v>
      </c>
      <c r="H320" s="30" t="s">
        <v>1226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1185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1461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1119</v>
      </c>
      <c r="BD320" s="30" t="s">
        <v>1115</v>
      </c>
      <c r="BF320" s="30" t="s">
        <v>1120</v>
      </c>
      <c r="BG320" s="30" t="s">
        <v>28</v>
      </c>
      <c r="BL320" s="30" t="s">
        <v>1140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1" spans="1:66" ht="16" hidden="1" customHeight="1" x14ac:dyDescent="0.2">
      <c r="A321" s="30">
        <v>2544</v>
      </c>
      <c r="B321" s="30" t="s">
        <v>26</v>
      </c>
      <c r="C321" s="30" t="s">
        <v>1115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Bottom Temperature</v>
      </c>
      <c r="G321" s="30" t="s">
        <v>1124</v>
      </c>
      <c r="H321" s="30" t="s">
        <v>1226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2545</v>
      </c>
      <c r="B322" s="30" t="s">
        <v>26</v>
      </c>
      <c r="C322" s="30" t="s">
        <v>1207</v>
      </c>
      <c r="D322" s="30" t="s">
        <v>27</v>
      </c>
      <c r="E322" s="30" t="s">
        <v>1493</v>
      </c>
      <c r="F322" s="30" t="str">
        <f>IF(ISBLANK(Table2[[#This Row],[unique_id]]), "", PROPER(SUBSTITUTE(Table2[[#This Row],[unique_id]], "_", " ")))</f>
        <v>Host Mad Temperature</v>
      </c>
      <c r="G322" s="30" t="s">
        <v>1497</v>
      </c>
      <c r="H322" s="30" t="s">
        <v>1226</v>
      </c>
      <c r="I322" s="30" t="s">
        <v>291</v>
      </c>
      <c r="K322" s="30" t="s">
        <v>1494</v>
      </c>
      <c r="O322" s="31"/>
      <c r="P322" s="30"/>
      <c r="T322" s="37"/>
      <c r="U322" s="30"/>
      <c r="V322" s="31" t="s">
        <v>315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5</v>
      </c>
      <c r="AG322" s="31" t="s">
        <v>34</v>
      </c>
      <c r="AH322" s="31"/>
      <c r="AI322" s="30" t="s">
        <v>1499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2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2" s="30" t="s">
        <v>1505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1501</v>
      </c>
      <c r="BC322" s="30" t="s">
        <v>1218</v>
      </c>
      <c r="BD322" s="30" t="s">
        <v>1217</v>
      </c>
      <c r="BF322" s="30" t="s">
        <v>990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2546</v>
      </c>
      <c r="B323" s="30" t="s">
        <v>26</v>
      </c>
      <c r="C323" s="30" t="s">
        <v>1207</v>
      </c>
      <c r="D323" s="30" t="s">
        <v>27</v>
      </c>
      <c r="E323" s="30" t="s">
        <v>1494</v>
      </c>
      <c r="F323" s="30" t="str">
        <f>IF(ISBLANK(Table2[[#This Row],[unique_id]]), "", PROPER(SUBSTITUTE(Table2[[#This Row],[unique_id]], "_", " ")))</f>
        <v>Compensation Sensor Host Mad Temperature</v>
      </c>
      <c r="G323" s="30" t="s">
        <v>1497</v>
      </c>
      <c r="H323" s="30" t="s">
        <v>1226</v>
      </c>
      <c r="I323" s="30" t="s">
        <v>291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2547</v>
      </c>
      <c r="B324" s="30" t="s">
        <v>26</v>
      </c>
      <c r="C324" s="30" t="s">
        <v>1207</v>
      </c>
      <c r="D324" s="30" t="s">
        <v>27</v>
      </c>
      <c r="E324" s="30" t="s">
        <v>1495</v>
      </c>
      <c r="F324" s="30" t="str">
        <f>IF(ISBLANK(Table2[[#This Row],[unique_id]]), "", PROPER(SUBSTITUTE(Table2[[#This Row],[unique_id]], "_", " ")))</f>
        <v>Host Max Temperature</v>
      </c>
      <c r="G324" s="30" t="s">
        <v>1498</v>
      </c>
      <c r="H324" s="30" t="s">
        <v>1226</v>
      </c>
      <c r="I324" s="30" t="s">
        <v>291</v>
      </c>
      <c r="K324" s="30" t="s">
        <v>1496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1500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4" s="30" t="s">
        <v>1504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1502</v>
      </c>
      <c r="BC324" s="30" t="s">
        <v>1218</v>
      </c>
      <c r="BD324" s="30" t="s">
        <v>1217</v>
      </c>
      <c r="BF324" s="30" t="s">
        <v>990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2548</v>
      </c>
      <c r="B325" s="30" t="s">
        <v>26</v>
      </c>
      <c r="C325" s="30" t="s">
        <v>1207</v>
      </c>
      <c r="D325" s="30" t="s">
        <v>27</v>
      </c>
      <c r="E325" s="30" t="s">
        <v>1496</v>
      </c>
      <c r="F325" s="30" t="str">
        <f>IF(ISBLANK(Table2[[#This Row],[unique_id]]), "", PROPER(SUBSTITUTE(Table2[[#This Row],[unique_id]], "_", " ")))</f>
        <v>Compensation Sensor Host Max Temperature</v>
      </c>
      <c r="G325" s="30" t="s">
        <v>1498</v>
      </c>
      <c r="H325" s="30" t="s">
        <v>1226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2549</v>
      </c>
      <c r="B326" s="30" t="s">
        <v>26</v>
      </c>
      <c r="C326" s="30" t="s">
        <v>1207</v>
      </c>
      <c r="D326" s="30" t="s">
        <v>27</v>
      </c>
      <c r="E326" s="30" t="s">
        <v>1455</v>
      </c>
      <c r="F326" s="30" t="str">
        <f>IF(ISBLANK(Table2[[#This Row],[unique_id]]), "", PROPER(SUBSTITUTE(Table2[[#This Row],[unique_id]], "_", " ")))</f>
        <v>Host May Temperature</v>
      </c>
      <c r="G326" s="30" t="s">
        <v>1454</v>
      </c>
      <c r="H326" s="30" t="s">
        <v>1226</v>
      </c>
      <c r="I326" s="30" t="s">
        <v>291</v>
      </c>
      <c r="K326" s="30" t="s">
        <v>1456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1461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26" s="30" t="s">
        <v>1503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1462</v>
      </c>
      <c r="BC326" s="30" t="s">
        <v>1218</v>
      </c>
      <c r="BD326" s="30" t="s">
        <v>1217</v>
      </c>
      <c r="BF326" s="30" t="s">
        <v>990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2550</v>
      </c>
      <c r="B327" s="30" t="s">
        <v>26</v>
      </c>
      <c r="C327" s="30" t="s">
        <v>1207</v>
      </c>
      <c r="D327" s="30" t="s">
        <v>27</v>
      </c>
      <c r="E327" s="30" t="s">
        <v>1456</v>
      </c>
      <c r="F327" s="30" t="str">
        <f>IF(ISBLANK(Table2[[#This Row],[unique_id]]), "", PROPER(SUBSTITUTE(Table2[[#This Row],[unique_id]], "_", " ")))</f>
        <v>Compensation Sensor Host May Temperature</v>
      </c>
      <c r="G327" s="30" t="s">
        <v>1454</v>
      </c>
      <c r="H327" s="30" t="s">
        <v>1226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2551</v>
      </c>
      <c r="B328" s="30" t="s">
        <v>26</v>
      </c>
      <c r="C328" s="30" t="s">
        <v>1207</v>
      </c>
      <c r="D328" s="30" t="s">
        <v>27</v>
      </c>
      <c r="E328" s="30" t="s">
        <v>1216</v>
      </c>
      <c r="F328" s="30" t="str">
        <f>IF(ISBLANK(Table2[[#This Row],[unique_id]]), "", PROPER(SUBSTITUTE(Table2[[#This Row],[unique_id]], "_", " ")))</f>
        <v>Host Meg Temperature</v>
      </c>
      <c r="G328" s="30" t="s">
        <v>1222</v>
      </c>
      <c r="H328" s="30" t="s">
        <v>1226</v>
      </c>
      <c r="I328" s="30" t="s">
        <v>291</v>
      </c>
      <c r="K328" s="30" t="s">
        <v>1221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1142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28" s="30" t="s">
        <v>1220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1347</v>
      </c>
      <c r="BC328" s="30" t="s">
        <v>1218</v>
      </c>
      <c r="BD328" s="30" t="s">
        <v>1217</v>
      </c>
      <c r="BF328" s="30" t="s">
        <v>990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2552</v>
      </c>
      <c r="B329" s="30" t="s">
        <v>26</v>
      </c>
      <c r="C329" s="30" t="s">
        <v>1207</v>
      </c>
      <c r="D329" s="30" t="s">
        <v>27</v>
      </c>
      <c r="E329" s="30" t="s">
        <v>1221</v>
      </c>
      <c r="F329" s="30" t="str">
        <f>IF(ISBLANK(Table2[[#This Row],[unique_id]]), "", PROPER(SUBSTITUTE(Table2[[#This Row],[unique_id]], "_", " ")))</f>
        <v>Compensation Sensor Host Meg Temperature</v>
      </c>
      <c r="G329" s="30" t="s">
        <v>1222</v>
      </c>
      <c r="H329" s="30" t="s">
        <v>1226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2553</v>
      </c>
      <c r="B330" s="30" t="s">
        <v>26</v>
      </c>
      <c r="C330" s="30" t="s">
        <v>1223</v>
      </c>
      <c r="D330" s="30" t="s">
        <v>27</v>
      </c>
      <c r="E330" s="30" t="s">
        <v>1231</v>
      </c>
      <c r="F330" s="30" t="str">
        <f>IF(ISBLANK(Table2[[#This Row],[unique_id]]), "", PROPER(SUBSTITUTE(Table2[[#This Row],[unique_id]], "_", " ")))</f>
        <v>Template Deck Festoons Plug Temperature Proxy</v>
      </c>
      <c r="G330" s="30" t="s">
        <v>1228</v>
      </c>
      <c r="H330" s="30" t="s">
        <v>1227</v>
      </c>
      <c r="I330" s="30" t="s">
        <v>291</v>
      </c>
      <c r="K330" s="30" t="s">
        <v>1164</v>
      </c>
      <c r="M330" s="30" t="s">
        <v>136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2554</v>
      </c>
      <c r="B331" s="30" t="s">
        <v>26</v>
      </c>
      <c r="C331" s="30" t="s">
        <v>1223</v>
      </c>
      <c r="D331" s="30" t="s">
        <v>27</v>
      </c>
      <c r="E331" s="30" t="s">
        <v>1230</v>
      </c>
      <c r="F331" s="30" t="str">
        <f>IF(ISBLANK(Table2[[#This Row],[unique_id]]), "", PROPER(SUBSTITUTE(Table2[[#This Row],[unique_id]], "_", " ")))</f>
        <v>Template Wardrobe Temperature Proxy</v>
      </c>
      <c r="G331" s="30" t="s">
        <v>1440</v>
      </c>
      <c r="H331" s="30" t="s">
        <v>1225</v>
      </c>
      <c r="I331" s="30" t="s">
        <v>291</v>
      </c>
      <c r="K331" s="30" t="s">
        <v>1170</v>
      </c>
      <c r="M331" s="30" t="s">
        <v>136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2555</v>
      </c>
      <c r="B332" s="30" t="s">
        <v>26</v>
      </c>
      <c r="C332" s="30" t="s">
        <v>1207</v>
      </c>
      <c r="D332" s="30" t="s">
        <v>27</v>
      </c>
      <c r="E332" s="30" t="s">
        <v>1469</v>
      </c>
      <c r="F332" s="30" t="str">
        <f>IF(ISBLANK(Table2[[#This Row],[unique_id]]), "", PROPER(SUBSTITUTE(Table2[[#This Row],[unique_id]], "_", " ")))</f>
        <v>Host Jen Temperature</v>
      </c>
      <c r="G332" s="30" t="s">
        <v>1470</v>
      </c>
      <c r="H332" s="30" t="s">
        <v>1225</v>
      </c>
      <c r="I332" s="30" t="s">
        <v>291</v>
      </c>
      <c r="K332" s="30" t="s">
        <v>1464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1465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2" s="30" t="s">
        <v>1466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Wardrobe</v>
      </c>
      <c r="BB332" s="30" t="s">
        <v>1471</v>
      </c>
      <c r="BC332" s="30" t="s">
        <v>1218</v>
      </c>
      <c r="BD332" s="30" t="s">
        <v>1217</v>
      </c>
      <c r="BF332" s="30" t="s">
        <v>990</v>
      </c>
      <c r="BG332" s="30" t="s">
        <v>495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2556</v>
      </c>
      <c r="B333" s="30" t="s">
        <v>26</v>
      </c>
      <c r="C333" s="30" t="s">
        <v>1207</v>
      </c>
      <c r="D333" s="30" t="s">
        <v>27</v>
      </c>
      <c r="E333" s="30" t="s">
        <v>1464</v>
      </c>
      <c r="F333" s="30" t="str">
        <f>IF(ISBLANK(Table2[[#This Row],[unique_id]]), "", PROPER(SUBSTITUTE(Table2[[#This Row],[unique_id]], "_", " ")))</f>
        <v>Compensation Sensor Host Jen Temperature</v>
      </c>
      <c r="G333" s="30" t="s">
        <v>1470</v>
      </c>
      <c r="H333" s="30" t="s">
        <v>1225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495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2557</v>
      </c>
      <c r="B334" s="30" t="s">
        <v>26</v>
      </c>
      <c r="C334" s="30" t="s">
        <v>622</v>
      </c>
      <c r="D334" s="30" t="s">
        <v>27</v>
      </c>
      <c r="E334" s="30" t="s">
        <v>660</v>
      </c>
      <c r="F334" s="36" t="str">
        <f>IF(ISBLANK(Table2[[#This Row],[unique_id]]), "", PROPER(SUBSTITUTE(Table2[[#This Row],[unique_id]], "_", " ")))</f>
        <v>Back Door Lock Battery</v>
      </c>
      <c r="G334" s="30" t="s">
        <v>646</v>
      </c>
      <c r="H334" s="30" t="s">
        <v>1189</v>
      </c>
      <c r="I334" s="30" t="s">
        <v>291</v>
      </c>
      <c r="M334" s="30" t="s">
        <v>136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2558</v>
      </c>
      <c r="B335" s="30" t="s">
        <v>26</v>
      </c>
      <c r="C335" s="30" t="s">
        <v>622</v>
      </c>
      <c r="D335" s="30" t="s">
        <v>27</v>
      </c>
      <c r="E335" s="30" t="s">
        <v>661</v>
      </c>
      <c r="F335" s="36" t="str">
        <f>IF(ISBLANK(Table2[[#This Row],[unique_id]]), "", PROPER(SUBSTITUTE(Table2[[#This Row],[unique_id]], "_", " ")))</f>
        <v>Front Door Lock Battery</v>
      </c>
      <c r="G335" s="30" t="s">
        <v>645</v>
      </c>
      <c r="H335" s="30" t="s">
        <v>1189</v>
      </c>
      <c r="I335" s="30" t="s">
        <v>291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2559</v>
      </c>
      <c r="B336" s="30" t="s">
        <v>26</v>
      </c>
      <c r="C336" s="30" t="s">
        <v>334</v>
      </c>
      <c r="D336" s="30" t="s">
        <v>27</v>
      </c>
      <c r="E336" s="30" t="s">
        <v>663</v>
      </c>
      <c r="F336" s="36" t="str">
        <f>IF(ISBLANK(Table2[[#This Row],[unique_id]]), "", PROPER(SUBSTITUTE(Table2[[#This Row],[unique_id]], "_", " ")))</f>
        <v>Template Back Door Sensor Battery Last</v>
      </c>
      <c r="G336" s="30" t="s">
        <v>648</v>
      </c>
      <c r="H336" s="30" t="s">
        <v>1189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2560</v>
      </c>
      <c r="B337" s="30" t="s">
        <v>26</v>
      </c>
      <c r="C337" s="30" t="s">
        <v>334</v>
      </c>
      <c r="D337" s="30" t="s">
        <v>27</v>
      </c>
      <c r="E337" s="30" t="s">
        <v>662</v>
      </c>
      <c r="F337" s="36" t="str">
        <f>IF(ISBLANK(Table2[[#This Row],[unique_id]]), "", PROPER(SUBSTITUTE(Table2[[#This Row],[unique_id]], "_", " ")))</f>
        <v>Template Front Door Sensor Battery Last</v>
      </c>
      <c r="G337" s="30" t="s">
        <v>647</v>
      </c>
      <c r="H337" s="30" t="s">
        <v>1189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2561</v>
      </c>
      <c r="B338" s="30" t="s">
        <v>579</v>
      </c>
      <c r="C338" s="30" t="s">
        <v>457</v>
      </c>
      <c r="D338" s="30" t="s">
        <v>27</v>
      </c>
      <c r="E338" s="30" t="s">
        <v>485</v>
      </c>
      <c r="F338" s="36" t="str">
        <f>IF(ISBLANK(Table2[[#This Row],[unique_id]]), "", PROPER(SUBSTITUTE(Table2[[#This Row],[unique_id]], "_", " ")))</f>
        <v>Home Cube Remote Battery</v>
      </c>
      <c r="G338" s="30" t="s">
        <v>465</v>
      </c>
      <c r="H338" s="30" t="s">
        <v>1189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s="49" customFormat="1" ht="16" hidden="1" customHeight="1" x14ac:dyDescent="0.2">
      <c r="A339" s="30">
        <v>2562</v>
      </c>
      <c r="B339" s="49" t="s">
        <v>26</v>
      </c>
      <c r="C339" s="49" t="s">
        <v>150</v>
      </c>
      <c r="D339" s="49" t="s">
        <v>27</v>
      </c>
      <c r="E339" s="49" t="s">
        <v>657</v>
      </c>
      <c r="F339" s="50" t="str">
        <f>IF(ISBLANK(Table2[[#This Row],[unique_id]]), "", PROPER(SUBSTITUTE(Table2[[#This Row],[unique_id]], "_", " ")))</f>
        <v>Template Weatherstation Console Battery Percent Int</v>
      </c>
      <c r="G339" s="49" t="s">
        <v>655</v>
      </c>
      <c r="H339" s="49" t="s">
        <v>1189</v>
      </c>
      <c r="I339" s="49" t="s">
        <v>291</v>
      </c>
      <c r="M339" s="49" t="s">
        <v>136</v>
      </c>
      <c r="O339" s="51"/>
      <c r="T339" s="52"/>
      <c r="V339" s="51"/>
      <c r="W339" s="51"/>
      <c r="X339" s="51"/>
      <c r="Y339" s="51"/>
      <c r="Z339" s="51"/>
      <c r="AA339" s="51"/>
      <c r="AB339" s="49" t="s">
        <v>31</v>
      </c>
      <c r="AC339" s="49" t="s">
        <v>32</v>
      </c>
      <c r="AD339" s="49" t="s">
        <v>656</v>
      </c>
      <c r="AG339" s="51"/>
      <c r="AH339" s="51"/>
      <c r="AR339" s="53"/>
      <c r="AT339" s="54"/>
      <c r="AU339" s="51"/>
      <c r="AV339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49" t="str">
        <f>IF(ISBLANK(Table2[[#This Row],[device_model]]), "", Table2[[#This Row],[device_suggested_area]])</f>
        <v/>
      </c>
      <c r="BF339" s="51"/>
      <c r="BN339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s="49" customFormat="1" ht="16" hidden="1" customHeight="1" x14ac:dyDescent="0.2">
      <c r="A340" s="30">
        <v>2563</v>
      </c>
      <c r="B340" s="49" t="s">
        <v>26</v>
      </c>
      <c r="C340" s="49" t="s">
        <v>39</v>
      </c>
      <c r="D340" s="49" t="s">
        <v>27</v>
      </c>
      <c r="E340" s="49" t="s">
        <v>170</v>
      </c>
      <c r="F340" s="50" t="str">
        <f>IF(ISBLANK(Table2[[#This Row],[unique_id]]), "", PROPER(SUBSTITUTE(Table2[[#This Row],[unique_id]], "_", " ")))</f>
        <v>Weatherstation Console Battery Voltage</v>
      </c>
      <c r="G340" s="49" t="s">
        <v>464</v>
      </c>
      <c r="H340" s="49" t="s">
        <v>1189</v>
      </c>
      <c r="I340" s="49" t="s">
        <v>291</v>
      </c>
      <c r="O340" s="51"/>
      <c r="T340" s="52"/>
      <c r="V340" s="51" t="s">
        <v>1240</v>
      </c>
      <c r="W340" s="51"/>
      <c r="X340" s="51"/>
      <c r="Y340" s="51"/>
      <c r="Z340" s="51"/>
      <c r="AA340" s="51"/>
      <c r="AB340" s="49" t="s">
        <v>31</v>
      </c>
      <c r="AC340" s="49" t="s">
        <v>83</v>
      </c>
      <c r="AD340" s="49" t="s">
        <v>84</v>
      </c>
      <c r="AE340" s="49" t="s">
        <v>272</v>
      </c>
      <c r="AF340" s="49">
        <v>300</v>
      </c>
      <c r="AG340" s="51" t="s">
        <v>34</v>
      </c>
      <c r="AH340" s="51"/>
      <c r="AI340" s="49" t="s">
        <v>85</v>
      </c>
      <c r="AJ340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0" s="49" t="str">
        <f>IF(ISBLANK(Table2[[#This Row],[index]]),  "", _xlfn.CONCAT(LOWER(Table2[[#This Row],[device_via_device]]), "/", Table2[[#This Row],[unique_id]]))</f>
        <v>weewx/weatherstation_console_battery_voltage</v>
      </c>
      <c r="AR340" s="53" t="s">
        <v>1187</v>
      </c>
      <c r="AS340" s="49">
        <v>1</v>
      </c>
      <c r="AT340" s="54"/>
      <c r="AV340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0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0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0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49" t="str">
        <f>IF(ISBLANK(Table2[[#This Row],[device_model]]), "", Table2[[#This Row],[device_suggested_area]])</f>
        <v>Wardrobe</v>
      </c>
      <c r="BB340" s="49" t="s">
        <v>1238</v>
      </c>
      <c r="BC340" s="49" t="s">
        <v>36</v>
      </c>
      <c r="BD340" s="49" t="s">
        <v>37</v>
      </c>
      <c r="BF340" s="49" t="s">
        <v>1064</v>
      </c>
      <c r="BG340" s="49" t="s">
        <v>495</v>
      </c>
      <c r="BN340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2564</v>
      </c>
      <c r="B341" s="30" t="s">
        <v>26</v>
      </c>
      <c r="C341" s="30" t="s">
        <v>128</v>
      </c>
      <c r="D341" s="30" t="s">
        <v>27</v>
      </c>
      <c r="E341" s="39" t="s">
        <v>1373</v>
      </c>
      <c r="F341" s="36" t="str">
        <f>IF(ISBLANK(Table2[[#This Row],[unique_id]]), "", PROPER(SUBSTITUTE(Table2[[#This Row],[unique_id]], "_", " ")))</f>
        <v>Office Pantry Battery</v>
      </c>
      <c r="G341" s="30" t="s">
        <v>458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Pantry</v>
      </c>
      <c r="BB341" s="30" t="s">
        <v>992</v>
      </c>
      <c r="BC341" s="30" t="s">
        <v>994</v>
      </c>
      <c r="BD341" s="30" t="s">
        <v>128</v>
      </c>
      <c r="BF341" s="30" t="s">
        <v>424</v>
      </c>
      <c r="BG341" s="30" t="s">
        <v>211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2565</v>
      </c>
      <c r="B342" s="30" t="s">
        <v>26</v>
      </c>
      <c r="C342" s="30" t="s">
        <v>128</v>
      </c>
      <c r="D342" s="30" t="s">
        <v>27</v>
      </c>
      <c r="E342" s="39" t="s">
        <v>1374</v>
      </c>
      <c r="F342" s="36" t="str">
        <f>IF(ISBLANK(Table2[[#This Row],[unique_id]]), "", PROPER(SUBSTITUTE(Table2[[#This Row],[unique_id]], "_", " ")))</f>
        <v>Office Lounge Battery</v>
      </c>
      <c r="G342" s="30" t="s">
        <v>459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Lounge</v>
      </c>
      <c r="BB342" s="30" t="s">
        <v>992</v>
      </c>
      <c r="BC342" s="30" t="s">
        <v>994</v>
      </c>
      <c r="BD342" s="30" t="s">
        <v>128</v>
      </c>
      <c r="BF342" s="30" t="s">
        <v>424</v>
      </c>
      <c r="BG342" s="30" t="s">
        <v>194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2566</v>
      </c>
      <c r="B343" s="30" t="s">
        <v>26</v>
      </c>
      <c r="C343" s="30" t="s">
        <v>128</v>
      </c>
      <c r="D343" s="30" t="s">
        <v>27</v>
      </c>
      <c r="E343" s="39" t="s">
        <v>1375</v>
      </c>
      <c r="F343" s="36" t="str">
        <f>IF(ISBLANK(Table2[[#This Row],[unique_id]]), "", PROPER(SUBSTITUTE(Table2[[#This Row],[unique_id]], "_", " ")))</f>
        <v>Office Dining Battery</v>
      </c>
      <c r="G343" s="30" t="s">
        <v>460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Dining</v>
      </c>
      <c r="BB343" s="30" t="s">
        <v>992</v>
      </c>
      <c r="BC343" s="30" t="s">
        <v>994</v>
      </c>
      <c r="BD343" s="30" t="s">
        <v>128</v>
      </c>
      <c r="BF343" s="30" t="s">
        <v>424</v>
      </c>
      <c r="BG343" s="30" t="s">
        <v>193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2567</v>
      </c>
      <c r="B344" s="30" t="s">
        <v>26</v>
      </c>
      <c r="C344" s="30" t="s">
        <v>128</v>
      </c>
      <c r="D344" s="30" t="s">
        <v>27</v>
      </c>
      <c r="E344" s="39" t="s">
        <v>1376</v>
      </c>
      <c r="F344" s="36" t="str">
        <f>IF(ISBLANK(Table2[[#This Row],[unique_id]]), "", PROPER(SUBSTITUTE(Table2[[#This Row],[unique_id]], "_", " ")))</f>
        <v>Office Basement Battery</v>
      </c>
      <c r="G344" s="30" t="s">
        <v>461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Basement</v>
      </c>
      <c r="BB344" s="30" t="s">
        <v>992</v>
      </c>
      <c r="BC344" s="30" t="s">
        <v>994</v>
      </c>
      <c r="BD344" s="30" t="s">
        <v>128</v>
      </c>
      <c r="BF344" s="30" t="s">
        <v>424</v>
      </c>
      <c r="BG344" s="30" t="s">
        <v>210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2568</v>
      </c>
      <c r="B345" s="30" t="s">
        <v>26</v>
      </c>
      <c r="C345" s="30" t="s">
        <v>182</v>
      </c>
      <c r="D345" s="30" t="s">
        <v>27</v>
      </c>
      <c r="E345" s="30" t="s">
        <v>736</v>
      </c>
      <c r="F345" s="36" t="str">
        <f>IF(ISBLANK(Table2[[#This Row],[unique_id]]), "", PROPER(SUBSTITUTE(Table2[[#This Row],[unique_id]], "_", " ")))</f>
        <v>Parents Move Battery</v>
      </c>
      <c r="G345" s="30" t="s">
        <v>462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2569</v>
      </c>
      <c r="B346" s="30" t="s">
        <v>26</v>
      </c>
      <c r="C346" s="30" t="s">
        <v>182</v>
      </c>
      <c r="D346" s="30" t="s">
        <v>27</v>
      </c>
      <c r="E346" s="30" t="s">
        <v>735</v>
      </c>
      <c r="F346" s="36" t="str">
        <f>IF(ISBLANK(Table2[[#This Row],[unique_id]]), "", PROPER(SUBSTITUTE(Table2[[#This Row],[unique_id]], "_", " ")))</f>
        <v>Kitchen Move Battery</v>
      </c>
      <c r="G346" s="30" t="s">
        <v>463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hidden="1" customHeight="1" x14ac:dyDescent="0.2">
      <c r="A347" s="30">
        <v>2570</v>
      </c>
      <c r="B347" s="30" t="s">
        <v>26</v>
      </c>
      <c r="C347" s="30" t="s">
        <v>440</v>
      </c>
      <c r="D347" s="30" t="s">
        <v>333</v>
      </c>
      <c r="E347" s="30" t="s">
        <v>332</v>
      </c>
      <c r="F347" s="36" t="str">
        <f>IF(ISBLANK(Table2[[#This Row],[unique_id]]), "", PROPER(SUBSTITUTE(Table2[[#This Row],[unique_id]], "_", " ")))</f>
        <v>Column Break</v>
      </c>
      <c r="G347" s="30" t="s">
        <v>329</v>
      </c>
      <c r="H347" s="30" t="s">
        <v>1189</v>
      </c>
      <c r="I347" s="30" t="s">
        <v>291</v>
      </c>
      <c r="M347" s="30" t="s">
        <v>330</v>
      </c>
      <c r="N347" s="30" t="s">
        <v>331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R347" s="39"/>
      <c r="AT347" s="32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hidden="1" customHeight="1" x14ac:dyDescent="0.2">
      <c r="A348" s="30">
        <v>2571</v>
      </c>
      <c r="B348" s="30" t="s">
        <v>26</v>
      </c>
      <c r="C348" s="30" t="s">
        <v>777</v>
      </c>
      <c r="D348" s="30" t="s">
        <v>27</v>
      </c>
      <c r="E348" s="30" t="s">
        <v>828</v>
      </c>
      <c r="F348" s="36" t="str">
        <f>IF(ISBLANK(Table2[[#This Row],[unique_id]]), "", PROPER(SUBSTITUTE(Table2[[#This Row],[unique_id]], "_", " ")))</f>
        <v>All Standby</v>
      </c>
      <c r="G348" s="30" t="s">
        <v>829</v>
      </c>
      <c r="H348" s="30" t="s">
        <v>526</v>
      </c>
      <c r="I348" s="30" t="s">
        <v>291</v>
      </c>
      <c r="O348" s="31" t="s">
        <v>788</v>
      </c>
      <c r="P348" s="30"/>
      <c r="R348" s="41"/>
      <c r="T348" s="37" t="s">
        <v>827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2572</v>
      </c>
      <c r="B349" s="30" t="s">
        <v>26</v>
      </c>
      <c r="C349" s="30" t="s">
        <v>695</v>
      </c>
      <c r="D349" s="30" t="s">
        <v>134</v>
      </c>
      <c r="E349" s="30" t="s">
        <v>1506</v>
      </c>
      <c r="F349" s="36" t="str">
        <f>IF(ISBLANK(Table2[[#This Row],[unique_id]]), "", PROPER(SUBSTITUTE(Table2[[#This Row],[unique_id]], "_", " ")))</f>
        <v>Rack Printer Plug</v>
      </c>
      <c r="G349" s="30" t="s">
        <v>1521</v>
      </c>
      <c r="H349" s="30" t="s">
        <v>526</v>
      </c>
      <c r="I349" s="30" t="s">
        <v>291</v>
      </c>
      <c r="M349" s="30" t="s">
        <v>257</v>
      </c>
      <c r="O349" s="31" t="s">
        <v>788</v>
      </c>
      <c r="P349" s="30"/>
      <c r="T349" s="37" t="s">
        <v>971</v>
      </c>
      <c r="U349" s="30"/>
      <c r="V349" s="31"/>
      <c r="W349" s="31"/>
      <c r="X349" s="31"/>
      <c r="Y349" s="31"/>
      <c r="Z349" s="31"/>
      <c r="AA349" s="31" t="s">
        <v>1109</v>
      </c>
      <c r="AB349" s="30"/>
      <c r="AC349" s="30"/>
      <c r="AE349" s="30" t="s">
        <v>1507</v>
      </c>
      <c r="AF349" s="30">
        <v>10</v>
      </c>
      <c r="AG349" s="31" t="s">
        <v>34</v>
      </c>
      <c r="AH349" s="31" t="s">
        <v>897</v>
      </c>
      <c r="AJ349" s="30" t="str">
        <f>_xlfn.CONCAT("homeassistant/", Table2[[#This Row],[entity_namespace]], "/tasmota/",Table2[[#This Row],[unique_id]], "/config")</f>
        <v>homeassistant/switch/tasmota/rack_printer_plug/config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9" s="30" t="str">
        <f>_xlfn.CONCAT("tasmota/device/",Table2[[#This Row],[unique_id]], "/cmnd/POWER")</f>
        <v>tasmota/device/rack_printer_plug/cmnd/POWER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9" s="30" t="s">
        <v>916</v>
      </c>
      <c r="AO349" s="30" t="s">
        <v>917</v>
      </c>
      <c r="AP349" s="30" t="s">
        <v>906</v>
      </c>
      <c r="AQ349" s="30" t="s">
        <v>907</v>
      </c>
      <c r="AR349" s="30" t="s">
        <v>970</v>
      </c>
      <c r="AS349" s="30">
        <v>1</v>
      </c>
      <c r="AT349" s="34" t="str">
        <f>HYPERLINK(_xlfn.CONCAT("http://", Table2[[#This Row],[connection_ip]], "/?"))</f>
        <v>http://10.0.4.111/?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382</v>
      </c>
      <c r="BC349" s="39" t="s">
        <v>767</v>
      </c>
      <c r="BD349" s="30" t="s">
        <v>1110</v>
      </c>
      <c r="BF349" s="30" t="s">
        <v>887</v>
      </c>
      <c r="BG349" s="30" t="s">
        <v>28</v>
      </c>
      <c r="BK349" s="30" t="s">
        <v>1278</v>
      </c>
      <c r="BL349" s="30" t="s">
        <v>1526</v>
      </c>
      <c r="BM349" s="30" t="s">
        <v>1522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0" spans="1:66" ht="16" hidden="1" customHeight="1" x14ac:dyDescent="0.2">
      <c r="A350" s="30">
        <v>2573</v>
      </c>
      <c r="B350" s="30" t="s">
        <v>26</v>
      </c>
      <c r="C350" s="30" t="s">
        <v>695</v>
      </c>
      <c r="D350" s="30" t="s">
        <v>134</v>
      </c>
      <c r="E350" s="30" t="s">
        <v>1516</v>
      </c>
      <c r="F350" s="36" t="str">
        <f>IF(ISBLANK(Table2[[#This Row],[unique_id]]), "", PROPER(SUBSTITUTE(Table2[[#This Row],[unique_id]], "_", " ")))</f>
        <v>Rack Screen Plug</v>
      </c>
      <c r="G350" s="30" t="s">
        <v>1509</v>
      </c>
      <c r="H350" s="30" t="s">
        <v>526</v>
      </c>
      <c r="I350" s="30" t="s">
        <v>291</v>
      </c>
      <c r="M350" s="30" t="s">
        <v>257</v>
      </c>
      <c r="O350" s="31" t="s">
        <v>788</v>
      </c>
      <c r="P350" s="30"/>
      <c r="T350" s="37" t="s">
        <v>971</v>
      </c>
      <c r="U350" s="30"/>
      <c r="V350" s="31"/>
      <c r="W350" s="31"/>
      <c r="X350" s="31"/>
      <c r="Y350" s="31"/>
      <c r="Z350" s="31"/>
      <c r="AA350" s="31" t="s">
        <v>1109</v>
      </c>
      <c r="AB350" s="30"/>
      <c r="AC350" s="30"/>
      <c r="AE350" s="30" t="s">
        <v>1510</v>
      </c>
      <c r="AF350" s="30">
        <v>10</v>
      </c>
      <c r="AG350" s="31" t="s">
        <v>34</v>
      </c>
      <c r="AH350" s="31" t="s">
        <v>897</v>
      </c>
      <c r="AJ350" s="30" t="str">
        <f>_xlfn.CONCAT("homeassistant/", Table2[[#This Row],[entity_namespace]], "/tasmota/",Table2[[#This Row],[unique_id]], "/config")</f>
        <v>homeassistant/switch/tasmota/rack_screen_plug/config</v>
      </c>
      <c r="AK350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0" s="30" t="str">
        <f>_xlfn.CONCAT("tasmota/device/",Table2[[#This Row],[unique_id]], "/cmnd/POWER")</f>
        <v>tasmota/device/rack_screen_plug/cmnd/POWER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0" s="30" t="s">
        <v>916</v>
      </c>
      <c r="AO350" s="30" t="s">
        <v>917</v>
      </c>
      <c r="AP350" s="30" t="s">
        <v>906</v>
      </c>
      <c r="AQ350" s="30" t="s">
        <v>907</v>
      </c>
      <c r="AR350" s="30" t="s">
        <v>970</v>
      </c>
      <c r="AS350" s="30">
        <v>1</v>
      </c>
      <c r="AT350" s="34" t="str">
        <f>HYPERLINK(_xlfn.CONCAT("http://", Table2[[#This Row],[connection_ip]], "/?"))</f>
        <v>http://10.0.4.109/?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1513</v>
      </c>
      <c r="BC350" s="39" t="s">
        <v>767</v>
      </c>
      <c r="BD350" s="30" t="s">
        <v>1110</v>
      </c>
      <c r="BF350" s="30" t="s">
        <v>887</v>
      </c>
      <c r="BG350" s="30" t="s">
        <v>28</v>
      </c>
      <c r="BK350" s="30" t="s">
        <v>1278</v>
      </c>
      <c r="BL350" s="30" t="s">
        <v>1518</v>
      </c>
      <c r="BM350" s="30" t="s">
        <v>1514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1" spans="1:66" ht="16" hidden="1" customHeight="1" x14ac:dyDescent="0.2">
      <c r="A351" s="30">
        <v>2574</v>
      </c>
      <c r="B351" s="30" t="s">
        <v>26</v>
      </c>
      <c r="C351" s="30" t="s">
        <v>695</v>
      </c>
      <c r="D351" s="30" t="s">
        <v>134</v>
      </c>
      <c r="E351" s="30" t="s">
        <v>1485</v>
      </c>
      <c r="F351" s="36" t="str">
        <f>IF(ISBLANK(Table2[[#This Row],[unique_id]]), "", PROPER(SUBSTITUTE(Table2[[#This Row],[unique_id]], "_", " ")))</f>
        <v>Rack Backup Plug</v>
      </c>
      <c r="G351" s="30" t="s">
        <v>1508</v>
      </c>
      <c r="H351" s="30" t="s">
        <v>526</v>
      </c>
      <c r="I351" s="30" t="s">
        <v>291</v>
      </c>
      <c r="M351" s="30" t="s">
        <v>257</v>
      </c>
      <c r="O351" s="31" t="s">
        <v>788</v>
      </c>
      <c r="P351" s="30"/>
      <c r="T351" s="37" t="s">
        <v>971</v>
      </c>
      <c r="U351" s="30"/>
      <c r="V351" s="31"/>
      <c r="W351" s="31"/>
      <c r="X351" s="31"/>
      <c r="Y351" s="31"/>
      <c r="Z351" s="31"/>
      <c r="AA351" s="31" t="s">
        <v>1109</v>
      </c>
      <c r="AB351" s="30"/>
      <c r="AC351" s="30"/>
      <c r="AE351" s="30" t="s">
        <v>1511</v>
      </c>
      <c r="AF351" s="30">
        <v>10</v>
      </c>
      <c r="AG351" s="31" t="s">
        <v>34</v>
      </c>
      <c r="AH351" s="31" t="s">
        <v>897</v>
      </c>
      <c r="AJ351" s="30" t="str">
        <f>_xlfn.CONCAT("homeassistant/", Table2[[#This Row],[entity_namespace]], "/tasmota/",Table2[[#This Row],[unique_id]], "/config")</f>
        <v>homeassistant/switch/tasmota/rack_backup_plug/config</v>
      </c>
      <c r="AK351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1" s="30" t="str">
        <f>_xlfn.CONCAT("tasmota/device/",Table2[[#This Row],[unique_id]], "/cmnd/POWER")</f>
        <v>tasmota/device/rack_backup_plug/cmnd/POWER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1" s="30" t="s">
        <v>916</v>
      </c>
      <c r="AO351" s="30" t="s">
        <v>917</v>
      </c>
      <c r="AP351" s="30" t="s">
        <v>906</v>
      </c>
      <c r="AQ351" s="30" t="s">
        <v>907</v>
      </c>
      <c r="AR351" s="30" t="s">
        <v>970</v>
      </c>
      <c r="AS351" s="30">
        <v>1</v>
      </c>
      <c r="AT351" s="34" t="str">
        <f>HYPERLINK(_xlfn.CONCAT("http://", Table2[[#This Row],[connection_ip]], "/?"))</f>
        <v>http://10.0.4.110/?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1512</v>
      </c>
      <c r="BC351" s="39" t="s">
        <v>767</v>
      </c>
      <c r="BD351" s="30" t="s">
        <v>1110</v>
      </c>
      <c r="BF351" s="30" t="s">
        <v>887</v>
      </c>
      <c r="BG351" s="30" t="s">
        <v>28</v>
      </c>
      <c r="BK351" s="30" t="s">
        <v>1278</v>
      </c>
      <c r="BL351" s="30" t="s">
        <v>1517</v>
      </c>
      <c r="BM351" s="30" t="s">
        <v>1515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2" spans="1:66" ht="16" hidden="1" customHeight="1" x14ac:dyDescent="0.2">
      <c r="A352" s="30">
        <v>2575</v>
      </c>
      <c r="B352" s="30" t="s">
        <v>26</v>
      </c>
      <c r="C352" s="30" t="s">
        <v>695</v>
      </c>
      <c r="D352" s="30" t="s">
        <v>134</v>
      </c>
      <c r="E352" s="30" t="s">
        <v>888</v>
      </c>
      <c r="F352" s="36" t="str">
        <f>IF(ISBLANK(Table2[[#This Row],[unique_id]]), "", PROPER(SUBSTITUTE(Table2[[#This Row],[unique_id]], "_", " ")))</f>
        <v>Rack Fans Plug</v>
      </c>
      <c r="G352" s="30" t="s">
        <v>588</v>
      </c>
      <c r="H352" s="30" t="s">
        <v>526</v>
      </c>
      <c r="I352" s="30" t="s">
        <v>291</v>
      </c>
      <c r="M352" s="30" t="s">
        <v>257</v>
      </c>
      <c r="O352" s="31" t="s">
        <v>788</v>
      </c>
      <c r="P352" s="30"/>
      <c r="T352" s="37" t="s">
        <v>971</v>
      </c>
      <c r="U352" s="30"/>
      <c r="V352" s="31"/>
      <c r="W352" s="31"/>
      <c r="X352" s="31"/>
      <c r="Y352" s="31"/>
      <c r="Z352" s="31"/>
      <c r="AA352" s="31" t="s">
        <v>1109</v>
      </c>
      <c r="AB352" s="30"/>
      <c r="AC352" s="30"/>
      <c r="AE352" s="30" t="s">
        <v>590</v>
      </c>
      <c r="AF352" s="30">
        <v>10</v>
      </c>
      <c r="AG352" s="31" t="s">
        <v>34</v>
      </c>
      <c r="AH352" s="31" t="s">
        <v>897</v>
      </c>
      <c r="AJ352" s="30" t="str">
        <f>_xlfn.CONCAT("homeassistant/", Table2[[#This Row],[entity_namespace]], "/tasmota/",Table2[[#This Row],[unique_id]], "/config")</f>
        <v>homeassistant/switch/tasmota/rack_fans_plug/config</v>
      </c>
      <c r="AK352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2" s="30" t="str">
        <f>_xlfn.CONCAT("tasmota/device/",Table2[[#This Row],[unique_id]], "/cmnd/POWER")</f>
        <v>tasmota/device/rack_fans_plug/cmnd/POWER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2" s="30" t="s">
        <v>916</v>
      </c>
      <c r="AO352" s="30" t="s">
        <v>917</v>
      </c>
      <c r="AP352" s="30" t="s">
        <v>906</v>
      </c>
      <c r="AQ352" s="30" t="s">
        <v>907</v>
      </c>
      <c r="AR352" s="30" t="s">
        <v>970</v>
      </c>
      <c r="AS352" s="30">
        <v>1</v>
      </c>
      <c r="AT352" s="34" t="str">
        <f>HYPERLINK(_xlfn.CONCAT("http://", Table2[[#This Row],[connection_ip]], "/?"))</f>
        <v>http://10.0.4.101/?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131</v>
      </c>
      <c r="BC352" s="39" t="s">
        <v>767</v>
      </c>
      <c r="BD352" s="30" t="s">
        <v>1110</v>
      </c>
      <c r="BF352" s="30" t="s">
        <v>887</v>
      </c>
      <c r="BG352" s="30" t="s">
        <v>28</v>
      </c>
      <c r="BK352" s="30" t="s">
        <v>1278</v>
      </c>
      <c r="BL352" s="30" t="s">
        <v>589</v>
      </c>
      <c r="BM352" s="30" t="s">
        <v>1332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3" spans="1:66" ht="16" hidden="1" customHeight="1" x14ac:dyDescent="0.2">
      <c r="A353" s="30">
        <v>2576</v>
      </c>
      <c r="B353" s="30" t="s">
        <v>26</v>
      </c>
      <c r="C353" s="30" t="s">
        <v>808</v>
      </c>
      <c r="D353" s="30" t="s">
        <v>148</v>
      </c>
      <c r="E353" s="37" t="s">
        <v>1071</v>
      </c>
      <c r="F353" s="36" t="str">
        <f>IF(ISBLANK(Table2[[#This Row],[unique_id]]), "", PROPER(SUBSTITUTE(Table2[[#This Row],[unique_id]], "_", " ")))</f>
        <v>Template Lounge Tv Plug Proxy</v>
      </c>
      <c r="G353" s="30" t="s">
        <v>180</v>
      </c>
      <c r="H353" s="30" t="s">
        <v>526</v>
      </c>
      <c r="I353" s="30" t="s">
        <v>291</v>
      </c>
      <c r="O353" s="31" t="s">
        <v>788</v>
      </c>
      <c r="P353" s="30" t="s">
        <v>165</v>
      </c>
      <c r="Q353" s="30" t="s">
        <v>760</v>
      </c>
      <c r="R353" s="41" t="s">
        <v>745</v>
      </c>
      <c r="S353" s="30" t="str">
        <f>Table2[[#This Row],[friendly_name]]</f>
        <v>Lounge TV</v>
      </c>
      <c r="T353" s="37" t="s">
        <v>1068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R353" s="39"/>
      <c r="AT353" s="32"/>
      <c r="AU353" s="30" t="s">
        <v>134</v>
      </c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Lounge</v>
      </c>
      <c r="BB353" s="30" t="s">
        <v>981</v>
      </c>
      <c r="BC353" s="30" t="s">
        <v>359</v>
      </c>
      <c r="BD353" s="30" t="s">
        <v>233</v>
      </c>
      <c r="BF353" s="30" t="s">
        <v>362</v>
      </c>
      <c r="BG353" s="30" t="s">
        <v>194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2577</v>
      </c>
      <c r="B354" s="30" t="s">
        <v>26</v>
      </c>
      <c r="C354" s="30" t="s">
        <v>233</v>
      </c>
      <c r="D354" s="30" t="s">
        <v>134</v>
      </c>
      <c r="E354" s="30" t="s">
        <v>1070</v>
      </c>
      <c r="F354" s="36" t="str">
        <f>IF(ISBLANK(Table2[[#This Row],[unique_id]]), "", PROPER(SUBSTITUTE(Table2[[#This Row],[unique_id]], "_", " ")))</f>
        <v>Lounge Tv Plug</v>
      </c>
      <c r="G354" s="30" t="s">
        <v>180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 t="s">
        <v>165</v>
      </c>
      <c r="Q354" s="30" t="s">
        <v>760</v>
      </c>
      <c r="R354" s="41" t="s">
        <v>745</v>
      </c>
      <c r="S354" s="30" t="str">
        <f>Table2[[#This Row],[friendly_name]]</f>
        <v>Lounge TV</v>
      </c>
      <c r="T354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4" s="30"/>
      <c r="V354" s="31"/>
      <c r="W354" s="31"/>
      <c r="X354" s="31"/>
      <c r="Y354" s="31"/>
      <c r="Z354" s="31"/>
      <c r="AA354" s="31"/>
      <c r="AB354" s="30"/>
      <c r="AC354" s="30"/>
      <c r="AE354" s="30" t="s">
        <v>250</v>
      </c>
      <c r="AG354" s="31"/>
      <c r="AH354" s="31"/>
      <c r="AT354" s="40"/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Lounge</v>
      </c>
      <c r="BB354" s="30" t="s">
        <v>981</v>
      </c>
      <c r="BC354" s="30" t="s">
        <v>359</v>
      </c>
      <c r="BD354" s="30" t="s">
        <v>233</v>
      </c>
      <c r="BF354" s="30" t="s">
        <v>362</v>
      </c>
      <c r="BG354" s="30" t="s">
        <v>194</v>
      </c>
      <c r="BJ354" s="30" t="s">
        <v>978</v>
      </c>
      <c r="BK354" s="30" t="s">
        <v>1278</v>
      </c>
      <c r="BL354" s="30" t="s">
        <v>349</v>
      </c>
      <c r="BM354" s="30" t="s">
        <v>1312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5" spans="1:66" s="55" customFormat="1" ht="16" hidden="1" customHeight="1" x14ac:dyDescent="0.2">
      <c r="A355" s="30">
        <v>2578</v>
      </c>
      <c r="B355" s="55" t="s">
        <v>579</v>
      </c>
      <c r="C355" s="55" t="s">
        <v>808</v>
      </c>
      <c r="D355" s="55" t="s">
        <v>148</v>
      </c>
      <c r="E355" s="56" t="s">
        <v>1416</v>
      </c>
      <c r="F355" s="57" t="str">
        <f>IF(ISBLANK(Table2[[#This Row],[unique_id]]), "", PROPER(SUBSTITUTE(Table2[[#This Row],[unique_id]], "_", " ")))</f>
        <v>Broken Template Lounge Sub Plug Proxy</v>
      </c>
      <c r="G355" s="55" t="s">
        <v>792</v>
      </c>
      <c r="H355" s="55" t="s">
        <v>526</v>
      </c>
      <c r="I355" s="55" t="s">
        <v>291</v>
      </c>
      <c r="O355" s="58" t="s">
        <v>788</v>
      </c>
      <c r="P355" s="55" t="s">
        <v>165</v>
      </c>
      <c r="Q355" s="55" t="s">
        <v>760</v>
      </c>
      <c r="R355" s="61" t="s">
        <v>745</v>
      </c>
      <c r="S355" s="55" t="str">
        <f>Table2[[#This Row],[friendly_name]]</f>
        <v>Lounge Sub</v>
      </c>
      <c r="T355" s="56" t="s">
        <v>1068</v>
      </c>
      <c r="V355" s="58"/>
      <c r="W355" s="58"/>
      <c r="X355" s="58"/>
      <c r="Y355" s="58"/>
      <c r="Z355" s="58"/>
      <c r="AA355" s="58"/>
      <c r="AG355" s="58"/>
      <c r="AH355" s="58"/>
      <c r="AR355" s="60"/>
      <c r="AT355" s="62"/>
      <c r="AU355" s="55" t="s">
        <v>134</v>
      </c>
      <c r="AV35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5" t="str">
        <f>IF(ISBLANK(Table2[[#This Row],[device_model]]), "", Table2[[#This Row],[device_suggested_area]])</f>
        <v>Lounge</v>
      </c>
      <c r="BB355" s="55" t="s">
        <v>1021</v>
      </c>
      <c r="BC355" s="60" t="s">
        <v>360</v>
      </c>
      <c r="BD355" s="55" t="s">
        <v>233</v>
      </c>
      <c r="BF355" s="55" t="s">
        <v>361</v>
      </c>
      <c r="BG355" s="55" t="s">
        <v>194</v>
      </c>
      <c r="BN35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5" customFormat="1" ht="16" hidden="1" customHeight="1" x14ac:dyDescent="0.2">
      <c r="A356" s="30">
        <v>2579</v>
      </c>
      <c r="B356" s="55" t="s">
        <v>579</v>
      </c>
      <c r="C356" s="55" t="s">
        <v>233</v>
      </c>
      <c r="D356" s="55" t="s">
        <v>134</v>
      </c>
      <c r="E356" s="55" t="s">
        <v>1417</v>
      </c>
      <c r="F356" s="57" t="str">
        <f>IF(ISBLANK(Table2[[#This Row],[unique_id]]), "", PROPER(SUBSTITUTE(Table2[[#This Row],[unique_id]], "_", " ")))</f>
        <v>Broken Lounge Sub Plug</v>
      </c>
      <c r="G356" s="55" t="s">
        <v>792</v>
      </c>
      <c r="H356" s="55" t="s">
        <v>526</v>
      </c>
      <c r="I356" s="55" t="s">
        <v>291</v>
      </c>
      <c r="M356" s="55" t="s">
        <v>257</v>
      </c>
      <c r="O356" s="58" t="s">
        <v>788</v>
      </c>
      <c r="P356" s="55" t="s">
        <v>165</v>
      </c>
      <c r="Q356" s="55" t="s">
        <v>760</v>
      </c>
      <c r="R356" s="61" t="s">
        <v>745</v>
      </c>
      <c r="S356" s="55" t="str">
        <f>Table2[[#This Row],[friendly_name]]</f>
        <v>Lounge Sub</v>
      </c>
      <c r="T356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6" s="58"/>
      <c r="W356" s="58"/>
      <c r="X356" s="58"/>
      <c r="Y356" s="58"/>
      <c r="Z356" s="58"/>
      <c r="AA356" s="58"/>
      <c r="AE356" s="55" t="s">
        <v>793</v>
      </c>
      <c r="AG356" s="58"/>
      <c r="AH356" s="58"/>
      <c r="AT356" s="59"/>
      <c r="AV35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5" t="str">
        <f>IF(ISBLANK(Table2[[#This Row],[device_model]]), "", Table2[[#This Row],[device_suggested_area]])</f>
        <v>Lounge</v>
      </c>
      <c r="BB356" s="55" t="s">
        <v>1021</v>
      </c>
      <c r="BC356" s="60" t="s">
        <v>360</v>
      </c>
      <c r="BD356" s="55" t="s">
        <v>233</v>
      </c>
      <c r="BF356" s="55" t="s">
        <v>361</v>
      </c>
      <c r="BG356" s="55" t="s">
        <v>194</v>
      </c>
      <c r="BJ356" s="55" t="s">
        <v>977</v>
      </c>
      <c r="BK356" s="55" t="s">
        <v>1278</v>
      </c>
      <c r="BL356" s="55" t="s">
        <v>340</v>
      </c>
      <c r="BM356" s="55" t="s">
        <v>1313</v>
      </c>
      <c r="BN35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7" spans="1:66" s="55" customFormat="1" ht="16" hidden="1" customHeight="1" x14ac:dyDescent="0.2">
      <c r="A357" s="30">
        <v>2580</v>
      </c>
      <c r="B357" s="55" t="s">
        <v>579</v>
      </c>
      <c r="C357" s="55" t="s">
        <v>808</v>
      </c>
      <c r="D357" s="55" t="s">
        <v>148</v>
      </c>
      <c r="E357" s="56" t="s">
        <v>1418</v>
      </c>
      <c r="F357" s="57" t="str">
        <f>IF(ISBLANK(Table2[[#This Row],[unique_id]]), "", PROPER(SUBSTITUTE(Table2[[#This Row],[unique_id]], "_", " ")))</f>
        <v>Broken Template Study Outlet Plug Proxy</v>
      </c>
      <c r="G357" s="55" t="s">
        <v>226</v>
      </c>
      <c r="H357" s="55" t="s">
        <v>526</v>
      </c>
      <c r="I357" s="55" t="s">
        <v>291</v>
      </c>
      <c r="O357" s="58" t="s">
        <v>788</v>
      </c>
      <c r="P357" s="55" t="s">
        <v>165</v>
      </c>
      <c r="Q357" s="55" t="s">
        <v>760</v>
      </c>
      <c r="R357" s="55" t="s">
        <v>526</v>
      </c>
      <c r="S357" s="55" t="str">
        <f>Table2[[#This Row],[friendly_name]]</f>
        <v>Study Outlet</v>
      </c>
      <c r="T357" s="56" t="s">
        <v>1067</v>
      </c>
      <c r="V357" s="58"/>
      <c r="W357" s="58"/>
      <c r="X357" s="58"/>
      <c r="Y357" s="58"/>
      <c r="Z357" s="58"/>
      <c r="AA357" s="58"/>
      <c r="AG357" s="58"/>
      <c r="AH357" s="58"/>
      <c r="AT357" s="59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Study</v>
      </c>
      <c r="BB357" s="55" t="s">
        <v>1019</v>
      </c>
      <c r="BC357" s="60" t="s">
        <v>360</v>
      </c>
      <c r="BD357" s="55" t="s">
        <v>233</v>
      </c>
      <c r="BF357" s="55" t="s">
        <v>361</v>
      </c>
      <c r="BG357" s="55" t="s">
        <v>356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hidden="1" customHeight="1" x14ac:dyDescent="0.2">
      <c r="A358" s="30">
        <v>2581</v>
      </c>
      <c r="B358" s="55" t="s">
        <v>579</v>
      </c>
      <c r="C358" s="55" t="s">
        <v>233</v>
      </c>
      <c r="D358" s="55" t="s">
        <v>134</v>
      </c>
      <c r="E358" s="55" t="s">
        <v>1419</v>
      </c>
      <c r="F358" s="57" t="str">
        <f>IF(ISBLANK(Table2[[#This Row],[unique_id]]), "", PROPER(SUBSTITUTE(Table2[[#This Row],[unique_id]], "_", " ")))</f>
        <v>Broken Study Outlet Plug</v>
      </c>
      <c r="G358" s="55" t="s">
        <v>226</v>
      </c>
      <c r="H358" s="55" t="s">
        <v>526</v>
      </c>
      <c r="I358" s="55" t="s">
        <v>291</v>
      </c>
      <c r="M358" s="55" t="s">
        <v>257</v>
      </c>
      <c r="O358" s="58" t="s">
        <v>788</v>
      </c>
      <c r="P358" s="55" t="s">
        <v>165</v>
      </c>
      <c r="Q358" s="55" t="s">
        <v>760</v>
      </c>
      <c r="R358" s="55" t="s">
        <v>526</v>
      </c>
      <c r="S358" s="55" t="str">
        <f>Table2[[#This Row],[friendly_name]]</f>
        <v>Study Outlet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251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Study</v>
      </c>
      <c r="BB358" s="55" t="s">
        <v>1019</v>
      </c>
      <c r="BC358" s="60" t="s">
        <v>360</v>
      </c>
      <c r="BD358" s="55" t="s">
        <v>233</v>
      </c>
      <c r="BF358" s="55" t="s">
        <v>361</v>
      </c>
      <c r="BG358" s="55" t="s">
        <v>356</v>
      </c>
      <c r="BJ358" s="55" t="s">
        <v>977</v>
      </c>
      <c r="BK358" s="55" t="s">
        <v>1278</v>
      </c>
      <c r="BL358" s="55" t="s">
        <v>351</v>
      </c>
      <c r="BM358" s="55" t="s">
        <v>1314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9" spans="1:66" s="55" customFormat="1" ht="16" hidden="1" customHeight="1" x14ac:dyDescent="0.2">
      <c r="A359" s="30">
        <v>2582</v>
      </c>
      <c r="B359" s="55" t="s">
        <v>579</v>
      </c>
      <c r="C359" s="55" t="s">
        <v>808</v>
      </c>
      <c r="D359" s="55" t="s">
        <v>148</v>
      </c>
      <c r="E359" s="56" t="s">
        <v>1420</v>
      </c>
      <c r="F359" s="57" t="str">
        <f>IF(ISBLANK(Table2[[#This Row],[unique_id]]), "", PROPER(SUBSTITUTE(Table2[[#This Row],[unique_id]], "_", " ")))</f>
        <v>Broken Template Office Outlet Plug Proxy</v>
      </c>
      <c r="G359" s="55" t="s">
        <v>225</v>
      </c>
      <c r="H359" s="55" t="s">
        <v>526</v>
      </c>
      <c r="I359" s="55" t="s">
        <v>291</v>
      </c>
      <c r="O359" s="58" t="s">
        <v>788</v>
      </c>
      <c r="P359" s="55" t="s">
        <v>165</v>
      </c>
      <c r="Q359" s="55" t="s">
        <v>760</v>
      </c>
      <c r="R359" s="55" t="s">
        <v>526</v>
      </c>
      <c r="S359" s="55" t="str">
        <f>Table2[[#This Row],[friendly_name]]</f>
        <v>Office Outlet</v>
      </c>
      <c r="T359" s="56" t="s">
        <v>1067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Office</v>
      </c>
      <c r="BB359" s="55" t="s">
        <v>1019</v>
      </c>
      <c r="BC359" s="60" t="s">
        <v>360</v>
      </c>
      <c r="BD359" s="55" t="s">
        <v>233</v>
      </c>
      <c r="BF359" s="55" t="s">
        <v>361</v>
      </c>
      <c r="BG359" s="55" t="s">
        <v>212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hidden="1" customHeight="1" x14ac:dyDescent="0.2">
      <c r="A360" s="30">
        <v>2583</v>
      </c>
      <c r="B360" s="55" t="s">
        <v>579</v>
      </c>
      <c r="C360" s="55" t="s">
        <v>233</v>
      </c>
      <c r="D360" s="55" t="s">
        <v>134</v>
      </c>
      <c r="E360" s="55" t="s">
        <v>1421</v>
      </c>
      <c r="F360" s="57" t="str">
        <f>IF(ISBLANK(Table2[[#This Row],[unique_id]]), "", PROPER(SUBSTITUTE(Table2[[#This Row],[unique_id]], "_", " ")))</f>
        <v>Broken Office Outlet Plug</v>
      </c>
      <c r="G360" s="55" t="s">
        <v>225</v>
      </c>
      <c r="H360" s="55" t="s">
        <v>526</v>
      </c>
      <c r="I360" s="55" t="s">
        <v>291</v>
      </c>
      <c r="M360" s="55" t="s">
        <v>257</v>
      </c>
      <c r="O360" s="58" t="s">
        <v>788</v>
      </c>
      <c r="P360" s="55" t="s">
        <v>165</v>
      </c>
      <c r="Q360" s="55" t="s">
        <v>760</v>
      </c>
      <c r="R360" s="55" t="s">
        <v>526</v>
      </c>
      <c r="S360" s="55" t="str">
        <f>Table2[[#This Row],[friendly_name]]</f>
        <v>Office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Office</v>
      </c>
      <c r="BB360" s="55" t="s">
        <v>1019</v>
      </c>
      <c r="BC360" s="60" t="s">
        <v>360</v>
      </c>
      <c r="BD360" s="55" t="s">
        <v>233</v>
      </c>
      <c r="BF360" s="55" t="s">
        <v>361</v>
      </c>
      <c r="BG360" s="55" t="s">
        <v>212</v>
      </c>
      <c r="BJ360" s="55" t="s">
        <v>978</v>
      </c>
      <c r="BK360" s="55" t="s">
        <v>1278</v>
      </c>
      <c r="BL360" s="55" t="s">
        <v>352</v>
      </c>
      <c r="BM360" s="55" t="s">
        <v>1315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1" spans="1:66" s="55" customFormat="1" ht="16" hidden="1" customHeight="1" x14ac:dyDescent="0.2">
      <c r="A361" s="30">
        <v>2584</v>
      </c>
      <c r="B361" s="55" t="s">
        <v>579</v>
      </c>
      <c r="C361" s="55" t="s">
        <v>808</v>
      </c>
      <c r="D361" s="55" t="s">
        <v>148</v>
      </c>
      <c r="E361" s="56" t="s">
        <v>1422</v>
      </c>
      <c r="F361" s="57" t="str">
        <f>IF(ISBLANK(Table2[[#This Row],[unique_id]]), "", PROPER(SUBSTITUTE(Table2[[#This Row],[unique_id]], "_", " ")))</f>
        <v>Broken Template Kitchen Dish Washer Plug Proxy</v>
      </c>
      <c r="G361" s="55" t="s">
        <v>228</v>
      </c>
      <c r="H361" s="55" t="s">
        <v>526</v>
      </c>
      <c r="I361" s="55" t="s">
        <v>291</v>
      </c>
      <c r="O361" s="58" t="s">
        <v>788</v>
      </c>
      <c r="P361" s="55" t="s">
        <v>165</v>
      </c>
      <c r="Q361" s="55" t="s">
        <v>761</v>
      </c>
      <c r="R361" s="55" t="s">
        <v>771</v>
      </c>
      <c r="S361" s="55" t="str">
        <f>Table2[[#This Row],[friendly_name]]</f>
        <v>Dish Washer</v>
      </c>
      <c r="T361" s="56" t="s">
        <v>1067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Kitchen</v>
      </c>
      <c r="BB361" s="55" t="s">
        <v>228</v>
      </c>
      <c r="BC361" s="60" t="s">
        <v>360</v>
      </c>
      <c r="BD361" s="55" t="s">
        <v>233</v>
      </c>
      <c r="BF361" s="55" t="s">
        <v>361</v>
      </c>
      <c r="BG361" s="55" t="s">
        <v>206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hidden="1" customHeight="1" x14ac:dyDescent="0.2">
      <c r="A362" s="30">
        <v>2585</v>
      </c>
      <c r="B362" s="55" t="s">
        <v>579</v>
      </c>
      <c r="C362" s="55" t="s">
        <v>233</v>
      </c>
      <c r="D362" s="55" t="s">
        <v>134</v>
      </c>
      <c r="E362" s="55" t="s">
        <v>1423</v>
      </c>
      <c r="F362" s="57" t="str">
        <f>IF(ISBLANK(Table2[[#This Row],[unique_id]]), "", PROPER(SUBSTITUTE(Table2[[#This Row],[unique_id]], "_", " ")))</f>
        <v>Broken Kitchen Dish Washer Plug</v>
      </c>
      <c r="G362" s="55" t="s">
        <v>228</v>
      </c>
      <c r="H362" s="55" t="s">
        <v>526</v>
      </c>
      <c r="I362" s="55" t="s">
        <v>291</v>
      </c>
      <c r="M362" s="55" t="s">
        <v>257</v>
      </c>
      <c r="O362" s="58" t="s">
        <v>788</v>
      </c>
      <c r="P362" s="55" t="s">
        <v>165</v>
      </c>
      <c r="Q362" s="55" t="s">
        <v>761</v>
      </c>
      <c r="R362" s="55" t="s">
        <v>771</v>
      </c>
      <c r="S362" s="55" t="str">
        <f>Table2[[#This Row],[friendly_name]]</f>
        <v>Dish Washer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244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Kitchen</v>
      </c>
      <c r="BB362" s="55" t="s">
        <v>228</v>
      </c>
      <c r="BC362" s="60" t="s">
        <v>360</v>
      </c>
      <c r="BD362" s="55" t="s">
        <v>233</v>
      </c>
      <c r="BF362" s="55" t="s">
        <v>361</v>
      </c>
      <c r="BG362" s="55" t="s">
        <v>206</v>
      </c>
      <c r="BJ362" s="55" t="s">
        <v>978</v>
      </c>
      <c r="BK362" s="55" t="s">
        <v>1278</v>
      </c>
      <c r="BL362" s="55" t="s">
        <v>343</v>
      </c>
      <c r="BM362" s="55" t="s">
        <v>1316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3" spans="1:66" ht="16" hidden="1" customHeight="1" x14ac:dyDescent="0.2">
      <c r="A363" s="30">
        <v>2586</v>
      </c>
      <c r="B363" s="30" t="s">
        <v>26</v>
      </c>
      <c r="C363" s="30" t="s">
        <v>808</v>
      </c>
      <c r="D363" s="30" t="s">
        <v>148</v>
      </c>
      <c r="E363" s="37" t="s">
        <v>964</v>
      </c>
      <c r="F363" s="36" t="str">
        <f>IF(ISBLANK(Table2[[#This Row],[unique_id]]), "", PROPER(SUBSTITUTE(Table2[[#This Row],[unique_id]], "_", " ")))</f>
        <v>Template Kitchen Dish Washer Plug Proxy</v>
      </c>
      <c r="G363" s="30" t="s">
        <v>228</v>
      </c>
      <c r="H363" s="30" t="s">
        <v>526</v>
      </c>
      <c r="I363" s="30" t="s">
        <v>291</v>
      </c>
      <c r="O363" s="31" t="s">
        <v>788</v>
      </c>
      <c r="P363" s="30" t="s">
        <v>165</v>
      </c>
      <c r="Q363" s="30" t="s">
        <v>761</v>
      </c>
      <c r="R363" s="30" t="s">
        <v>771</v>
      </c>
      <c r="S363" s="30" t="str">
        <f>Table2[[#This Row],[friendly_name]]</f>
        <v>Dish Washer</v>
      </c>
      <c r="T36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3" s="30"/>
      <c r="V363" s="31"/>
      <c r="W363" s="31"/>
      <c r="X363" s="31"/>
      <c r="Y363" s="31"/>
      <c r="Z363" s="31"/>
      <c r="AA363" s="31"/>
      <c r="AB363" s="30"/>
      <c r="AC363" s="30"/>
      <c r="AG363" s="31"/>
      <c r="AH363" s="31"/>
      <c r="AT363" s="40"/>
      <c r="AU363" s="30" t="s">
        <v>134</v>
      </c>
      <c r="AV3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30" t="str">
        <f>IF(ISBLANK(Table2[[#This Row],[device_model]]), "", Table2[[#This Row],[device_suggested_area]])</f>
        <v>Kitchen</v>
      </c>
      <c r="BB363" s="30" t="s">
        <v>228</v>
      </c>
      <c r="BC363" s="30" t="s">
        <v>359</v>
      </c>
      <c r="BD363" s="30" t="s">
        <v>233</v>
      </c>
      <c r="BF363" s="30" t="s">
        <v>362</v>
      </c>
      <c r="BG363" s="30" t="s">
        <v>206</v>
      </c>
      <c r="BN3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ht="16" hidden="1" customHeight="1" x14ac:dyDescent="0.2">
      <c r="A364" s="30">
        <v>2587</v>
      </c>
      <c r="B364" s="30" t="s">
        <v>26</v>
      </c>
      <c r="C364" s="30" t="s">
        <v>233</v>
      </c>
      <c r="D364" s="30" t="s">
        <v>134</v>
      </c>
      <c r="E364" s="30" t="s">
        <v>835</v>
      </c>
      <c r="F364" s="36" t="str">
        <f>IF(ISBLANK(Table2[[#This Row],[unique_id]]), "", PROPER(SUBSTITUTE(Table2[[#This Row],[unique_id]], "_", " ")))</f>
        <v>Kitchen Dish Washer Plug</v>
      </c>
      <c r="G364" s="30" t="s">
        <v>228</v>
      </c>
      <c r="H364" s="30" t="s">
        <v>526</v>
      </c>
      <c r="I364" s="30" t="s">
        <v>291</v>
      </c>
      <c r="M364" s="30" t="s">
        <v>257</v>
      </c>
      <c r="O364" s="31" t="s">
        <v>788</v>
      </c>
      <c r="P364" s="30" t="s">
        <v>165</v>
      </c>
      <c r="Q364" s="30" t="s">
        <v>761</v>
      </c>
      <c r="R364" s="30" t="s">
        <v>771</v>
      </c>
      <c r="S364" s="30" t="str">
        <f>Table2[[#This Row],[friendly_name]]</f>
        <v>Dish Washer</v>
      </c>
      <c r="T364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4" s="30"/>
      <c r="V364" s="31"/>
      <c r="W364" s="31"/>
      <c r="X364" s="31"/>
      <c r="Y364" s="31"/>
      <c r="Z364" s="31"/>
      <c r="AA364" s="31"/>
      <c r="AB364" s="30"/>
      <c r="AC364" s="30"/>
      <c r="AE364" s="30" t="s">
        <v>244</v>
      </c>
      <c r="AG364" s="31"/>
      <c r="AH364" s="31"/>
      <c r="AT364" s="40"/>
      <c r="AU364" s="30"/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228</v>
      </c>
      <c r="BC364" s="30" t="s">
        <v>359</v>
      </c>
      <c r="BD364" s="30" t="s">
        <v>233</v>
      </c>
      <c r="BF364" s="30" t="s">
        <v>362</v>
      </c>
      <c r="BG364" s="30" t="s">
        <v>206</v>
      </c>
      <c r="BJ364" s="30" t="s">
        <v>978</v>
      </c>
      <c r="BK364" s="30" t="s">
        <v>1278</v>
      </c>
      <c r="BL364" s="30" t="s">
        <v>355</v>
      </c>
      <c r="BM364" s="30" t="s">
        <v>1327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5" spans="1:66" s="55" customFormat="1" ht="16" hidden="1" customHeight="1" x14ac:dyDescent="0.2">
      <c r="A365" s="30">
        <v>2588</v>
      </c>
      <c r="B365" s="55" t="s">
        <v>579</v>
      </c>
      <c r="C365" s="55" t="s">
        <v>808</v>
      </c>
      <c r="D365" s="55" t="s">
        <v>148</v>
      </c>
      <c r="E365" s="56" t="s">
        <v>1424</v>
      </c>
      <c r="F365" s="57" t="str">
        <f>IF(ISBLANK(Table2[[#This Row],[unique_id]]), "", PROPER(SUBSTITUTE(Table2[[#This Row],[unique_id]], "_", " ")))</f>
        <v>Broken Template Laundry Clothes Dryer Plug Proxy</v>
      </c>
      <c r="G365" s="55" t="s">
        <v>229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761</v>
      </c>
      <c r="R365" s="55" t="s">
        <v>771</v>
      </c>
      <c r="S365" s="55" t="str">
        <f>Table2[[#This Row],[friendly_name]]</f>
        <v>Clothes Dryer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Laundry</v>
      </c>
      <c r="BB365" s="55" t="s">
        <v>229</v>
      </c>
      <c r="BC365" s="60" t="s">
        <v>360</v>
      </c>
      <c r="BD365" s="55" t="s">
        <v>233</v>
      </c>
      <c r="BF365" s="55" t="s">
        <v>361</v>
      </c>
      <c r="BG365" s="55" t="s">
        <v>213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2589</v>
      </c>
      <c r="B366" s="55" t="s">
        <v>579</v>
      </c>
      <c r="C366" s="55" t="s">
        <v>233</v>
      </c>
      <c r="D366" s="55" t="s">
        <v>134</v>
      </c>
      <c r="E366" s="55" t="s">
        <v>1425</v>
      </c>
      <c r="F366" s="57" t="str">
        <f>IF(ISBLANK(Table2[[#This Row],[unique_id]]), "", PROPER(SUBSTITUTE(Table2[[#This Row],[unique_id]], "_", " ")))</f>
        <v>Broken Laundry Clothes Dryer Plug</v>
      </c>
      <c r="G366" s="55" t="s">
        <v>229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Clothes Dryer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245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Laundry</v>
      </c>
      <c r="BB366" s="55" t="s">
        <v>229</v>
      </c>
      <c r="BC366" s="60" t="s">
        <v>360</v>
      </c>
      <c r="BD366" s="55" t="s">
        <v>233</v>
      </c>
      <c r="BF366" s="55" t="s">
        <v>361</v>
      </c>
      <c r="BG366" s="55" t="s">
        <v>213</v>
      </c>
      <c r="BJ366" s="55" t="s">
        <v>977</v>
      </c>
      <c r="BK366" s="55" t="s">
        <v>1278</v>
      </c>
      <c r="BL366" s="55" t="s">
        <v>344</v>
      </c>
      <c r="BM366" s="55" t="s">
        <v>1317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7" spans="1:66" s="55" customFormat="1" ht="16" hidden="1" customHeight="1" x14ac:dyDescent="0.2">
      <c r="A367" s="30">
        <v>2590</v>
      </c>
      <c r="B367" s="55" t="s">
        <v>579</v>
      </c>
      <c r="C367" s="55" t="s">
        <v>808</v>
      </c>
      <c r="D367" s="55" t="s">
        <v>148</v>
      </c>
      <c r="E367" s="56" t="s">
        <v>1426</v>
      </c>
      <c r="F367" s="57" t="str">
        <f>IF(ISBLANK(Table2[[#This Row],[unique_id]]), "", PROPER(SUBSTITUTE(Table2[[#This Row],[unique_id]], "_", " ")))</f>
        <v>Broken Template Laundry Washing Machine Plug Proxy</v>
      </c>
      <c r="G367" s="55" t="s">
        <v>227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Washing Machine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227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2591</v>
      </c>
      <c r="B368" s="55" t="s">
        <v>579</v>
      </c>
      <c r="C368" s="55" t="s">
        <v>233</v>
      </c>
      <c r="D368" s="55" t="s">
        <v>134</v>
      </c>
      <c r="E368" s="55" t="s">
        <v>1427</v>
      </c>
      <c r="F368" s="57" t="str">
        <f>IF(ISBLANK(Table2[[#This Row],[unique_id]]), "", PROPER(SUBSTITUTE(Table2[[#This Row],[unique_id]], "_", " ")))</f>
        <v>Broken Laundry Washing Machine Plug</v>
      </c>
      <c r="G368" s="55" t="s">
        <v>227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Washing Machine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246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227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977</v>
      </c>
      <c r="BK368" s="55" t="s">
        <v>1278</v>
      </c>
      <c r="BL368" s="55" t="s">
        <v>345</v>
      </c>
      <c r="BM368" s="55" t="s">
        <v>1318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9" spans="1:66" ht="16" hidden="1" customHeight="1" x14ac:dyDescent="0.2">
      <c r="A369" s="30">
        <v>2592</v>
      </c>
      <c r="B369" s="30" t="s">
        <v>26</v>
      </c>
      <c r="C369" s="30" t="s">
        <v>808</v>
      </c>
      <c r="D369" s="30" t="s">
        <v>148</v>
      </c>
      <c r="E369" s="37" t="s">
        <v>1520</v>
      </c>
      <c r="F369" s="36" t="str">
        <f>IF(ISBLANK(Table2[[#This Row],[unique_id]]), "", PROPER(SUBSTITUTE(Table2[[#This Row],[unique_id]], "_", " ")))</f>
        <v>Template Kitchen Fridge Plug Proxy</v>
      </c>
      <c r="G369" s="30" t="s">
        <v>223</v>
      </c>
      <c r="H369" s="30" t="s">
        <v>526</v>
      </c>
      <c r="I369" s="30" t="s">
        <v>291</v>
      </c>
      <c r="O369" s="31" t="s">
        <v>788</v>
      </c>
      <c r="P369" s="30" t="s">
        <v>165</v>
      </c>
      <c r="Q369" s="30" t="s">
        <v>760</v>
      </c>
      <c r="R369" s="30" t="s">
        <v>772</v>
      </c>
      <c r="S369" s="30" t="str">
        <f>Table2[[#This Row],[friendly_name]]</f>
        <v>Kitchen Fridge</v>
      </c>
      <c r="T369" s="37" t="s">
        <v>1068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1022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hidden="1" customHeight="1" x14ac:dyDescent="0.2">
      <c r="A370" s="30">
        <v>2593</v>
      </c>
      <c r="B370" s="30" t="s">
        <v>26</v>
      </c>
      <c r="C370" s="30" t="s">
        <v>233</v>
      </c>
      <c r="D370" s="30" t="s">
        <v>134</v>
      </c>
      <c r="E370" s="30" t="s">
        <v>1519</v>
      </c>
      <c r="F370" s="36" t="str">
        <f>IF(ISBLANK(Table2[[#This Row],[unique_id]]), "", PROPER(SUBSTITUTE(Table2[[#This Row],[unique_id]], "_", " ")))</f>
        <v>Kitchen Fridge Plug</v>
      </c>
      <c r="G370" s="30" t="s">
        <v>223</v>
      </c>
      <c r="H370" s="30" t="s">
        <v>526</v>
      </c>
      <c r="I370" s="30" t="s">
        <v>291</v>
      </c>
      <c r="M370" s="30" t="s">
        <v>257</v>
      </c>
      <c r="O370" s="31" t="s">
        <v>788</v>
      </c>
      <c r="P370" s="30" t="s">
        <v>165</v>
      </c>
      <c r="Q370" s="30" t="s">
        <v>760</v>
      </c>
      <c r="R370" s="30" t="s">
        <v>772</v>
      </c>
      <c r="S370" s="30" t="str">
        <f>Table2[[#This Row],[friendly_name]]</f>
        <v>Kitchen Fridge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248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1022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J370" s="30" t="s">
        <v>978</v>
      </c>
      <c r="BK370" s="63" t="s">
        <v>1278</v>
      </c>
      <c r="BL370" s="63" t="s">
        <v>1486</v>
      </c>
      <c r="BM370" s="63" t="s">
        <v>1487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1" spans="1:66" ht="16" hidden="1" customHeight="1" x14ac:dyDescent="0.2">
      <c r="A371" s="30">
        <v>2594</v>
      </c>
      <c r="B371" s="30" t="s">
        <v>26</v>
      </c>
      <c r="C371" s="30" t="s">
        <v>808</v>
      </c>
      <c r="D371" s="30" t="s">
        <v>148</v>
      </c>
      <c r="E371" s="37" t="s">
        <v>966</v>
      </c>
      <c r="F371" s="36" t="str">
        <f>IF(ISBLANK(Table2[[#This Row],[unique_id]]), "", PROPER(SUBSTITUTE(Table2[[#This Row],[unique_id]], "_", " ")))</f>
        <v>Template Deck Freezer Plug Proxy</v>
      </c>
      <c r="G371" s="30" t="s">
        <v>224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760</v>
      </c>
      <c r="R371" s="30" t="s">
        <v>772</v>
      </c>
      <c r="S371" s="30" t="str">
        <f>Table2[[#This Row],[friendly_name]]</f>
        <v>Deck Freezer</v>
      </c>
      <c r="T371" s="37" t="s">
        <v>1068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Deck</v>
      </c>
      <c r="BB371" s="30" t="s">
        <v>1023</v>
      </c>
      <c r="BC371" s="30" t="s">
        <v>359</v>
      </c>
      <c r="BD371" s="30" t="s">
        <v>233</v>
      </c>
      <c r="BF371" s="30" t="s">
        <v>362</v>
      </c>
      <c r="BG371" s="30" t="s">
        <v>357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2595</v>
      </c>
      <c r="B372" s="30" t="s">
        <v>26</v>
      </c>
      <c r="C372" s="30" t="s">
        <v>233</v>
      </c>
      <c r="D372" s="30" t="s">
        <v>134</v>
      </c>
      <c r="E372" s="30" t="s">
        <v>837</v>
      </c>
      <c r="F372" s="36" t="str">
        <f>IF(ISBLANK(Table2[[#This Row],[unique_id]]), "", PROPER(SUBSTITUTE(Table2[[#This Row],[unique_id]], "_", " ")))</f>
        <v>Deck Freezer Plug</v>
      </c>
      <c r="G372" s="30" t="s">
        <v>224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760</v>
      </c>
      <c r="R372" s="30" t="s">
        <v>772</v>
      </c>
      <c r="S372" s="30" t="str">
        <f>Table2[[#This Row],[friendly_name]]</f>
        <v>Deck Freezer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249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Deck</v>
      </c>
      <c r="BB372" s="30" t="s">
        <v>1023</v>
      </c>
      <c r="BC372" s="30" t="s">
        <v>359</v>
      </c>
      <c r="BD372" s="30" t="s">
        <v>233</v>
      </c>
      <c r="BF372" s="30" t="s">
        <v>362</v>
      </c>
      <c r="BG372" s="30" t="s">
        <v>357</v>
      </c>
      <c r="BJ372" s="30" t="s">
        <v>978</v>
      </c>
      <c r="BK372" s="30" t="s">
        <v>1278</v>
      </c>
      <c r="BL372" s="30" t="s">
        <v>347</v>
      </c>
      <c r="BM372" s="30" t="s">
        <v>1320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3" spans="1:66" ht="16" hidden="1" customHeight="1" x14ac:dyDescent="0.2">
      <c r="A373" s="30">
        <v>2596</v>
      </c>
      <c r="B373" s="30" t="s">
        <v>26</v>
      </c>
      <c r="C373" s="30" t="s">
        <v>808</v>
      </c>
      <c r="D373" s="30" t="s">
        <v>148</v>
      </c>
      <c r="E373" s="37" t="s">
        <v>1408</v>
      </c>
      <c r="F373" s="36" t="str">
        <f>IF(ISBLANK(Table2[[#This Row],[unique_id]]), "", PROPER(SUBSTITUTE(Table2[[#This Row],[unique_id]], "_", " ")))</f>
        <v>Template Garden Sewerage Blower Plug Proxy</v>
      </c>
      <c r="G373" s="30" t="s">
        <v>1409</v>
      </c>
      <c r="H373" s="30" t="s">
        <v>526</v>
      </c>
      <c r="I373" s="30" t="s">
        <v>291</v>
      </c>
      <c r="O373" s="31" t="s">
        <v>788</v>
      </c>
      <c r="P373" s="30" t="s">
        <v>165</v>
      </c>
      <c r="Q373" s="30" t="s">
        <v>760</v>
      </c>
      <c r="R373" s="30" t="s">
        <v>526</v>
      </c>
      <c r="S373" s="30" t="str">
        <f>Table2[[#This Row],[friendly_name]]</f>
        <v>Sewerage Blower</v>
      </c>
      <c r="T37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">
        <v>576</v>
      </c>
      <c r="BB373" s="30" t="s">
        <v>1409</v>
      </c>
      <c r="BC373" s="30" t="s">
        <v>359</v>
      </c>
      <c r="BD373" s="30" t="s">
        <v>233</v>
      </c>
      <c r="BF373" s="30" t="s">
        <v>362</v>
      </c>
      <c r="BG373" s="30" t="s">
        <v>576</v>
      </c>
      <c r="BL373" s="36"/>
      <c r="BM373" s="36"/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hidden="1" customHeight="1" x14ac:dyDescent="0.2">
      <c r="A374" s="30">
        <v>2597</v>
      </c>
      <c r="B374" s="30" t="s">
        <v>26</v>
      </c>
      <c r="C374" s="30" t="s">
        <v>233</v>
      </c>
      <c r="D374" s="30" t="s">
        <v>134</v>
      </c>
      <c r="E374" s="30" t="s">
        <v>1407</v>
      </c>
      <c r="F374" s="36" t="str">
        <f>IF(ISBLANK(Table2[[#This Row],[unique_id]]), "", PROPER(SUBSTITUTE(Table2[[#This Row],[unique_id]], "_", " ")))</f>
        <v>Garden Sewerage Blower Plug</v>
      </c>
      <c r="G374" s="30" t="s">
        <v>1409</v>
      </c>
      <c r="H374" s="30" t="s">
        <v>526</v>
      </c>
      <c r="I374" s="30" t="s">
        <v>291</v>
      </c>
      <c r="M374" s="30" t="s">
        <v>257</v>
      </c>
      <c r="O374" s="31" t="s">
        <v>788</v>
      </c>
      <c r="P374" s="30" t="s">
        <v>165</v>
      </c>
      <c r="Q374" s="30" t="s">
        <v>760</v>
      </c>
      <c r="R374" s="30" t="s">
        <v>526</v>
      </c>
      <c r="S374" s="30" t="str">
        <f>Table2[[#This Row],[friendly_name]]</f>
        <v>Sewerage Blower</v>
      </c>
      <c r="T374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243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">
        <v>576</v>
      </c>
      <c r="BB374" s="30" t="s">
        <v>1409</v>
      </c>
      <c r="BC374" s="30" t="s">
        <v>359</v>
      </c>
      <c r="BD374" s="30" t="s">
        <v>233</v>
      </c>
      <c r="BF374" s="30" t="s">
        <v>362</v>
      </c>
      <c r="BG374" s="30" t="s">
        <v>576</v>
      </c>
      <c r="BJ374" s="30" t="s">
        <v>978</v>
      </c>
      <c r="BK374" s="30" t="s">
        <v>1278</v>
      </c>
      <c r="BL374" s="36" t="s">
        <v>363</v>
      </c>
      <c r="BM374" s="36" t="s">
        <v>1299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5" spans="1:66" s="55" customFormat="1" ht="16" hidden="1" customHeight="1" x14ac:dyDescent="0.2">
      <c r="A375" s="30">
        <v>2598</v>
      </c>
      <c r="B375" s="55" t="s">
        <v>579</v>
      </c>
      <c r="C375" s="55" t="s">
        <v>808</v>
      </c>
      <c r="D375" s="55" t="s">
        <v>148</v>
      </c>
      <c r="E375" s="56" t="s">
        <v>1428</v>
      </c>
      <c r="F375" s="57" t="str">
        <f>IF(ISBLANK(Table2[[#This Row],[unique_id]]), "", PROPER(SUBSTITUTE(Table2[[#This Row],[unique_id]], "_", " ")))</f>
        <v>Broken Template Study Battery Charger Plug Proxy</v>
      </c>
      <c r="G375" s="55" t="s">
        <v>231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760</v>
      </c>
      <c r="R375" s="55" t="s">
        <v>526</v>
      </c>
      <c r="S375" s="55" t="str">
        <f>Table2[[#This Row],[friendly_name]]</f>
        <v>Battery Charger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Study</v>
      </c>
      <c r="BB375" s="55" t="s">
        <v>231</v>
      </c>
      <c r="BC375" s="60" t="s">
        <v>360</v>
      </c>
      <c r="BD375" s="55" t="s">
        <v>233</v>
      </c>
      <c r="BF375" s="55" t="s">
        <v>361</v>
      </c>
      <c r="BG375" s="55" t="s">
        <v>356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2599</v>
      </c>
      <c r="B376" s="55" t="s">
        <v>579</v>
      </c>
      <c r="C376" s="55" t="s">
        <v>233</v>
      </c>
      <c r="D376" s="55" t="s">
        <v>134</v>
      </c>
      <c r="E376" s="55" t="s">
        <v>1429</v>
      </c>
      <c r="F376" s="57" t="str">
        <f>IF(ISBLANK(Table2[[#This Row],[unique_id]]), "", PROPER(SUBSTITUTE(Table2[[#This Row],[unique_id]], "_", " ")))</f>
        <v>Broken Study Battery Charger Plug</v>
      </c>
      <c r="G376" s="55" t="s">
        <v>231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760</v>
      </c>
      <c r="R376" s="55" t="s">
        <v>526</v>
      </c>
      <c r="S376" s="55" t="str">
        <f>Table2[[#This Row],[friendly_name]]</f>
        <v>Battery Charger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255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Study</v>
      </c>
      <c r="BB376" s="55" t="s">
        <v>231</v>
      </c>
      <c r="BC376" s="60" t="s">
        <v>360</v>
      </c>
      <c r="BD376" s="55" t="s">
        <v>233</v>
      </c>
      <c r="BF376" s="55" t="s">
        <v>361</v>
      </c>
      <c r="BG376" s="55" t="s">
        <v>356</v>
      </c>
      <c r="BJ376" s="55" t="s">
        <v>977</v>
      </c>
      <c r="BK376" s="55" t="s">
        <v>1278</v>
      </c>
      <c r="BL376" s="55" t="s">
        <v>341</v>
      </c>
      <c r="BM376" s="55" t="s">
        <v>1321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7" spans="1:66" s="55" customFormat="1" ht="16" hidden="1" customHeight="1" x14ac:dyDescent="0.2">
      <c r="A377" s="30">
        <v>2600</v>
      </c>
      <c r="B377" s="55" t="s">
        <v>579</v>
      </c>
      <c r="C377" s="55" t="s">
        <v>808</v>
      </c>
      <c r="D377" s="55" t="s">
        <v>148</v>
      </c>
      <c r="E377" s="56" t="s">
        <v>1430</v>
      </c>
      <c r="F377" s="57" t="str">
        <f>IF(ISBLANK(Table2[[#This Row],[unique_id]]), "", PROPER(SUBSTITUTE(Table2[[#This Row],[unique_id]], "_", " ")))</f>
        <v>Broken Template Laundry Vacuum Charger Plug Proxy</v>
      </c>
      <c r="G377" s="55" t="s">
        <v>230</v>
      </c>
      <c r="H377" s="55" t="s">
        <v>526</v>
      </c>
      <c r="I377" s="55" t="s">
        <v>291</v>
      </c>
      <c r="O377" s="58" t="s">
        <v>788</v>
      </c>
      <c r="P377" s="55" t="s">
        <v>165</v>
      </c>
      <c r="Q377" s="55" t="s">
        <v>760</v>
      </c>
      <c r="R377" s="55" t="s">
        <v>526</v>
      </c>
      <c r="S377" s="55" t="str">
        <f>Table2[[#This Row],[friendly_name]]</f>
        <v>Vacuum Charger</v>
      </c>
      <c r="T377" s="56" t="s">
        <v>1067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Laundry</v>
      </c>
      <c r="BB377" s="55" t="s">
        <v>230</v>
      </c>
      <c r="BC377" s="60" t="s">
        <v>360</v>
      </c>
      <c r="BD377" s="55" t="s">
        <v>233</v>
      </c>
      <c r="BF377" s="55" t="s">
        <v>361</v>
      </c>
      <c r="BG377" s="55" t="s">
        <v>213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hidden="1" customHeight="1" x14ac:dyDescent="0.2">
      <c r="A378" s="30">
        <v>2601</v>
      </c>
      <c r="B378" s="55" t="s">
        <v>579</v>
      </c>
      <c r="C378" s="55" t="s">
        <v>233</v>
      </c>
      <c r="D378" s="55" t="s">
        <v>134</v>
      </c>
      <c r="E378" s="55" t="s">
        <v>1431</v>
      </c>
      <c r="F378" s="57" t="str">
        <f>IF(ISBLANK(Table2[[#This Row],[unique_id]]), "", PROPER(SUBSTITUTE(Table2[[#This Row],[unique_id]], "_", " ")))</f>
        <v>Broken Laundry Vacuum Charger Plug</v>
      </c>
      <c r="G378" s="55" t="s">
        <v>230</v>
      </c>
      <c r="H378" s="55" t="s">
        <v>526</v>
      </c>
      <c r="I378" s="55" t="s">
        <v>291</v>
      </c>
      <c r="M378" s="55" t="s">
        <v>257</v>
      </c>
      <c r="O378" s="58" t="s">
        <v>788</v>
      </c>
      <c r="P378" s="55" t="s">
        <v>165</v>
      </c>
      <c r="Q378" s="55" t="s">
        <v>760</v>
      </c>
      <c r="R378" s="55" t="s">
        <v>526</v>
      </c>
      <c r="S378" s="55" t="str">
        <f>Table2[[#This Row],[friendly_name]]</f>
        <v>Vacuum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Laundry</v>
      </c>
      <c r="BB378" s="55" t="s">
        <v>230</v>
      </c>
      <c r="BC378" s="60" t="s">
        <v>360</v>
      </c>
      <c r="BD378" s="55" t="s">
        <v>233</v>
      </c>
      <c r="BF378" s="55" t="s">
        <v>361</v>
      </c>
      <c r="BG378" s="55" t="s">
        <v>213</v>
      </c>
      <c r="BJ378" s="55" t="s">
        <v>978</v>
      </c>
      <c r="BK378" s="55" t="s">
        <v>1278</v>
      </c>
      <c r="BL378" s="55" t="s">
        <v>342</v>
      </c>
      <c r="BM378" s="55" t="s">
        <v>1322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9" spans="1:66" s="55" customFormat="1" ht="16" hidden="1" customHeight="1" x14ac:dyDescent="0.2">
      <c r="A379" s="30">
        <v>2602</v>
      </c>
      <c r="B379" s="55" t="s">
        <v>579</v>
      </c>
      <c r="C379" s="55" t="s">
        <v>808</v>
      </c>
      <c r="D379" s="55" t="s">
        <v>148</v>
      </c>
      <c r="E379" s="56" t="s">
        <v>1432</v>
      </c>
      <c r="F379" s="57" t="str">
        <f>IF(ISBLANK(Table2[[#This Row],[unique_id]]), "", PROPER(SUBSTITUTE(Table2[[#This Row],[unique_id]], "_", " ")))</f>
        <v>Broken Template Ada Tablet Plug Proxy</v>
      </c>
      <c r="G379" s="55" t="s">
        <v>821</v>
      </c>
      <c r="H379" s="55" t="s">
        <v>526</v>
      </c>
      <c r="I379" s="55" t="s">
        <v>291</v>
      </c>
      <c r="O379" s="58" t="s">
        <v>788</v>
      </c>
      <c r="P379" s="55" t="s">
        <v>165</v>
      </c>
      <c r="Q379" s="55" t="s">
        <v>760</v>
      </c>
      <c r="R379" s="61" t="s">
        <v>745</v>
      </c>
      <c r="S379" s="55" t="str">
        <f>Table2[[#This Row],[friendly_name]]</f>
        <v>Ada Tablet</v>
      </c>
      <c r="T379" s="56" t="s">
        <v>1067</v>
      </c>
      <c r="V379" s="58"/>
      <c r="W379" s="58"/>
      <c r="X379" s="58"/>
      <c r="Y379" s="58"/>
      <c r="Z379" s="58"/>
      <c r="AA379" s="58"/>
      <c r="AG379" s="58"/>
      <c r="AH379" s="58"/>
      <c r="AR379" s="60"/>
      <c r="AT379" s="62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Lounge</v>
      </c>
      <c r="BB379" s="55" t="s">
        <v>821</v>
      </c>
      <c r="BC379" s="60" t="s">
        <v>360</v>
      </c>
      <c r="BD379" s="55" t="s">
        <v>233</v>
      </c>
      <c r="BF379" s="55" t="s">
        <v>361</v>
      </c>
      <c r="BG379" s="55" t="s">
        <v>194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hidden="1" customHeight="1" x14ac:dyDescent="0.2">
      <c r="A380" s="30">
        <v>2603</v>
      </c>
      <c r="B380" s="55" t="s">
        <v>579</v>
      </c>
      <c r="C380" s="55" t="s">
        <v>233</v>
      </c>
      <c r="D380" s="55" t="s">
        <v>134</v>
      </c>
      <c r="E380" s="55" t="s">
        <v>1433</v>
      </c>
      <c r="F380" s="57" t="str">
        <f>IF(ISBLANK(Table2[[#This Row],[unique_id]]), "", PROPER(SUBSTITUTE(Table2[[#This Row],[unique_id]], "_", " ")))</f>
        <v>Broken Ada Tablet Plug</v>
      </c>
      <c r="G380" s="55" t="s">
        <v>821</v>
      </c>
      <c r="H380" s="55" t="s">
        <v>526</v>
      </c>
      <c r="I380" s="55" t="s">
        <v>291</v>
      </c>
      <c r="M380" s="55" t="s">
        <v>257</v>
      </c>
      <c r="O380" s="58" t="s">
        <v>788</v>
      </c>
      <c r="P380" s="55" t="s">
        <v>165</v>
      </c>
      <c r="Q380" s="55" t="s">
        <v>760</v>
      </c>
      <c r="R380" s="61" t="s">
        <v>745</v>
      </c>
      <c r="S380" s="55" t="str">
        <f>Table2[[#This Row],[friendly_name]]</f>
        <v>Ada Tablet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822</v>
      </c>
      <c r="AG380" s="58"/>
      <c r="AH380" s="58"/>
      <c r="AR380" s="60"/>
      <c r="AT380" s="62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Lounge</v>
      </c>
      <c r="BB380" s="55" t="s">
        <v>821</v>
      </c>
      <c r="BC380" s="60" t="s">
        <v>360</v>
      </c>
      <c r="BD380" s="55" t="s">
        <v>233</v>
      </c>
      <c r="BF380" s="55" t="s">
        <v>361</v>
      </c>
      <c r="BG380" s="55" t="s">
        <v>194</v>
      </c>
      <c r="BJ380" s="55" t="s">
        <v>977</v>
      </c>
      <c r="BK380" s="55" t="s">
        <v>1278</v>
      </c>
      <c r="BL380" s="55" t="s">
        <v>800</v>
      </c>
      <c r="BM380" s="55" t="s">
        <v>1323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1" spans="1:66" ht="16" hidden="1" customHeight="1" x14ac:dyDescent="0.2">
      <c r="A381" s="30">
        <v>2604</v>
      </c>
      <c r="B381" s="30" t="s">
        <v>26</v>
      </c>
      <c r="C381" s="30" t="s">
        <v>377</v>
      </c>
      <c r="D381" s="30" t="s">
        <v>134</v>
      </c>
      <c r="E381" s="39" t="s">
        <v>612</v>
      </c>
      <c r="F381" s="36" t="str">
        <f>IF(ISBLANK(Table2[[#This Row],[unique_id]]), "", PROPER(SUBSTITUTE(Table2[[#This Row],[unique_id]], "_", " ")))</f>
        <v>Deck Fans Outlet</v>
      </c>
      <c r="G381" s="30" t="s">
        <v>615</v>
      </c>
      <c r="H381" s="30" t="s">
        <v>526</v>
      </c>
      <c r="I381" s="30" t="s">
        <v>291</v>
      </c>
      <c r="M381" s="30" t="s">
        <v>257</v>
      </c>
      <c r="O381" s="31" t="s">
        <v>788</v>
      </c>
      <c r="P381" s="30" t="s">
        <v>165</v>
      </c>
      <c r="Q381" s="30" t="s">
        <v>760</v>
      </c>
      <c r="R381" s="30" t="s">
        <v>762</v>
      </c>
      <c r="S381" s="30" t="s">
        <v>819</v>
      </c>
      <c r="T381" s="37" t="s">
        <v>818</v>
      </c>
      <c r="U381" s="30"/>
      <c r="V381" s="31"/>
      <c r="W381" s="31" t="s">
        <v>489</v>
      </c>
      <c r="X381" s="31"/>
      <c r="Y381" s="42" t="s">
        <v>757</v>
      </c>
      <c r="Z381" s="31"/>
      <c r="AA381" s="31"/>
      <c r="AB381" s="30"/>
      <c r="AC381" s="30"/>
      <c r="AE381" s="30" t="s">
        <v>251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Deck</v>
      </c>
      <c r="BA381" s="30" t="str">
        <f>IF(ISBLANK(Table2[[#This Row],[device_model]]), "", Table2[[#This Row],[device_suggested_area]])</f>
        <v>Deck</v>
      </c>
      <c r="BB381" s="37" t="s">
        <v>1015</v>
      </c>
      <c r="BC381" s="37" t="s">
        <v>617</v>
      </c>
      <c r="BD381" s="30" t="s">
        <v>377</v>
      </c>
      <c r="BF381" s="37" t="s">
        <v>618</v>
      </c>
      <c r="BG381" s="30" t="s">
        <v>357</v>
      </c>
      <c r="BL381" s="30" t="s">
        <v>619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2" spans="1:66" ht="16" hidden="1" customHeight="1" x14ac:dyDescent="0.2">
      <c r="A382" s="30">
        <v>2605</v>
      </c>
      <c r="B382" s="30" t="s">
        <v>26</v>
      </c>
      <c r="C382" s="30" t="s">
        <v>377</v>
      </c>
      <c r="D382" s="30" t="s">
        <v>134</v>
      </c>
      <c r="E382" s="39" t="s">
        <v>613</v>
      </c>
      <c r="F382" s="36" t="str">
        <f>IF(ISBLANK(Table2[[#This Row],[unique_id]]), "", PROPER(SUBSTITUTE(Table2[[#This Row],[unique_id]], "_", " ")))</f>
        <v>Kitchen Fan Outlet</v>
      </c>
      <c r="G382" s="30" t="s">
        <v>614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762</v>
      </c>
      <c r="S382" s="30" t="s">
        <v>819</v>
      </c>
      <c r="T382" s="37" t="s">
        <v>818</v>
      </c>
      <c r="U382" s="30"/>
      <c r="V382" s="31"/>
      <c r="W382" s="31" t="s">
        <v>489</v>
      </c>
      <c r="X382" s="31"/>
      <c r="Y382" s="42" t="s">
        <v>757</v>
      </c>
      <c r="Z382" s="31"/>
      <c r="AA382" s="31"/>
      <c r="AB382" s="30"/>
      <c r="AC382" s="30"/>
      <c r="AE382" s="30" t="s">
        <v>251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Kitchen</v>
      </c>
      <c r="BA382" s="30" t="str">
        <f>IF(ISBLANK(Table2[[#This Row],[device_model]]), "", Table2[[#This Row],[device_suggested_area]])</f>
        <v>Kitchen</v>
      </c>
      <c r="BB382" s="37" t="s">
        <v>1016</v>
      </c>
      <c r="BC382" s="37" t="s">
        <v>617</v>
      </c>
      <c r="BD382" s="30" t="s">
        <v>377</v>
      </c>
      <c r="BF382" s="37" t="s">
        <v>618</v>
      </c>
      <c r="BG382" s="30" t="s">
        <v>206</v>
      </c>
      <c r="BL382" s="30" t="s">
        <v>620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3" spans="1:66" ht="16" hidden="1" customHeight="1" x14ac:dyDescent="0.2">
      <c r="A383" s="30">
        <v>2606</v>
      </c>
      <c r="B383" s="30" t="s">
        <v>26</v>
      </c>
      <c r="C383" s="30" t="s">
        <v>377</v>
      </c>
      <c r="D383" s="30" t="s">
        <v>134</v>
      </c>
      <c r="E383" s="39" t="s">
        <v>1538</v>
      </c>
      <c r="F383" s="36" t="str">
        <f>IF(ISBLANK(Table2[[#This Row],[unique_id]]), "", PROPER(SUBSTITUTE(Table2[[#This Row],[unique_id]], "_", " ")))</f>
        <v>Ada Desk Outlet</v>
      </c>
      <c r="G383" s="30" t="s">
        <v>1537</v>
      </c>
      <c r="H383" s="30" t="s">
        <v>526</v>
      </c>
      <c r="I383" s="30" t="s">
        <v>291</v>
      </c>
      <c r="M383" s="30" t="s">
        <v>257</v>
      </c>
      <c r="O383" s="31" t="s">
        <v>788</v>
      </c>
      <c r="P383" s="30" t="s">
        <v>165</v>
      </c>
      <c r="Q383" s="30" t="s">
        <v>760</v>
      </c>
      <c r="R383" s="30" t="s">
        <v>762</v>
      </c>
      <c r="S383" s="30" t="s">
        <v>819</v>
      </c>
      <c r="T383" s="37" t="s">
        <v>818</v>
      </c>
      <c r="U383" s="30"/>
      <c r="V383" s="31"/>
      <c r="W383" s="31" t="s">
        <v>489</v>
      </c>
      <c r="X383" s="31"/>
      <c r="Y383" s="42" t="s">
        <v>757</v>
      </c>
      <c r="Z383" s="42"/>
      <c r="AA383" s="42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Ada</v>
      </c>
      <c r="BA383" s="30" t="str">
        <f>IF(ISBLANK(Table2[[#This Row],[device_model]]), "", Table2[[#This Row],[device_suggested_area]])</f>
        <v>Ada</v>
      </c>
      <c r="BB383" s="37" t="s">
        <v>1525</v>
      </c>
      <c r="BC383" s="37" t="s">
        <v>617</v>
      </c>
      <c r="BD383" s="30" t="s">
        <v>377</v>
      </c>
      <c r="BF383" s="37" t="s">
        <v>618</v>
      </c>
      <c r="BG383" s="30" t="s">
        <v>130</v>
      </c>
      <c r="BL383" s="30" t="s">
        <v>1539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4" spans="1:66" ht="16" hidden="1" customHeight="1" x14ac:dyDescent="0.2">
      <c r="A384" s="30">
        <v>2607</v>
      </c>
      <c r="B384" s="30" t="s">
        <v>26</v>
      </c>
      <c r="C384" s="30" t="s">
        <v>377</v>
      </c>
      <c r="D384" s="30" t="s">
        <v>134</v>
      </c>
      <c r="E384" s="39" t="s">
        <v>1524</v>
      </c>
      <c r="F384" s="36" t="str">
        <f>IF(ISBLANK(Table2[[#This Row],[unique_id]]), "", PROPER(SUBSTITUTE(Table2[[#This Row],[unique_id]], "_", " ")))</f>
        <v>Edwin Desk Outlet</v>
      </c>
      <c r="G384" s="30" t="s">
        <v>1523</v>
      </c>
      <c r="H384" s="30" t="s">
        <v>526</v>
      </c>
      <c r="I384" s="30" t="s">
        <v>291</v>
      </c>
      <c r="M384" s="30" t="s">
        <v>257</v>
      </c>
      <c r="O384" s="31" t="s">
        <v>788</v>
      </c>
      <c r="P384" s="30" t="s">
        <v>165</v>
      </c>
      <c r="Q384" s="30" t="s">
        <v>760</v>
      </c>
      <c r="R384" s="30" t="s">
        <v>762</v>
      </c>
      <c r="S384" s="30" t="s">
        <v>819</v>
      </c>
      <c r="T384" s="37" t="s">
        <v>818</v>
      </c>
      <c r="U384" s="30"/>
      <c r="V384" s="31"/>
      <c r="W384" s="31" t="s">
        <v>489</v>
      </c>
      <c r="X384" s="31"/>
      <c r="Y384" s="42" t="s">
        <v>757</v>
      </c>
      <c r="Z384" s="42"/>
      <c r="AA384" s="42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Edwin</v>
      </c>
      <c r="BA384" s="30" t="str">
        <f>IF(ISBLANK(Table2[[#This Row],[device_model]]), "", Table2[[#This Row],[device_suggested_area]])</f>
        <v>Edwin</v>
      </c>
      <c r="BB384" s="37" t="s">
        <v>1525</v>
      </c>
      <c r="BC384" s="37" t="s">
        <v>617</v>
      </c>
      <c r="BD384" s="30" t="s">
        <v>377</v>
      </c>
      <c r="BF384" s="37" t="s">
        <v>618</v>
      </c>
      <c r="BG384" s="30" t="s">
        <v>127</v>
      </c>
      <c r="BL384" s="30" t="s">
        <v>616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5" spans="1:66" s="55" customFormat="1" ht="16" hidden="1" customHeight="1" x14ac:dyDescent="0.2">
      <c r="A385" s="30">
        <v>2608</v>
      </c>
      <c r="B385" s="55" t="s">
        <v>579</v>
      </c>
      <c r="C385" s="55" t="s">
        <v>808</v>
      </c>
      <c r="D385" s="55" t="s">
        <v>148</v>
      </c>
      <c r="E385" s="56" t="s">
        <v>1457</v>
      </c>
      <c r="F385" s="57" t="str">
        <f>IF(ISBLANK(Table2[[#This Row],[unique_id]]), "", PROPER(SUBSTITUTE(Table2[[#This Row],[unique_id]], "_", " ")))</f>
        <v>Broken Template Server May Plug Proxy</v>
      </c>
      <c r="G385" s="55" t="s">
        <v>1458</v>
      </c>
      <c r="H385" s="55" t="s">
        <v>526</v>
      </c>
      <c r="I385" s="55" t="s">
        <v>291</v>
      </c>
      <c r="O385" s="58" t="s">
        <v>788</v>
      </c>
      <c r="R385" s="55" t="s">
        <v>801</v>
      </c>
      <c r="S385" s="55" t="str">
        <f>Table2[[#This Row],[friendly_name]]</f>
        <v>Server May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R385" s="60"/>
      <c r="AT385" s="62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Rack</v>
      </c>
      <c r="BB385" s="55" t="s">
        <v>1463</v>
      </c>
      <c r="BC385" s="60" t="s">
        <v>360</v>
      </c>
      <c r="BD385" s="55" t="s">
        <v>233</v>
      </c>
      <c r="BF385" s="55" t="s">
        <v>361</v>
      </c>
      <c r="BG385" s="55" t="s">
        <v>28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2609</v>
      </c>
      <c r="B386" s="55" t="s">
        <v>579</v>
      </c>
      <c r="C386" s="55" t="s">
        <v>233</v>
      </c>
      <c r="D386" s="55" t="s">
        <v>134</v>
      </c>
      <c r="E386" s="55" t="s">
        <v>1459</v>
      </c>
      <c r="F386" s="57" t="str">
        <f>IF(ISBLANK(Table2[[#This Row],[unique_id]]), "", PROPER(SUBSTITUTE(Table2[[#This Row],[unique_id]], "_", " ")))</f>
        <v>Broken Server May Plug</v>
      </c>
      <c r="G386" s="55" t="s">
        <v>1458</v>
      </c>
      <c r="H386" s="55" t="s">
        <v>526</v>
      </c>
      <c r="I386" s="55" t="s">
        <v>291</v>
      </c>
      <c r="M386" s="55" t="s">
        <v>257</v>
      </c>
      <c r="O386" s="58" t="s">
        <v>788</v>
      </c>
      <c r="R386" s="55" t="s">
        <v>801</v>
      </c>
      <c r="S386" s="55" t="str">
        <f>Table2[[#This Row],[friendly_name]]</f>
        <v>Server May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252</v>
      </c>
      <c r="AG386" s="58"/>
      <c r="AH386" s="58"/>
      <c r="AR386" s="60"/>
      <c r="AT386" s="62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1463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J386" s="55" t="s">
        <v>978</v>
      </c>
      <c r="BK386" s="55" t="s">
        <v>1278</v>
      </c>
      <c r="BL386" s="55" t="s">
        <v>804</v>
      </c>
      <c r="BM386" s="55" t="s">
        <v>1324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7" spans="1:66" s="55" customFormat="1" ht="16" hidden="1" customHeight="1" x14ac:dyDescent="0.2">
      <c r="A387" s="30">
        <v>2610</v>
      </c>
      <c r="B387" s="55" t="s">
        <v>579</v>
      </c>
      <c r="C387" s="55" t="s">
        <v>808</v>
      </c>
      <c r="D387" s="55" t="s">
        <v>148</v>
      </c>
      <c r="E387" s="56" t="s">
        <v>1434</v>
      </c>
      <c r="F387" s="57" t="str">
        <f>IF(ISBLANK(Table2[[#This Row],[unique_id]]), "", PROPER(SUBSTITUTE(Table2[[#This Row],[unique_id]], "_", " ")))</f>
        <v>Broken Template Server Meg Plug Proxy</v>
      </c>
      <c r="G387" s="60" t="s">
        <v>805</v>
      </c>
      <c r="H387" s="55" t="s">
        <v>526</v>
      </c>
      <c r="I387" s="55" t="s">
        <v>291</v>
      </c>
      <c r="O387" s="58" t="s">
        <v>788</v>
      </c>
      <c r="R387" s="55" t="s">
        <v>801</v>
      </c>
      <c r="S387" s="55" t="str">
        <f>Table2[[#This Row],[friendly_name]]</f>
        <v>Server Meg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1060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2611</v>
      </c>
      <c r="B388" s="55" t="s">
        <v>579</v>
      </c>
      <c r="C388" s="55" t="s">
        <v>233</v>
      </c>
      <c r="D388" s="55" t="s">
        <v>134</v>
      </c>
      <c r="E388" s="55" t="s">
        <v>1435</v>
      </c>
      <c r="F388" s="57" t="str">
        <f>IF(ISBLANK(Table2[[#This Row],[unique_id]]), "", PROPER(SUBSTITUTE(Table2[[#This Row],[unique_id]], "_", " ")))</f>
        <v>Broken Server Meg Plug</v>
      </c>
      <c r="G388" s="60" t="s">
        <v>805</v>
      </c>
      <c r="H388" s="55" t="s">
        <v>526</v>
      </c>
      <c r="I388" s="55" t="s">
        <v>291</v>
      </c>
      <c r="M388" s="55" t="s">
        <v>257</v>
      </c>
      <c r="O388" s="58" t="s">
        <v>788</v>
      </c>
      <c r="R388" s="55" t="s">
        <v>801</v>
      </c>
      <c r="S388" s="55" t="str">
        <f>Table2[[#This Row],[friendly_name]]</f>
        <v>Server Meg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252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1060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J388" s="55" t="s">
        <v>978</v>
      </c>
      <c r="BK388" s="55" t="s">
        <v>1278</v>
      </c>
      <c r="BL388" s="55" t="s">
        <v>803</v>
      </c>
      <c r="BM388" s="55" t="s">
        <v>1325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9" spans="1:66" ht="16" hidden="1" customHeight="1" x14ac:dyDescent="0.2">
      <c r="A389" s="30">
        <v>2612</v>
      </c>
      <c r="B389" s="30" t="s">
        <v>26</v>
      </c>
      <c r="C389" s="30" t="s">
        <v>808</v>
      </c>
      <c r="D389" s="30" t="s">
        <v>148</v>
      </c>
      <c r="E389" s="37" t="s">
        <v>1467</v>
      </c>
      <c r="F389" s="36" t="str">
        <f>IF(ISBLANK(Table2[[#This Row],[unique_id]]), "", PROPER(SUBSTITUTE(Table2[[#This Row],[unique_id]], "_", " ")))</f>
        <v>Template Server Jen Plug Proxy</v>
      </c>
      <c r="G389" s="30" t="s">
        <v>1472</v>
      </c>
      <c r="H389" s="30" t="s">
        <v>526</v>
      </c>
      <c r="I389" s="30" t="s">
        <v>291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tr">
        <f>Table2[[#This Row],[friendly_name]]</f>
        <v>Server Jen</v>
      </c>
      <c r="T38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134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">
        <v>495</v>
      </c>
      <c r="BB389" s="30" t="s">
        <v>1473</v>
      </c>
      <c r="BC389" s="30" t="s">
        <v>359</v>
      </c>
      <c r="BD389" s="30" t="s">
        <v>233</v>
      </c>
      <c r="BF389" s="30" t="s">
        <v>362</v>
      </c>
      <c r="BG389" s="30" t="s">
        <v>495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hidden="1" customHeight="1" x14ac:dyDescent="0.2">
      <c r="A390" s="30">
        <v>2613</v>
      </c>
      <c r="B390" s="30" t="s">
        <v>26</v>
      </c>
      <c r="C390" s="30" t="s">
        <v>233</v>
      </c>
      <c r="D390" s="30" t="s">
        <v>134</v>
      </c>
      <c r="E390" s="30" t="s">
        <v>1468</v>
      </c>
      <c r="F390" s="36" t="str">
        <f>IF(ISBLANK(Table2[[#This Row],[unique_id]]), "", PROPER(SUBSTITUTE(Table2[[#This Row],[unique_id]], "_", " ")))</f>
        <v>Server Jen Plug</v>
      </c>
      <c r="G390" s="30" t="s">
        <v>1472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tr">
        <f>Table2[[#This Row],[friendly_name]]</f>
        <v>Server Jen</v>
      </c>
      <c r="T390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0" s="30"/>
      <c r="V390" s="31"/>
      <c r="W390" s="31"/>
      <c r="X390" s="31"/>
      <c r="Y390" s="31"/>
      <c r="Z390" s="31"/>
      <c r="AA390" s="31"/>
      <c r="AB390" s="30"/>
      <c r="AC390" s="30"/>
      <c r="AE390" s="30" t="s">
        <v>252</v>
      </c>
      <c r="AG390" s="31"/>
      <c r="AH390" s="31"/>
      <c r="AT390" s="40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1473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J390" s="30" t="s">
        <v>978</v>
      </c>
      <c r="BK390" s="30" t="s">
        <v>1278</v>
      </c>
      <c r="BL390" s="30" t="s">
        <v>348</v>
      </c>
      <c r="BM390" s="30" t="s">
        <v>1326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1" spans="1:66" ht="16" hidden="1" customHeight="1" x14ac:dyDescent="0.2">
      <c r="A391" s="30">
        <v>2614</v>
      </c>
      <c r="B391" s="30" t="s">
        <v>26</v>
      </c>
      <c r="C391" s="30" t="s">
        <v>808</v>
      </c>
      <c r="D391" s="30" t="s">
        <v>148</v>
      </c>
      <c r="E391" s="37" t="s">
        <v>967</v>
      </c>
      <c r="F391" s="36" t="str">
        <f>IF(ISBLANK(Table2[[#This Row],[unique_id]]), "", PROPER(SUBSTITUTE(Table2[[#This Row],[unique_id]], "_", " ")))</f>
        <v>Template Rack Outlet Plug Proxy</v>
      </c>
      <c r="G391" s="30" t="s">
        <v>222</v>
      </c>
      <c r="H391" s="30" t="s">
        <v>526</v>
      </c>
      <c r="I391" s="30" t="s">
        <v>291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tr">
        <f>Table2[[#This Row],[friendly_name]]</f>
        <v>Server Rack</v>
      </c>
      <c r="T391" s="37" t="s">
        <v>1069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134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1019</v>
      </c>
      <c r="BC391" s="30" t="s">
        <v>915</v>
      </c>
      <c r="BD391" s="30" t="s">
        <v>1110</v>
      </c>
      <c r="BF391" s="30" t="s">
        <v>887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hidden="1" customHeight="1" x14ac:dyDescent="0.2">
      <c r="A392" s="30">
        <v>2615</v>
      </c>
      <c r="B392" s="30" t="s">
        <v>26</v>
      </c>
      <c r="C392" s="30" t="s">
        <v>695</v>
      </c>
      <c r="D392" s="30" t="s">
        <v>134</v>
      </c>
      <c r="E392" s="30" t="s">
        <v>838</v>
      </c>
      <c r="F392" s="36" t="str">
        <f>IF(ISBLANK(Table2[[#This Row],[unique_id]]), "", PROPER(SUBSTITUTE(Table2[[#This Row],[unique_id]], "_", " ")))</f>
        <v>Rack Outlet Plug</v>
      </c>
      <c r="G392" s="30" t="s">
        <v>222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tr">
        <f>Table2[[#This Row],[friendly_name]]</f>
        <v>Server Rack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2" s="30"/>
      <c r="V392" s="31"/>
      <c r="W392" s="31"/>
      <c r="X392" s="31"/>
      <c r="Y392" s="31"/>
      <c r="Z392" s="31"/>
      <c r="AA392" s="42" t="s">
        <v>1108</v>
      </c>
      <c r="AB392" s="30"/>
      <c r="AC392" s="30"/>
      <c r="AE392" s="30" t="s">
        <v>252</v>
      </c>
      <c r="AF392" s="30">
        <v>10</v>
      </c>
      <c r="AG392" s="31" t="s">
        <v>34</v>
      </c>
      <c r="AH392" s="31" t="s">
        <v>897</v>
      </c>
      <c r="AJ392" s="30" t="str">
        <f>_xlfn.CONCAT("homeassistant/", Table2[[#This Row],[entity_namespace]], "/tasmota/",Table2[[#This Row],[unique_id]], "/config")</f>
        <v>homeassistant/switch/tasmota/rack_outlet_plug/config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2" s="30" t="str">
        <f>_xlfn.CONCAT("tasmota/device/",Table2[[#This Row],[unique_id]], "/cmnd/POWER")</f>
        <v>tasmota/device/rack_outlet_plug/cmnd/POWER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916</v>
      </c>
      <c r="AO392" s="30" t="s">
        <v>917</v>
      </c>
      <c r="AP392" s="30" t="s">
        <v>906</v>
      </c>
      <c r="AQ392" s="30" t="s">
        <v>907</v>
      </c>
      <c r="AR392" s="30" t="s">
        <v>970</v>
      </c>
      <c r="AS392" s="30">
        <v>1</v>
      </c>
      <c r="AT392" s="34" t="str">
        <f>HYPERLINK(_xlfn.CONCAT("http://", Table2[[#This Row],[connection_ip]], "/?"))</f>
        <v>http://10.0.4.102/?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1019</v>
      </c>
      <c r="BC392" s="30" t="s">
        <v>915</v>
      </c>
      <c r="BD392" s="30" t="s">
        <v>1110</v>
      </c>
      <c r="BF392" s="30" t="s">
        <v>887</v>
      </c>
      <c r="BG392" s="30" t="s">
        <v>28</v>
      </c>
      <c r="BK392" s="30" t="s">
        <v>1278</v>
      </c>
      <c r="BL392" s="30" t="s">
        <v>914</v>
      </c>
      <c r="BM392" s="30" t="s">
        <v>1328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3" spans="1:66" ht="16" hidden="1" customHeight="1" x14ac:dyDescent="0.2">
      <c r="A393" s="30">
        <v>2616</v>
      </c>
      <c r="B393" s="30" t="s">
        <v>26</v>
      </c>
      <c r="C393" s="30" t="s">
        <v>695</v>
      </c>
      <c r="D393" s="30" t="s">
        <v>27</v>
      </c>
      <c r="E393" s="30" t="s">
        <v>968</v>
      </c>
      <c r="F393" s="36" t="str">
        <f>IF(ISBLANK(Table2[[#This Row],[unique_id]]), "", PROPER(SUBSTITUTE(Table2[[#This Row],[unique_id]], "_", " ")))</f>
        <v>Rack Outlet Plug Energy Power</v>
      </c>
      <c r="G393" s="30" t="s">
        <v>222</v>
      </c>
      <c r="H393" s="30" t="s">
        <v>526</v>
      </c>
      <c r="I393" s="30" t="s">
        <v>291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327</v>
      </c>
      <c r="AD393" s="30" t="s">
        <v>898</v>
      </c>
      <c r="AF393" s="30">
        <v>10</v>
      </c>
      <c r="AG393" s="31" t="s">
        <v>34</v>
      </c>
      <c r="AH393" s="31" t="s">
        <v>897</v>
      </c>
      <c r="AJ393" s="30" t="str">
        <f>_xlfn.CONCAT("homeassistant/", Table2[[#This Row],[entity_namespace]], "/tasmota/",Table2[[#This Row],[unique_id]], "/config")</f>
        <v>homeassistant/sensor/tasmota/rack_outlet_plug_energy_power/config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916</v>
      </c>
      <c r="AO393" s="30" t="s">
        <v>917</v>
      </c>
      <c r="AP393" s="30" t="s">
        <v>906</v>
      </c>
      <c r="AQ393" s="30" t="s">
        <v>907</v>
      </c>
      <c r="AR393" s="30" t="s">
        <v>1104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1019</v>
      </c>
      <c r="BC393" s="30" t="s">
        <v>915</v>
      </c>
      <c r="BD393" s="30" t="s">
        <v>1110</v>
      </c>
      <c r="BF393" s="30" t="s">
        <v>887</v>
      </c>
      <c r="BG393" s="30" t="s">
        <v>28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hidden="1" customHeight="1" x14ac:dyDescent="0.2">
      <c r="A394" s="30">
        <v>2617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Total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328</v>
      </c>
      <c r="AD394" s="30" t="s">
        <v>899</v>
      </c>
      <c r="AF394" s="30">
        <v>10</v>
      </c>
      <c r="AG394" s="31" t="s">
        <v>34</v>
      </c>
      <c r="AH394" s="31" t="s">
        <v>897</v>
      </c>
      <c r="AJ394" s="30" t="str">
        <f>_xlfn.CONCAT("homeassistant/", Table2[[#This Row],[entity_namespace]], "/tasmota/",Table2[[#This Row],[unique_id]], "/config")</f>
        <v>homeassistant/sensor/tasmota/rack_outlet_plug_energy_total/config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916</v>
      </c>
      <c r="AO394" s="30" t="s">
        <v>917</v>
      </c>
      <c r="AP394" s="30" t="s">
        <v>906</v>
      </c>
      <c r="AQ394" s="30" t="s">
        <v>907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1019</v>
      </c>
      <c r="BC394" s="30" t="s">
        <v>915</v>
      </c>
      <c r="BD394" s="30" t="s">
        <v>1110</v>
      </c>
      <c r="BF394" s="30" t="s">
        <v>887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hidden="1" customHeight="1" x14ac:dyDescent="0.2">
      <c r="A395" s="30">
        <v>2618</v>
      </c>
      <c r="B395" s="30" t="s">
        <v>26</v>
      </c>
      <c r="C395" s="30" t="s">
        <v>808</v>
      </c>
      <c r="D395" s="30" t="s">
        <v>148</v>
      </c>
      <c r="E395" s="37" t="s">
        <v>1094</v>
      </c>
      <c r="F395" s="36" t="str">
        <f>IF(ISBLANK(Table2[[#This Row],[unique_id]]), "", PROPER(SUBSTITUTE(Table2[[#This Row],[unique_id]], "_", " ")))</f>
        <v>Template Ceiling Network Switch Plug Proxy</v>
      </c>
      <c r="G395" s="30" t="s">
        <v>1449</v>
      </c>
      <c r="H395" s="30" t="s">
        <v>526</v>
      </c>
      <c r="I395" s="30" t="s">
        <v>291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Ceiling Network Devices</v>
      </c>
      <c r="T395" s="37" t="s">
        <v>1069</v>
      </c>
      <c r="U395" s="30"/>
      <c r="V395" s="31"/>
      <c r="W395" s="31"/>
      <c r="X395" s="31"/>
      <c r="Y395" s="31"/>
      <c r="Z395" s="31"/>
      <c r="AA395" s="31"/>
      <c r="AB395" s="30"/>
      <c r="AC395" s="30"/>
      <c r="AG395" s="31"/>
      <c r="AH395" s="31"/>
      <c r="AT395" s="40"/>
      <c r="AU395" s="30" t="s">
        <v>134</v>
      </c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220</v>
      </c>
      <c r="BC395" s="30" t="s">
        <v>915</v>
      </c>
      <c r="BD395" s="30" t="s">
        <v>1110</v>
      </c>
      <c r="BF395" s="30" t="s">
        <v>887</v>
      </c>
      <c r="BG395" s="30" t="s">
        <v>403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hidden="1" customHeight="1" x14ac:dyDescent="0.2">
      <c r="A396" s="30">
        <v>2619</v>
      </c>
      <c r="B396" s="30" t="s">
        <v>26</v>
      </c>
      <c r="C396" s="30" t="s">
        <v>695</v>
      </c>
      <c r="D396" s="30" t="s">
        <v>134</v>
      </c>
      <c r="E396" s="30" t="s">
        <v>1095</v>
      </c>
      <c r="F396" s="36" t="str">
        <f>IF(ISBLANK(Table2[[#This Row],[unique_id]]), "", PROPER(SUBSTITUTE(Table2[[#This Row],[unique_id]], "_", " ")))</f>
        <v>Ceiling Network Switch Plug</v>
      </c>
      <c r="G396" s="30" t="s">
        <v>1449</v>
      </c>
      <c r="H396" s="30" t="s">
        <v>526</v>
      </c>
      <c r="I396" s="30" t="s">
        <v>291</v>
      </c>
      <c r="M396" s="30" t="s">
        <v>257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Ceiling Network Devices</v>
      </c>
      <c r="T39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6" s="30"/>
      <c r="V396" s="31"/>
      <c r="W396" s="31"/>
      <c r="X396" s="31"/>
      <c r="Y396" s="31"/>
      <c r="Z396" s="31"/>
      <c r="AA396" s="42" t="s">
        <v>1108</v>
      </c>
      <c r="AB396" s="30"/>
      <c r="AC396" s="30"/>
      <c r="AE396" s="30" t="s">
        <v>253</v>
      </c>
      <c r="AF396" s="30">
        <v>10</v>
      </c>
      <c r="AG396" s="31" t="s">
        <v>34</v>
      </c>
      <c r="AH396" s="31" t="s">
        <v>897</v>
      </c>
      <c r="AJ396" s="30" t="str">
        <f>_xlfn.CONCAT("homeassistant/", Table2[[#This Row],[entity_namespace]], "/tasmota/",Table2[[#This Row],[unique_id]], "/config")</f>
        <v>homeassistant/switch/tasmota/ceiling_network_switch_plug/config</v>
      </c>
      <c r="AK396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6" s="30" t="str">
        <f>_xlfn.CONCAT("tasmota/device/",Table2[[#This Row],[unique_id]], "/cmnd/POWER")</f>
        <v>tasmota/device/ceiling_network_switch_plug/cmnd/POWER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916</v>
      </c>
      <c r="AO396" s="30" t="s">
        <v>917</v>
      </c>
      <c r="AP396" s="30" t="s">
        <v>906</v>
      </c>
      <c r="AQ396" s="30" t="s">
        <v>907</v>
      </c>
      <c r="AR396" s="30" t="s">
        <v>970</v>
      </c>
      <c r="AS396" s="30">
        <v>1</v>
      </c>
      <c r="AT396" s="34" t="str">
        <f>HYPERLINK(_xlfn.CONCAT("http://", Table2[[#This Row],[connection_ip]], "/?"))</f>
        <v>http://10.0.4.105/?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220</v>
      </c>
      <c r="BC396" s="30" t="s">
        <v>915</v>
      </c>
      <c r="BD396" s="30" t="s">
        <v>1110</v>
      </c>
      <c r="BF396" s="30" t="s">
        <v>887</v>
      </c>
      <c r="BG396" s="30" t="s">
        <v>403</v>
      </c>
      <c r="BK396" s="30" t="s">
        <v>1278</v>
      </c>
      <c r="BL396" s="41" t="s">
        <v>980</v>
      </c>
      <c r="BM396" s="30" t="s">
        <v>1330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7" spans="1:66" ht="16" hidden="1" customHeight="1" x14ac:dyDescent="0.2">
      <c r="A397" s="30">
        <v>2620</v>
      </c>
      <c r="B397" s="30" t="s">
        <v>26</v>
      </c>
      <c r="C397" s="30" t="s">
        <v>695</v>
      </c>
      <c r="D397" s="30" t="s">
        <v>27</v>
      </c>
      <c r="E397" s="30" t="s">
        <v>1096</v>
      </c>
      <c r="F397" s="36" t="str">
        <f>IF(ISBLANK(Table2[[#This Row],[unique_id]]), "", PROPER(SUBSTITUTE(Table2[[#This Row],[unique_id]], "_", " ")))</f>
        <v>Ceiling Network Switch Plug Energy Power</v>
      </c>
      <c r="G397" s="30" t="s">
        <v>1449</v>
      </c>
      <c r="H397" s="30" t="s">
        <v>526</v>
      </c>
      <c r="I397" s="30" t="s">
        <v>291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31</v>
      </c>
      <c r="AC397" s="30" t="s">
        <v>327</v>
      </c>
      <c r="AD397" s="30" t="s">
        <v>898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homeassistant/sensor/tasmota/ceiling_network_switch_plug_energy_power/config</v>
      </c>
      <c r="AK397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1104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915</v>
      </c>
      <c r="BD397" s="30" t="s">
        <v>1110</v>
      </c>
      <c r="BF397" s="30" t="s">
        <v>887</v>
      </c>
      <c r="BG397" s="30" t="s">
        <v>403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2621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Total</v>
      </c>
      <c r="G398" s="30" t="s">
        <v>1449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76</v>
      </c>
      <c r="AC398" s="30" t="s">
        <v>328</v>
      </c>
      <c r="AD398" s="30" t="s">
        <v>899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homeassistant/sensor/tasmota/ceiling_network_switch_plug_energy_total/config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915</v>
      </c>
      <c r="BD398" s="30" t="s">
        <v>1110</v>
      </c>
      <c r="BF398" s="30" t="s">
        <v>887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s="55" customFormat="1" ht="16" hidden="1" customHeight="1" x14ac:dyDescent="0.2">
      <c r="A399" s="30">
        <v>2622</v>
      </c>
      <c r="B399" s="55" t="s">
        <v>579</v>
      </c>
      <c r="C399" s="55" t="s">
        <v>808</v>
      </c>
      <c r="D399" s="55" t="s">
        <v>148</v>
      </c>
      <c r="E399" s="56" t="s">
        <v>1436</v>
      </c>
      <c r="F399" s="57" t="str">
        <f>IF(ISBLANK(Table2[[#This Row],[unique_id]]), "", PROPER(SUBSTITUTE(Table2[[#This Row],[unique_id]], "_", " ")))</f>
        <v>Broken Template Rack Internet Modem Plug Proxy</v>
      </c>
      <c r="G399" s="55" t="s">
        <v>221</v>
      </c>
      <c r="H399" s="55" t="s">
        <v>526</v>
      </c>
      <c r="I399" s="55" t="s">
        <v>291</v>
      </c>
      <c r="O399" s="58" t="s">
        <v>788</v>
      </c>
      <c r="R399" s="55" t="s">
        <v>802</v>
      </c>
      <c r="S399" s="55" t="str">
        <f>Table2[[#This Row],[friendly_name]]</f>
        <v>Internet Modem</v>
      </c>
      <c r="T399" s="56" t="s">
        <v>1067</v>
      </c>
      <c r="V399" s="58"/>
      <c r="W399" s="58"/>
      <c r="X399" s="58"/>
      <c r="Y399" s="58"/>
      <c r="Z399" s="58"/>
      <c r="AA399" s="58"/>
      <c r="AG399" s="58"/>
      <c r="AH399" s="58"/>
      <c r="AT399" s="59"/>
      <c r="AU399" s="55" t="s">
        <v>134</v>
      </c>
      <c r="AV3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55" t="str">
        <f>IF(ISBLANK(Table2[[#This Row],[device_model]]), "", Table2[[#This Row],[device_suggested_area]])</f>
        <v>Rack</v>
      </c>
      <c r="BB399" s="55" t="s">
        <v>1024</v>
      </c>
      <c r="BC399" s="60" t="s">
        <v>360</v>
      </c>
      <c r="BD399" s="55" t="s">
        <v>233</v>
      </c>
      <c r="BF399" s="55" t="s">
        <v>361</v>
      </c>
      <c r="BG399" s="55" t="s">
        <v>28</v>
      </c>
      <c r="BN3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hidden="1" customHeight="1" x14ac:dyDescent="0.2">
      <c r="A400" s="30">
        <v>2623</v>
      </c>
      <c r="B400" s="55" t="s">
        <v>579</v>
      </c>
      <c r="C400" s="55" t="s">
        <v>233</v>
      </c>
      <c r="D400" s="55" t="s">
        <v>134</v>
      </c>
      <c r="E400" s="55" t="s">
        <v>1437</v>
      </c>
      <c r="F400" s="57" t="str">
        <f>IF(ISBLANK(Table2[[#This Row],[unique_id]]), "", PROPER(SUBSTITUTE(Table2[[#This Row],[unique_id]], "_", " ")))</f>
        <v>Broken Rack Internet Modem Plug</v>
      </c>
      <c r="G400" s="55" t="s">
        <v>221</v>
      </c>
      <c r="H400" s="55" t="s">
        <v>526</v>
      </c>
      <c r="I400" s="55" t="s">
        <v>291</v>
      </c>
      <c r="M400" s="55" t="s">
        <v>257</v>
      </c>
      <c r="O400" s="58" t="s">
        <v>788</v>
      </c>
      <c r="R400" s="55" t="s">
        <v>802</v>
      </c>
      <c r="S400" s="55" t="str">
        <f>Table2[[#This Row],[friendly_name]]</f>
        <v>Internet Modem</v>
      </c>
      <c r="T400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0" s="58"/>
      <c r="W400" s="58"/>
      <c r="X400" s="58"/>
      <c r="Y400" s="58"/>
      <c r="Z400" s="58"/>
      <c r="AA400" s="58"/>
      <c r="AE400" s="55" t="s">
        <v>254</v>
      </c>
      <c r="AG400" s="58"/>
      <c r="AH400" s="58"/>
      <c r="AT400" s="59"/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1024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J400" s="55" t="s">
        <v>977</v>
      </c>
      <c r="BK400" s="55" t="s">
        <v>1278</v>
      </c>
      <c r="BL400" s="55" t="s">
        <v>354</v>
      </c>
      <c r="BM400" s="55" t="s">
        <v>1331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1" spans="1:66" ht="16" hidden="1" customHeight="1" x14ac:dyDescent="0.2">
      <c r="A401" s="30">
        <v>2624</v>
      </c>
      <c r="B401" s="30" t="s">
        <v>26</v>
      </c>
      <c r="C401" s="30" t="s">
        <v>450</v>
      </c>
      <c r="D401" s="30" t="s">
        <v>27</v>
      </c>
      <c r="E401" s="30" t="s">
        <v>814</v>
      </c>
      <c r="F401" s="36" t="str">
        <f>IF(ISBLANK(Table2[[#This Row],[unique_id]]), "", PROPER(SUBSTITUTE(Table2[[#This Row],[unique_id]], "_", " ")))</f>
        <v>Garden Repeater Linkquality</v>
      </c>
      <c r="G401" s="30" t="s">
        <v>699</v>
      </c>
      <c r="H401" s="30" t="s">
        <v>526</v>
      </c>
      <c r="I401" s="30" t="s">
        <v>291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">
        <v>819</v>
      </c>
      <c r="T401" s="37" t="s">
        <v>817</v>
      </c>
      <c r="U401" s="30"/>
      <c r="V401" s="31"/>
      <c r="W401" s="31" t="s">
        <v>489</v>
      </c>
      <c r="X401" s="31"/>
      <c r="Y401" s="42" t="s">
        <v>757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Garden</v>
      </c>
      <c r="BA401" s="30" t="str">
        <f>IF(ISBLANK(Table2[[#This Row],[device_model]]), "", Table2[[#This Row],[device_suggested_area]])</f>
        <v>Garden</v>
      </c>
      <c r="BB401" s="30" t="s">
        <v>989</v>
      </c>
      <c r="BC401" s="39" t="s">
        <v>697</v>
      </c>
      <c r="BD401" s="30" t="s">
        <v>450</v>
      </c>
      <c r="BF401" s="30" t="s">
        <v>696</v>
      </c>
      <c r="BG401" s="30" t="s">
        <v>576</v>
      </c>
      <c r="BL401" s="30" t="s">
        <v>698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2" spans="1:66" ht="16" hidden="1" customHeight="1" x14ac:dyDescent="0.2">
      <c r="A402" s="30">
        <v>2625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Landing Repeater Linkquality</v>
      </c>
      <c r="G402" s="30" t="s">
        <v>701</v>
      </c>
      <c r="H402" s="30" t="s">
        <v>526</v>
      </c>
      <c r="I402" s="30" t="s">
        <v>291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">
        <v>819</v>
      </c>
      <c r="T402" s="37" t="s">
        <v>817</v>
      </c>
      <c r="U402" s="30"/>
      <c r="V402" s="31"/>
      <c r="W402" s="31" t="s">
        <v>489</v>
      </c>
      <c r="X402" s="31"/>
      <c r="Y402" s="42" t="s">
        <v>757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Landing</v>
      </c>
      <c r="BA402" s="30" t="str">
        <f>IF(ISBLANK(Table2[[#This Row],[device_model]]), "", Table2[[#This Row],[device_suggested_area]])</f>
        <v>Landing</v>
      </c>
      <c r="BB402" s="30" t="s">
        <v>989</v>
      </c>
      <c r="BC402" s="39" t="s">
        <v>697</v>
      </c>
      <c r="BD402" s="30" t="s">
        <v>450</v>
      </c>
      <c r="BF402" s="30" t="s">
        <v>696</v>
      </c>
      <c r="BG402" s="30" t="s">
        <v>559</v>
      </c>
      <c r="BL402" s="30" t="s">
        <v>703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3" spans="1:66" ht="16" hidden="1" customHeight="1" x14ac:dyDescent="0.2">
      <c r="A403" s="30">
        <v>2626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Driveway Repeater Linkquality</v>
      </c>
      <c r="G403" s="30" t="s">
        <v>700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">
        <v>819</v>
      </c>
      <c r="T403" s="37" t="s">
        <v>817</v>
      </c>
      <c r="U403" s="30"/>
      <c r="V403" s="31"/>
      <c r="W403" s="31" t="s">
        <v>489</v>
      </c>
      <c r="X403" s="31"/>
      <c r="Y403" s="42" t="s">
        <v>757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Driveway</v>
      </c>
      <c r="BA403" s="30" t="str">
        <f>IF(ISBLANK(Table2[[#This Row],[device_model]]), "", Table2[[#This Row],[device_suggested_area]])</f>
        <v>Driveway</v>
      </c>
      <c r="BB403" s="30" t="s">
        <v>989</v>
      </c>
      <c r="BC403" s="39" t="s">
        <v>697</v>
      </c>
      <c r="BD403" s="30" t="s">
        <v>450</v>
      </c>
      <c r="BF403" s="30" t="s">
        <v>696</v>
      </c>
      <c r="BG403" s="30" t="s">
        <v>702</v>
      </c>
      <c r="BL403" s="30" t="s">
        <v>704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4" spans="1:66" ht="16" hidden="1" customHeight="1" x14ac:dyDescent="0.2">
      <c r="A404" s="30">
        <v>2627</v>
      </c>
      <c r="B404" s="30" t="s">
        <v>26</v>
      </c>
      <c r="C404" s="30" t="s">
        <v>150</v>
      </c>
      <c r="D404" s="30" t="s">
        <v>310</v>
      </c>
      <c r="E404" s="30" t="s">
        <v>886</v>
      </c>
      <c r="F404" s="36" t="str">
        <f>IF(ISBLANK(Table2[[#This Row],[unique_id]]), "", PROPER(SUBSTITUTE(Table2[[#This Row],[unique_id]], "_", " ")))</f>
        <v>Lighting Reset Adaptive Lighting All</v>
      </c>
      <c r="G404" s="30" t="s">
        <v>790</v>
      </c>
      <c r="H404" s="30" t="s">
        <v>544</v>
      </c>
      <c r="I404" s="30" t="s">
        <v>291</v>
      </c>
      <c r="M404" s="30" t="s">
        <v>257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292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165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hidden="1" customHeight="1" x14ac:dyDescent="0.2">
      <c r="A405" s="30">
        <v>2628</v>
      </c>
      <c r="B405" s="30" t="s">
        <v>26</v>
      </c>
      <c r="C405" s="30" t="s">
        <v>150</v>
      </c>
      <c r="D405" s="30" t="s">
        <v>310</v>
      </c>
      <c r="E405" s="36" t="s">
        <v>531</v>
      </c>
      <c r="F405" s="36" t="str">
        <f>IF(ISBLANK(Table2[[#This Row],[unique_id]]), "", PROPER(SUBSTITUTE(Table2[[#This Row],[unique_id]], "_", " ")))</f>
        <v>Lighting Reset Adaptive Lighting Ada Lamp</v>
      </c>
      <c r="G405" s="36" t="s">
        <v>195</v>
      </c>
      <c r="H405" s="30" t="s">
        <v>544</v>
      </c>
      <c r="I405" s="30" t="s">
        <v>291</v>
      </c>
      <c r="J405" s="30" t="s">
        <v>530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32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130</v>
      </c>
      <c r="BI405" s="30" t="s">
        <v>687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2629</v>
      </c>
      <c r="B406" s="30" t="s">
        <v>26</v>
      </c>
      <c r="C406" s="30" t="s">
        <v>150</v>
      </c>
      <c r="D406" s="30" t="s">
        <v>310</v>
      </c>
      <c r="E406" s="36" t="s">
        <v>525</v>
      </c>
      <c r="F406" s="36" t="str">
        <f>IF(ISBLANK(Table2[[#This Row],[unique_id]]), "", PROPER(SUBSTITUTE(Table2[[#This Row],[unique_id]], "_", " ")))</f>
        <v>Lighting Reset Adaptive Lighting Edwin Lamp</v>
      </c>
      <c r="G406" s="36" t="s">
        <v>205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127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hidden="1" customHeight="1" x14ac:dyDescent="0.2">
      <c r="A407" s="30">
        <v>2630</v>
      </c>
      <c r="B407" s="30" t="s">
        <v>26</v>
      </c>
      <c r="C407" s="30" t="s">
        <v>150</v>
      </c>
      <c r="D407" s="30" t="s">
        <v>310</v>
      </c>
      <c r="E407" s="36" t="s">
        <v>532</v>
      </c>
      <c r="F407" s="36" t="str">
        <f>IF(ISBLANK(Table2[[#This Row],[unique_id]]), "", PROPER(SUBSTITUTE(Table2[[#This Row],[unique_id]], "_", " ")))</f>
        <v>Lighting Reset Adaptive Lighting Edwin Night Light</v>
      </c>
      <c r="G407" s="36" t="s">
        <v>408</v>
      </c>
      <c r="H407" s="30" t="s">
        <v>544</v>
      </c>
      <c r="I407" s="30" t="s">
        <v>291</v>
      </c>
      <c r="J407" s="30" t="s">
        <v>543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hidden="1" customHeight="1" x14ac:dyDescent="0.2">
      <c r="A408" s="30">
        <v>2631</v>
      </c>
      <c r="B408" s="30" t="s">
        <v>26</v>
      </c>
      <c r="C408" s="30" t="s">
        <v>150</v>
      </c>
      <c r="D408" s="30" t="s">
        <v>310</v>
      </c>
      <c r="E408" s="36" t="s">
        <v>533</v>
      </c>
      <c r="F408" s="36" t="str">
        <f>IF(ISBLANK(Table2[[#This Row],[unique_id]]), "", PROPER(SUBSTITUTE(Table2[[#This Row],[unique_id]], "_", " ")))</f>
        <v>Lighting Reset Adaptive Lighting Hallway Main</v>
      </c>
      <c r="G408" s="36" t="s">
        <v>200</v>
      </c>
      <c r="H408" s="30" t="s">
        <v>544</v>
      </c>
      <c r="I408" s="30" t="s">
        <v>291</v>
      </c>
      <c r="J408" s="30" t="s">
        <v>551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404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hidden="1" customHeight="1" x14ac:dyDescent="0.2">
      <c r="A409" s="30">
        <v>2632</v>
      </c>
      <c r="B409" s="30" t="s">
        <v>26</v>
      </c>
      <c r="C409" s="30" t="s">
        <v>150</v>
      </c>
      <c r="D409" s="30" t="s">
        <v>310</v>
      </c>
      <c r="E409" s="36" t="s">
        <v>870</v>
      </c>
      <c r="F409" s="36" t="str">
        <f>IF(ISBLANK(Table2[[#This Row],[unique_id]]), "", PROPER(SUBSTITUTE(Table2[[#This Row],[unique_id]], "_", " ")))</f>
        <v>Lighting Reset Adaptive Lighting Hallway Sconces</v>
      </c>
      <c r="G409" s="36" t="s">
        <v>855</v>
      </c>
      <c r="H409" s="30" t="s">
        <v>544</v>
      </c>
      <c r="I409" s="30" t="s">
        <v>291</v>
      </c>
      <c r="J409" s="30" t="s">
        <v>871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2633</v>
      </c>
      <c r="B410" s="30" t="s">
        <v>26</v>
      </c>
      <c r="C410" s="30" t="s">
        <v>150</v>
      </c>
      <c r="D410" s="30" t="s">
        <v>310</v>
      </c>
      <c r="E410" s="36" t="s">
        <v>534</v>
      </c>
      <c r="F410" s="36" t="str">
        <f>IF(ISBLANK(Table2[[#This Row],[unique_id]]), "", PROPER(SUBSTITUTE(Table2[[#This Row],[unique_id]], "_", " ")))</f>
        <v>Lighting Reset Adaptive Lighting Dining Main</v>
      </c>
      <c r="G410" s="36" t="s">
        <v>138</v>
      </c>
      <c r="H410" s="30" t="s">
        <v>544</v>
      </c>
      <c r="I410" s="30" t="s">
        <v>291</v>
      </c>
      <c r="J410" s="30" t="s">
        <v>551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2634</v>
      </c>
      <c r="B411" s="30" t="s">
        <v>26</v>
      </c>
      <c r="C411" s="30" t="s">
        <v>150</v>
      </c>
      <c r="D411" s="30" t="s">
        <v>310</v>
      </c>
      <c r="E411" s="36" t="s">
        <v>535</v>
      </c>
      <c r="F411" s="36" t="str">
        <f>IF(ISBLANK(Table2[[#This Row],[unique_id]]), "", PROPER(SUBSTITUTE(Table2[[#This Row],[unique_id]], "_", " ")))</f>
        <v>Lighting Reset Adaptive Lighting Lounge Main</v>
      </c>
      <c r="G411" s="36" t="s">
        <v>207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2635</v>
      </c>
      <c r="B412" s="30" t="s">
        <v>26</v>
      </c>
      <c r="C412" s="30" t="s">
        <v>150</v>
      </c>
      <c r="D412" s="30" t="s">
        <v>310</v>
      </c>
      <c r="E412" s="36" t="s">
        <v>586</v>
      </c>
      <c r="F412" s="36" t="str">
        <f>IF(ISBLANK(Table2[[#This Row],[unique_id]]), "", PROPER(SUBSTITUTE(Table2[[#This Row],[unique_id]], "_", " ")))</f>
        <v>Lighting Reset Adaptive Lighting Lounge Lamp</v>
      </c>
      <c r="G412" s="36" t="s">
        <v>556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2636</v>
      </c>
      <c r="B413" s="30" t="s">
        <v>26</v>
      </c>
      <c r="C413" s="30" t="s">
        <v>150</v>
      </c>
      <c r="D413" s="30" t="s">
        <v>310</v>
      </c>
      <c r="E413" s="36" t="s">
        <v>1529</v>
      </c>
      <c r="F413" s="36" t="str">
        <f>IF(ISBLANK(Table2[[#This Row],[unique_id]]), "", PROPER(SUBSTITUTE(Table2[[#This Row],[unique_id]], "_", " ")))</f>
        <v>Lighting Reset Adaptive Lighting Lounge Reading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2637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2638</v>
      </c>
      <c r="B415" s="30" t="s">
        <v>26</v>
      </c>
      <c r="C415" s="30" t="s">
        <v>150</v>
      </c>
      <c r="D415" s="30" t="s">
        <v>310</v>
      </c>
      <c r="E415" s="36" t="s">
        <v>872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864</v>
      </c>
      <c r="H415" s="30" t="s">
        <v>544</v>
      </c>
      <c r="I415" s="30" t="s">
        <v>291</v>
      </c>
      <c r="J415" s="30" t="s">
        <v>874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2639</v>
      </c>
      <c r="B416" s="30" t="s">
        <v>26</v>
      </c>
      <c r="C416" s="30" t="s">
        <v>150</v>
      </c>
      <c r="D416" s="30" t="s">
        <v>310</v>
      </c>
      <c r="E416" s="36" t="s">
        <v>873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865</v>
      </c>
      <c r="H416" s="30" t="s">
        <v>544</v>
      </c>
      <c r="I416" s="30" t="s">
        <v>291</v>
      </c>
      <c r="J416" s="30" t="s">
        <v>875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2640</v>
      </c>
      <c r="B417" s="30" t="s">
        <v>26</v>
      </c>
      <c r="C417" s="30" t="s">
        <v>150</v>
      </c>
      <c r="D417" s="30" t="s">
        <v>310</v>
      </c>
      <c r="E417" s="36" t="s">
        <v>876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742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2641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2642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2643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2644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2645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2646</v>
      </c>
      <c r="B423" s="30" t="s">
        <v>26</v>
      </c>
      <c r="C423" s="30" t="s">
        <v>150</v>
      </c>
      <c r="D423" s="30" t="s">
        <v>310</v>
      </c>
      <c r="E423" s="36" t="s">
        <v>877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861</v>
      </c>
      <c r="H423" s="30" t="s">
        <v>544</v>
      </c>
      <c r="I423" s="30" t="s">
        <v>291</v>
      </c>
      <c r="J423" s="30" t="s">
        <v>871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2647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2648</v>
      </c>
      <c r="B425" s="30" t="s">
        <v>26</v>
      </c>
      <c r="C425" s="30" t="s">
        <v>150</v>
      </c>
      <c r="D425" s="30" t="s">
        <v>310</v>
      </c>
      <c r="E425" s="36" t="s">
        <v>878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844</v>
      </c>
      <c r="H425" s="30" t="s">
        <v>544</v>
      </c>
      <c r="I425" s="30" t="s">
        <v>291</v>
      </c>
      <c r="J425" s="30" t="s">
        <v>871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2649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745</v>
      </c>
      <c r="I427" s="30" t="s">
        <v>144</v>
      </c>
      <c r="M427" s="30" t="s">
        <v>136</v>
      </c>
      <c r="N427" s="30" t="s">
        <v>270</v>
      </c>
      <c r="O427" s="31" t="s">
        <v>788</v>
      </c>
      <c r="P427" s="30" t="s">
        <v>165</v>
      </c>
      <c r="Q427" s="30" t="s">
        <v>760</v>
      </c>
      <c r="R427" s="41" t="s">
        <v>745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1043</v>
      </c>
      <c r="BG427" s="30" t="s">
        <v>130</v>
      </c>
      <c r="BK427" s="30" t="s">
        <v>1277</v>
      </c>
      <c r="BL427" s="41" t="s">
        <v>420</v>
      </c>
      <c r="BM427" s="39" t="s">
        <v>1279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hidden="1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745</v>
      </c>
      <c r="I428" s="30" t="s">
        <v>144</v>
      </c>
      <c r="M428" s="30" t="s">
        <v>136</v>
      </c>
      <c r="N428" s="30" t="s">
        <v>270</v>
      </c>
      <c r="O428" s="31" t="s">
        <v>788</v>
      </c>
      <c r="P428" s="30" t="s">
        <v>165</v>
      </c>
      <c r="Q428" s="30" t="s">
        <v>760</v>
      </c>
      <c r="R428" s="41" t="s">
        <v>745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1043</v>
      </c>
      <c r="BG428" s="30" t="s">
        <v>127</v>
      </c>
      <c r="BK428" s="30" t="s">
        <v>1277</v>
      </c>
      <c r="BL428" s="41" t="s">
        <v>419</v>
      </c>
      <c r="BM428" s="39" t="s">
        <v>1280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hidden="1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745</v>
      </c>
      <c r="I429" s="30" t="s">
        <v>144</v>
      </c>
      <c r="M429" s="30" t="s">
        <v>136</v>
      </c>
      <c r="N429" s="30" t="s">
        <v>270</v>
      </c>
      <c r="O429" s="31" t="s">
        <v>788</v>
      </c>
      <c r="P429" s="30" t="s">
        <v>165</v>
      </c>
      <c r="Q429" s="30" t="s">
        <v>760</v>
      </c>
      <c r="R429" s="41" t="s">
        <v>745</v>
      </c>
      <c r="S429" s="30" t="str">
        <f>_xlfn.CONCAT( Table2[[#This Row],[friendly_name]], " Devices")</f>
        <v>Parents Home Devices</v>
      </c>
      <c r="T429" s="37" t="s">
        <v>770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1037</v>
      </c>
      <c r="BD429" s="30" t="s">
        <v>235</v>
      </c>
      <c r="BF429" s="30" t="s">
        <v>1044</v>
      </c>
      <c r="BG429" s="30" t="s">
        <v>192</v>
      </c>
      <c r="BK429" s="30" t="s">
        <v>1277</v>
      </c>
      <c r="BL429" s="41" t="s">
        <v>637</v>
      </c>
      <c r="BM429" s="39" t="s">
        <v>1281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hidden="1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745</v>
      </c>
      <c r="I430" s="30" t="s">
        <v>144</v>
      </c>
      <c r="M430" s="30" t="s">
        <v>136</v>
      </c>
      <c r="N430" s="30" t="s">
        <v>270</v>
      </c>
      <c r="O430" s="31" t="s">
        <v>788</v>
      </c>
      <c r="P430" s="30" t="s">
        <v>165</v>
      </c>
      <c r="Q430" s="30" t="s">
        <v>760</v>
      </c>
      <c r="R430" s="41" t="s">
        <v>745</v>
      </c>
      <c r="S430" s="30" t="str">
        <f>_xlfn.CONCAT( Table2[[#This Row],[friendly_name]], " Devices")</f>
        <v>Kitchen Home Devices</v>
      </c>
      <c r="T430" s="37" t="s">
        <v>770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1037</v>
      </c>
      <c r="BD430" s="30" t="s">
        <v>235</v>
      </c>
      <c r="BF430" s="30" t="s">
        <v>1044</v>
      </c>
      <c r="BG430" s="30" t="s">
        <v>206</v>
      </c>
      <c r="BK430" s="30" t="s">
        <v>1277</v>
      </c>
      <c r="BL430" s="41" t="s">
        <v>730</v>
      </c>
      <c r="BM430" s="39" t="s">
        <v>1282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hidden="1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745</v>
      </c>
      <c r="I431" s="30" t="s">
        <v>144</v>
      </c>
      <c r="M431" s="30" t="s">
        <v>136</v>
      </c>
      <c r="N431" s="30" t="s">
        <v>270</v>
      </c>
      <c r="O431" s="31" t="s">
        <v>788</v>
      </c>
      <c r="P431" s="30" t="s">
        <v>165</v>
      </c>
      <c r="Q431" s="30" t="s">
        <v>760</v>
      </c>
      <c r="R431" s="41" t="s">
        <v>745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1043</v>
      </c>
      <c r="BG431" s="30" t="s">
        <v>212</v>
      </c>
      <c r="BK431" s="30" t="s">
        <v>1277</v>
      </c>
      <c r="BL431" s="41" t="s">
        <v>417</v>
      </c>
      <c r="BM431" s="39" t="s">
        <v>1283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hidden="1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194</v>
      </c>
      <c r="BK432" s="30" t="s">
        <v>1277</v>
      </c>
      <c r="BL432" s="41" t="s">
        <v>418</v>
      </c>
      <c r="BM432" s="39" t="s">
        <v>1284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hidden="1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820</v>
      </c>
      <c r="F433" s="36" t="str">
        <f>IF(ISBLANK(Table2[[#This Row],[unique_id]]), "", PROPER(SUBSTITUTE(Table2[[#This Row],[unique_id]], "_", " ")))</f>
        <v>Ada Tablet</v>
      </c>
      <c r="G433" s="30" t="s">
        <v>821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821</v>
      </c>
      <c r="BC433" s="30" t="s">
        <v>1045</v>
      </c>
      <c r="BD433" s="30" t="s">
        <v>235</v>
      </c>
      <c r="BF433" s="30" t="s">
        <v>823</v>
      </c>
      <c r="BG433" s="30" t="s">
        <v>194</v>
      </c>
      <c r="BK433" s="30" t="s">
        <v>1277</v>
      </c>
      <c r="BL433" s="41" t="s">
        <v>1256</v>
      </c>
      <c r="BM433" s="39" t="s">
        <v>1285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hidden="1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824</v>
      </c>
      <c r="F434" s="36" t="str">
        <f>IF(ISBLANK(Table2[[#This Row],[unique_id]]), "", PROPER(SUBSTITUTE(Table2[[#This Row],[unique_id]], "_", " ")))</f>
        <v>Edwin Tablet</v>
      </c>
      <c r="G434" s="30" t="s">
        <v>825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825</v>
      </c>
      <c r="BC434" s="30" t="s">
        <v>1045</v>
      </c>
      <c r="BD434" s="30" t="s">
        <v>235</v>
      </c>
      <c r="BF434" s="30" t="s">
        <v>823</v>
      </c>
      <c r="BG434" s="30" t="s">
        <v>206</v>
      </c>
      <c r="BK434" s="30" t="s">
        <v>1277</v>
      </c>
      <c r="BL434" s="41" t="s">
        <v>1257</v>
      </c>
      <c r="BM434" s="39" t="s">
        <v>1288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hidden="1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981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1277</v>
      </c>
      <c r="BL435" s="41" t="s">
        <v>581</v>
      </c>
      <c r="BM435" s="39" t="s">
        <v>1286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hidden="1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981</v>
      </c>
      <c r="BC436" s="30" t="s">
        <v>1038</v>
      </c>
      <c r="BD436" s="30" t="s">
        <v>264</v>
      </c>
      <c r="BF436" s="30" t="s">
        <v>397</v>
      </c>
      <c r="BG436" s="30" t="s">
        <v>192</v>
      </c>
      <c r="BK436" s="30" t="s">
        <v>1277</v>
      </c>
      <c r="BL436" s="41" t="s">
        <v>399</v>
      </c>
      <c r="BM436" s="39" t="s">
        <v>1287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hidden="1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981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1277</v>
      </c>
      <c r="BL437" s="41" t="s">
        <v>421</v>
      </c>
      <c r="BM437" s="39" t="s">
        <v>1289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hidden="1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745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hidden="1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734</v>
      </c>
      <c r="F439" s="36" t="str">
        <f>IF(ISBLANK(Table2[[#This Row],[unique_id]]), "", PROPER(SUBSTITUTE(Table2[[#This Row],[unique_id]], "_", " ")))</f>
        <v>Lounge Arc</v>
      </c>
      <c r="G439" s="30" t="s">
        <v>737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1041</v>
      </c>
      <c r="BD439" s="30" t="s">
        <v>182</v>
      </c>
      <c r="BF439" s="30">
        <v>15.4</v>
      </c>
      <c r="BG439" s="30" t="s">
        <v>194</v>
      </c>
      <c r="BK439" s="30" t="s">
        <v>1277</v>
      </c>
      <c r="BL439" s="30" t="s">
        <v>585</v>
      </c>
      <c r="BM439" s="39" t="s">
        <v>1290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hidden="1" customHeight="1" x14ac:dyDescent="0.2">
      <c r="A440" s="30">
        <v>2683</v>
      </c>
      <c r="B440" s="30" t="s">
        <v>579</v>
      </c>
      <c r="C440" s="30" t="s">
        <v>808</v>
      </c>
      <c r="D440" s="30" t="s">
        <v>148</v>
      </c>
      <c r="E440" s="30" t="s">
        <v>810</v>
      </c>
      <c r="F440" s="36" t="str">
        <f>IF(ISBLANK(Table2[[#This Row],[unique_id]]), "", PROPER(SUBSTITUTE(Table2[[#This Row],[unique_id]], "_", " ")))</f>
        <v>Template Kitchen Move Proxy</v>
      </c>
      <c r="G440" s="30" t="s">
        <v>738</v>
      </c>
      <c r="H440" s="30" t="s">
        <v>745</v>
      </c>
      <c r="I440" s="30" t="s">
        <v>144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Kitchen Move Devices</v>
      </c>
      <c r="T440" s="37" t="s">
        <v>813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1039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hidden="1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733</v>
      </c>
      <c r="F441" s="36" t="str">
        <f>IF(ISBLANK(Table2[[#This Row],[unique_id]]), "", PROPER(SUBSTITUTE(Table2[[#This Row],[unique_id]], "_", " ")))</f>
        <v>Kitchen Move</v>
      </c>
      <c r="G441" s="30" t="s">
        <v>738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 t="s">
        <v>788</v>
      </c>
      <c r="P441" s="30" t="s">
        <v>165</v>
      </c>
      <c r="Q441" s="30" t="s">
        <v>760</v>
      </c>
      <c r="R441" s="41" t="s">
        <v>745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1039</v>
      </c>
      <c r="BD441" s="30" t="s">
        <v>182</v>
      </c>
      <c r="BF441" s="30">
        <v>15.4</v>
      </c>
      <c r="BG441" s="30" t="s">
        <v>206</v>
      </c>
      <c r="BK441" s="30" t="s">
        <v>1277</v>
      </c>
      <c r="BL441" s="30" t="s">
        <v>368</v>
      </c>
      <c r="BM441" s="39" t="s">
        <v>1291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hidden="1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732</v>
      </c>
      <c r="F442" s="36" t="str">
        <f>IF(ISBLANK(Table2[[#This Row],[unique_id]]), "", PROPER(SUBSTITUTE(Table2[[#This Row],[unique_id]], "_", " ")))</f>
        <v>Kitchen Five</v>
      </c>
      <c r="G442" s="30" t="s">
        <v>739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 t="s">
        <v>788</v>
      </c>
      <c r="P442" s="30" t="s">
        <v>165</v>
      </c>
      <c r="Q442" s="30" t="s">
        <v>760</v>
      </c>
      <c r="R442" s="41" t="s">
        <v>745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812</v>
      </c>
      <c r="BC442" s="30" t="s">
        <v>1040</v>
      </c>
      <c r="BD442" s="30" t="s">
        <v>182</v>
      </c>
      <c r="BF442" s="30">
        <v>15.4</v>
      </c>
      <c r="BG442" s="30" t="s">
        <v>206</v>
      </c>
      <c r="BK442" s="30" t="s">
        <v>1277</v>
      </c>
      <c r="BL442" s="37" t="s">
        <v>367</v>
      </c>
      <c r="BM442" s="39" t="s">
        <v>1292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hidden="1" customHeight="1" x14ac:dyDescent="0.2">
      <c r="A443" s="30">
        <v>2686</v>
      </c>
      <c r="B443" s="30" t="s">
        <v>579</v>
      </c>
      <c r="C443" s="30" t="s">
        <v>808</v>
      </c>
      <c r="D443" s="30" t="s">
        <v>148</v>
      </c>
      <c r="E443" s="30" t="s">
        <v>811</v>
      </c>
      <c r="F443" s="36" t="str">
        <f>IF(ISBLANK(Table2[[#This Row],[unique_id]]), "", PROPER(SUBSTITUTE(Table2[[#This Row],[unique_id]], "_", " ")))</f>
        <v>Template Parents Move Proxy</v>
      </c>
      <c r="G443" s="30" t="s">
        <v>740</v>
      </c>
      <c r="H443" s="30" t="s">
        <v>745</v>
      </c>
      <c r="I443" s="30" t="s">
        <v>144</v>
      </c>
      <c r="O443" s="31" t="s">
        <v>788</v>
      </c>
      <c r="P443" s="30" t="s">
        <v>165</v>
      </c>
      <c r="Q443" s="30" t="s">
        <v>760</v>
      </c>
      <c r="R443" s="41" t="s">
        <v>745</v>
      </c>
      <c r="S443" s="30" t="str">
        <f>_xlfn.CONCAT( Table2[[#This Row],[friendly_name]], " Devices")</f>
        <v>Parents Move Devices</v>
      </c>
      <c r="T443" s="37" t="s">
        <v>813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1039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hidden="1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731</v>
      </c>
      <c r="F444" s="36" t="str">
        <f>IF(ISBLANK(Table2[[#This Row],[unique_id]]), "", PROPER(SUBSTITUTE(Table2[[#This Row],[unique_id]], "_", " ")))</f>
        <v>Parents Move</v>
      </c>
      <c r="G444" s="30" t="s">
        <v>740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 t="s">
        <v>165</v>
      </c>
      <c r="Q444" s="30" t="s">
        <v>760</v>
      </c>
      <c r="R444" s="41" t="s">
        <v>745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1039</v>
      </c>
      <c r="BD444" s="30" t="s">
        <v>182</v>
      </c>
      <c r="BF444" s="30">
        <v>15.4</v>
      </c>
      <c r="BG444" s="30" t="s">
        <v>192</v>
      </c>
      <c r="BK444" s="30" t="s">
        <v>1277</v>
      </c>
      <c r="BL444" s="30" t="s">
        <v>366</v>
      </c>
      <c r="BM444" s="39" t="s">
        <v>1293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hidden="1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1336</v>
      </c>
      <c r="F445" s="36" t="str">
        <f>IF(ISBLANK(Table2[[#This Row],[unique_id]]), "", PROPER(SUBSTITUTE(Table2[[#This Row],[unique_id]], "_", " ")))</f>
        <v>Parents Homepod</v>
      </c>
      <c r="G445" s="30" t="s">
        <v>1337</v>
      </c>
      <c r="H445" s="30" t="s">
        <v>745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1338</v>
      </c>
      <c r="BC445" s="30" t="s">
        <v>1042</v>
      </c>
      <c r="BD445" s="30" t="s">
        <v>264</v>
      </c>
      <c r="BF445" s="30" t="s">
        <v>397</v>
      </c>
      <c r="BG445" s="30" t="s">
        <v>192</v>
      </c>
      <c r="BK445" s="30" t="s">
        <v>1277</v>
      </c>
      <c r="BL445" s="41" t="s">
        <v>400</v>
      </c>
      <c r="BM445" s="39" t="s">
        <v>1294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hidden="1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hidden="1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756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1032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hidden="1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756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1036</v>
      </c>
      <c r="BC449" s="37" t="s">
        <v>642</v>
      </c>
      <c r="BD449" s="30" t="s">
        <v>1110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hidden="1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hidden="1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hidden="1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hidden="1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1350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1450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1278</v>
      </c>
      <c r="BL464" s="30" t="s">
        <v>383</v>
      </c>
      <c r="BM464" s="30" t="s">
        <v>1333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hidden="1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1351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1450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1278</v>
      </c>
      <c r="BL466" s="30" t="s">
        <v>384</v>
      </c>
      <c r="BM466" s="30" t="s">
        <v>1334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hidden="1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1451</v>
      </c>
      <c r="BA468" s="30" t="str">
        <f>IF(ISBLANK(Table2[[#This Row],[device_model]]), "", Table2[[#This Row],[device_suggested_area]])</f>
        <v>Rack</v>
      </c>
      <c r="BC468" s="30" t="s">
        <v>1028</v>
      </c>
      <c r="BD468" s="30" t="s">
        <v>234</v>
      </c>
      <c r="BF468" s="30" t="s">
        <v>402</v>
      </c>
      <c r="BG468" s="30" t="s">
        <v>28</v>
      </c>
      <c r="BK468" s="30" t="s">
        <v>1271</v>
      </c>
      <c r="BL468" s="30" t="s">
        <v>405</v>
      </c>
      <c r="BM468" s="30" t="s">
        <v>1272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hidden="1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1452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1025</v>
      </c>
      <c r="BD469" s="30" t="s">
        <v>234</v>
      </c>
      <c r="BF469" s="30" t="s">
        <v>610</v>
      </c>
      <c r="BG469" s="30" t="s">
        <v>28</v>
      </c>
      <c r="BK469" s="30" t="s">
        <v>1271</v>
      </c>
      <c r="BL469" s="30" t="s">
        <v>611</v>
      </c>
      <c r="BM469" s="30" t="s">
        <v>1273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hidden="1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1452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1026</v>
      </c>
      <c r="BD470" s="30" t="s">
        <v>234</v>
      </c>
      <c r="BF470" s="30" t="s">
        <v>1066</v>
      </c>
      <c r="BG470" s="30" t="s">
        <v>212</v>
      </c>
      <c r="BK470" s="30" t="s">
        <v>1271</v>
      </c>
      <c r="BL470" s="30" t="s">
        <v>406</v>
      </c>
      <c r="BM470" s="30" t="s">
        <v>1491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hidden="1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1452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1490</v>
      </c>
      <c r="BD471" s="30" t="s">
        <v>234</v>
      </c>
      <c r="BF471" s="30" t="s">
        <v>1066</v>
      </c>
      <c r="BG471" s="30" t="s">
        <v>403</v>
      </c>
      <c r="BK471" s="30" t="s">
        <v>1271</v>
      </c>
      <c r="BL471" s="30" t="s">
        <v>1492</v>
      </c>
      <c r="BM471" s="30" t="s">
        <v>1274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hidden="1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1453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1395</v>
      </c>
      <c r="BD472" s="30" t="s">
        <v>234</v>
      </c>
      <c r="BF472" s="30" t="s">
        <v>1065</v>
      </c>
      <c r="BG472" s="30" t="s">
        <v>404</v>
      </c>
      <c r="BK472" s="30" t="s">
        <v>1271</v>
      </c>
      <c r="BL472" s="30" t="s">
        <v>1394</v>
      </c>
      <c r="BM472" s="30" t="s">
        <v>1275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hidden="1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1453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1027</v>
      </c>
      <c r="BD473" s="30" t="s">
        <v>234</v>
      </c>
      <c r="BF473" s="30" t="s">
        <v>1065</v>
      </c>
      <c r="BG473" s="30" t="s">
        <v>1446</v>
      </c>
      <c r="BK473" s="30" t="s">
        <v>1271</v>
      </c>
      <c r="BL473" s="30" t="s">
        <v>1448</v>
      </c>
      <c r="BM473" s="30" t="s">
        <v>1276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hidden="1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1453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1027</v>
      </c>
      <c r="BD474" s="30" t="s">
        <v>234</v>
      </c>
      <c r="BF474" s="30" t="s">
        <v>1065</v>
      </c>
      <c r="BG474" s="30" t="s">
        <v>1445</v>
      </c>
      <c r="BK474" s="30" t="s">
        <v>1271</v>
      </c>
      <c r="BL474" s="30" t="s">
        <v>407</v>
      </c>
      <c r="BM474" s="30" t="s">
        <v>1447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hidden="1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1380</v>
      </c>
      <c r="BA475" s="30" t="str">
        <f>IF(ISBLANK(Table2[[#This Row],[device_model]]), "", Table2[[#This Row],[device_suggested_area]])</f>
        <v>Rack</v>
      </c>
      <c r="BB475" s="30" t="s">
        <v>1391</v>
      </c>
      <c r="BC475" s="30" t="s">
        <v>1382</v>
      </c>
      <c r="BD475" s="30" t="s">
        <v>1380</v>
      </c>
      <c r="BF475" s="30" t="s">
        <v>1388</v>
      </c>
      <c r="BG475" s="30" t="s">
        <v>28</v>
      </c>
      <c r="BL475" s="41"/>
      <c r="BM475" s="30" t="s">
        <v>1390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hidden="1" customHeight="1" x14ac:dyDescent="0.2">
      <c r="A476" s="30">
        <v>5008</v>
      </c>
      <c r="B476" s="39" t="s">
        <v>579</v>
      </c>
      <c r="C476" s="39" t="s">
        <v>1380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1381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1380</v>
      </c>
      <c r="BA476" s="30" t="str">
        <f>IF(ISBLANK(Table2[[#This Row],[device_model]]), "", Table2[[#This Row],[device_suggested_area]])</f>
        <v>Rack</v>
      </c>
      <c r="BB476" s="30" t="s">
        <v>1024</v>
      </c>
      <c r="BC476" s="30" t="s">
        <v>1382</v>
      </c>
      <c r="BD476" s="30" t="s">
        <v>1380</v>
      </c>
      <c r="BF476" s="30" t="s">
        <v>1388</v>
      </c>
      <c r="BG476" s="30" t="s">
        <v>28</v>
      </c>
      <c r="BL476" s="41"/>
      <c r="BM476" s="30" t="s">
        <v>1383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hidden="1" customHeight="1" x14ac:dyDescent="0.2">
      <c r="A477" s="30">
        <v>5009</v>
      </c>
      <c r="B477" s="39" t="s">
        <v>579</v>
      </c>
      <c r="C477" s="39" t="s">
        <v>1384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1385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1384</v>
      </c>
      <c r="BA477" s="30" t="str">
        <f>IF(ISBLANK(Table2[[#This Row],[device_model]]), "", Table2[[#This Row],[device_suggested_area]])</f>
        <v>Rack</v>
      </c>
      <c r="BB477" s="30" t="s">
        <v>1386</v>
      </c>
      <c r="BC477" s="30" t="s">
        <v>1387</v>
      </c>
      <c r="BD477" s="30" t="s">
        <v>1384</v>
      </c>
      <c r="BF477" s="30" t="s">
        <v>1388</v>
      </c>
      <c r="BG477" s="30" t="s">
        <v>28</v>
      </c>
      <c r="BL477" s="41"/>
      <c r="BM477" s="30" t="s">
        <v>1389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hidden="1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1029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1277</v>
      </c>
      <c r="BL478" s="41" t="s">
        <v>432</v>
      </c>
      <c r="BM478" s="30" t="s">
        <v>1295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hidden="1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ref="AJ479:AJ484" si="0">IF(ISBLANK(AI479),  "", _xlfn.CONCAT("haas/entity/sensor/", LOWER(C479), "/", E479, "/config"))</f>
        <v/>
      </c>
      <c r="AK479" s="30" t="str">
        <f t="shared" ref="AK479:AK484" si="1"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1056</v>
      </c>
      <c r="BA479" s="30" t="str">
        <f>IF(ISBLANK(Table2[[#This Row],[device_model]]), "", Table2[[#This Row],[device_suggested_area]])</f>
        <v>Wardrobe</v>
      </c>
      <c r="BB479" s="30" t="s">
        <v>1474</v>
      </c>
      <c r="BC479" s="30" t="s">
        <v>1035</v>
      </c>
      <c r="BD479" s="30" t="s">
        <v>554</v>
      </c>
      <c r="BF479" s="63" t="s">
        <v>1478</v>
      </c>
      <c r="BG479" s="30" t="s">
        <v>495</v>
      </c>
      <c r="BK479" s="30" t="s">
        <v>401</v>
      </c>
      <c r="BL479" s="30" t="s">
        <v>553</v>
      </c>
      <c r="BM479" s="30" t="s">
        <v>1270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hidden="1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0"/>
        <v/>
      </c>
      <c r="AK480" s="30" t="str">
        <f t="shared" si="1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1056</v>
      </c>
      <c r="BA480" s="30" t="str">
        <f>IF(ISBLANK(Table2[[#This Row],[device_model]]), "", Table2[[#This Row],[device_suggested_area]])</f>
        <v>Guildford</v>
      </c>
      <c r="BB480" s="30" t="s">
        <v>1476</v>
      </c>
      <c r="BC480" s="30" t="s">
        <v>1477</v>
      </c>
      <c r="BD480" s="30" t="s">
        <v>554</v>
      </c>
      <c r="BF480" s="63" t="s">
        <v>1478</v>
      </c>
      <c r="BG480" s="30" t="s">
        <v>1475</v>
      </c>
      <c r="BL480" s="30" t="s">
        <v>1482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hidden="1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0"/>
        <v/>
      </c>
      <c r="AK481" s="30" t="str">
        <f t="shared" si="1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1055</v>
      </c>
      <c r="BA481" s="30" t="str">
        <f>IF(ISBLANK(Table2[[#This Row],[device_model]]), "", Table2[[#This Row],[device_suggested_area]])</f>
        <v>Rack</v>
      </c>
      <c r="BB481" s="30" t="s">
        <v>1479</v>
      </c>
      <c r="BC481" s="30" t="s">
        <v>1480</v>
      </c>
      <c r="BD481" s="30" t="s">
        <v>264</v>
      </c>
      <c r="BF481" s="63" t="s">
        <v>1484</v>
      </c>
      <c r="BG481" s="30" t="s">
        <v>28</v>
      </c>
      <c r="BK481" s="30" t="s">
        <v>401</v>
      </c>
      <c r="BL481" s="41" t="s">
        <v>1483</v>
      </c>
      <c r="BM481" s="30" t="s">
        <v>1266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hidden="1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0"/>
        <v/>
      </c>
      <c r="AK482" s="30" t="str">
        <f t="shared" si="1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1055</v>
      </c>
      <c r="BA482" s="30" t="str">
        <f>IF(ISBLANK(Table2[[#This Row],[device_model]]), "", Table2[[#This Row],[device_suggested_area]])</f>
        <v>Rack</v>
      </c>
      <c r="BB482" s="30" t="s">
        <v>1481</v>
      </c>
      <c r="BC482" s="30" t="s">
        <v>1033</v>
      </c>
      <c r="BD482" s="30" t="s">
        <v>264</v>
      </c>
      <c r="BF482" s="63" t="s">
        <v>1488</v>
      </c>
      <c r="BG482" s="30" t="s">
        <v>28</v>
      </c>
      <c r="BK482" s="30" t="s">
        <v>401</v>
      </c>
      <c r="BL482" s="46" t="s">
        <v>1489</v>
      </c>
      <c r="BM482" s="30" t="s">
        <v>1267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hidden="1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0"/>
        <v/>
      </c>
      <c r="AK483" s="30" t="str">
        <f t="shared" si="1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1055</v>
      </c>
      <c r="BA483" s="30" t="str">
        <f>IF(ISBLANK(Table2[[#This Row],[device_model]]), "", Table2[[#This Row],[device_suggested_area]])</f>
        <v>Rack</v>
      </c>
      <c r="BB483" s="30" t="s">
        <v>1460</v>
      </c>
      <c r="BC483" s="30" t="s">
        <v>1033</v>
      </c>
      <c r="BD483" s="30" t="s">
        <v>264</v>
      </c>
      <c r="BF483" s="63" t="s">
        <v>1478</v>
      </c>
      <c r="BG483" s="30" t="s">
        <v>28</v>
      </c>
      <c r="BK483" s="30" t="s">
        <v>401</v>
      </c>
      <c r="BL483" s="46" t="s">
        <v>1345</v>
      </c>
      <c r="BM483" s="30" t="s">
        <v>1268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hidden="1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0"/>
        <v/>
      </c>
      <c r="AK484" s="30" t="str">
        <f t="shared" si="1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1055</v>
      </c>
      <c r="BA484" s="30" t="str">
        <f>IF(ISBLANK(Table2[[#This Row],[device_model]]), "", Table2[[#This Row],[device_suggested_area]])</f>
        <v>Rack</v>
      </c>
      <c r="BB484" s="30" t="s">
        <v>1034</v>
      </c>
      <c r="BC484" s="30" t="s">
        <v>1033</v>
      </c>
      <c r="BD484" s="30" t="s">
        <v>264</v>
      </c>
      <c r="BF484" s="63" t="s">
        <v>1478</v>
      </c>
      <c r="BG484" s="30" t="s">
        <v>28</v>
      </c>
      <c r="BK484" s="30" t="s">
        <v>401</v>
      </c>
      <c r="BL484" s="30" t="s">
        <v>587</v>
      </c>
      <c r="BM484" s="30" t="s">
        <v>1269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hidden="1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776</v>
      </c>
      <c r="BG485" s="30" t="s">
        <v>28</v>
      </c>
      <c r="BK485" s="30" t="s">
        <v>1278</v>
      </c>
      <c r="BL485" s="30" t="s">
        <v>379</v>
      </c>
      <c r="BM485" s="30" t="s">
        <v>1335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hidden="1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756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1031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2026-03-18T02:10:01Z</dcterms:modified>
</cp:coreProperties>
</file>