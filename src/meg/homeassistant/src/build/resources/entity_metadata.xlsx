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74A33C36-8A89-1041-BEA0-0E8C58256DA0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401" i="1" l="1"/>
  <c r="BA401" i="1"/>
  <c r="AW401" i="1" s="1"/>
  <c r="AX401" i="1" s="1"/>
  <c r="T401" i="1"/>
  <c r="S401" i="1"/>
  <c r="F401" i="1"/>
  <c r="BN400" i="1"/>
  <c r="BA400" i="1"/>
  <c r="AW400" i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AY396" i="1" s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AY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6" i="1"/>
  <c r="AW356" i="1"/>
  <c r="AX356" i="1" s="1"/>
  <c r="T356" i="1"/>
  <c r="S356" i="1"/>
  <c r="F356" i="1"/>
  <c r="BN355" i="1"/>
  <c r="AW355" i="1"/>
  <c r="AV355" i="1" s="1"/>
  <c r="T355" i="1"/>
  <c r="S355" i="1"/>
  <c r="F355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7" i="1"/>
  <c r="AW367" i="1" s="1"/>
  <c r="BA368" i="1"/>
  <c r="AW368" i="1" s="1"/>
  <c r="S368" i="1"/>
  <c r="S367" i="1"/>
  <c r="BN368" i="1"/>
  <c r="T368" i="1"/>
  <c r="F368" i="1"/>
  <c r="BN367" i="1"/>
  <c r="T367" i="1"/>
  <c r="F367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7" i="1"/>
  <c r="F358" i="1"/>
  <c r="F359" i="1"/>
  <c r="F360" i="1"/>
  <c r="F361" i="1"/>
  <c r="F362" i="1"/>
  <c r="F363" i="1"/>
  <c r="F364" i="1"/>
  <c r="F365" i="1"/>
  <c r="F366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V400" i="1" l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Y356" i="1"/>
  <c r="AX353" i="1"/>
  <c r="AX355" i="1"/>
  <c r="AY354" i="1"/>
  <c r="AX351" i="1"/>
  <c r="AY355" i="1"/>
  <c r="AY352" i="1"/>
  <c r="AX352" i="1"/>
  <c r="AV352" i="1"/>
  <c r="AY353" i="1"/>
  <c r="AX354" i="1"/>
  <c r="AV351" i="1"/>
  <c r="AV356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7" i="1"/>
  <c r="AX368" i="1"/>
  <c r="AV368" i="1"/>
  <c r="AY368" i="1"/>
  <c r="AX367" i="1"/>
  <c r="AV367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2" i="1"/>
  <c r="S371" i="1"/>
  <c r="S370" i="1"/>
  <c r="S366" i="1"/>
  <c r="S380" i="1"/>
  <c r="S379" i="1"/>
  <c r="S378" i="1"/>
  <c r="S364" i="1"/>
  <c r="S362" i="1"/>
  <c r="T228" i="1"/>
  <c r="T224" i="1"/>
  <c r="T114" i="1"/>
  <c r="S440" i="1"/>
  <c r="S441" i="1"/>
  <c r="S444" i="1"/>
  <c r="S443" i="1"/>
  <c r="S358" i="1"/>
  <c r="S357" i="1"/>
  <c r="S360" i="1"/>
  <c r="S359" i="1"/>
  <c r="S382" i="1"/>
  <c r="S381" i="1"/>
  <c r="T374" i="1"/>
  <c r="T376" i="1"/>
  <c r="T222" i="1"/>
  <c r="T358" i="1"/>
  <c r="T372" i="1"/>
  <c r="T370" i="1"/>
  <c r="T366" i="1"/>
  <c r="T362" i="1"/>
  <c r="T378" i="1"/>
  <c r="T364" i="1"/>
  <c r="T380" i="1"/>
  <c r="T360" i="1"/>
  <c r="T382" i="1"/>
  <c r="S429" i="1"/>
  <c r="S431" i="1"/>
  <c r="S432" i="1"/>
  <c r="S442" i="1"/>
  <c r="S430" i="1"/>
  <c r="S428" i="1"/>
  <c r="S427" i="1"/>
  <c r="S377" i="1"/>
  <c r="S361" i="1"/>
  <c r="S363" i="1"/>
  <c r="S365" i="1"/>
  <c r="S369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5" i="1"/>
  <c r="S373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7" i="1"/>
  <c r="BN358" i="1"/>
  <c r="BN359" i="1"/>
  <c r="BN360" i="1"/>
  <c r="BN361" i="1"/>
  <c r="BN362" i="1"/>
  <c r="BN363" i="1"/>
  <c r="BN364" i="1"/>
  <c r="BN365" i="1"/>
  <c r="BN366" i="1"/>
  <c r="BN369" i="1"/>
  <c r="BN370" i="1"/>
  <c r="BN371" i="1"/>
  <c r="BN372" i="1"/>
  <c r="BN373" i="1"/>
  <c r="BN374" i="1"/>
  <c r="BN375" i="1"/>
  <c r="BN376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6" i="1"/>
  <c r="S374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61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2" i="1"/>
  <c r="AY464" i="1"/>
  <c r="AY86" i="1"/>
  <c r="AY176" i="1"/>
  <c r="AY217" i="1"/>
  <c r="AY74" i="1"/>
  <c r="AY87" i="1"/>
  <c r="AV432" i="1"/>
  <c r="AY432" i="1"/>
  <c r="AV200" i="1"/>
  <c r="AY200" i="1"/>
  <c r="AY203" i="1"/>
  <c r="AY358" i="1"/>
  <c r="AY424" i="1"/>
  <c r="AY453" i="1"/>
  <c r="AY89" i="1"/>
  <c r="AV433" i="1"/>
  <c r="AY433" i="1"/>
  <c r="AY68" i="1"/>
  <c r="AV201" i="1"/>
  <c r="AY201" i="1"/>
  <c r="AY204" i="1"/>
  <c r="AY366" i="1"/>
  <c r="AV378" i="1"/>
  <c r="AY238" i="1"/>
  <c r="AY244" i="1"/>
  <c r="AY250" i="1"/>
  <c r="AY262" i="1"/>
  <c r="AY274" i="1"/>
  <c r="AY340" i="1"/>
  <c r="AY410" i="1"/>
  <c r="AY422" i="1"/>
  <c r="AV294" i="1"/>
  <c r="AV454" i="1"/>
  <c r="AY373" i="1"/>
  <c r="AY186" i="1"/>
  <c r="AV188" i="1"/>
  <c r="AY188" i="1"/>
  <c r="AY470" i="1"/>
  <c r="AY436" i="1"/>
  <c r="AV32" i="1"/>
  <c r="AV281" i="1"/>
  <c r="AY281" i="1"/>
  <c r="AV69" i="1"/>
  <c r="AY69" i="1"/>
  <c r="AY202" i="1"/>
  <c r="AY369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71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2" i="1"/>
  <c r="AY374" i="1"/>
  <c r="AY236" i="1"/>
  <c r="AY414" i="1"/>
  <c r="AY426" i="1"/>
  <c r="AY6" i="1"/>
  <c r="AY425" i="1"/>
  <c r="AY168" i="1"/>
  <c r="AV157" i="1"/>
  <c r="AY12" i="1"/>
  <c r="AY363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5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70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5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4" i="1"/>
  <c r="AY440" i="1"/>
  <c r="AY455" i="1"/>
  <c r="AY184" i="1"/>
  <c r="AY177" i="1"/>
  <c r="AY376" i="1"/>
  <c r="AY161" i="1"/>
  <c r="AV197" i="1"/>
  <c r="AY218" i="1"/>
  <c r="AV55" i="1"/>
  <c r="AY97" i="1"/>
  <c r="AY288" i="1"/>
  <c r="AY416" i="1"/>
  <c r="AY438" i="1"/>
  <c r="AY58" i="1"/>
  <c r="AY212" i="1"/>
  <c r="AY365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7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9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60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61" i="1"/>
  <c r="AV373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2" i="1"/>
  <c r="AV374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70" i="1"/>
  <c r="AV380" i="1"/>
  <c r="AV214" i="1"/>
  <c r="AV64" i="1"/>
  <c r="AV34" i="1"/>
  <c r="AV59" i="1"/>
  <c r="AV206" i="1"/>
  <c r="AV357" i="1"/>
  <c r="AV371" i="1"/>
  <c r="AV381" i="1"/>
  <c r="AV231" i="1"/>
  <c r="AV74" i="1"/>
  <c r="AV284" i="1"/>
  <c r="AV60" i="1"/>
  <c r="AV358" i="1"/>
  <c r="AV372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9" i="1"/>
  <c r="AV48" i="1"/>
  <c r="AV62" i="1"/>
  <c r="AV345" i="1"/>
  <c r="AV113" i="1"/>
  <c r="AV360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6" i="1"/>
  <c r="AV436" i="1"/>
  <c r="AV369" i="1"/>
  <c r="AV141" i="1"/>
  <c r="AV173" i="1"/>
  <c r="AV186" i="1"/>
  <c r="AV227" i="1"/>
  <c r="AV72" i="1"/>
  <c r="AV198" i="1"/>
  <c r="AV363" i="1"/>
  <c r="AV375" i="1"/>
  <c r="AV73" i="1"/>
  <c r="AV199" i="1"/>
  <c r="AV364" i="1"/>
  <c r="AV376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<sst xmlns="http://schemas.openxmlformats.org/spreadsheetml/2006/main" count="7775" uniqueCount="1550">
  <si>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</si>
  <si>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</si>
  <si>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</si>
  <si>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</si>
  <si>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</si>
  <si>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</si>
  <si>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</si>
  <si>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</si>
  <si>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</si>
  <si>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</si>
  <si>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</si>
  <si>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</si>
  <si>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</si>
  <si>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</si>
  <si>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</si>
  <si>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</si>
  <si>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</si>
  <si>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</si>
  <si>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</si>
  <si>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</si>
  <si>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</si>
  <si>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</si>
  <si>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</si>
  <si>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</si>
  <si>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</si>
  <si>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</si>
  <si>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</si>
  <si>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</si>
  <si>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</si>
  <si>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</si>
  <si>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</si>
  <si>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</si>
  <si>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</si>
  <si>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</si>
  <si>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</si>
  <si>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</si>
  <si>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</si>
  <si>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</si>
  <si>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</si>
  <si>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</si>
  <si>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</si>
  <si>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</si>
  <si>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</si>
  <si>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</si>
  <si>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</si>
  <si>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</si>
  <si>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</si>
  <si>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</si>
  <si>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</si>
  <si>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</si>
  <si>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</si>
  <si>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</si>
  <si>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</si>
  <si>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</si>
  <si>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</si>
  <si>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</si>
  <si>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</si>
  <si>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</si>
  <si>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</si>
  <si>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</si>
  <si>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</si>
  <si>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</si>
  <si>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</si>
  <si>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</si>
  <si>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</si>
  <si>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</si>
  <si>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</si>
  <si>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</si>
  <si>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</si>
  <si>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</si>
  <si>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</si>
  <si>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</si>
  <si>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</si>
  <si>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</si>
  <si>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</si>
  <si>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</si>
  <si>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</si>
  <si>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</si>
  <si>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</si>
  <si>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</si>
  <si>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</si>
  <si>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</si>
  <si>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</si>
  <si>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</si>
  <si>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</si>
  <si>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</si>
  <si>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</si>
  <si>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</si>
  <si>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</si>
  <si>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</si>
  <si>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</si>
  <si>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</si>
  <si>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</si>
  <si>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</si>
  <si>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</si>
  <si>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</si>
  <si>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</si>
  <si>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</si>
  <si>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</si>
  <si>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</si>
  <si>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</si>
  <si>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</si>
  <si>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</si>
  <si>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</si>
  <si>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</si>
  <si>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</si>
  <si>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</si>
  <si>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</si>
  <si>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</si>
  <si>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</si>
  <si>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</si>
  <si>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</si>
  <si>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</si>
  <si>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</si>
  <si>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</si>
  <si>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</si>
  <si>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</si>
  <si>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</si>
  <si>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</si>
  <si>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</si>
  <si>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</si>
  <si>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</si>
  <si>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</si>
  <si>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</si>
  <si>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</si>
  <si>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</si>
  <si>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</si>
  <si>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</si>
  <si>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</si>
  <si>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</si>
  <si>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</si>
  <si>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</si>
  <si>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</si>
  <si>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</si>
  <si>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</si>
  <si>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</si>
  <si>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</si>
  <si>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</si>
  <si>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</si>
  <si>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</si>
  <si>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</si>
  <si>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</si>
  <si>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</si>
  <si>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</si>
  <si>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</si>
  <si>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</si>
  <si>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</si>
  <si>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</si>
  <si>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</si>
  <si>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</si>
  <si>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</si>
  <si>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</si>
  <si>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</si>
  <si>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</si>
  <si>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</si>
  <si>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</si>
  <si>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</si>
  <si>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</si>
  <si>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</si>
  <si>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</si>
  <si>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</si>
  <si>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</si>
  <si>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</si>
  <si>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</si>
  <si>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</si>
  <si>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</si>
  <si>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</si>
  <si>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</si>
  <si>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</si>
  <si>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</si>
  <si>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</si>
  <si>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</si>
  <si>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</si>
  <si>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</si>
  <si>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</si>
  <si>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</si>
  <si>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</si>
  <si>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</si>
  <si>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</si>
  <si>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</si>
  <si>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</si>
  <si>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</si>
  <si>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</si>
  <si>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</si>
  <si>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</si>
  <si>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</si>
  <si>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</si>
  <si>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</si>
  <si>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</si>
  <si>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</si>
  <si>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</si>
  <si>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</si>
  <si>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</si>
  <si>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</si>
  <si>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</si>
  <si>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</si>
  <si>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</si>
  <si>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</si>
  <si>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</si>
  <si>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</si>
  <si>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</si>
  <si>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</si>
  <si>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</si>
  <si>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</si>
  <si>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</si>
  <si>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</si>
  <si>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</si>
  <si>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</si>
  <si>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</si>
  <si>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</si>
  <si>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</si>
  <si>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</si>
  <si>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</si>
  <si>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</si>
  <si>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</si>
  <si>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</si>
  <si>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</si>
  <si>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</si>
  <si>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</si>
  <si>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</si>
  <si>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</si>
  <si>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</si>
  <si>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</si>
  <si>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</si>
  <si>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</si>
  <si>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</si>
  <si>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</si>
  <si>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</si>
  <si>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</si>
  <si>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</si>
  <si>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</si>
  <si>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</si>
  <si>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</si>
  <si>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</si>
  <si>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</si>
  <si>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</si>
  <si>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</si>
  <si>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</si>
  <si>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</si>
  <si>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</si>
  <si>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</si>
  <si>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</si>
  <si>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</si>
  <si>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</si>
  <si>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</si>
  <si>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</si>
  <si>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</si>
  <si>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</si>
  <si>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</si>
  <si>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</si>
  <si>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</si>
  <si>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</si>
  <si>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</si>
  <si>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</si>
  <si>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</si>
  <si>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</si>
  <si>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</si>
  <si>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</si>
  <si>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</si>
  <si>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</si>
  <si>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</si>
  <si>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</si>
  <si>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</si>
  <si>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</si>
  <si>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</si>
  <si>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</si>
  <si>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</si>
  <si>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</si>
  <si>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</si>
  <si>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</si>
  <si>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</si>
  <si>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</si>
  <si>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</si>
  <si>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</si>
  <si>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</si>
  <si>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</si>
  <si>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</si>
  <si>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</si>
  <si>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</si>
  <si>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</si>
  <si>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</si>
  <si>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</si>
  <si>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</si>
  <si>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</si>
  <si>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</si>
  <si>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</si>
  <si>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</si>
  <si>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</si>
  <si>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</si>
  <si>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</si>
  <si>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</si>
  <si>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</si>
  <si>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</si>
  <si>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</si>
  <si>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</si>
  <si>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</si>
  <si>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</si>
  <si>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</si>
  <si>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</si>
  <si>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</si>
  <si>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</si>
  <si>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</si>
  <si>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</si>
  <si>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</si>
  <si>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</si>
  <si>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</si>
  <si>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</si>
  <si>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</si>
  <si>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</si>
  <si>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</si>
  <si>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</si>
  <si>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</si>
  <si>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</si>
  <si>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</si>
  <si>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</si>
  <si>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</si>
  <si>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</si>
  <si>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</si>
  <si>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</si>
  <si>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</si>
  <si>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</si>
  <si>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</si>
  <si>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</si>
  <si>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</si>
  <si>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</si>
  <si>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</si>
  <si>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</si>
  <si>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</si>
  <si>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</si>
  <si>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</si>
  <si>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</si>
  <si>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</si>
  <si>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</si>
  <si>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</si>
  <si>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</si>
  <si>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</si>
  <si>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</si>
  <si>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</si>
  <si>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</si>
  <si>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</si>
  <si>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</si>
  <si>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</si>
  <si>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</si>
  <si>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</si>
  <si>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</si>
  <si>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</si>
  <si>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</si>
  <si>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</si>
  <si>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</si>
  <si>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</si>
  <si>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</si>
  <si>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</si>
  <si>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</si>
  <si>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</si>
  <si>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</si>
  <si>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</si>
  <si>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</si>
  <si>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</si>
  <si>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</si>
  <si>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</si>
  <si>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</si>
  <si>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</si>
  <si>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</si>
  <si>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</si>
  <si>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</si>
  <si>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</si>
  <si>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</si>
  <si>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</si>
  <si>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</si>
  <si>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</si>
  <si>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</si>
  <si>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</si>
  <si>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</si>
  <si>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</si>
  <si>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</si>
  <si>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</si>
  <si>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</si>
  <si>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</si>
  <si>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</si>
  <si>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</si>
  <si>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</si>
  <si>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</si>
  <si>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</si>
  <si>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</si>
  <si>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</si>
  <si>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</si>
  <si>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</si>
  <si>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</si>
  <si>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</si>
  <si>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</si>
  <si>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</si>
  <si>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</si>
  <si>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</si>
  <si>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</si>
  <si>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</si>
  <si>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</si>
  <si>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</si>
  <si>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</si>
  <si>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</si>
  <si>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</si>
  <si>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</si>
  <si>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</si>
  <si>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</si>
  <si>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</si>
  <si>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</si>
  <si>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</si>
  <si>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</si>
  <si>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</si>
  <si>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</si>
  <si>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</si>
  <si>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</si>
  <si>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</si>
  <si>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</si>
  <si>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</si>
  <si>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</si>
  <si>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</si>
  <si>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</si>
  <si>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</si>
  <si>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</si>
  <si>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</si>
  <si>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</si>
  <si>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</si>
  <si>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</si>
  <si>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</si>
  <si>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</si>
  <si>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</si>
  <si>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</si>
  <si>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</si>
  <si>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</si>
  <si>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</si>
  <si>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</si>
  <si>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</si>
  <si>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</si>
  <si>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</si>
  <si>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</si>
  <si>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</si>
  <si>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</si>
  <si>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</si>
  <si>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</si>
  <si>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</si>
  <si>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</si>
  <si>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</si>
  <si>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</si>
  <si>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</si>
  <si>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</si>
  <si>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</si>
  <si>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</si>
  <si>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</si>
  <si>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</si>
  <si>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</si>
  <si>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</si>
  <si>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</si>
  <si>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</si>
  <si>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</si>
  <si>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</si>
  <si>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</si>
  <si>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</si>
  <si>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</si>
  <si>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</si>
  <si>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</si>
  <si>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</si>
  <si>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</si>
  <si>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</si>
  <si>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</si>
  <si>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</si>
  <si>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</si>
  <si>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</si>
  <si>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</si>
  <si>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</si>
  <si>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</si>
  <si>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</si>
  <si>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</si>
  <si>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</si>
  <si>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</si>
  <si>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</si>
  <si>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</si>
  <si>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</si>
  <si>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</si>
  <si>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</si>
  <si>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</si>
  <si>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</si>
  <si>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</si>
  <si>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</si>
  <si>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</si>
  <si>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</si>
  <si>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</si>
  <si>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</si>
  <si>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</si>
  <si>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</si>
  <si>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</si>
  <si>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</si>
  <si>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</si>
  <si>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</si>
  <si>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</si>
  <si>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</si>
  <si>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</si>
  <si>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</si>
  <si>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</si>
  <si>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</si>
  <si>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</si>
  <si>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</si>
  <si>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</si>
  <si>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</si>
  <si>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</si>
  <si>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</si>
  <si>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</si>
  <si>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</si>
  <si>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</si>
  <si>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</si>
  <si>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</si>
  <si>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</si>
  <si>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</si>
  <si>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</si>
  <si>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</si>
  <si>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</si>
  <si>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</si>
  <si>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</si>
  <si>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</si>
  <si>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</si>
  <si>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</si>
  <si>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</si>
  <si>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</si>
  <si>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</si>
  <si>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</si>
  <si>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</si>
  <si>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</si>
  <si>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</si>
  <si>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</si>
  <si>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</si>
  <si>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</si>
  <si>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</si>
  <si>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</si>
  <si>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</si>
  <si>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</si>
  <si>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</si>
  <si>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</si>
  <si>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</si>
  <si>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</si>
  <si>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</si>
  <si>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</si>
  <si>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</si>
  <si>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</si>
  <si>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</si>
  <si>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</si>
  <si>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</si>
  <si>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</si>
  <si>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</si>
  <si>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</si>
  <si>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</si>
  <si>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</si>
  <si>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</si>
  <si>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</si>
  <si>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</si>
  <si>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</si>
  <si>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</si>
  <si>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</si>
  <si>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</si>
  <si>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</si>
  <si>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</si>
  <si>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</si>
  <si>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</si>
  <si>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</si>
  <si>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</si>
  <si>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</si>
  <si>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</si>
  <si>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</si>
  <si>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</si>
  <si>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</si>
  <si>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</si>
  <si>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</si>
  <si>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</si>
  <si>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</si>
  <si>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</si>
  <si>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</si>
  <si>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</si>
  <si>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</si>
  <si>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</si>
  <si>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</si>
  <si>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</si>
  <si>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</si>
  <si>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</si>
  <si>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</si>
  <si>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</si>
  <si>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</si>
  <si>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</si>
  <si>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</si>
  <si>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</si>
  <si>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</si>
  <si>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</si>
  <si>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</si>
  <si>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</si>
  <si>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</si>
  <si>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</si>
  <si>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</si>
  <si>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</si>
  <si>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</si>
  <si>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</si>
  <si>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</si>
  <si>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</si>
  <si>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</si>
  <si>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</si>
  <si>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</si>
  <si>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</si>
  <si>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</si>
  <si>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</si>
  <si>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</si>
  <si>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</si>
  <si>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</si>
  <si>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</si>
  <si>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</si>
  <si>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</si>
  <si>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</si>
  <si>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</si>
  <si>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</si>
  <si>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</si>
  <si>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</si>
  <si>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</si>
  <si>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</si>
  <si>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</si>
  <si>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</si>
  <si>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</si>
  <si>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</si>
  <si>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</si>
  <si>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</si>
  <si>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</si>
  <si>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</si>
  <si>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</si>
  <si>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</si>
  <si>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</si>
  <si>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</si>
  <si>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</si>
  <si>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</si>
  <si>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</si>
  <si>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</si>
  <si>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</si>
  <si>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</si>
  <si>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</si>
  <si>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</si>
  <si>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</si>
  <si>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</si>
  <si>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</si>
  <si>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</si>
  <si>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</si>
  <si>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</si>
  <si>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</si>
  <si>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</si>
  <si>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</si>
  <si>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</si>
  <si>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</si>
  <si>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</si>
  <si>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</si>
  <si>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</si>
  <si>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</si>
  <si>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</si>
  <si>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</si>
  <si>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</si>
  <si>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</si>
  <si>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</si>
  <si>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</si>
  <si>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</si>
  <si>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</si>
  <si>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</si>
  <si>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</si>
  <si>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</si>
  <si>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</si>
  <si>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</si>
  <si>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</si>
  <si>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</si>
  <si>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</si>
  <si>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</si>
  <si>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</si>
  <si>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</si>
  <si>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</si>
  <si>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</si>
  <si>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</si>
  <si>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</si>
  <si>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</si>
  <si>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</si>
  <si>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</si>
  <si>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</si>
  <si>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</si>
  <si>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</si>
  <si>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</si>
  <si>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</si>
  <si>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</si>
  <si>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</si>
  <si>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</si>
  <si>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</si>
  <si>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</si>
  <si>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</si>
  <si>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</si>
  <si>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</si>
  <si>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</si>
  <si>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</si>
  <si>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</si>
  <si>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</si>
  <si>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</si>
  <si>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</si>
  <si>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</si>
  <si>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</si>
  <si>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</si>
  <si>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</si>
  <si>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</si>
  <si>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</si>
  <si>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</si>
  <si>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</si>
  <si>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</si>
  <si>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</si>
  <si>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</si>
  <si>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</si>
  <si>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</si>
  <si>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</si>
  <si>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</si>
  <si>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</si>
  <si>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</si>
  <si>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</si>
  <si>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</si>
  <si>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</si>
  <si>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</si>
  <si>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</si>
  <si>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</si>
  <si>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</si>
  <si>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</si>
  <si>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</si>
  <si>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</si>
  <si>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</si>
  <si>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</si>
  <si>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</si>
  <si>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</si>
  <si>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</si>
  <si>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</si>
  <si>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</si>
  <si>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</si>
  <si>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</si>
  <si>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</si>
  <si>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</si>
  <si>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</si>
  <si>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</si>
  <si>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</si>
  <si>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</si>
  <si>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</si>
  <si>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</si>
  <si>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</si>
  <si>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</si>
  <si>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</si>
  <si>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</si>
  <si>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</si>
  <si>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</si>
  <si>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</si>
  <si>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</si>
  <si>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</si>
  <si>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</si>
  <si>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</si>
  <si>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</si>
  <si>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</si>
  <si>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</si>
  <si>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</si>
  <si>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</si>
  <si>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</si>
  <si>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</si>
  <si>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</si>
  <si>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</si>
  <si>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</si>
  <si>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</si>
  <si>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</si>
  <si>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</si>
  <si>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</si>
  <si>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</si>
  <si>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</si>
  <si>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</si>
  <si>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</si>
  <si>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</si>
  <si>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</si>
  <si>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</si>
  <si>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</si>
  <si>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</si>
  <si>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</si>
  <si>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</si>
  <si>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</si>
  <si>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</si>
  <si>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</si>
  <si>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</si>
  <si>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</si>
  <si>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</si>
  <si>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</si>
  <si>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</si>
  <si>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</si>
  <si>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</si>
  <si>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</si>
  <si>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</si>
  <si>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</si>
  <si>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</si>
  <si>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</si>
  <si>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</si>
  <si>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</si>
  <si>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</si>
  <si>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</si>
  <si>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</si>
  <si>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</si>
  <si>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</si>
  <si>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</si>
  <si>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</si>
  <si>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</si>
  <si>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</si>
  <si>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</si>
  <si>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</si>
  <si>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</si>
  <si>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</si>
  <si>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</si>
  <si>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</si>
  <si>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</si>
  <si>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</si>
  <si>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</si>
  <si>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</si>
  <si>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</si>
  <si>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</si>
  <si>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</si>
  <si>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</si>
  <si>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</si>
  <si>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</si>
  <si>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</si>
  <si>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</si>
  <si>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</si>
  <si>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</si>
  <si>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</si>
  <si>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</si>
  <si>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</si>
  <si>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</si>
  <si>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</si>
  <si>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</si>
  <si>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</si>
  <si>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</si>
  <si>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</si>
  <si>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</si>
  <si>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</si>
  <si>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</si>
  <si>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</si>
  <si>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</si>
  <si>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</si>
  <si>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</si>
  <si>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</si>
  <si>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</si>
  <si>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</si>
  <si>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</si>
  <si>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</si>
  <si>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</si>
  <si>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</si>
  <si>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</si>
  <si>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</si>
  <si>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</si>
  <si>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</si>
  <si>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</si>
  <si>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</si>
  <si>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</si>
  <si>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</si>
  <si>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</si>
  <si>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</si>
  <si>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</si>
  <si>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</si>
  <si>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</si>
  <si>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</si>
  <si>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</si>
  <si>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</si>
  <si>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</si>
  <si>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</si>
  <si>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</si>
  <si>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</si>
  <si>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</si>
  <si>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</si>
  <si>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</si>
  <si>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</si>
  <si>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</si>
  <si>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</si>
  <si>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</si>
  <si>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</si>
  <si>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</si>
  <si>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</si>
  <si>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</si>
  <si>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</si>
  <si>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</si>
  <si>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</si>
  <si>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</si>
  <si>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</si>
  <si>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</si>
  <si>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</si>
  <si>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</si>
  <si>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</si>
  <si>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</si>
  <si>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</si>
  <si>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</si>
  <si>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</si>
  <si>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</si>
  <si>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</si>
  <si>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</si>
  <si>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</si>
  <si>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</si>
  <si>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</si>
  <si>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</si>
  <si>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</si>
  <si>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</si>
  <si>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</si>
  <si>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</si>
  <si>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</si>
  <si>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</si>
  <si>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</si>
  <si>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</si>
  <si>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</si>
  <si>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</si>
  <si>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</si>
  <si>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</si>
  <si>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</si>
  <si>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</si>
  <si>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</si>
  <si>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</si>
  <si>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</si>
  <si>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</si>
  <si>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</si>
  <si>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</si>
  <si>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</si>
  <si>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</si>
  <si>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</si>
  <si>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</si>
  <si>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</si>
  <si>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</si>
  <si>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</si>
  <si>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</si>
  <si>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</si>
  <si>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</si>
  <si>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</si>
  <si>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</si>
  <si>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</si>
  <si>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</si>
  <si>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</si>
  <si>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</si>
  <si>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</si>
  <si>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</si>
  <si>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</si>
  <si>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</si>
  <si>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</si>
  <si>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</si>
  <si>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</si>
  <si>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</si>
  <si>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</si>
  <si>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</si>
  <si>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</si>
  <si>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</si>
  <si>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</si>
  <si>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</si>
  <si>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</si>
  <si>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</si>
  <si>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</si>
  <si>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</si>
  <si>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</si>
  <si>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</si>
  <si>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</si>
  <si>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</si>
  <si>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</si>
  <si>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</si>
  <si>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</si>
  <si>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</si>
  <si>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</si>
  <si>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</si>
  <si>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</si>
  <si>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</si>
  <si>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</si>
  <si>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</si>
  <si>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</si>
  <si>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</si>
  <si>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</si>
  <si>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</si>
  <si>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</si>
  <si>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</si>
  <si>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</si>
  <si>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</si>
  <si>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</si>
  <si>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</si>
  <si>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</si>
  <si>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</si>
  <si>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</si>
  <si>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</si>
  <si>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</si>
  <si>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</si>
  <si>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</si>
  <si>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</si>
  <si>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</si>
  <si>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</si>
  <si>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</si>
  <si>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</si>
  <si>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</si>
  <si>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</si>
  <si>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</si>
  <si>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</si>
  <si>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</si>
  <si>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</si>
  <si>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</si>
  <si>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</si>
  <si>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</si>
  <si>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</si>
  <si>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</si>
  <si>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</si>
  <si>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</si>
  <si>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</si>
  <si>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</si>
  <si>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</si>
  <si>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</si>
  <si>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</si>
  <si>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</si>
  <si>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</si>
  <si>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</si>
  <si>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</si>
  <si>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</si>
  <si>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</si>
  <si>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</si>
  <si>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</si>
  <si>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</si>
  <si>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</si>
  <si>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</si>
  <si>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</si>
  <si>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Wardrobe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</si>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</sst>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0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365" zoomScale="120" zoomScaleNormal="120" workbookViewId="0">
      <selection activeCell="E386" sqref="E38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1145</v>
      </c>
      <c r="L1" s="2" t="s">
        <v>1145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1127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1256</v>
      </c>
      <c r="AY1" s="6" t="s">
        <v>1256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1128</v>
      </c>
      <c r="E2" s="11" t="s">
        <v>1129</v>
      </c>
      <c r="F2" s="11" t="s">
        <v>1130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1131</v>
      </c>
      <c r="L2" s="11" t="s">
        <v>1132</v>
      </c>
      <c r="M2" s="11" t="s">
        <v>1133</v>
      </c>
      <c r="N2" s="11" t="s">
        <v>1134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1135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1136</v>
      </c>
      <c r="AK2" s="16" t="s">
        <v>1137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1257</v>
      </c>
      <c r="AY2" s="16" t="s">
        <v>1253</v>
      </c>
      <c r="AZ2" s="16" t="s">
        <v>1063</v>
      </c>
      <c r="BA2" s="16" t="s">
        <v>1064</v>
      </c>
      <c r="BB2" s="16" t="s">
        <v>1065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1138</v>
      </c>
      <c r="BH2" s="16" t="s">
        <v>1164</v>
      </c>
      <c r="BI2" s="16" t="s">
        <v>1163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1139</v>
      </c>
      <c r="N3" s="21" t="s">
        <v>1140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1254</v>
      </c>
      <c r="AY3" s="27" t="s">
        <v>1255</v>
      </c>
      <c r="AZ3" s="27" t="s">
        <v>1059</v>
      </c>
      <c r="BA3" s="27" t="s">
        <v>1060</v>
      </c>
      <c r="BB3" s="27" t="s">
        <v>1061</v>
      </c>
      <c r="BC3" s="27" t="s">
        <v>21</v>
      </c>
      <c r="BD3" s="27" t="s">
        <v>22</v>
      </c>
      <c r="BE3" s="27" t="s">
        <v>1459</v>
      </c>
      <c r="BF3" s="28" t="s">
        <v>19</v>
      </c>
      <c r="BG3" s="27" t="s">
        <v>23</v>
      </c>
      <c r="BH3" s="27" t="s">
        <v>1165</v>
      </c>
      <c r="BI3" s="27" t="s">
        <v>1162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1189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1066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1177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1183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1373</v>
      </c>
      <c r="O10" s="31"/>
      <c r="P10" s="30"/>
      <c r="T10" s="37"/>
      <c r="U10" s="30"/>
      <c r="V10" s="31" t="s">
        <v>1179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1186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1283</v>
      </c>
      <c r="O14" s="31"/>
      <c r="P14" s="30"/>
      <c r="T14" s="37"/>
      <c r="U14" s="30"/>
      <c r="V14" s="31" t="s">
        <v>1181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1285</v>
      </c>
      <c r="O16" s="31"/>
      <c r="P16" s="30"/>
      <c r="T16" s="37"/>
      <c r="U16" s="30"/>
      <c r="V16" s="31" t="s">
        <v>1178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1375</v>
      </c>
      <c r="O18" s="31"/>
      <c r="P18" s="30"/>
      <c r="T18" s="37"/>
      <c r="U18" s="30"/>
      <c r="V18" s="31" t="s">
        <v>1180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1377</v>
      </c>
      <c r="O20" s="31"/>
      <c r="P20" s="30"/>
      <c r="T20" s="37"/>
      <c r="U20" s="30"/>
      <c r="V20" s="31" t="s">
        <v>1179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1185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1171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1172</v>
      </c>
      <c r="O24" s="31"/>
      <c r="P24" s="30"/>
      <c r="T24" s="37"/>
      <c r="U24" s="30"/>
      <c r="V24" s="31" t="s">
        <v>1188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1189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1258</v>
      </c>
      <c r="BC24" s="30" t="s">
        <v>36</v>
      </c>
      <c r="BD24" s="30" t="s">
        <v>37</v>
      </c>
      <c r="BF24" s="30" t="s">
        <v>1066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1172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1117</v>
      </c>
      <c r="D26" s="30" t="s">
        <v>27</v>
      </c>
      <c r="E26" s="30" t="s">
        <v>1174</v>
      </c>
      <c r="F26" s="36" t="str">
        <f>IF(ISBLANK(Table2[[#This Row],[unique_id]]), "", PROPER(SUBSTITUTE(Table2[[#This Row],[unique_id]], "_", " ")))</f>
        <v>Utility Temperature</v>
      </c>
      <c r="G26" s="30" t="s">
        <v>1173</v>
      </c>
      <c r="H26" s="30" t="s">
        <v>87</v>
      </c>
      <c r="I26" s="30" t="s">
        <v>30</v>
      </c>
      <c r="K26" s="30" t="s">
        <v>1175</v>
      </c>
      <c r="O26" s="31"/>
      <c r="P26" s="30"/>
      <c r="T26" s="37"/>
      <c r="U26" s="30"/>
      <c r="V26" s="31" t="s">
        <v>1187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1483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1121</v>
      </c>
      <c r="BD26" s="30" t="s">
        <v>1117</v>
      </c>
      <c r="BF26" s="30" t="s">
        <v>1122</v>
      </c>
      <c r="BG26" s="30" t="s">
        <v>28</v>
      </c>
      <c r="BL26" s="30" t="s">
        <v>1141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1117</v>
      </c>
      <c r="D27" s="30" t="s">
        <v>27</v>
      </c>
      <c r="E27" s="30" t="s">
        <v>1175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1173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1049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1166</v>
      </c>
      <c r="O28" s="31"/>
      <c r="P28" s="30"/>
      <c r="T28" s="37"/>
      <c r="U28" s="30" t="s">
        <v>436</v>
      </c>
      <c r="V28" s="31" t="s">
        <v>1182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1113</v>
      </c>
      <c r="BD28" s="30" t="s">
        <v>1112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1166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1379</v>
      </c>
      <c r="O30" s="31"/>
      <c r="P30" s="30"/>
      <c r="T30" s="37"/>
      <c r="U30" s="30"/>
      <c r="V30" s="31" t="s">
        <v>1179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1146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1189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1066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1147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1189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1066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1148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1189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1066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1149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1189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1066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1150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1189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1258</v>
      </c>
      <c r="BC36" s="30" t="s">
        <v>36</v>
      </c>
      <c r="BD36" s="30" t="s">
        <v>37</v>
      </c>
      <c r="BF36" s="30" t="s">
        <v>1066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1151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1189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1066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1152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1066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1153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1154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1380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1155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1280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1156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1176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1258</v>
      </c>
      <c r="BC54" s="30" t="s">
        <v>36</v>
      </c>
      <c r="BD54" s="30" t="s">
        <v>37</v>
      </c>
      <c r="BF54" s="30" t="s">
        <v>1066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1390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1157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1158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1159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1160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1066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1066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1066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1066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1066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1066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1189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1066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1189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1066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1190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1066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1189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1066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1189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1066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1066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1066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1066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1066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1066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1066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1066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1066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1424</v>
      </c>
      <c r="F94" s="36" t="str">
        <f>IF(ISBLANK(Table2[[#This Row],[unique_id]]), "", PROPER(SUBSTITUTE(Table2[[#This Row],[unique_id]], "_", " ")))</f>
        <v>Home Started</v>
      </c>
      <c r="G94" s="30" t="s">
        <v>1425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1418</v>
      </c>
      <c r="F103" s="36" t="str">
        <f>IF(ISBLANK(Table2[[#This Row],[unique_id]]), "", PROPER(SUBSTITUTE(Table2[[#This Row],[unique_id]], "_", " ")))</f>
        <v>Edwin Wakeup</v>
      </c>
      <c r="G103" s="30" t="s">
        <v>1416</v>
      </c>
      <c r="H103" s="30" t="s">
        <v>311</v>
      </c>
      <c r="I103" s="30" t="s">
        <v>132</v>
      </c>
      <c r="J103" s="30" t="s">
        <v>1421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1419</v>
      </c>
      <c r="F104" s="36" t="str">
        <f>IF(ISBLANK(Table2[[#This Row],[unique_id]]), "", PROPER(SUBSTITUTE(Table2[[#This Row],[unique_id]], "_", " ")))</f>
        <v>Edwin Playtime</v>
      </c>
      <c r="G104" s="30" t="s">
        <v>1426</v>
      </c>
      <c r="H104" s="30" t="s">
        <v>311</v>
      </c>
      <c r="I104" s="30" t="s">
        <v>132</v>
      </c>
      <c r="J104" s="30" t="s">
        <v>1422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1420</v>
      </c>
      <c r="F105" s="36" t="str">
        <f>IF(ISBLANK(Table2[[#This Row],[unique_id]]), "", PROPER(SUBSTITUTE(Table2[[#This Row],[unique_id]], "_", " ")))</f>
        <v>Edwin Goodnight</v>
      </c>
      <c r="G105" s="30" t="s">
        <v>1417</v>
      </c>
      <c r="H105" s="30" t="s">
        <v>311</v>
      </c>
      <c r="I105" s="30" t="s">
        <v>132</v>
      </c>
      <c r="J105" s="30" t="s">
        <v>1423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1431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1369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1069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1369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1298</v>
      </c>
      <c r="BL107" s="55" t="s">
        <v>346</v>
      </c>
      <c r="BM107" s="55" t="s">
        <v>1339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1369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1369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1298</v>
      </c>
      <c r="BL109" s="30" t="s">
        <v>353</v>
      </c>
      <c r="BM109" s="30" t="s">
        <v>1349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1298</v>
      </c>
      <c r="BL110" s="30" t="s">
        <v>371</v>
      </c>
      <c r="BM110" s="30" t="s">
        <v>1316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1298</v>
      </c>
      <c r="BL111" s="30" t="s">
        <v>372</v>
      </c>
      <c r="BM111" s="30" t="s">
        <v>1317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1298</v>
      </c>
      <c r="BL112" s="30" t="s">
        <v>375</v>
      </c>
      <c r="BM112" s="30" t="s">
        <v>1318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1071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1112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1109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1112</v>
      </c>
      <c r="BF114" s="30" t="s">
        <v>888</v>
      </c>
      <c r="BG114" s="30" t="s">
        <v>206</v>
      </c>
      <c r="BK114" s="30" t="s">
        <v>1298</v>
      </c>
      <c r="BL114" s="30" t="s">
        <v>922</v>
      </c>
      <c r="BM114" s="30" t="s">
        <v>1320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1106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1112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1107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1112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1298</v>
      </c>
      <c r="BL117" s="30" t="s">
        <v>376</v>
      </c>
      <c r="BM117" s="30" t="s">
        <v>1321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1019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1298</v>
      </c>
      <c r="BL119" s="30" t="s">
        <v>373</v>
      </c>
      <c r="BM119" s="30" t="s">
        <v>1322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1020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1298</v>
      </c>
      <c r="BL120" s="30" t="s">
        <v>374</v>
      </c>
      <c r="BM120" s="39" t="s">
        <v>1323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1270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1359</v>
      </c>
      <c r="BA131" s="30" t="str">
        <f>IF(ISBLANK(Table2[[#This Row],[device_model]]), "", Table2[[#This Row],[device_suggested_area]])</f>
        <v>Home</v>
      </c>
      <c r="BB131" s="30" t="s">
        <v>1363</v>
      </c>
      <c r="BC131" s="30" t="s">
        <v>1360</v>
      </c>
      <c r="BD131" s="30" t="s">
        <v>1359</v>
      </c>
      <c r="BF131" s="30" t="s">
        <v>1361</v>
      </c>
      <c r="BG131" s="30" t="s">
        <v>165</v>
      </c>
      <c r="BK131" s="30" t="s">
        <v>1297</v>
      </c>
      <c r="BL131" s="46" t="s">
        <v>1362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1460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1460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1460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1460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1460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1460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1460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1460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1460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1460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1460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1460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1460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1460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1460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1460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1460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1460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1460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1460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1460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1460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1460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1460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1460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1460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1460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1460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1460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1460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1460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1460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1460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1460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1460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1265</v>
      </c>
      <c r="F178" s="36" t="str">
        <f>IF(ISBLANK(Table2[[#This Row],[unique_id]]), "", PROPER(SUBSTITUTE(Table2[[#This Row],[unique_id]], "_", " ")))</f>
        <v>Kitchen Bench Lights Plug</v>
      </c>
      <c r="G178" s="30" t="s">
        <v>1266</v>
      </c>
      <c r="H178" s="30" t="s">
        <v>139</v>
      </c>
      <c r="I178" s="30" t="s">
        <v>132</v>
      </c>
      <c r="J178" s="30" t="s">
        <v>1268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1108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1267</v>
      </c>
      <c r="BC178" s="30" t="s">
        <v>768</v>
      </c>
      <c r="BD178" s="30" t="s">
        <v>1112</v>
      </c>
      <c r="BF178" s="30" t="s">
        <v>888</v>
      </c>
      <c r="BG178" s="30" t="s">
        <v>206</v>
      </c>
      <c r="BK178" s="30" t="s">
        <v>1298</v>
      </c>
      <c r="BL178" s="30" t="s">
        <v>920</v>
      </c>
      <c r="BM178" s="30" t="s">
        <v>1324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1460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1460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1460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1460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1460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1460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1460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1460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1460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1460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1460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1460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1433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1434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1298</v>
      </c>
      <c r="BL199" s="55" t="s">
        <v>561</v>
      </c>
      <c r="BM199" s="55" t="s">
        <v>1325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1071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1113</v>
      </c>
      <c r="BD200" s="30" t="s">
        <v>1112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1053</v>
      </c>
      <c r="U201" s="30"/>
      <c r="V201" s="31"/>
      <c r="W201" s="31"/>
      <c r="X201" s="31"/>
      <c r="Y201" s="31"/>
      <c r="Z201" s="31"/>
      <c r="AA201" s="42" t="s">
        <v>1105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1113</v>
      </c>
      <c r="BD201" s="30" t="s">
        <v>1112</v>
      </c>
      <c r="BF201" s="30" t="s">
        <v>888</v>
      </c>
      <c r="BG201" s="30" t="s">
        <v>357</v>
      </c>
      <c r="BK201" s="30" t="s">
        <v>1298</v>
      </c>
      <c r="BL201" s="30" t="s">
        <v>1055</v>
      </c>
      <c r="BM201" s="30" t="s">
        <v>1326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1050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1239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1113</v>
      </c>
      <c r="BD202" s="30" t="s">
        <v>1112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1435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1436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1298</v>
      </c>
      <c r="BL204" s="55" t="s">
        <v>560</v>
      </c>
      <c r="BM204" s="55" t="s">
        <v>1327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1071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1114</v>
      </c>
      <c r="BD205" s="30" t="s">
        <v>1112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1052</v>
      </c>
      <c r="U206" s="30"/>
      <c r="V206" s="31"/>
      <c r="W206" s="31"/>
      <c r="X206" s="31"/>
      <c r="Y206" s="31"/>
      <c r="Z206" s="31"/>
      <c r="AA206" s="42" t="s">
        <v>1105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1114</v>
      </c>
      <c r="BD206" s="30" t="s">
        <v>1112</v>
      </c>
      <c r="BF206" s="30" t="s">
        <v>888</v>
      </c>
      <c r="BG206" s="30" t="s">
        <v>559</v>
      </c>
      <c r="BK206" s="30" t="s">
        <v>1298</v>
      </c>
      <c r="BL206" s="30" t="s">
        <v>1054</v>
      </c>
      <c r="BM206" s="30" t="s">
        <v>1328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1460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1460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1460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1460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1460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1460</v>
      </c>
      <c r="BF212" s="30" t="s">
        <v>564</v>
      </c>
      <c r="BG212" s="30" t="s">
        <v>576</v>
      </c>
      <c r="BL212" s="30" t="s">
        <v>1056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1460</v>
      </c>
      <c r="BF213" s="30" t="s">
        <v>564</v>
      </c>
      <c r="BG213" s="30" t="s">
        <v>576</v>
      </c>
      <c r="BL213" s="30" t="s">
        <v>1056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1460</v>
      </c>
      <c r="BF214" s="30" t="s">
        <v>564</v>
      </c>
      <c r="BG214" s="30" t="s">
        <v>576</v>
      </c>
      <c r="BL214" s="30" t="s">
        <v>1056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1460</v>
      </c>
      <c r="BF215" s="30" t="s">
        <v>564</v>
      </c>
      <c r="BG215" s="30" t="s">
        <v>576</v>
      </c>
      <c r="BL215" s="30" t="s">
        <v>1056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1460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1460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1460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1460</v>
      </c>
      <c r="BF219" s="30" t="s">
        <v>564</v>
      </c>
      <c r="BG219" s="30" t="s">
        <v>571</v>
      </c>
      <c r="BL219" s="30" t="s">
        <v>1056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1070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1022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1022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1298</v>
      </c>
      <c r="BL222" s="30" t="s">
        <v>350</v>
      </c>
      <c r="BM222" s="30" t="s">
        <v>1329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1092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1170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1070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1112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1093</v>
      </c>
      <c r="F224" s="36" t="str">
        <f>IF(ISBLANK(Table2[[#This Row],[unique_id]]), "", PROPER(SUBSTITUTE(Table2[[#This Row],[unique_id]], "_", " ")))</f>
        <v>Ceiling Water Booster Plug</v>
      </c>
      <c r="G224" s="30" t="s">
        <v>1170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1109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1112</v>
      </c>
      <c r="BF224" s="30" t="s">
        <v>888</v>
      </c>
      <c r="BG224" s="30" t="s">
        <v>403</v>
      </c>
      <c r="BK224" s="30" t="s">
        <v>1298</v>
      </c>
      <c r="BL224" s="30" t="s">
        <v>442</v>
      </c>
      <c r="BM224" s="30" t="s">
        <v>1330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1094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1106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1112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1095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1107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1112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1100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1070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1112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1101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1109</v>
      </c>
      <c r="AB228" s="30"/>
      <c r="AC228" s="30"/>
      <c r="AE228" s="30" t="s">
        <v>1104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1112</v>
      </c>
      <c r="BF228" s="30" t="s">
        <v>888</v>
      </c>
      <c r="BG228" s="30" t="s">
        <v>576</v>
      </c>
      <c r="BK228" s="30" t="s">
        <v>1298</v>
      </c>
      <c r="BL228" s="30" t="s">
        <v>1048</v>
      </c>
      <c r="BM228" s="30" t="s">
        <v>1331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1102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1106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1112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1103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1107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1112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1051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1161</v>
      </c>
      <c r="H231" s="30" t="s">
        <v>1368</v>
      </c>
      <c r="I231" s="30" t="s">
        <v>132</v>
      </c>
      <c r="K231" s="30" t="s">
        <v>1169</v>
      </c>
      <c r="O231" s="31"/>
      <c r="P231" s="30"/>
      <c r="T231" s="37"/>
      <c r="U231" s="30" t="s">
        <v>436</v>
      </c>
      <c r="V231" s="31" t="s">
        <v>1184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1115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1114</v>
      </c>
      <c r="BD231" s="30" t="s">
        <v>1112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1169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1161</v>
      </c>
      <c r="H232" s="30" t="s">
        <v>1368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1074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1075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1076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1077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1078</v>
      </c>
      <c r="F244" s="36" t="str">
        <f>IF(ISBLANK(Table2[[#This Row],[unique_id]]), "", PROPER(SUBSTITUTE(Table2[[#This Row],[unique_id]], "_", " ")))</f>
        <v>Water Booster Power</v>
      </c>
      <c r="G244" s="30" t="s">
        <v>1170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1079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1080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1081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1082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1083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1084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1085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1086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1087</v>
      </c>
      <c r="F267" s="36" t="str">
        <f>IF(ISBLANK(Table2[[#This Row],[unique_id]]), "", PROPER(SUBSTITUTE(Table2[[#This Row],[unique_id]], "_", " ")))</f>
        <v>Water Booster Energy Daily</v>
      </c>
      <c r="G267" s="30" t="s">
        <v>1170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1088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1089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1090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1091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1032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1297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1144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1123</v>
      </c>
      <c r="BC280" s="30" t="s">
        <v>1125</v>
      </c>
      <c r="BD280" s="30" t="s">
        <v>1124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1144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1261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1123</v>
      </c>
      <c r="BC281" s="30" t="s">
        <v>1125</v>
      </c>
      <c r="BD281" s="30" t="s">
        <v>1124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1262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1123</v>
      </c>
      <c r="BC282" s="30" t="s">
        <v>1125</v>
      </c>
      <c r="BD282" s="30" t="s">
        <v>1124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1263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1123</v>
      </c>
      <c r="BC283" s="30" t="s">
        <v>1125</v>
      </c>
      <c r="BD283" s="30" t="s">
        <v>1124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1259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1123</v>
      </c>
      <c r="BC284" s="30" t="s">
        <v>1125</v>
      </c>
      <c r="BD284" s="30" t="s">
        <v>1124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1231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1234</v>
      </c>
      <c r="H285" s="30" t="s">
        <v>1230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1233</v>
      </c>
      <c r="AF285" s="30">
        <v>200</v>
      </c>
      <c r="AG285" s="31" t="s">
        <v>34</v>
      </c>
      <c r="AH285" s="31"/>
      <c r="AI285" s="30" t="s">
        <v>1144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1189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1123</v>
      </c>
      <c r="BC285" s="30" t="s">
        <v>1125</v>
      </c>
      <c r="BD285" s="30" t="s">
        <v>1124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1232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1235</v>
      </c>
      <c r="H286" s="30" t="s">
        <v>1230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1233</v>
      </c>
      <c r="AF286" s="30">
        <v>200</v>
      </c>
      <c r="AG286" s="31" t="s">
        <v>34</v>
      </c>
      <c r="AH286" s="31"/>
      <c r="AI286" s="30" t="s">
        <v>1144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1123</v>
      </c>
      <c r="BC286" s="30" t="s">
        <v>1125</v>
      </c>
      <c r="BD286" s="30" t="s">
        <v>1124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1548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1258</v>
      </c>
      <c r="BC294" s="30" t="s">
        <v>36</v>
      </c>
      <c r="BD294" s="30" t="s">
        <v>37</v>
      </c>
      <c r="BF294" s="30" t="s">
        <v>1066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1196</v>
      </c>
      <c r="D296" s="30" t="s">
        <v>148</v>
      </c>
      <c r="E296" s="30" t="s">
        <v>1198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1226</v>
      </c>
      <c r="H296" s="30" t="s">
        <v>1193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1194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1228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1197</v>
      </c>
      <c r="BC296" s="30" t="s">
        <v>1125</v>
      </c>
      <c r="BD296" s="30" t="s">
        <v>1124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1196</v>
      </c>
      <c r="D297" s="30" t="s">
        <v>148</v>
      </c>
      <c r="E297" s="30" t="s">
        <v>1199</v>
      </c>
      <c r="F297" s="30" t="str">
        <f>IF(ISBLANK(Table2[[#This Row],[unique_id]]), "", PROPER(SUBSTITUTE(Table2[[#This Row],[unique_id]], "_", " ")))</f>
        <v>Service Plex Availability</v>
      </c>
      <c r="G297" s="30" t="s">
        <v>1213</v>
      </c>
      <c r="H297" s="30" t="s">
        <v>1193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1194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1228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1197</v>
      </c>
      <c r="BC297" s="30" t="s">
        <v>1125</v>
      </c>
      <c r="BD297" s="30" t="s">
        <v>1124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1196</v>
      </c>
      <c r="D298" s="30" t="s">
        <v>148</v>
      </c>
      <c r="E298" s="30" t="s">
        <v>1200</v>
      </c>
      <c r="F298" s="30" t="str">
        <f>IF(ISBLANK(Table2[[#This Row],[unique_id]]), "", PROPER(SUBSTITUTE(Table2[[#This Row],[unique_id]], "_", " ")))</f>
        <v>Service Grafana Availability</v>
      </c>
      <c r="G298" s="30" t="s">
        <v>1214</v>
      </c>
      <c r="H298" s="30" t="s">
        <v>1193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1194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1228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1197</v>
      </c>
      <c r="BC298" s="30" t="s">
        <v>1125</v>
      </c>
      <c r="BD298" s="30" t="s">
        <v>1124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1196</v>
      </c>
      <c r="D299" s="30" t="s">
        <v>148</v>
      </c>
      <c r="E299" s="30" t="s">
        <v>1201</v>
      </c>
      <c r="F299" s="30" t="str">
        <f>IF(ISBLANK(Table2[[#This Row],[unique_id]]), "", PROPER(SUBSTITUTE(Table2[[#This Row],[unique_id]], "_", " ")))</f>
        <v>Service Wrangle Availability</v>
      </c>
      <c r="G299" s="30" t="s">
        <v>1215</v>
      </c>
      <c r="H299" s="30" t="s">
        <v>1193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1194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1228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1197</v>
      </c>
      <c r="BC299" s="30" t="s">
        <v>1125</v>
      </c>
      <c r="BD299" s="30" t="s">
        <v>1124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1196</v>
      </c>
      <c r="D300" s="30" t="s">
        <v>148</v>
      </c>
      <c r="E300" s="30" t="s">
        <v>1202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1193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1194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1228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1197</v>
      </c>
      <c r="BC300" s="30" t="s">
        <v>1125</v>
      </c>
      <c r="BD300" s="30" t="s">
        <v>1124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1196</v>
      </c>
      <c r="D301" s="30" t="s">
        <v>148</v>
      </c>
      <c r="E301" s="30" t="s">
        <v>1203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1193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1194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1228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1197</v>
      </c>
      <c r="BC301" s="30" t="s">
        <v>1125</v>
      </c>
      <c r="BD301" s="30" t="s">
        <v>1124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1196</v>
      </c>
      <c r="D302" s="30" t="s">
        <v>148</v>
      </c>
      <c r="E302" s="30" t="s">
        <v>1195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1216</v>
      </c>
      <c r="H302" s="30" t="s">
        <v>1193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1194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1228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1197</v>
      </c>
      <c r="BC302" s="30" t="s">
        <v>1125</v>
      </c>
      <c r="BD302" s="30" t="s">
        <v>1124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1196</v>
      </c>
      <c r="D303" s="30" t="s">
        <v>148</v>
      </c>
      <c r="E303" s="30" t="s">
        <v>1204</v>
      </c>
      <c r="F303" s="30" t="str">
        <f>IF(ISBLANK(Table2[[#This Row],[unique_id]]), "", PROPER(SUBSTITUTE(Table2[[#This Row],[unique_id]], "_", " ")))</f>
        <v>Service Weewx Availability</v>
      </c>
      <c r="G303" s="30" t="s">
        <v>1217</v>
      </c>
      <c r="H303" s="30" t="s">
        <v>1193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1194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1228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1197</v>
      </c>
      <c r="BC303" s="30" t="s">
        <v>1125</v>
      </c>
      <c r="BD303" s="30" t="s">
        <v>1124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1196</v>
      </c>
      <c r="D304" s="30" t="s">
        <v>148</v>
      </c>
      <c r="E304" s="30" t="s">
        <v>1205</v>
      </c>
      <c r="F304" s="30" t="str">
        <f>IF(ISBLANK(Table2[[#This Row],[unique_id]]), "", PROPER(SUBSTITUTE(Table2[[#This Row],[unique_id]], "_", " ")))</f>
        <v>Service Digitemp Availability</v>
      </c>
      <c r="G304" s="30" t="s">
        <v>1218</v>
      </c>
      <c r="H304" s="30" t="s">
        <v>1193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1194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1228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1197</v>
      </c>
      <c r="BC304" s="30" t="s">
        <v>1125</v>
      </c>
      <c r="BD304" s="30" t="s">
        <v>1124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1196</v>
      </c>
      <c r="D305" s="30" t="s">
        <v>148</v>
      </c>
      <c r="E305" s="30" t="s">
        <v>1206</v>
      </c>
      <c r="F305" s="30" t="str">
        <f>IF(ISBLANK(Table2[[#This Row],[unique_id]]), "", PROPER(SUBSTITUTE(Table2[[#This Row],[unique_id]], "_", " ")))</f>
        <v>Service Nginx Availability</v>
      </c>
      <c r="G305" s="30" t="s">
        <v>1219</v>
      </c>
      <c r="H305" s="30" t="s">
        <v>1193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1194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1228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1197</v>
      </c>
      <c r="BC305" s="30" t="s">
        <v>1125</v>
      </c>
      <c r="BD305" s="30" t="s">
        <v>1124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1196</v>
      </c>
      <c r="D306" s="30" t="s">
        <v>148</v>
      </c>
      <c r="E306" s="30" t="s">
        <v>1207</v>
      </c>
      <c r="F306" s="30" t="str">
        <f>IF(ISBLANK(Table2[[#This Row],[unique_id]]), "", PROPER(SUBSTITUTE(Table2[[#This Row],[unique_id]], "_", " ")))</f>
        <v>Service Influxdb Availability</v>
      </c>
      <c r="G306" s="30" t="s">
        <v>1220</v>
      </c>
      <c r="H306" s="30" t="s">
        <v>1193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1194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1228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1197</v>
      </c>
      <c r="BC306" s="30" t="s">
        <v>1125</v>
      </c>
      <c r="BD306" s="30" t="s">
        <v>1124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1196</v>
      </c>
      <c r="D307" s="30" t="s">
        <v>148</v>
      </c>
      <c r="E307" s="30" t="s">
        <v>1208</v>
      </c>
      <c r="F307" s="30" t="str">
        <f>IF(ISBLANK(Table2[[#This Row],[unique_id]]), "", PROPER(SUBSTITUTE(Table2[[#This Row],[unique_id]], "_", " ")))</f>
        <v>Service Mariadb Availability</v>
      </c>
      <c r="G307" s="30" t="s">
        <v>1221</v>
      </c>
      <c r="H307" s="30" t="s">
        <v>1193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1194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1228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1197</v>
      </c>
      <c r="BC307" s="30" t="s">
        <v>1125</v>
      </c>
      <c r="BD307" s="30" t="s">
        <v>1124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1196</v>
      </c>
      <c r="D308" s="30" t="s">
        <v>148</v>
      </c>
      <c r="E308" s="30" t="s">
        <v>1209</v>
      </c>
      <c r="F308" s="30" t="str">
        <f>IF(ISBLANK(Table2[[#This Row],[unique_id]]), "", PROPER(SUBSTITUTE(Table2[[#This Row],[unique_id]], "_", " ")))</f>
        <v>Service Postgres Availability</v>
      </c>
      <c r="G308" s="30" t="s">
        <v>1222</v>
      </c>
      <c r="H308" s="30" t="s">
        <v>1193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1194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1228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1197</v>
      </c>
      <c r="BC308" s="30" t="s">
        <v>1125</v>
      </c>
      <c r="BD308" s="30" t="s">
        <v>1124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1196</v>
      </c>
      <c r="D309" s="30" t="s">
        <v>148</v>
      </c>
      <c r="E309" s="30" t="s">
        <v>1210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1223</v>
      </c>
      <c r="H309" s="30" t="s">
        <v>1193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1194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1228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1197</v>
      </c>
      <c r="BC309" s="30" t="s">
        <v>1125</v>
      </c>
      <c r="BD309" s="30" t="s">
        <v>1124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1196</v>
      </c>
      <c r="D310" s="30" t="s">
        <v>148</v>
      </c>
      <c r="E310" s="30" t="s">
        <v>1211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1224</v>
      </c>
      <c r="H310" s="30" t="s">
        <v>1193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1194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1228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1197</v>
      </c>
      <c r="BC310" s="30" t="s">
        <v>1125</v>
      </c>
      <c r="BD310" s="30" t="s">
        <v>1124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1196</v>
      </c>
      <c r="D311" s="30" t="s">
        <v>148</v>
      </c>
      <c r="E311" s="30" t="s">
        <v>1212</v>
      </c>
      <c r="F311" s="30" t="str">
        <f>IF(ISBLANK(Table2[[#This Row],[unique_id]]), "", PROPER(SUBSTITUTE(Table2[[#This Row],[unique_id]], "_", " ")))</f>
        <v>Service Monitor Availability</v>
      </c>
      <c r="G311" s="30" t="s">
        <v>1225</v>
      </c>
      <c r="H311" s="30" t="s">
        <v>1193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1194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1228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1197</v>
      </c>
      <c r="BC311" s="30" t="s">
        <v>1125</v>
      </c>
      <c r="BD311" s="30" t="s">
        <v>1124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1196</v>
      </c>
      <c r="D312" s="30" t="s">
        <v>148</v>
      </c>
      <c r="E312" s="30" t="s">
        <v>1526</v>
      </c>
      <c r="F312" s="30" t="str">
        <f>IF(ISBLANK(Table2[[#This Row],[unique_id]]), "", PROPER(SUBSTITUTE(Table2[[#This Row],[unique_id]], "_", " ")))</f>
        <v>Host Mad Availability</v>
      </c>
      <c r="G312" s="30" t="s">
        <v>1520</v>
      </c>
      <c r="H312" s="30" t="s">
        <v>1227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1194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1228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1197</v>
      </c>
      <c r="BC312" s="30" t="s">
        <v>1125</v>
      </c>
      <c r="BD312" s="30" t="s">
        <v>1124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1196</v>
      </c>
      <c r="D313" s="30" t="s">
        <v>148</v>
      </c>
      <c r="E313" s="30" t="s">
        <v>1527</v>
      </c>
      <c r="F313" s="30" t="str">
        <f>IF(ISBLANK(Table2[[#This Row],[unique_id]]), "", PROPER(SUBSTITUTE(Table2[[#This Row],[unique_id]], "_", " ")))</f>
        <v>Host Max Availability</v>
      </c>
      <c r="G313" s="30" t="s">
        <v>1521</v>
      </c>
      <c r="H313" s="30" t="s">
        <v>1227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1194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1228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1197</v>
      </c>
      <c r="BC313" s="30" t="s">
        <v>1125</v>
      </c>
      <c r="BD313" s="30" t="s">
        <v>1124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1196</v>
      </c>
      <c r="D314" s="30" t="s">
        <v>148</v>
      </c>
      <c r="E314" s="30" t="s">
        <v>1476</v>
      </c>
      <c r="F314" s="30" t="str">
        <f>IF(ISBLANK(Table2[[#This Row],[unique_id]]), "", PROPER(SUBSTITUTE(Table2[[#This Row],[unique_id]], "_", " ")))</f>
        <v>Host May Availability</v>
      </c>
      <c r="G314" s="30" t="s">
        <v>1475</v>
      </c>
      <c r="H314" s="30" t="s">
        <v>1227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1194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1228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1197</v>
      </c>
      <c r="BC314" s="30" t="s">
        <v>1125</v>
      </c>
      <c r="BD314" s="30" t="s">
        <v>1124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1196</v>
      </c>
      <c r="D315" s="30" t="s">
        <v>148</v>
      </c>
      <c r="E315" s="30" t="s">
        <v>1229</v>
      </c>
      <c r="F315" s="30" t="str">
        <f>IF(ISBLANK(Table2[[#This Row],[unique_id]]), "", PROPER(SUBSTITUTE(Table2[[#This Row],[unique_id]], "_", " ")))</f>
        <v>Host Meg Availability</v>
      </c>
      <c r="G315" s="30" t="s">
        <v>1242</v>
      </c>
      <c r="H315" s="30" t="s">
        <v>1227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1194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1228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1197</v>
      </c>
      <c r="BC315" s="30" t="s">
        <v>1125</v>
      </c>
      <c r="BD315" s="30" t="s">
        <v>1124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1196</v>
      </c>
      <c r="D316" s="30" t="s">
        <v>148</v>
      </c>
      <c r="E316" s="30" t="s">
        <v>1486</v>
      </c>
      <c r="F316" s="30" t="str">
        <f>IF(ISBLANK(Table2[[#This Row],[unique_id]]), "", PROPER(SUBSTITUTE(Table2[[#This Row],[unique_id]], "_", " ")))</f>
        <v>Host Jen Availability</v>
      </c>
      <c r="G316" s="30" t="s">
        <v>1493</v>
      </c>
      <c r="H316" s="30" t="s">
        <v>1227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1194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1228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1197</v>
      </c>
      <c r="BC316" s="30" t="s">
        <v>1125</v>
      </c>
      <c r="BD316" s="30" t="s">
        <v>1124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1227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1364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1192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1243</v>
      </c>
      <c r="D319" s="30" t="s">
        <v>27</v>
      </c>
      <c r="E319" s="30" t="s">
        <v>1249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1244</v>
      </c>
      <c r="H319" s="30" t="s">
        <v>1246</v>
      </c>
      <c r="I319" s="30" t="s">
        <v>291</v>
      </c>
      <c r="K319" s="30" t="s">
        <v>1175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1117</v>
      </c>
      <c r="D320" s="30" t="s">
        <v>27</v>
      </c>
      <c r="E320" s="30" t="s">
        <v>1118</v>
      </c>
      <c r="F320" s="36" t="str">
        <f>IF(ISBLANK(Table2[[#This Row],[unique_id]]), "", PROPER(SUBSTITUTE(Table2[[#This Row],[unique_id]], "_", " ")))</f>
        <v>Rack Top Temperature</v>
      </c>
      <c r="G320" s="30" t="s">
        <v>1120</v>
      </c>
      <c r="H320" s="30" t="s">
        <v>1246</v>
      </c>
      <c r="I320" s="30" t="s">
        <v>291</v>
      </c>
      <c r="K320" s="30" t="s">
        <v>1167</v>
      </c>
      <c r="O320" s="31"/>
      <c r="P320" s="30"/>
      <c r="T320" s="37"/>
      <c r="U320" s="30"/>
      <c r="V320" s="31" t="s">
        <v>1187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1483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1121</v>
      </c>
      <c r="BD320" s="30" t="s">
        <v>1117</v>
      </c>
      <c r="BF320" s="30" t="s">
        <v>1122</v>
      </c>
      <c r="BG320" s="30" t="s">
        <v>28</v>
      </c>
      <c r="BL320" s="30" t="s">
        <v>1143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1117</v>
      </c>
      <c r="D321" s="30" t="s">
        <v>27</v>
      </c>
      <c r="E321" s="30" t="s">
        <v>1167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1120</v>
      </c>
      <c r="H321" s="30" t="s">
        <v>1246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1117</v>
      </c>
      <c r="D322" s="30" t="s">
        <v>27</v>
      </c>
      <c r="E322" s="30" t="s">
        <v>1119</v>
      </c>
      <c r="F322" s="36" t="str">
        <f>IF(ISBLANK(Table2[[#This Row],[unique_id]]), "", PROPER(SUBSTITUTE(Table2[[#This Row],[unique_id]], "_", " ")))</f>
        <v>Rack Bottom Temperature</v>
      </c>
      <c r="G322" s="30" t="s">
        <v>1126</v>
      </c>
      <c r="H322" s="30" t="s">
        <v>1246</v>
      </c>
      <c r="I322" s="30" t="s">
        <v>291</v>
      </c>
      <c r="K322" s="30" t="s">
        <v>1168</v>
      </c>
      <c r="O322" s="31"/>
      <c r="P322" s="30"/>
      <c r="T322" s="37"/>
      <c r="U322" s="30"/>
      <c r="V322" s="31" t="s">
        <v>1187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1483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1121</v>
      </c>
      <c r="BD322" s="30" t="s">
        <v>1117</v>
      </c>
      <c r="BF322" s="30" t="s">
        <v>1122</v>
      </c>
      <c r="BG322" s="30" t="s">
        <v>28</v>
      </c>
      <c r="BL322" s="30" t="s">
        <v>1142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1117</v>
      </c>
      <c r="D323" s="30" t="s">
        <v>27</v>
      </c>
      <c r="E323" s="30" t="s">
        <v>1168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1126</v>
      </c>
      <c r="H323" s="30" t="s">
        <v>1246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1225</v>
      </c>
      <c r="D324" s="30" t="s">
        <v>27</v>
      </c>
      <c r="E324" s="30" t="s">
        <v>1516</v>
      </c>
      <c r="F324" s="30" t="str">
        <f>IF(ISBLANK(Table2[[#This Row],[unique_id]]), "", PROPER(SUBSTITUTE(Table2[[#This Row],[unique_id]], "_", " ")))</f>
        <v>Host Mad Temperature</v>
      </c>
      <c r="G324" s="30" t="s">
        <v>1520</v>
      </c>
      <c r="H324" s="30" t="s">
        <v>1246</v>
      </c>
      <c r="I324" s="30" t="s">
        <v>291</v>
      </c>
      <c r="K324" s="30" t="s">
        <v>1517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1522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1530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1524</v>
      </c>
      <c r="BC324" s="30" t="s">
        <v>1238</v>
      </c>
      <c r="BD324" s="30" t="s">
        <v>1237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1225</v>
      </c>
      <c r="D325" s="30" t="s">
        <v>27</v>
      </c>
      <c r="E325" s="30" t="s">
        <v>1517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1520</v>
      </c>
      <c r="H325" s="30" t="s">
        <v>1246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1225</v>
      </c>
      <c r="D326" s="30" t="s">
        <v>27</v>
      </c>
      <c r="E326" s="30" t="s">
        <v>1518</v>
      </c>
      <c r="F326" s="30" t="str">
        <f>IF(ISBLANK(Table2[[#This Row],[unique_id]]), "", PROPER(SUBSTITUTE(Table2[[#This Row],[unique_id]], "_", " ")))</f>
        <v>Host Max Temperature</v>
      </c>
      <c r="G326" s="30" t="s">
        <v>1521</v>
      </c>
      <c r="H326" s="30" t="s">
        <v>1246</v>
      </c>
      <c r="I326" s="30" t="s">
        <v>291</v>
      </c>
      <c r="K326" s="30" t="s">
        <v>1519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1523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1529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1525</v>
      </c>
      <c r="BC326" s="30" t="s">
        <v>1238</v>
      </c>
      <c r="BD326" s="30" t="s">
        <v>1237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1225</v>
      </c>
      <c r="D327" s="30" t="s">
        <v>27</v>
      </c>
      <c r="E327" s="30" t="s">
        <v>1519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1521</v>
      </c>
      <c r="H327" s="30" t="s">
        <v>1246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1225</v>
      </c>
      <c r="D328" s="69" t="s">
        <v>27</v>
      </c>
      <c r="E328" s="69" t="s">
        <v>1477</v>
      </c>
      <c r="F328" s="30" t="str">
        <f>IF(ISBLANK(Table2[[#This Row],[unique_id]]), "", PROPER(SUBSTITUTE(Table2[[#This Row],[unique_id]], "_", " ")))</f>
        <v>Host May Temperature</v>
      </c>
      <c r="G328" s="69" t="s">
        <v>1475</v>
      </c>
      <c r="H328" s="69" t="s">
        <v>1246</v>
      </c>
      <c r="I328" s="69" t="s">
        <v>291</v>
      </c>
      <c r="J328" s="69"/>
      <c r="K328" s="69" t="s">
        <v>1478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1483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1528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1484</v>
      </c>
      <c r="BC328" s="69" t="s">
        <v>1238</v>
      </c>
      <c r="BD328" s="69" t="s">
        <v>1237</v>
      </c>
      <c r="BE328" s="69"/>
      <c r="BF328" s="69" t="s">
        <v>991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1225</v>
      </c>
      <c r="D329" s="69" t="s">
        <v>27</v>
      </c>
      <c r="E329" s="69" t="s">
        <v>1478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1475</v>
      </c>
      <c r="H329" s="69" t="s">
        <v>1246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436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1225</v>
      </c>
      <c r="D330" s="69" t="s">
        <v>27</v>
      </c>
      <c r="E330" s="69" t="s">
        <v>1236</v>
      </c>
      <c r="F330" s="30" t="str">
        <f>IF(ISBLANK(Table2[[#This Row],[unique_id]]), "", PROPER(SUBSTITUTE(Table2[[#This Row],[unique_id]], "_", " ")))</f>
        <v>Host Meg Temperature</v>
      </c>
      <c r="G330" s="69" t="s">
        <v>1242</v>
      </c>
      <c r="H330" s="69" t="s">
        <v>1246</v>
      </c>
      <c r="I330" s="69" t="s">
        <v>291</v>
      </c>
      <c r="J330" s="69"/>
      <c r="K330" s="69" t="s">
        <v>1241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1144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1240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1367</v>
      </c>
      <c r="BC330" s="69" t="s">
        <v>1238</v>
      </c>
      <c r="BD330" s="69" t="s">
        <v>1237</v>
      </c>
      <c r="BE330" s="69"/>
      <c r="BF330" s="69" t="s">
        <v>991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1225</v>
      </c>
      <c r="D331" s="69" t="s">
        <v>27</v>
      </c>
      <c r="E331" s="69" t="s">
        <v>1241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1242</v>
      </c>
      <c r="H331" s="69" t="s">
        <v>1246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436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1243</v>
      </c>
      <c r="D332" s="30" t="s">
        <v>27</v>
      </c>
      <c r="E332" s="30" t="s">
        <v>1251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1248</v>
      </c>
      <c r="H332" s="30" t="s">
        <v>1247</v>
      </c>
      <c r="I332" s="30" t="s">
        <v>291</v>
      </c>
      <c r="K332" s="30" t="s">
        <v>1166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1243</v>
      </c>
      <c r="D333" s="30" t="s">
        <v>27</v>
      </c>
      <c r="E333" s="30" t="s">
        <v>1250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1461</v>
      </c>
      <c r="H333" s="30" t="s">
        <v>1245</v>
      </c>
      <c r="I333" s="30" t="s">
        <v>291</v>
      </c>
      <c r="K333" s="30" t="s">
        <v>1172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1225</v>
      </c>
      <c r="D334" s="30" t="s">
        <v>27</v>
      </c>
      <c r="E334" s="30" t="s">
        <v>1492</v>
      </c>
      <c r="F334" s="30" t="str">
        <f>IF(ISBLANK(Table2[[#This Row],[unique_id]]), "", PROPER(SUBSTITUTE(Table2[[#This Row],[unique_id]], "_", " ")))</f>
        <v>Host Jen Temperature</v>
      </c>
      <c r="G334" s="30" t="s">
        <v>1493</v>
      </c>
      <c r="H334" s="30" t="s">
        <v>1245</v>
      </c>
      <c r="I334" s="30" t="s">
        <v>291</v>
      </c>
      <c r="K334" s="30" t="s">
        <v>1487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1488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1489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1494</v>
      </c>
      <c r="BC334" s="30" t="s">
        <v>1238</v>
      </c>
      <c r="BD334" s="30" t="s">
        <v>1237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1225</v>
      </c>
      <c r="D335" s="30" t="s">
        <v>27</v>
      </c>
      <c r="E335" s="30" t="s">
        <v>1487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1493</v>
      </c>
      <c r="H335" s="30" t="s">
        <v>1245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1191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1191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1191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1191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1191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1191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1191</v>
      </c>
      <c r="I342" s="49" t="s">
        <v>291</v>
      </c>
      <c r="O342" s="51"/>
      <c r="T342" s="52"/>
      <c r="V342" s="51" t="s">
        <v>1260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1189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1258</v>
      </c>
      <c r="BC342" s="49" t="s">
        <v>36</v>
      </c>
      <c r="BD342" s="49" t="s">
        <v>37</v>
      </c>
      <c r="BF342" s="49" t="s">
        <v>1066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1393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1191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1394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1191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1395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1191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1396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1191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1191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1191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1191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64" customFormat="1" ht="16" customHeight="1" x14ac:dyDescent="0.2">
      <c r="A351" s="64">
        <v>2571</v>
      </c>
      <c r="B351" s="64" t="s">
        <v>26</v>
      </c>
      <c r="C351" s="64" t="s">
        <v>695</v>
      </c>
      <c r="D351" s="64" t="s">
        <v>134</v>
      </c>
      <c r="E351" s="64" t="s">
        <v>1531</v>
      </c>
      <c r="F351" s="73" t="str">
        <f>IF(ISBLANK(Table2[[#This Row],[unique_id]]), "", PROPER(SUBSTITUTE(Table2[[#This Row],[unique_id]], "_", " ")))</f>
        <v>Rack Printer Plug</v>
      </c>
      <c r="G351" s="64" t="s">
        <v>1546</v>
      </c>
      <c r="H351" s="64" t="s">
        <v>526</v>
      </c>
      <c r="I351" s="64" t="s">
        <v>291</v>
      </c>
      <c r="M351" s="64" t="s">
        <v>257</v>
      </c>
      <c r="O351" s="65" t="s">
        <v>789</v>
      </c>
      <c r="T351" s="66" t="s">
        <v>972</v>
      </c>
      <c r="V351" s="65"/>
      <c r="W351" s="65"/>
      <c r="X351" s="65"/>
      <c r="Y351" s="65"/>
      <c r="Z351" s="65"/>
      <c r="AA351" s="65" t="s">
        <v>1111</v>
      </c>
      <c r="AE351" s="64" t="s">
        <v>1532</v>
      </c>
      <c r="AF351" s="64">
        <v>10</v>
      </c>
      <c r="AG351" s="65" t="s">
        <v>34</v>
      </c>
      <c r="AH351" s="65" t="s">
        <v>898</v>
      </c>
      <c r="AJ351" s="64" t="str">
        <f>_xlfn.CONCAT("homeassistant/", Table2[[#This Row],[entity_namespace]], "/tasmota/",Table2[[#This Row],[unique_id]], "/config")</f>
        <v>homeassistant/switch/tasmota/rack_printer_plug/config</v>
      </c>
      <c r="AK351" s="64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64" t="str">
        <f>_xlfn.CONCAT("tasmota/device/",Table2[[#This Row],[unique_id]], "/cmnd/POWER")</f>
        <v>tasmota/device/rack_printer_plug/cmnd/POWER</v>
      </c>
      <c r="AM351" s="64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64" t="s">
        <v>917</v>
      </c>
      <c r="AO351" s="64" t="s">
        <v>918</v>
      </c>
      <c r="AP351" s="64" t="s">
        <v>907</v>
      </c>
      <c r="AQ351" s="64" t="s">
        <v>908</v>
      </c>
      <c r="AR351" s="64" t="s">
        <v>971</v>
      </c>
      <c r="AS351" s="64">
        <v>1</v>
      </c>
      <c r="AT351" s="34" t="str">
        <f>HYPERLINK(_xlfn.CONCAT("http://", Table2[[#This Row],[connection_ip]], "/?"))</f>
        <v>http://10.0.4.111/?</v>
      </c>
      <c r="AV35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64" t="str">
        <f>IF(ISBLANK(Table2[[#This Row],[device_model]]), "", Table2[[#This Row],[device_suggested_area]])</f>
        <v>Rack</v>
      </c>
      <c r="BB351" s="64" t="s">
        <v>382</v>
      </c>
      <c r="BC351" s="68" t="s">
        <v>768</v>
      </c>
      <c r="BD351" s="64" t="s">
        <v>1112</v>
      </c>
      <c r="BF351" s="64" t="s">
        <v>888</v>
      </c>
      <c r="BG351" s="64" t="s">
        <v>28</v>
      </c>
      <c r="BK351" s="64" t="s">
        <v>1298</v>
      </c>
      <c r="BM351" s="64" t="s">
        <v>1547</v>
      </c>
      <c r="BN35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"10.0.4.111"]]</v>
      </c>
    </row>
    <row r="352" spans="1:66" s="64" customFormat="1" ht="16" customHeight="1" x14ac:dyDescent="0.2">
      <c r="A352" s="64">
        <v>2572</v>
      </c>
      <c r="B352" s="64" t="s">
        <v>26</v>
      </c>
      <c r="C352" s="64" t="s">
        <v>695</v>
      </c>
      <c r="D352" s="64" t="s">
        <v>134</v>
      </c>
      <c r="E352" s="64" t="s">
        <v>1541</v>
      </c>
      <c r="F352" s="73" t="str">
        <f>IF(ISBLANK(Table2[[#This Row],[unique_id]]), "", PROPER(SUBSTITUTE(Table2[[#This Row],[unique_id]], "_", " ")))</f>
        <v>Rack Screen Plug</v>
      </c>
      <c r="G352" s="64" t="s">
        <v>1534</v>
      </c>
      <c r="H352" s="64" t="s">
        <v>526</v>
      </c>
      <c r="I352" s="64" t="s">
        <v>291</v>
      </c>
      <c r="M352" s="64" t="s">
        <v>257</v>
      </c>
      <c r="O352" s="65" t="s">
        <v>789</v>
      </c>
      <c r="T352" s="66" t="s">
        <v>972</v>
      </c>
      <c r="V352" s="65"/>
      <c r="W352" s="65"/>
      <c r="X352" s="65"/>
      <c r="Y352" s="65"/>
      <c r="Z352" s="65"/>
      <c r="AA352" s="65" t="s">
        <v>1111</v>
      </c>
      <c r="AE352" s="64" t="s">
        <v>1535</v>
      </c>
      <c r="AF352" s="64">
        <v>10</v>
      </c>
      <c r="AG352" s="65" t="s">
        <v>34</v>
      </c>
      <c r="AH352" s="65" t="s">
        <v>898</v>
      </c>
      <c r="AJ352" s="64" t="str">
        <f>_xlfn.CONCAT("homeassistant/", Table2[[#This Row],[entity_namespace]], "/tasmota/",Table2[[#This Row],[unique_id]], "/config")</f>
        <v>homeassistant/switch/tasmota/rack_screen_plug/config</v>
      </c>
      <c r="AK352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64" t="str">
        <f>_xlfn.CONCAT("tasmota/device/",Table2[[#This Row],[unique_id]], "/cmnd/POWER")</f>
        <v>tasmota/device/rack_screen_plug/cmnd/POWER</v>
      </c>
      <c r="AM352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64" t="s">
        <v>917</v>
      </c>
      <c r="AO352" s="64" t="s">
        <v>918</v>
      </c>
      <c r="AP352" s="64" t="s">
        <v>907</v>
      </c>
      <c r="AQ352" s="64" t="s">
        <v>908</v>
      </c>
      <c r="AR352" s="64" t="s">
        <v>971</v>
      </c>
      <c r="AS352" s="64">
        <v>1</v>
      </c>
      <c r="AT352" s="34" t="str">
        <f>HYPERLINK(_xlfn.CONCAT("http://", Table2[[#This Row],[connection_ip]], "/?"))</f>
        <v>http://10.0.4.109/?</v>
      </c>
      <c r="AV35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64" t="str">
        <f>IF(ISBLANK(Table2[[#This Row],[device_model]]), "", Table2[[#This Row],[device_suggested_area]])</f>
        <v>Rack</v>
      </c>
      <c r="BB352" s="64" t="s">
        <v>1538</v>
      </c>
      <c r="BC352" s="68" t="s">
        <v>768</v>
      </c>
      <c r="BD352" s="64" t="s">
        <v>1112</v>
      </c>
      <c r="BF352" s="64" t="s">
        <v>888</v>
      </c>
      <c r="BG352" s="64" t="s">
        <v>28</v>
      </c>
      <c r="BK352" s="64" t="s">
        <v>1298</v>
      </c>
      <c r="BL352" s="64" t="s">
        <v>1543</v>
      </c>
      <c r="BM352" s="64" t="s">
        <v>1539</v>
      </c>
      <c r="BN35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s="64" customFormat="1" ht="16" customHeight="1" x14ac:dyDescent="0.2">
      <c r="A353" s="64">
        <v>2573</v>
      </c>
      <c r="B353" s="64" t="s">
        <v>26</v>
      </c>
      <c r="C353" s="64" t="s">
        <v>695</v>
      </c>
      <c r="D353" s="64" t="s">
        <v>134</v>
      </c>
      <c r="E353" s="64" t="s">
        <v>1508</v>
      </c>
      <c r="F353" s="73" t="str">
        <f>IF(ISBLANK(Table2[[#This Row],[unique_id]]), "", PROPER(SUBSTITUTE(Table2[[#This Row],[unique_id]], "_", " ")))</f>
        <v>Rack Backup Plug</v>
      </c>
      <c r="G353" s="64" t="s">
        <v>1533</v>
      </c>
      <c r="H353" s="64" t="s">
        <v>526</v>
      </c>
      <c r="I353" s="64" t="s">
        <v>291</v>
      </c>
      <c r="M353" s="64" t="s">
        <v>257</v>
      </c>
      <c r="O353" s="65" t="s">
        <v>789</v>
      </c>
      <c r="T353" s="66" t="s">
        <v>972</v>
      </c>
      <c r="V353" s="65"/>
      <c r="W353" s="65"/>
      <c r="X353" s="65"/>
      <c r="Y353" s="65"/>
      <c r="Z353" s="65"/>
      <c r="AA353" s="65" t="s">
        <v>1111</v>
      </c>
      <c r="AE353" s="64" t="s">
        <v>1536</v>
      </c>
      <c r="AF353" s="64">
        <v>10</v>
      </c>
      <c r="AG353" s="65" t="s">
        <v>34</v>
      </c>
      <c r="AH353" s="65" t="s">
        <v>898</v>
      </c>
      <c r="AJ353" s="64" t="str">
        <f>_xlfn.CONCAT("homeassistant/", Table2[[#This Row],[entity_namespace]], "/tasmota/",Table2[[#This Row],[unique_id]], "/config")</f>
        <v>homeassistant/switch/tasmota/rack_backup_plug/config</v>
      </c>
      <c r="AK353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64" t="str">
        <f>_xlfn.CONCAT("tasmota/device/",Table2[[#This Row],[unique_id]], "/cmnd/POWER")</f>
        <v>tasmota/device/rack_backup_plug/cmnd/POWER</v>
      </c>
      <c r="AM353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64" t="s">
        <v>917</v>
      </c>
      <c r="AO353" s="64" t="s">
        <v>918</v>
      </c>
      <c r="AP353" s="64" t="s">
        <v>907</v>
      </c>
      <c r="AQ353" s="64" t="s">
        <v>908</v>
      </c>
      <c r="AR353" s="64" t="s">
        <v>971</v>
      </c>
      <c r="AS353" s="64">
        <v>1</v>
      </c>
      <c r="AT353" s="34" t="str">
        <f>HYPERLINK(_xlfn.CONCAT("http://", Table2[[#This Row],[connection_ip]], "/?"))</f>
        <v>http://10.0.4.110/?</v>
      </c>
      <c r="AV35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64" t="str">
        <f>IF(ISBLANK(Table2[[#This Row],[device_model]]), "", Table2[[#This Row],[device_suggested_area]])</f>
        <v>Rack</v>
      </c>
      <c r="BB353" s="64" t="s">
        <v>1537</v>
      </c>
      <c r="BC353" s="68" t="s">
        <v>768</v>
      </c>
      <c r="BD353" s="64" t="s">
        <v>1112</v>
      </c>
      <c r="BF353" s="64" t="s">
        <v>888</v>
      </c>
      <c r="BG353" s="64" t="s">
        <v>28</v>
      </c>
      <c r="BK353" s="64" t="s">
        <v>1298</v>
      </c>
      <c r="BL353" s="64" t="s">
        <v>1542</v>
      </c>
      <c r="BM353" s="64" t="s">
        <v>1540</v>
      </c>
      <c r="BN35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1111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1112</v>
      </c>
      <c r="BF354" s="30" t="s">
        <v>888</v>
      </c>
      <c r="BG354" s="30" t="s">
        <v>28</v>
      </c>
      <c r="BK354" s="30" t="s">
        <v>1298</v>
      </c>
      <c r="BL354" s="30" t="s">
        <v>589</v>
      </c>
      <c r="BM354" s="30" t="s">
        <v>1352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1428</v>
      </c>
      <c r="F355" s="36" t="str">
        <f>IF(ISBLANK(Table2[[#This Row],[unique_id]]), "", PROPER(SUBSTITUTE(Table2[[#This Row],[unique_id]], "_", " ")))</f>
        <v>Template Garden Sewerage Blower Plug Proxy</v>
      </c>
      <c r="G355" s="30" t="s">
        <v>1429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30" t="s">
        <v>526</v>
      </c>
      <c r="S355" s="30" t="str">
        <f>Table2[[#This Row],[friendly_name]]</f>
        <v>Garden Sewerage Blower</v>
      </c>
      <c r="T35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T355" s="40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">
        <v>576</v>
      </c>
      <c r="BB355" s="30" t="s">
        <v>1430</v>
      </c>
      <c r="BC355" s="30" t="s">
        <v>359</v>
      </c>
      <c r="BD355" s="30" t="s">
        <v>233</v>
      </c>
      <c r="BF355" s="30" t="s">
        <v>362</v>
      </c>
      <c r="BG355" s="30" t="s">
        <v>576</v>
      </c>
      <c r="BL355" s="36"/>
      <c r="BM355" s="36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1427</v>
      </c>
      <c r="F356" s="36" t="str">
        <f>IF(ISBLANK(Table2[[#This Row],[unique_id]]), "", PROPER(SUBSTITUTE(Table2[[#This Row],[unique_id]], "_", " ")))</f>
        <v>Garden Sewerage Blower Plug</v>
      </c>
      <c r="G356" s="30" t="s">
        <v>1429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30" t="s">
        <v>526</v>
      </c>
      <c r="S356" s="30" t="str">
        <f>Table2[[#This Row],[friendly_name]]</f>
        <v>Garden Sewerage Blower</v>
      </c>
      <c r="T35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243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">
        <v>576</v>
      </c>
      <c r="BB356" s="30" t="s">
        <v>1430</v>
      </c>
      <c r="BC356" s="30" t="s">
        <v>359</v>
      </c>
      <c r="BD356" s="30" t="s">
        <v>233</v>
      </c>
      <c r="BF356" s="30" t="s">
        <v>362</v>
      </c>
      <c r="BG356" s="30" t="s">
        <v>576</v>
      </c>
      <c r="BJ356" s="30" t="s">
        <v>979</v>
      </c>
      <c r="BK356" s="30" t="s">
        <v>1298</v>
      </c>
      <c r="BL356" s="36" t="s">
        <v>363</v>
      </c>
      <c r="BM356" s="36" t="s">
        <v>1319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57" spans="1:66" ht="16" customHeight="1" x14ac:dyDescent="0.2">
      <c r="A357" s="30">
        <v>2577</v>
      </c>
      <c r="B357" s="30" t="s">
        <v>26</v>
      </c>
      <c r="C357" s="30" t="s">
        <v>809</v>
      </c>
      <c r="D357" s="30" t="s">
        <v>148</v>
      </c>
      <c r="E357" s="37" t="s">
        <v>1073</v>
      </c>
      <c r="F357" s="36" t="str">
        <f>IF(ISBLANK(Table2[[#This Row],[unique_id]]), "", PROPER(SUBSTITUTE(Table2[[#This Row],[unique_id]], "_", " ")))</f>
        <v>Template Lounge Tv Plug Proxy</v>
      </c>
      <c r="G357" s="30" t="s">
        <v>180</v>
      </c>
      <c r="H357" s="30" t="s">
        <v>526</v>
      </c>
      <c r="I357" s="30" t="s">
        <v>291</v>
      </c>
      <c r="O357" s="31" t="s">
        <v>789</v>
      </c>
      <c r="P357" s="30" t="s">
        <v>165</v>
      </c>
      <c r="Q357" s="30" t="s">
        <v>761</v>
      </c>
      <c r="R357" s="41" t="s">
        <v>746</v>
      </c>
      <c r="S357" s="30" t="str">
        <f>Table2[[#This Row],[friendly_name]]</f>
        <v>Lounge TV</v>
      </c>
      <c r="T357" s="37" t="s">
        <v>1070</v>
      </c>
      <c r="U357" s="30"/>
      <c r="V357" s="31"/>
      <c r="W357" s="31"/>
      <c r="X357" s="31"/>
      <c r="Y357" s="31"/>
      <c r="Z357" s="31"/>
      <c r="AA357" s="31"/>
      <c r="AB357" s="30"/>
      <c r="AC357" s="30"/>
      <c r="AG357" s="31"/>
      <c r="AH357" s="31"/>
      <c r="AR357" s="39"/>
      <c r="AT357" s="32"/>
      <c r="AU357" s="30" t="s">
        <v>134</v>
      </c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982</v>
      </c>
      <c r="BC357" s="30" t="s">
        <v>359</v>
      </c>
      <c r="BD357" s="30" t="s">
        <v>233</v>
      </c>
      <c r="BF357" s="30" t="s">
        <v>362</v>
      </c>
      <c r="BG357" s="30" t="s">
        <v>194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ht="16" customHeight="1" x14ac:dyDescent="0.2">
      <c r="A358" s="30">
        <v>2578</v>
      </c>
      <c r="B358" s="30" t="s">
        <v>26</v>
      </c>
      <c r="C358" s="30" t="s">
        <v>233</v>
      </c>
      <c r="D358" s="30" t="s">
        <v>134</v>
      </c>
      <c r="E358" s="30" t="s">
        <v>1072</v>
      </c>
      <c r="F358" s="36" t="str">
        <f>IF(ISBLANK(Table2[[#This Row],[unique_id]]), "", PROPER(SUBSTITUTE(Table2[[#This Row],[unique_id]], "_", " ")))</f>
        <v>Lounge Tv Plug</v>
      </c>
      <c r="G358" s="30" t="s">
        <v>180</v>
      </c>
      <c r="H358" s="30" t="s">
        <v>526</v>
      </c>
      <c r="I358" s="30" t="s">
        <v>291</v>
      </c>
      <c r="M358" s="30" t="s">
        <v>257</v>
      </c>
      <c r="O358" s="31" t="s">
        <v>789</v>
      </c>
      <c r="P358" s="30" t="s">
        <v>165</v>
      </c>
      <c r="Q358" s="30" t="s">
        <v>761</v>
      </c>
      <c r="R358" s="41" t="s">
        <v>746</v>
      </c>
      <c r="S358" s="30" t="str">
        <f>Table2[[#This Row],[friendly_name]]</f>
        <v>Lounge TV</v>
      </c>
      <c r="T358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8" s="30"/>
      <c r="V358" s="31"/>
      <c r="W358" s="31"/>
      <c r="X358" s="31"/>
      <c r="Y358" s="31"/>
      <c r="Z358" s="31"/>
      <c r="AA358" s="31"/>
      <c r="AB358" s="30"/>
      <c r="AC358" s="30"/>
      <c r="AE358" s="30" t="s">
        <v>250</v>
      </c>
      <c r="AG358" s="31"/>
      <c r="AH358" s="31"/>
      <c r="AT358" s="40"/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982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J358" s="30" t="s">
        <v>979</v>
      </c>
      <c r="BK358" s="30" t="s">
        <v>1298</v>
      </c>
      <c r="BL358" s="30" t="s">
        <v>349</v>
      </c>
      <c r="BM358" s="30" t="s">
        <v>1332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1437</v>
      </c>
      <c r="F359" s="57" t="str">
        <f>IF(ISBLANK(Table2[[#This Row],[unique_id]]), "", PROPER(SUBSTITUTE(Table2[[#This Row],[unique_id]], "_", " ")))</f>
        <v>Broken Template Lounge Sub Plug Proxy</v>
      </c>
      <c r="G359" s="55" t="s">
        <v>793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61" t="s">
        <v>746</v>
      </c>
      <c r="S359" s="55" t="str">
        <f>Table2[[#This Row],[friendly_name]]</f>
        <v>Lounge Sub</v>
      </c>
      <c r="T359" s="56" t="s">
        <v>1070</v>
      </c>
      <c r="V359" s="58"/>
      <c r="W359" s="58"/>
      <c r="X359" s="58"/>
      <c r="Y359" s="58"/>
      <c r="Z359" s="58"/>
      <c r="AA359" s="58"/>
      <c r="AG359" s="58"/>
      <c r="AH359" s="58"/>
      <c r="AR359" s="60"/>
      <c r="AT359" s="62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Lounge</v>
      </c>
      <c r="BB359" s="55" t="s">
        <v>1023</v>
      </c>
      <c r="BC359" s="60" t="s">
        <v>360</v>
      </c>
      <c r="BD359" s="55" t="s">
        <v>233</v>
      </c>
      <c r="BF359" s="55" t="s">
        <v>361</v>
      </c>
      <c r="BG359" s="55" t="s">
        <v>194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1438</v>
      </c>
      <c r="F360" s="57" t="str">
        <f>IF(ISBLANK(Table2[[#This Row],[unique_id]]), "", PROPER(SUBSTITUTE(Table2[[#This Row],[unique_id]], "_", " ")))</f>
        <v>Broken Lounge Sub Plug</v>
      </c>
      <c r="G360" s="55" t="s">
        <v>793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61" t="s">
        <v>746</v>
      </c>
      <c r="S360" s="55" t="str">
        <f>Table2[[#This Row],[friendly_name]]</f>
        <v>Lounge Sub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794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1023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J360" s="55" t="s">
        <v>978</v>
      </c>
      <c r="BK360" s="55" t="s">
        <v>1298</v>
      </c>
      <c r="BL360" s="55" t="s">
        <v>340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1439</v>
      </c>
      <c r="F361" s="57" t="str">
        <f>IF(ISBLANK(Table2[[#This Row],[unique_id]]), "", PROPER(SUBSTITUTE(Table2[[#This Row],[unique_id]], "_", " ")))</f>
        <v>Broken Template Study Outlet Plug Proxy</v>
      </c>
      <c r="G361" s="55" t="s">
        <v>226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Study Outlet</v>
      </c>
      <c r="T361" s="56" t="s">
        <v>1069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Study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356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1440</v>
      </c>
      <c r="F362" s="57" t="str">
        <f>IF(ISBLANK(Table2[[#This Row],[unique_id]]), "", PROPER(SUBSTITUTE(Table2[[#This Row],[unique_id]], "_", " ")))</f>
        <v>Broken Study Outlet Plug</v>
      </c>
      <c r="G362" s="55" t="s">
        <v>226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Study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J362" s="55" t="s">
        <v>978</v>
      </c>
      <c r="BK362" s="55" t="s">
        <v>1298</v>
      </c>
      <c r="BL362" s="55" t="s">
        <v>351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1441</v>
      </c>
      <c r="F363" s="57" t="str">
        <f>IF(ISBLANK(Table2[[#This Row],[unique_id]]), "", PROPER(SUBSTITUTE(Table2[[#This Row],[unique_id]], "_", " ")))</f>
        <v>Broken Template Office Outlet Plug Proxy</v>
      </c>
      <c r="G363" s="55" t="s">
        <v>225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761</v>
      </c>
      <c r="R363" s="55" t="s">
        <v>526</v>
      </c>
      <c r="S363" s="55" t="str">
        <f>Table2[[#This Row],[friendly_name]]</f>
        <v>Office Outlet</v>
      </c>
      <c r="T363" s="56" t="s">
        <v>1069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Office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212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1442</v>
      </c>
      <c r="F364" s="57" t="str">
        <f>IF(ISBLANK(Table2[[#This Row],[unique_id]]), "", PROPER(SUBSTITUTE(Table2[[#This Row],[unique_id]], "_", " ")))</f>
        <v>Broken Office Outlet Plug</v>
      </c>
      <c r="G364" s="55" t="s">
        <v>225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761</v>
      </c>
      <c r="R364" s="55" t="s">
        <v>526</v>
      </c>
      <c r="S364" s="55" t="str">
        <f>Table2[[#This Row],[friendly_name]]</f>
        <v>Office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J364" s="55" t="s">
        <v>979</v>
      </c>
      <c r="BK364" s="55" t="s">
        <v>1298</v>
      </c>
      <c r="BL364" s="55" t="s">
        <v>352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5" spans="1:66" s="55" customFormat="1" ht="16" customHeight="1" x14ac:dyDescent="0.2">
      <c r="A365" s="55">
        <v>2585</v>
      </c>
      <c r="B365" s="55" t="s">
        <v>579</v>
      </c>
      <c r="C365" s="55" t="s">
        <v>809</v>
      </c>
      <c r="D365" s="55" t="s">
        <v>148</v>
      </c>
      <c r="E365" s="56" t="s">
        <v>1443</v>
      </c>
      <c r="F365" s="57" t="str">
        <f>IF(ISBLANK(Table2[[#This Row],[unique_id]]), "", PROPER(SUBSTITUTE(Table2[[#This Row],[unique_id]], "_", " ")))</f>
        <v>Broken Template Kitchen Dish Washer Plug Proxy</v>
      </c>
      <c r="G365" s="55" t="s">
        <v>228</v>
      </c>
      <c r="H365" s="55" t="s">
        <v>526</v>
      </c>
      <c r="I365" s="55" t="s">
        <v>291</v>
      </c>
      <c r="O365" s="58" t="s">
        <v>789</v>
      </c>
      <c r="P365" s="55" t="s">
        <v>165</v>
      </c>
      <c r="Q365" s="55" t="s">
        <v>762</v>
      </c>
      <c r="R365" s="55" t="s">
        <v>772</v>
      </c>
      <c r="S365" s="55" t="str">
        <f>Table2[[#This Row],[friendly_name]]</f>
        <v>Dish Washer</v>
      </c>
      <c r="T365" s="56" t="s">
        <v>1069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Kitchen</v>
      </c>
      <c r="BB365" s="55" t="s">
        <v>228</v>
      </c>
      <c r="BC365" s="60" t="s">
        <v>360</v>
      </c>
      <c r="BD365" s="55" t="s">
        <v>233</v>
      </c>
      <c r="BF365" s="55" t="s">
        <v>361</v>
      </c>
      <c r="BG365" s="55" t="s">
        <v>206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55">
        <v>2586</v>
      </c>
      <c r="B366" s="55" t="s">
        <v>579</v>
      </c>
      <c r="C366" s="55" t="s">
        <v>233</v>
      </c>
      <c r="D366" s="55" t="s">
        <v>134</v>
      </c>
      <c r="E366" s="55" t="s">
        <v>1444</v>
      </c>
      <c r="F366" s="57" t="str">
        <f>IF(ISBLANK(Table2[[#This Row],[unique_id]]), "", PROPER(SUBSTITUTE(Table2[[#This Row],[unique_id]], "_", " ")))</f>
        <v>Broken Kitchen Dish Washer Plug</v>
      </c>
      <c r="G366" s="55" t="s">
        <v>228</v>
      </c>
      <c r="H366" s="55" t="s">
        <v>526</v>
      </c>
      <c r="I366" s="55" t="s">
        <v>291</v>
      </c>
      <c r="M366" s="55" t="s">
        <v>257</v>
      </c>
      <c r="O366" s="58" t="s">
        <v>789</v>
      </c>
      <c r="P366" s="55" t="s">
        <v>165</v>
      </c>
      <c r="Q366" s="55" t="s">
        <v>762</v>
      </c>
      <c r="R366" s="55" t="s">
        <v>772</v>
      </c>
      <c r="S366" s="55" t="str">
        <f>Table2[[#This Row],[friendly_name]]</f>
        <v>Dish Washer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244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J366" s="55" t="s">
        <v>979</v>
      </c>
      <c r="BK366" s="55" t="s">
        <v>1298</v>
      </c>
      <c r="BL366" s="55" t="s">
        <v>343</v>
      </c>
      <c r="BM366" s="55" t="s">
        <v>1336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7" spans="1:66" ht="16" customHeight="1" x14ac:dyDescent="0.2">
      <c r="A367" s="30">
        <v>2587</v>
      </c>
      <c r="B367" s="30" t="s">
        <v>26</v>
      </c>
      <c r="C367" s="30" t="s">
        <v>809</v>
      </c>
      <c r="D367" s="30" t="s">
        <v>148</v>
      </c>
      <c r="E367" s="37" t="s">
        <v>965</v>
      </c>
      <c r="F367" s="36" t="str">
        <f>IF(ISBLANK(Table2[[#This Row],[unique_id]]), "", PROPER(SUBSTITUTE(Table2[[#This Row],[unique_id]], "_", " ")))</f>
        <v>Template Kitchen Dish Washer Plug Proxy</v>
      </c>
      <c r="G367" s="30" t="s">
        <v>228</v>
      </c>
      <c r="H367" s="30" t="s">
        <v>526</v>
      </c>
      <c r="I367" s="30" t="s">
        <v>291</v>
      </c>
      <c r="O367" s="31" t="s">
        <v>789</v>
      </c>
      <c r="P367" s="30" t="s">
        <v>165</v>
      </c>
      <c r="Q367" s="30" t="s">
        <v>762</v>
      </c>
      <c r="R367" s="30" t="s">
        <v>772</v>
      </c>
      <c r="S367" s="30" t="str">
        <f>Table2[[#This Row],[friendly_name]]</f>
        <v>Dish Washer</v>
      </c>
      <c r="T36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134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228</v>
      </c>
      <c r="BC367" s="30" t="s">
        <v>359</v>
      </c>
      <c r="BD367" s="30" t="s">
        <v>233</v>
      </c>
      <c r="BF367" s="30" t="s">
        <v>362</v>
      </c>
      <c r="BG367" s="30" t="s">
        <v>206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2588</v>
      </c>
      <c r="B368" s="30" t="s">
        <v>26</v>
      </c>
      <c r="C368" s="30" t="s">
        <v>233</v>
      </c>
      <c r="D368" s="30" t="s">
        <v>134</v>
      </c>
      <c r="E368" s="30" t="s">
        <v>836</v>
      </c>
      <c r="F368" s="36" t="str">
        <f>IF(ISBLANK(Table2[[#This Row],[unique_id]]), "", PROPER(SUBSTITUTE(Table2[[#This Row],[unique_id]], "_", " ")))</f>
        <v>Kitchen Dish Washer Plug</v>
      </c>
      <c r="G368" s="30" t="s">
        <v>228</v>
      </c>
      <c r="H368" s="30" t="s">
        <v>526</v>
      </c>
      <c r="I368" s="30" t="s">
        <v>291</v>
      </c>
      <c r="M368" s="30" t="s">
        <v>257</v>
      </c>
      <c r="O368" s="31" t="s">
        <v>789</v>
      </c>
      <c r="P368" s="30" t="s">
        <v>165</v>
      </c>
      <c r="Q368" s="30" t="s">
        <v>762</v>
      </c>
      <c r="R368" s="30" t="s">
        <v>772</v>
      </c>
      <c r="S368" s="30" t="str">
        <f>Table2[[#This Row],[friendly_name]]</f>
        <v>Dish Washer</v>
      </c>
      <c r="T368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244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J368" s="30" t="s">
        <v>979</v>
      </c>
      <c r="BK368" s="30" t="s">
        <v>1298</v>
      </c>
      <c r="BL368" s="30" t="s">
        <v>355</v>
      </c>
      <c r="BM368" s="30" t="s">
        <v>1347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1445</v>
      </c>
      <c r="F369" s="57" t="str">
        <f>IF(ISBLANK(Table2[[#This Row],[unique_id]]), "", PROPER(SUBSTITUTE(Table2[[#This Row],[unique_id]], "_", " ")))</f>
        <v>Broken Template Laundry Clothes Dryer Plug Proxy</v>
      </c>
      <c r="G369" s="55" t="s">
        <v>229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Clothes Dryer</v>
      </c>
      <c r="T369" s="56" t="s">
        <v>1069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229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1446</v>
      </c>
      <c r="F370" s="57" t="str">
        <f>IF(ISBLANK(Table2[[#This Row],[unique_id]]), "", PROPER(SUBSTITUTE(Table2[[#This Row],[unique_id]], "_", " ")))</f>
        <v>Broken Laundry Clothes Dryer Plug</v>
      </c>
      <c r="G370" s="55" t="s">
        <v>229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Clothes Dryer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245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1298</v>
      </c>
      <c r="BL370" s="55" t="s">
        <v>344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1" spans="1:66" s="55" customFormat="1" ht="16" customHeight="1" x14ac:dyDescent="0.2">
      <c r="A371" s="55">
        <v>2591</v>
      </c>
      <c r="B371" s="55" t="s">
        <v>579</v>
      </c>
      <c r="C371" s="55" t="s">
        <v>809</v>
      </c>
      <c r="D371" s="55" t="s">
        <v>148</v>
      </c>
      <c r="E371" s="56" t="s">
        <v>1447</v>
      </c>
      <c r="F371" s="57" t="str">
        <f>IF(ISBLANK(Table2[[#This Row],[unique_id]]), "", PROPER(SUBSTITUTE(Table2[[#This Row],[unique_id]], "_", " ")))</f>
        <v>Broken Template Laundry Washing Machine Plug Proxy</v>
      </c>
      <c r="G371" s="55" t="s">
        <v>227</v>
      </c>
      <c r="H371" s="55" t="s">
        <v>526</v>
      </c>
      <c r="I371" s="55" t="s">
        <v>291</v>
      </c>
      <c r="O371" s="58" t="s">
        <v>789</v>
      </c>
      <c r="P371" s="55" t="s">
        <v>165</v>
      </c>
      <c r="Q371" s="55" t="s">
        <v>762</v>
      </c>
      <c r="R371" s="55" t="s">
        <v>772</v>
      </c>
      <c r="S371" s="55" t="str">
        <f>Table2[[#This Row],[friendly_name]]</f>
        <v>Washing Machine</v>
      </c>
      <c r="T371" s="56" t="s">
        <v>1069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227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55">
        <v>2592</v>
      </c>
      <c r="B372" s="55" t="s">
        <v>579</v>
      </c>
      <c r="C372" s="55" t="s">
        <v>233</v>
      </c>
      <c r="D372" s="55" t="s">
        <v>134</v>
      </c>
      <c r="E372" s="55" t="s">
        <v>1448</v>
      </c>
      <c r="F372" s="57" t="str">
        <f>IF(ISBLANK(Table2[[#This Row],[unique_id]]), "", PROPER(SUBSTITUTE(Table2[[#This Row],[unique_id]], "_", " ")))</f>
        <v>Broken Laundry Washing Machine Plug</v>
      </c>
      <c r="G372" s="55" t="s">
        <v>227</v>
      </c>
      <c r="H372" s="55" t="s">
        <v>526</v>
      </c>
      <c r="I372" s="55" t="s">
        <v>291</v>
      </c>
      <c r="M372" s="55" t="s">
        <v>257</v>
      </c>
      <c r="O372" s="58" t="s">
        <v>789</v>
      </c>
      <c r="P372" s="55" t="s">
        <v>165</v>
      </c>
      <c r="Q372" s="55" t="s">
        <v>762</v>
      </c>
      <c r="R372" s="55" t="s">
        <v>772</v>
      </c>
      <c r="S372" s="55" t="str">
        <f>Table2[[#This Row],[friendly_name]]</f>
        <v>Washing Machine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246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978</v>
      </c>
      <c r="BK372" s="55" t="s">
        <v>1298</v>
      </c>
      <c r="BL372" s="55" t="s">
        <v>345</v>
      </c>
      <c r="BM372" s="55" t="s">
        <v>1338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3" spans="1:66" s="64" customFormat="1" ht="16" customHeight="1" x14ac:dyDescent="0.2">
      <c r="A373" s="64">
        <v>2593</v>
      </c>
      <c r="B373" s="64" t="s">
        <v>26</v>
      </c>
      <c r="C373" s="64" t="s">
        <v>809</v>
      </c>
      <c r="D373" s="64" t="s">
        <v>148</v>
      </c>
      <c r="E373" s="66" t="s">
        <v>1545</v>
      </c>
      <c r="F373" s="73" t="str">
        <f>IF(ISBLANK(Table2[[#This Row],[unique_id]]), "", PROPER(SUBSTITUTE(Table2[[#This Row],[unique_id]], "_", " ")))</f>
        <v>Template Kitchen Fridge Plug Proxy</v>
      </c>
      <c r="G373" s="64" t="s">
        <v>223</v>
      </c>
      <c r="H373" s="64" t="s">
        <v>526</v>
      </c>
      <c r="I373" s="64" t="s">
        <v>291</v>
      </c>
      <c r="O373" s="65" t="s">
        <v>789</v>
      </c>
      <c r="P373" s="64" t="s">
        <v>165</v>
      </c>
      <c r="Q373" s="64" t="s">
        <v>761</v>
      </c>
      <c r="R373" s="64" t="s">
        <v>773</v>
      </c>
      <c r="S373" s="64" t="str">
        <f>Table2[[#This Row],[friendly_name]]</f>
        <v>Kitchen Fridge</v>
      </c>
      <c r="T373" s="66" t="s">
        <v>1070</v>
      </c>
      <c r="V373" s="65"/>
      <c r="W373" s="65"/>
      <c r="X373" s="65"/>
      <c r="Y373" s="65"/>
      <c r="Z373" s="65"/>
      <c r="AA373" s="65"/>
      <c r="AG373" s="65"/>
      <c r="AH373" s="65"/>
      <c r="AT373" s="67"/>
      <c r="AU373" s="64" t="s">
        <v>134</v>
      </c>
      <c r="AV37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64" t="str">
        <f>IF(ISBLANK(Table2[[#This Row],[device_model]]), "", Table2[[#This Row],[device_suggested_area]])</f>
        <v>Kitchen</v>
      </c>
      <c r="BB373" s="64" t="s">
        <v>1024</v>
      </c>
      <c r="BC373" s="64" t="s">
        <v>359</v>
      </c>
      <c r="BD373" s="64" t="s">
        <v>233</v>
      </c>
      <c r="BF373" s="64" t="s">
        <v>362</v>
      </c>
      <c r="BG373" s="64" t="s">
        <v>206</v>
      </c>
      <c r="BN37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64" customFormat="1" ht="16" customHeight="1" x14ac:dyDescent="0.2">
      <c r="A374" s="64">
        <v>2594</v>
      </c>
      <c r="B374" s="64" t="s">
        <v>26</v>
      </c>
      <c r="C374" s="64" t="s">
        <v>233</v>
      </c>
      <c r="D374" s="64" t="s">
        <v>134</v>
      </c>
      <c r="E374" s="64" t="s">
        <v>1544</v>
      </c>
      <c r="F374" s="73" t="str">
        <f>IF(ISBLANK(Table2[[#This Row],[unique_id]]), "", PROPER(SUBSTITUTE(Table2[[#This Row],[unique_id]], "_", " ")))</f>
        <v>Kitchen Fridge Plug</v>
      </c>
      <c r="G374" s="64" t="s">
        <v>223</v>
      </c>
      <c r="H374" s="64" t="s">
        <v>526</v>
      </c>
      <c r="I374" s="64" t="s">
        <v>291</v>
      </c>
      <c r="M374" s="64" t="s">
        <v>257</v>
      </c>
      <c r="O374" s="65" t="s">
        <v>789</v>
      </c>
      <c r="P374" s="64" t="s">
        <v>165</v>
      </c>
      <c r="Q374" s="64" t="s">
        <v>761</v>
      </c>
      <c r="R374" s="64" t="s">
        <v>773</v>
      </c>
      <c r="S374" s="64" t="str">
        <f>Table2[[#This Row],[friendly_name]]</f>
        <v>Kitchen Fridge</v>
      </c>
      <c r="T374" s="66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V374" s="65"/>
      <c r="W374" s="65"/>
      <c r="X374" s="65"/>
      <c r="Y374" s="65"/>
      <c r="Z374" s="65"/>
      <c r="AA374" s="65"/>
      <c r="AE374" s="64" t="s">
        <v>248</v>
      </c>
      <c r="AG374" s="65"/>
      <c r="AH374" s="65"/>
      <c r="AT374" s="67"/>
      <c r="AV37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64" t="str">
        <f>IF(ISBLANK(Table2[[#This Row],[device_model]]), "", Table2[[#This Row],[device_suggested_area]])</f>
        <v>Kitchen</v>
      </c>
      <c r="BB374" s="64" t="s">
        <v>1024</v>
      </c>
      <c r="BC374" s="64" t="s">
        <v>359</v>
      </c>
      <c r="BD374" s="64" t="s">
        <v>233</v>
      </c>
      <c r="BF374" s="64" t="s">
        <v>362</v>
      </c>
      <c r="BG374" s="64" t="s">
        <v>206</v>
      </c>
      <c r="BJ374" s="64" t="s">
        <v>979</v>
      </c>
      <c r="BK374" s="74" t="s">
        <v>1298</v>
      </c>
      <c r="BL374" s="74" t="s">
        <v>1509</v>
      </c>
      <c r="BM374" s="74" t="s">
        <v>1510</v>
      </c>
      <c r="BN37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967</v>
      </c>
      <c r="F375" s="36" t="str">
        <f>IF(ISBLANK(Table2[[#This Row],[unique_id]]), "", PROPER(SUBSTITUTE(Table2[[#This Row],[unique_id]], "_", " ")))</f>
        <v>Template Deck Freezer Plug Proxy</v>
      </c>
      <c r="G375" s="30" t="s">
        <v>224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773</v>
      </c>
      <c r="S375" s="30" t="str">
        <f>Table2[[#This Row],[friendly_name]]</f>
        <v>Deck Freezer</v>
      </c>
      <c r="T375" s="37" t="s">
        <v>1070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1025</v>
      </c>
      <c r="BC375" s="30" t="s">
        <v>359</v>
      </c>
      <c r="BD375" s="30" t="s">
        <v>233</v>
      </c>
      <c r="BF375" s="30" t="s">
        <v>362</v>
      </c>
      <c r="BG375" s="30" t="s">
        <v>357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838</v>
      </c>
      <c r="F376" s="36" t="str">
        <f>IF(ISBLANK(Table2[[#This Row],[unique_id]]), "", PROPER(SUBSTITUTE(Table2[[#This Row],[unique_id]], "_", " ")))</f>
        <v>Deck Freezer Plug</v>
      </c>
      <c r="G376" s="30" t="s">
        <v>224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773</v>
      </c>
      <c r="S376" s="30" t="str">
        <f>Table2[[#This Row],[friendly_name]]</f>
        <v>Deck Freezer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249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1025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J376" s="30" t="s">
        <v>979</v>
      </c>
      <c r="BK376" s="30" t="s">
        <v>1298</v>
      </c>
      <c r="BL376" s="30" t="s">
        <v>347</v>
      </c>
      <c r="BM376" s="30" t="s">
        <v>1340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1449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1069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1450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1298</v>
      </c>
      <c r="BL378" s="55" t="s">
        <v>341</v>
      </c>
      <c r="BM378" s="55" t="s">
        <v>1341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1451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1069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1452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1298</v>
      </c>
      <c r="BL380" s="55" t="s">
        <v>342</v>
      </c>
      <c r="BM380" s="55" t="s">
        <v>1342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1453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1069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1454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1298</v>
      </c>
      <c r="BL382" s="55" t="s">
        <v>801</v>
      </c>
      <c r="BM382" s="55" t="s">
        <v>1343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1549</v>
      </c>
      <c r="F385" s="36" t="str">
        <f>IF(ISBLANK(Table2[[#This Row],[unique_id]]), "", PROPER(SUBSTITUTE(Table2[[#This Row],[unique_id]], "_", " ")))</f>
        <v>Edwin Desk Outlet</v>
      </c>
      <c r="G385" s="30" t="s">
        <v>1548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edwin-wardrobe-outlet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Wardrobe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1018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1479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1480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1069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1485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1481</v>
      </c>
      <c r="F387" s="57" t="str">
        <f>IF(ISBLANK(Table2[[#This Row],[unique_id]]), "", PROPER(SUBSTITUTE(Table2[[#This Row],[unique_id]], "_", " ")))</f>
        <v>Broken Server May Plug</v>
      </c>
      <c r="G387" s="55" t="s">
        <v>1480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1485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1298</v>
      </c>
      <c r="BL387" s="55" t="s">
        <v>805</v>
      </c>
      <c r="BM387" s="55" t="s">
        <v>1344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1455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1069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1062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1456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1062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1298</v>
      </c>
      <c r="BL389" s="55" t="s">
        <v>804</v>
      </c>
      <c r="BM389" s="55" t="s">
        <v>1345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1490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1495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1496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1491</v>
      </c>
      <c r="F391" s="36" t="str">
        <f>IF(ISBLANK(Table2[[#This Row],[unique_id]]), "", PROPER(SUBSTITUTE(Table2[[#This Row],[unique_id]], "_", " ")))</f>
        <v>Server Jen Plug</v>
      </c>
      <c r="G391" s="30" t="s">
        <v>1495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1496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1298</v>
      </c>
      <c r="BL391" s="30" t="s">
        <v>348</v>
      </c>
      <c r="BM391" s="30" t="s">
        <v>1346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1071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1021</v>
      </c>
      <c r="BC392" s="30" t="s">
        <v>916</v>
      </c>
      <c r="BD392" s="30" t="s">
        <v>1112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1110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1021</v>
      </c>
      <c r="BC393" s="30" t="s">
        <v>916</v>
      </c>
      <c r="BD393" s="30" t="s">
        <v>1112</v>
      </c>
      <c r="BF393" s="30" t="s">
        <v>888</v>
      </c>
      <c r="BG393" s="30" t="s">
        <v>28</v>
      </c>
      <c r="BK393" s="30" t="s">
        <v>1298</v>
      </c>
      <c r="BL393" s="30" t="s">
        <v>915</v>
      </c>
      <c r="BM393" s="30" t="s">
        <v>1348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1106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1021</v>
      </c>
      <c r="BC394" s="30" t="s">
        <v>916</v>
      </c>
      <c r="BD394" s="30" t="s">
        <v>1112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64" customFormat="1" ht="16" customHeight="1" x14ac:dyDescent="0.2">
      <c r="A395" s="64">
        <v>2615</v>
      </c>
      <c r="B395" s="64" t="s">
        <v>26</v>
      </c>
      <c r="C395" s="64" t="s">
        <v>695</v>
      </c>
      <c r="D395" s="64" t="s">
        <v>27</v>
      </c>
      <c r="E395" s="64" t="s">
        <v>970</v>
      </c>
      <c r="F395" s="73" t="str">
        <f>IF(ISBLANK(Table2[[#This Row],[unique_id]]), "", PROPER(SUBSTITUTE(Table2[[#This Row],[unique_id]], "_", " ")))</f>
        <v>Rack Outlet Plug Energy Total</v>
      </c>
      <c r="G395" s="64" t="s">
        <v>222</v>
      </c>
      <c r="H395" s="64" t="s">
        <v>526</v>
      </c>
      <c r="I395" s="64" t="s">
        <v>291</v>
      </c>
      <c r="O395" s="65"/>
      <c r="T395" s="66"/>
      <c r="V395" s="65"/>
      <c r="W395" s="65"/>
      <c r="X395" s="65"/>
      <c r="Y395" s="65"/>
      <c r="Z395" s="65"/>
      <c r="AA395" s="65"/>
      <c r="AB395" s="64" t="s">
        <v>76</v>
      </c>
      <c r="AC395" s="64" t="s">
        <v>328</v>
      </c>
      <c r="AD395" s="64" t="s">
        <v>900</v>
      </c>
      <c r="AF395" s="64">
        <v>10</v>
      </c>
      <c r="AG395" s="65" t="s">
        <v>34</v>
      </c>
      <c r="AH395" s="65" t="s">
        <v>898</v>
      </c>
      <c r="AJ395" s="64" t="str">
        <f>_xlfn.CONCAT("homeassistant/", Table2[[#This Row],[entity_namespace]], "/tasmota/",Table2[[#This Row],[unique_id]], "/config")</f>
        <v>homeassistant/sensor/tasmota/rack_outlet_plug_energy_total/config</v>
      </c>
      <c r="AK395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64" t="s">
        <v>917</v>
      </c>
      <c r="AO395" s="64" t="s">
        <v>918</v>
      </c>
      <c r="AP395" s="64" t="s">
        <v>907</v>
      </c>
      <c r="AQ395" s="64" t="s">
        <v>908</v>
      </c>
      <c r="AR395" s="64" t="s">
        <v>1107</v>
      </c>
      <c r="AS395" s="64">
        <v>1</v>
      </c>
      <c r="AT395" s="34"/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1021</v>
      </c>
      <c r="BC395" s="64" t="s">
        <v>916</v>
      </c>
      <c r="BD395" s="64" t="s">
        <v>1112</v>
      </c>
      <c r="BF395" s="64" t="s">
        <v>888</v>
      </c>
      <c r="BG395" s="64" t="s">
        <v>28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64" customFormat="1" ht="16" customHeight="1" x14ac:dyDescent="0.2">
      <c r="A396" s="64">
        <v>2616</v>
      </c>
      <c r="B396" s="64" t="s">
        <v>26</v>
      </c>
      <c r="C396" s="64" t="s">
        <v>809</v>
      </c>
      <c r="D396" s="64" t="s">
        <v>148</v>
      </c>
      <c r="E396" s="66" t="s">
        <v>1096</v>
      </c>
      <c r="F396" s="73" t="str">
        <f>IF(ISBLANK(Table2[[#This Row],[unique_id]]), "", PROPER(SUBSTITUTE(Table2[[#This Row],[unique_id]], "_", " ")))</f>
        <v>Template Ceiling Network Switch Plug Proxy</v>
      </c>
      <c r="G396" s="64" t="s">
        <v>1470</v>
      </c>
      <c r="H396" s="64" t="s">
        <v>526</v>
      </c>
      <c r="I396" s="64" t="s">
        <v>291</v>
      </c>
      <c r="O396" s="65" t="s">
        <v>789</v>
      </c>
      <c r="P396" s="64" t="s">
        <v>165</v>
      </c>
      <c r="Q396" s="64" t="s">
        <v>761</v>
      </c>
      <c r="R396" s="64" t="s">
        <v>763</v>
      </c>
      <c r="S396" s="64" t="str">
        <f>Table2[[#This Row],[friendly_name]]</f>
        <v>Ceiling Network Devices</v>
      </c>
      <c r="T396" s="66" t="s">
        <v>1071</v>
      </c>
      <c r="V396" s="65"/>
      <c r="W396" s="65"/>
      <c r="X396" s="65"/>
      <c r="Y396" s="65"/>
      <c r="Z396" s="65"/>
      <c r="AA396" s="65"/>
      <c r="AG396" s="65"/>
      <c r="AH396" s="65"/>
      <c r="AT396" s="67"/>
      <c r="AU396" s="64" t="s">
        <v>134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Ceiling</v>
      </c>
      <c r="BB396" s="64" t="s">
        <v>220</v>
      </c>
      <c r="BC396" s="64" t="s">
        <v>916</v>
      </c>
      <c r="BD396" s="64" t="s">
        <v>1112</v>
      </c>
      <c r="BF396" s="64" t="s">
        <v>888</v>
      </c>
      <c r="BG396" s="64" t="s">
        <v>403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1097</v>
      </c>
      <c r="F397" s="36" t="str">
        <f>IF(ISBLANK(Table2[[#This Row],[unique_id]]), "", PROPER(SUBSTITUTE(Table2[[#This Row],[unique_id]], "_", " ")))</f>
        <v>Ceiling Network Switch Plug</v>
      </c>
      <c r="G397" s="30" t="s">
        <v>1470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1110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1112</v>
      </c>
      <c r="BF397" s="30" t="s">
        <v>888</v>
      </c>
      <c r="BG397" s="30" t="s">
        <v>403</v>
      </c>
      <c r="BK397" s="30" t="s">
        <v>1298</v>
      </c>
      <c r="BL397" s="41" t="s">
        <v>981</v>
      </c>
      <c r="BM397" s="30" t="s">
        <v>1350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1098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1470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1106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1112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1099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1470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1107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1112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1457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1069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1026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1458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1026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1298</v>
      </c>
      <c r="BL401" s="55" t="s">
        <v>354</v>
      </c>
      <c r="BM401" s="55" t="s">
        <v>1351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1045</v>
      </c>
      <c r="BG427" s="30" t="s">
        <v>130</v>
      </c>
      <c r="BK427" s="30" t="s">
        <v>1297</v>
      </c>
      <c r="BL427" s="41" t="s">
        <v>420</v>
      </c>
      <c r="BM427" s="39" t="s">
        <v>1299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1045</v>
      </c>
      <c r="BG428" s="30" t="s">
        <v>127</v>
      </c>
      <c r="BK428" s="30" t="s">
        <v>1297</v>
      </c>
      <c r="BL428" s="41" t="s">
        <v>419</v>
      </c>
      <c r="BM428" s="39" t="s">
        <v>1300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1039</v>
      </c>
      <c r="BD429" s="30" t="s">
        <v>235</v>
      </c>
      <c r="BF429" s="30" t="s">
        <v>1046</v>
      </c>
      <c r="BG429" s="30" t="s">
        <v>192</v>
      </c>
      <c r="BK429" s="30" t="s">
        <v>1297</v>
      </c>
      <c r="BL429" s="41" t="s">
        <v>637</v>
      </c>
      <c r="BM429" s="39" t="s">
        <v>1301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1039</v>
      </c>
      <c r="BD430" s="30" t="s">
        <v>235</v>
      </c>
      <c r="BF430" s="30" t="s">
        <v>1046</v>
      </c>
      <c r="BG430" s="30" t="s">
        <v>206</v>
      </c>
      <c r="BK430" s="30" t="s">
        <v>1297</v>
      </c>
      <c r="BL430" s="41" t="s">
        <v>731</v>
      </c>
      <c r="BM430" s="39" t="s">
        <v>1302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1045</v>
      </c>
      <c r="BG431" s="30" t="s">
        <v>212</v>
      </c>
      <c r="BK431" s="30" t="s">
        <v>1297</v>
      </c>
      <c r="BL431" s="41" t="s">
        <v>417</v>
      </c>
      <c r="BM431" s="39" t="s">
        <v>1303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1045</v>
      </c>
      <c r="BG432" s="30" t="s">
        <v>194</v>
      </c>
      <c r="BK432" s="30" t="s">
        <v>1297</v>
      </c>
      <c r="BL432" s="41" t="s">
        <v>418</v>
      </c>
      <c r="BM432" s="39" t="s">
        <v>1304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1047</v>
      </c>
      <c r="BD433" s="30" t="s">
        <v>235</v>
      </c>
      <c r="BF433" s="30" t="s">
        <v>824</v>
      </c>
      <c r="BG433" s="30" t="s">
        <v>194</v>
      </c>
      <c r="BK433" s="30" t="s">
        <v>1297</v>
      </c>
      <c r="BL433" s="41" t="s">
        <v>1276</v>
      </c>
      <c r="BM433" s="39" t="s">
        <v>1305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1047</v>
      </c>
      <c r="BD434" s="30" t="s">
        <v>235</v>
      </c>
      <c r="BF434" s="30" t="s">
        <v>824</v>
      </c>
      <c r="BG434" s="30" t="s">
        <v>206</v>
      </c>
      <c r="BK434" s="30" t="s">
        <v>1297</v>
      </c>
      <c r="BL434" s="41" t="s">
        <v>1277</v>
      </c>
      <c r="BM434" s="39" t="s">
        <v>1308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1297</v>
      </c>
      <c r="BL435" s="41" t="s">
        <v>581</v>
      </c>
      <c r="BM435" s="39" t="s">
        <v>1306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1040</v>
      </c>
      <c r="BD436" s="30" t="s">
        <v>264</v>
      </c>
      <c r="BF436" s="30" t="s">
        <v>397</v>
      </c>
      <c r="BG436" s="30" t="s">
        <v>192</v>
      </c>
      <c r="BK436" s="30" t="s">
        <v>1297</v>
      </c>
      <c r="BL436" s="41" t="s">
        <v>399</v>
      </c>
      <c r="BM436" s="39" t="s">
        <v>1307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1297</v>
      </c>
      <c r="BL437" s="41" t="s">
        <v>421</v>
      </c>
      <c r="BM437" s="39" t="s">
        <v>1309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1043</v>
      </c>
      <c r="BD439" s="30" t="s">
        <v>182</v>
      </c>
      <c r="BF439" s="30">
        <v>15.4</v>
      </c>
      <c r="BG439" s="30" t="s">
        <v>194</v>
      </c>
      <c r="BK439" s="30" t="s">
        <v>1297</v>
      </c>
      <c r="BL439" s="30" t="s">
        <v>585</v>
      </c>
      <c r="BM439" s="39" t="s">
        <v>1310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1041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1041</v>
      </c>
      <c r="BD441" s="30" t="s">
        <v>182</v>
      </c>
      <c r="BF441" s="30">
        <v>15.4</v>
      </c>
      <c r="BG441" s="30" t="s">
        <v>206</v>
      </c>
      <c r="BK441" s="30" t="s">
        <v>1297</v>
      </c>
      <c r="BL441" s="30" t="s">
        <v>368</v>
      </c>
      <c r="BM441" s="39" t="s">
        <v>1311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1042</v>
      </c>
      <c r="BD442" s="30" t="s">
        <v>182</v>
      </c>
      <c r="BF442" s="30">
        <v>15.4</v>
      </c>
      <c r="BG442" s="30" t="s">
        <v>206</v>
      </c>
      <c r="BK442" s="30" t="s">
        <v>1297</v>
      </c>
      <c r="BL442" s="37" t="s">
        <v>367</v>
      </c>
      <c r="BM442" s="39" t="s">
        <v>1312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1041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1041</v>
      </c>
      <c r="BD444" s="30" t="s">
        <v>182</v>
      </c>
      <c r="BF444" s="30">
        <v>15.4</v>
      </c>
      <c r="BG444" s="30" t="s">
        <v>192</v>
      </c>
      <c r="BK444" s="30" t="s">
        <v>1297</v>
      </c>
      <c r="BL444" s="30" t="s">
        <v>366</v>
      </c>
      <c r="BM444" s="39" t="s">
        <v>1313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1356</v>
      </c>
      <c r="F445" s="36" t="str">
        <f>IF(ISBLANK(Table2[[#This Row],[unique_id]]), "", PROPER(SUBSTITUTE(Table2[[#This Row],[unique_id]], "_", " ")))</f>
        <v>Parents Homepod</v>
      </c>
      <c r="G445" s="30" t="s">
        <v>1357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1358</v>
      </c>
      <c r="BC445" s="30" t="s">
        <v>1044</v>
      </c>
      <c r="BD445" s="30" t="s">
        <v>264</v>
      </c>
      <c r="BF445" s="30" t="s">
        <v>397</v>
      </c>
      <c r="BG445" s="30" t="s">
        <v>192</v>
      </c>
      <c r="BK445" s="30" t="s">
        <v>1297</v>
      </c>
      <c r="BL445" s="41" t="s">
        <v>400</v>
      </c>
      <c r="BM445" s="39" t="s">
        <v>1314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1034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1038</v>
      </c>
      <c r="BC449" s="37" t="s">
        <v>642</v>
      </c>
      <c r="BD449" s="30" t="s">
        <v>1112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1034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1038</v>
      </c>
      <c r="BC454" s="37" t="s">
        <v>642</v>
      </c>
      <c r="BD454" s="30" t="s">
        <v>1112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70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1370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1471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1298</v>
      </c>
      <c r="BL464" s="30" t="s">
        <v>383</v>
      </c>
      <c r="BM464" s="30" t="s">
        <v>1353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70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1471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1298</v>
      </c>
      <c r="BL466" s="30" t="s">
        <v>384</v>
      </c>
      <c r="BM466" s="30" t="s">
        <v>1354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70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1472</v>
      </c>
      <c r="BA468" s="30" t="str">
        <f>IF(ISBLANK(Table2[[#This Row],[device_model]]), "", Table2[[#This Row],[device_suggested_area]])</f>
        <v>Rack</v>
      </c>
      <c r="BC468" s="30" t="s">
        <v>1030</v>
      </c>
      <c r="BD468" s="30" t="s">
        <v>234</v>
      </c>
      <c r="BF468" s="30" t="s">
        <v>402</v>
      </c>
      <c r="BG468" s="30" t="s">
        <v>28</v>
      </c>
      <c r="BK468" s="69" t="s">
        <v>1291</v>
      </c>
      <c r="BL468" s="30" t="s">
        <v>405</v>
      </c>
      <c r="BM468" s="30" t="s">
        <v>1292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1473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1027</v>
      </c>
      <c r="BD469" s="30" t="s">
        <v>234</v>
      </c>
      <c r="BF469" s="30" t="s">
        <v>610</v>
      </c>
      <c r="BG469" s="30" t="s">
        <v>28</v>
      </c>
      <c r="BK469" s="30" t="s">
        <v>1291</v>
      </c>
      <c r="BL469" s="30" t="s">
        <v>611</v>
      </c>
      <c r="BM469" s="30" t="s">
        <v>1293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1473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1028</v>
      </c>
      <c r="BD470" s="30" t="s">
        <v>234</v>
      </c>
      <c r="BF470" s="30" t="s">
        <v>1068</v>
      </c>
      <c r="BG470" s="30" t="s">
        <v>212</v>
      </c>
      <c r="BK470" s="69" t="s">
        <v>1291</v>
      </c>
      <c r="BL470" s="30" t="s">
        <v>406</v>
      </c>
      <c r="BM470" s="30" t="s">
        <v>1514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1473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1513</v>
      </c>
      <c r="BD471" s="30" t="s">
        <v>234</v>
      </c>
      <c r="BF471" s="30" t="s">
        <v>1068</v>
      </c>
      <c r="BG471" s="30" t="s">
        <v>403</v>
      </c>
      <c r="BK471" s="69" t="s">
        <v>1291</v>
      </c>
      <c r="BL471" s="30" t="s">
        <v>1515</v>
      </c>
      <c r="BM471" s="30" t="s">
        <v>1294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1474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1415</v>
      </c>
      <c r="BD472" s="30" t="s">
        <v>234</v>
      </c>
      <c r="BF472" s="30" t="s">
        <v>1067</v>
      </c>
      <c r="BG472" s="30" t="s">
        <v>404</v>
      </c>
      <c r="BK472" s="30" t="s">
        <v>1291</v>
      </c>
      <c r="BL472" s="30" t="s">
        <v>1414</v>
      </c>
      <c r="BM472" s="30" t="s">
        <v>1295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1474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1029</v>
      </c>
      <c r="BD473" s="30" t="s">
        <v>234</v>
      </c>
      <c r="BF473" s="30" t="s">
        <v>1067</v>
      </c>
      <c r="BG473" s="30" t="s">
        <v>1467</v>
      </c>
      <c r="BK473" s="30" t="s">
        <v>1291</v>
      </c>
      <c r="BL473" s="30" t="s">
        <v>1469</v>
      </c>
      <c r="BM473" s="30" t="s">
        <v>1296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1474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1029</v>
      </c>
      <c r="BD474" s="30" t="s">
        <v>234</v>
      </c>
      <c r="BF474" s="30" t="s">
        <v>1067</v>
      </c>
      <c r="BG474" s="30" t="s">
        <v>1466</v>
      </c>
      <c r="BK474" s="30" t="s">
        <v>1291</v>
      </c>
      <c r="BL474" s="30" t="s">
        <v>407</v>
      </c>
      <c r="BM474" s="30" t="s">
        <v>1468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1400</v>
      </c>
      <c r="BA475" s="30" t="str">
        <f>IF(ISBLANK(Table2[[#This Row],[device_model]]), "", Table2[[#This Row],[device_suggested_area]])</f>
        <v>Rack</v>
      </c>
      <c r="BB475" s="30" t="s">
        <v>1411</v>
      </c>
      <c r="BC475" s="30" t="s">
        <v>1402</v>
      </c>
      <c r="BD475" s="30" t="s">
        <v>1400</v>
      </c>
      <c r="BF475" s="30" t="s">
        <v>1408</v>
      </c>
      <c r="BG475" s="30" t="s">
        <v>28</v>
      </c>
      <c r="BL475" s="41"/>
      <c r="BM475" s="30" t="s">
        <v>1410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1400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1400</v>
      </c>
      <c r="BA476" s="30" t="str">
        <f>IF(ISBLANK(Table2[[#This Row],[device_model]]), "", Table2[[#This Row],[device_suggested_area]])</f>
        <v>Rack</v>
      </c>
      <c r="BB476" s="30" t="s">
        <v>1026</v>
      </c>
      <c r="BC476" s="30" t="s">
        <v>1402</v>
      </c>
      <c r="BD476" s="30" t="s">
        <v>1400</v>
      </c>
      <c r="BF476" s="30" t="s">
        <v>1408</v>
      </c>
      <c r="BG476" s="30" t="s">
        <v>28</v>
      </c>
      <c r="BL476" s="41"/>
      <c r="BM476" s="30" t="s">
        <v>1403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1404</v>
      </c>
      <c r="BA477" s="30" t="str">
        <f>IF(ISBLANK(Table2[[#This Row],[device_model]]), "", Table2[[#This Row],[device_suggested_area]])</f>
        <v>Rack</v>
      </c>
      <c r="BB477" s="30" t="s">
        <v>1406</v>
      </c>
      <c r="BC477" s="30" t="s">
        <v>1407</v>
      </c>
      <c r="BD477" s="30" t="s">
        <v>1404</v>
      </c>
      <c r="BF477" s="30" t="s">
        <v>1408</v>
      </c>
      <c r="BG477" s="30" t="s">
        <v>28</v>
      </c>
      <c r="BL477" s="41"/>
      <c r="BM477" s="30" t="s">
        <v>1409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1031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1297</v>
      </c>
      <c r="BL478" s="41" t="s">
        <v>432</v>
      </c>
      <c r="BM478" s="30" t="s">
        <v>1315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1058</v>
      </c>
      <c r="BA479" s="30" t="str">
        <f>IF(ISBLANK(Table2[[#This Row],[device_model]]), "", Table2[[#This Row],[device_suggested_area]])</f>
        <v>Wardrobe</v>
      </c>
      <c r="BB479" s="30" t="s">
        <v>1497</v>
      </c>
      <c r="BC479" s="30" t="s">
        <v>1037</v>
      </c>
      <c r="BD479" s="30" t="s">
        <v>554</v>
      </c>
      <c r="BF479" s="63" t="s">
        <v>1501</v>
      </c>
      <c r="BG479" s="30" t="s">
        <v>495</v>
      </c>
      <c r="BK479" s="30" t="s">
        <v>401</v>
      </c>
      <c r="BL479" s="30" t="s">
        <v>553</v>
      </c>
      <c r="BM479" s="30" t="s">
        <v>1290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1058</v>
      </c>
      <c r="BA480" s="30" t="str">
        <f>IF(ISBLANK(Table2[[#This Row],[device_model]]), "", Table2[[#This Row],[device_suggested_area]])</f>
        <v>Guildford</v>
      </c>
      <c r="BB480" s="30" t="s">
        <v>1499</v>
      </c>
      <c r="BC480" s="30" t="s">
        <v>1500</v>
      </c>
      <c r="BD480" s="30" t="s">
        <v>554</v>
      </c>
      <c r="BF480" s="63" t="s">
        <v>1501</v>
      </c>
      <c r="BG480" s="30" t="s">
        <v>1498</v>
      </c>
      <c r="BL480" s="30" t="s">
        <v>1505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1057</v>
      </c>
      <c r="BA481" s="30" t="str">
        <f>IF(ISBLANK(Table2[[#This Row],[device_model]]), "", Table2[[#This Row],[device_suggested_area]])</f>
        <v>Rack</v>
      </c>
      <c r="BB481" s="30" t="s">
        <v>1502</v>
      </c>
      <c r="BC481" s="30" t="s">
        <v>1503</v>
      </c>
      <c r="BD481" s="30" t="s">
        <v>264</v>
      </c>
      <c r="BF481" s="63" t="s">
        <v>1507</v>
      </c>
      <c r="BG481" s="30" t="s">
        <v>28</v>
      </c>
      <c r="BK481" s="30" t="s">
        <v>401</v>
      </c>
      <c r="BL481" s="41" t="s">
        <v>1506</v>
      </c>
      <c r="BM481" s="30" t="s">
        <v>1286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1057</v>
      </c>
      <c r="BA482" s="30" t="str">
        <f>IF(ISBLANK(Table2[[#This Row],[device_model]]), "", Table2[[#This Row],[device_suggested_area]])</f>
        <v>Rack</v>
      </c>
      <c r="BB482" s="30" t="s">
        <v>1504</v>
      </c>
      <c r="BC482" s="30" t="s">
        <v>1035</v>
      </c>
      <c r="BD482" s="30" t="s">
        <v>264</v>
      </c>
      <c r="BF482" s="63" t="s">
        <v>1511</v>
      </c>
      <c r="BG482" s="30" t="s">
        <v>28</v>
      </c>
      <c r="BK482" s="69" t="s">
        <v>401</v>
      </c>
      <c r="BL482" s="46" t="s">
        <v>1512</v>
      </c>
      <c r="BM482" s="30" t="s">
        <v>1287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1057</v>
      </c>
      <c r="BA483" s="30" t="str">
        <f>IF(ISBLANK(Table2[[#This Row],[device_model]]), "", Table2[[#This Row],[device_suggested_area]])</f>
        <v>Rack</v>
      </c>
      <c r="BB483" s="30" t="s">
        <v>1482</v>
      </c>
      <c r="BC483" s="30" t="s">
        <v>1035</v>
      </c>
      <c r="BD483" s="30" t="s">
        <v>264</v>
      </c>
      <c r="BF483" s="63" t="s">
        <v>1501</v>
      </c>
      <c r="BG483" s="30" t="s">
        <v>28</v>
      </c>
      <c r="BK483" s="30" t="s">
        <v>401</v>
      </c>
      <c r="BL483" s="46" t="s">
        <v>1365</v>
      </c>
      <c r="BM483" s="30" t="s">
        <v>1288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1057</v>
      </c>
      <c r="BA484" s="30" t="str">
        <f>IF(ISBLANK(Table2[[#This Row],[device_model]]), "", Table2[[#This Row],[device_suggested_area]])</f>
        <v>Rack</v>
      </c>
      <c r="BB484" s="30" t="s">
        <v>1036</v>
      </c>
      <c r="BC484" s="30" t="s">
        <v>1035</v>
      </c>
      <c r="BD484" s="30" t="s">
        <v>264</v>
      </c>
      <c r="BF484" s="63" t="s">
        <v>1501</v>
      </c>
      <c r="BG484" s="30" t="s">
        <v>28</v>
      </c>
      <c r="BK484" s="30" t="s">
        <v>401</v>
      </c>
      <c r="BL484" s="30" t="s">
        <v>587</v>
      </c>
      <c r="BM484" s="30" t="s">
        <v>1289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1298</v>
      </c>
      <c r="BL485" s="30" t="s">
        <v>379</v>
      </c>
      <c r="BM485" s="30" t="s">
        <v>1355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1033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2025-11-06T04:44:09Z</dcterms:modified>
</cp:coreProperties>
</file>