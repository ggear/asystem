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1E756A4A-FDB8-974B-BD92-0B932D59AA96}" xr6:coauthVersionLast="47" xr6:coauthVersionMax="47" xr10:uidLastSave="{00000000-0000-0000-0000-000000000000}"/>
  <bookViews>
    <workbookView xWindow="0" yWindow="660" windowWidth="47720" windowHeight="26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M339" i="1" l="1"/>
  <c r="AM335" i="1"/>
  <c r="AM333" i="1"/>
  <c r="AM331" i="1"/>
  <c r="AM329" i="1"/>
  <c r="AK339" i="1"/>
  <c r="AK335" i="1"/>
  <c r="AK333" i="1"/>
  <c r="AK331" i="1"/>
  <c r="AK329" i="1"/>
  <c r="AJ339" i="1"/>
  <c r="AJ335" i="1"/>
  <c r="AJ333" i="1"/>
  <c r="AJ331" i="1"/>
  <c r="AJ329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W301" i="1" s="1"/>
  <c r="AV301" i="1" s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F331" i="1"/>
  <c r="BN330" i="1"/>
  <c r="BA330" i="1"/>
  <c r="AX330" i="1"/>
  <c r="AK330" i="1"/>
  <c r="AJ330" i="1"/>
  <c r="F330" i="1"/>
  <c r="AY330" i="1" s="1"/>
  <c r="BN329" i="1"/>
  <c r="BA329" i="1"/>
  <c r="AW329" i="1" s="1"/>
  <c r="AV329" i="1" s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AR327" i="1"/>
  <c r="AK327" i="1"/>
  <c r="BN326" i="1"/>
  <c r="BA326" i="1"/>
  <c r="AK326" i="1"/>
  <c r="AJ326" i="1"/>
  <c r="BN325" i="1"/>
  <c r="BA325" i="1"/>
  <c r="AW325" i="1" s="1"/>
  <c r="AV325" i="1" s="1"/>
  <c r="AR325" i="1"/>
  <c r="AK325" i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BA339" i="1"/>
  <c r="AW339" i="1" s="1"/>
  <c r="AV339" i="1" s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R77" i="1"/>
  <c r="AR76" i="1"/>
  <c r="AR75" i="1"/>
  <c r="AR74" i="1"/>
  <c r="AR73" i="1"/>
  <c r="AR72" i="1"/>
  <c r="AR26" i="1"/>
  <c r="AX331" i="1" l="1"/>
  <c r="AX329" i="1"/>
  <c r="AY341" i="1"/>
  <c r="AY323" i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Y331" i="1"/>
  <c r="AY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<sst xmlns="http://schemas.openxmlformats.org/spreadsheetml/2006/main" count="7862" uniqueCount="1555">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</sst>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7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1" fontId="3" fillId="4" borderId="0" xfId="0" applyNumberFormat="1" applyFont="1" applyFill="1" applyAlignment="1">
      <alignment horizontal="left" vertical="top"/>
    </xf>
    <xf numFmtId="49" fontId="3" fillId="4" borderId="0" xfId="0" applyNumberFormat="1" applyFont="1" applyFill="1" applyAlignment="1">
      <alignment horizontal="left" vertical="top" wrapText="1"/>
    </xf>
    <xf numFmtId="0" fontId="8" fillId="4" borderId="0" xfId="0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9-0000-0100-000002000000}"/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topLeftCell="AY141" zoomScale="121" zoomScaleNormal="120" workbookViewId="0">
      <selection activeCell="BC163" sqref="BC163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1222</v>
      </c>
      <c r="AY1" s="6" t="s">
        <v>1222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1378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1223</v>
      </c>
      <c r="AY2" s="16" t="s">
        <v>1219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1220</v>
      </c>
      <c r="AY3" s="27" t="s">
        <v>1221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1423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1263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1263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1337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1338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1338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1263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1248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1249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1263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1249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1250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1251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1263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1251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1339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1340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1340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1341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1342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1342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1263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1224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1446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1343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1344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1344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1224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1241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1240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1426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1345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1247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1246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1346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1347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1224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1348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1349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1377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1350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1377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1351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1377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1352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1377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1353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1377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1354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1377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1355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1377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1356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1377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1357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1377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1245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1244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1389</v>
      </c>
      <c r="F94" s="36" t="str">
        <f>IF(ISBLANK(Table2[[#This Row],[unique_id]]), "", PROPER(SUBSTITUTE(Table2[[#This Row],[unique_id]], "_", " ")))</f>
        <v>Home Started</v>
      </c>
      <c r="G94" s="30" t="s">
        <v>1390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1362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1363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1383</v>
      </c>
      <c r="F103" s="36" t="str">
        <f>IF(ISBLANK(Table2[[#This Row],[unique_id]]), "", PROPER(SUBSTITUTE(Table2[[#This Row],[unique_id]], "_", " ")))</f>
        <v>Edwin Wakeup</v>
      </c>
      <c r="G103" s="30" t="s">
        <v>1381</v>
      </c>
      <c r="H103" s="30" t="s">
        <v>311</v>
      </c>
      <c r="I103" s="30" t="s">
        <v>132</v>
      </c>
      <c r="J103" s="30" t="s">
        <v>1386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1384</v>
      </c>
      <c r="F104" s="36" t="str">
        <f>IF(ISBLANK(Table2[[#This Row],[unique_id]]), "", PROPER(SUBSTITUTE(Table2[[#This Row],[unique_id]], "_", " ")))</f>
        <v>Edwin Playtime</v>
      </c>
      <c r="G104" s="30" t="s">
        <v>1391</v>
      </c>
      <c r="H104" s="30" t="s">
        <v>311</v>
      </c>
      <c r="I104" s="30" t="s">
        <v>132</v>
      </c>
      <c r="J104" s="30" t="s">
        <v>1387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1385</v>
      </c>
      <c r="F105" s="36" t="str">
        <f>IF(ISBLANK(Table2[[#This Row],[unique_id]]), "", PROPER(SUBSTITUTE(Table2[[#This Row],[unique_id]], "_", " ")))</f>
        <v>Edwin Goodnight</v>
      </c>
      <c r="G105" s="30" t="s">
        <v>1382</v>
      </c>
      <c r="H105" s="30" t="s">
        <v>311</v>
      </c>
      <c r="I105" s="30" t="s">
        <v>132</v>
      </c>
      <c r="J105" s="30" t="s">
        <v>1388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1395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1334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1396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1334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1264</v>
      </c>
      <c r="BL107" s="55" t="s">
        <v>346</v>
      </c>
      <c r="BM107" s="55" t="s">
        <v>1305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1334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1334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1264</v>
      </c>
      <c r="BL109" s="30" t="s">
        <v>353</v>
      </c>
      <c r="BM109" s="30" t="s">
        <v>1315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1264</v>
      </c>
      <c r="BL110" s="30" t="s">
        <v>371</v>
      </c>
      <c r="BM110" s="30" t="s">
        <v>1282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1264</v>
      </c>
      <c r="BL111" s="30" t="s">
        <v>372</v>
      </c>
      <c r="BM111" s="30" t="s">
        <v>1283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1264</v>
      </c>
      <c r="BL112" s="30" t="s">
        <v>375</v>
      </c>
      <c r="BM112" s="30" t="s">
        <v>1284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1264</v>
      </c>
      <c r="BL114" s="30" t="s">
        <v>921</v>
      </c>
      <c r="BM114" s="30" t="s">
        <v>1286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1264</v>
      </c>
      <c r="BL117" s="30" t="s">
        <v>376</v>
      </c>
      <c r="BM117" s="30" t="s">
        <v>1287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1264</v>
      </c>
      <c r="BL119" s="30" t="s">
        <v>373</v>
      </c>
      <c r="BM119" s="30" t="s">
        <v>1288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1264</v>
      </c>
      <c r="BL120" s="30" t="s">
        <v>374</v>
      </c>
      <c r="BM120" s="39" t="s">
        <v>1289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1237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1238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1332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1236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1235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1429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1427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1428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1239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1325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1325</v>
      </c>
      <c r="BA131" s="30" t="str">
        <f>IF(ISBLANK(Table2[[#This Row],[device_model]]), "", Table2[[#This Row],[device_suggested_area]])</f>
        <v>Home</v>
      </c>
      <c r="BB131" s="30" t="s">
        <v>1329</v>
      </c>
      <c r="BC131" s="30" t="s">
        <v>1326</v>
      </c>
      <c r="BD131" s="30" t="s">
        <v>1325</v>
      </c>
      <c r="BF131" s="30" t="s">
        <v>1327</v>
      </c>
      <c r="BG131" s="30" t="s">
        <v>165</v>
      </c>
      <c r="BK131" s="30" t="s">
        <v>1263</v>
      </c>
      <c r="BL131" s="46" t="s">
        <v>1328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1424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1424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1424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1424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1364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1424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1364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1424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1424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1424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1424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1424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1424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1218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1424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1424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1424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1424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1424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1424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1424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1424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1424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1424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1424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s="49" customFormat="1" ht="16" customHeight="1" x14ac:dyDescent="0.2">
      <c r="A161" s="49">
        <v>1628</v>
      </c>
      <c r="B161" s="49" t="s">
        <v>26</v>
      </c>
      <c r="C161" s="49" t="s">
        <v>377</v>
      </c>
      <c r="D161" s="49" t="s">
        <v>137</v>
      </c>
      <c r="E161" s="49" t="s">
        <v>555</v>
      </c>
      <c r="F161" s="50" t="str">
        <f>IF(ISBLANK(Table2[[#This Row],[unique_id]]), "", PROPER(SUBSTITUTE(Table2[[#This Row],[unique_id]], "_", " ")))</f>
        <v>Lounge Lamp</v>
      </c>
      <c r="G161" s="50" t="str">
        <f>IF(ISBLANK(Table2[[#This Row],[unique_id]]), "", PROPER(SUBSTITUTE(Table2[[#This Row],[unique_id]], "_", " ")))</f>
        <v>Lounge Lamp</v>
      </c>
      <c r="H161" s="49" t="s">
        <v>139</v>
      </c>
      <c r="I161" s="49" t="s">
        <v>132</v>
      </c>
      <c r="J161" s="49" t="s">
        <v>523</v>
      </c>
      <c r="K161" s="49" t="s">
        <v>885</v>
      </c>
      <c r="M161" s="49" t="s">
        <v>136</v>
      </c>
      <c r="O161" s="51"/>
      <c r="T161" s="52"/>
      <c r="V161" s="51"/>
      <c r="W161" s="51" t="s">
        <v>490</v>
      </c>
      <c r="X161" s="64">
        <v>123</v>
      </c>
      <c r="Y161" s="65" t="s">
        <v>758</v>
      </c>
      <c r="Z161" s="65" t="s">
        <v>972</v>
      </c>
      <c r="AA161" s="65"/>
      <c r="AE161" s="49" t="s">
        <v>292</v>
      </c>
      <c r="AG161" s="51"/>
      <c r="AH161" s="51"/>
      <c r="AT161" s="66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V161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49" t="str">
        <f>Table2[[#This Row],[device_suggested_area]]</f>
        <v>Lounge</v>
      </c>
      <c r="BA161" s="49" t="str">
        <f>IF(ISBLANK(Table2[[#This Row],[device_model]]), "", Table2[[#This Row],[device_suggested_area]])</f>
        <v>Lounge</v>
      </c>
      <c r="BB161" s="49" t="s">
        <v>523</v>
      </c>
      <c r="BC161" s="49" t="s">
        <v>1511</v>
      </c>
      <c r="BD161" s="49" t="s">
        <v>377</v>
      </c>
      <c r="BE161" s="49" t="s">
        <v>1424</v>
      </c>
      <c r="BF161" s="49" t="s">
        <v>488</v>
      </c>
      <c r="BG161" s="49" t="s">
        <v>194</v>
      </c>
      <c r="BI161" s="49" t="s">
        <v>687</v>
      </c>
      <c r="BN161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s="49" customFormat="1" ht="16" customHeight="1" x14ac:dyDescent="0.2">
      <c r="A162" s="49">
        <v>1629</v>
      </c>
      <c r="B162" s="49" t="s">
        <v>26</v>
      </c>
      <c r="C162" s="49" t="s">
        <v>377</v>
      </c>
      <c r="D162" s="49" t="s">
        <v>137</v>
      </c>
      <c r="E162" s="49" t="s">
        <v>940</v>
      </c>
      <c r="F162" s="50" t="str">
        <f>IF(ISBLANK(Table2[[#This Row],[unique_id]]), "", PROPER(SUBSTITUTE(Table2[[#This Row],[unique_id]], "_", " ")))</f>
        <v>Lounge Lamp Bulb 1</v>
      </c>
      <c r="H162" s="49" t="s">
        <v>139</v>
      </c>
      <c r="O162" s="51" t="s">
        <v>788</v>
      </c>
      <c r="P162" s="49" t="s">
        <v>165</v>
      </c>
      <c r="Q162" s="49" t="s">
        <v>760</v>
      </c>
      <c r="R162" s="49" t="str">
        <f>Table2[[#This Row],[entity_domain]]</f>
        <v>Lights</v>
      </c>
      <c r="S162" s="49" t="str">
        <f>_xlfn.CONCAT( Table2[[#This Row],[device_suggested_area]], " ",Table2[[#This Row],[powercalc_group_3]])</f>
        <v>Lounge Lights</v>
      </c>
      <c r="T162" s="52"/>
      <c r="V162" s="51"/>
      <c r="W162" s="51" t="s">
        <v>489</v>
      </c>
      <c r="X162" s="64">
        <v>123</v>
      </c>
      <c r="Y162" s="65" t="s">
        <v>756</v>
      </c>
      <c r="Z162" s="65" t="s">
        <v>1364</v>
      </c>
      <c r="AA162" s="65"/>
      <c r="AG162" s="51"/>
      <c r="AH162" s="51"/>
      <c r="AT162" s="66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V162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49" t="str">
        <f>Table2[[#This Row],[device_suggested_area]]</f>
        <v>Lounge</v>
      </c>
      <c r="BA162" s="49" t="str">
        <f>IF(ISBLANK(Table2[[#This Row],[device_model]]), "", Table2[[#This Row],[device_suggested_area]])</f>
        <v>Lounge</v>
      </c>
      <c r="BB162" s="49" t="s">
        <v>995</v>
      </c>
      <c r="BC162" s="49" t="s">
        <v>1511</v>
      </c>
      <c r="BD162" s="49" t="s">
        <v>377</v>
      </c>
      <c r="BE162" s="49" t="s">
        <v>1424</v>
      </c>
      <c r="BF162" s="49" t="s">
        <v>488</v>
      </c>
      <c r="BG162" s="49" t="s">
        <v>194</v>
      </c>
      <c r="BI162" s="49" t="s">
        <v>687</v>
      </c>
      <c r="BL162" s="49" t="s">
        <v>1509</v>
      </c>
      <c r="BN162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s="49" customFormat="1" ht="16" customHeight="1" x14ac:dyDescent="0.2">
      <c r="A163" s="49">
        <v>1630</v>
      </c>
      <c r="B163" s="49" t="s">
        <v>26</v>
      </c>
      <c r="C163" s="49" t="s">
        <v>377</v>
      </c>
      <c r="D163" s="49" t="s">
        <v>137</v>
      </c>
      <c r="E163" s="49" t="s">
        <v>1504</v>
      </c>
      <c r="F163" s="50" t="str">
        <f>IF(ISBLANK(Table2[[#This Row],[unique_id]]), "", PROPER(SUBSTITUTE(Table2[[#This Row],[unique_id]], "_", " ")))</f>
        <v>Lounge Reading</v>
      </c>
      <c r="G163" s="49" t="s">
        <v>1517</v>
      </c>
      <c r="H163" s="49" t="s">
        <v>139</v>
      </c>
      <c r="I163" s="49" t="s">
        <v>132</v>
      </c>
      <c r="J163" s="49" t="s">
        <v>1507</v>
      </c>
      <c r="K163" s="49" t="s">
        <v>885</v>
      </c>
      <c r="M163" s="49" t="s">
        <v>136</v>
      </c>
      <c r="O163" s="51"/>
      <c r="T163" s="52"/>
      <c r="V163" s="51"/>
      <c r="W163" s="51" t="s">
        <v>490</v>
      </c>
      <c r="X163" s="64">
        <v>114</v>
      </c>
      <c r="Y163" s="65" t="s">
        <v>758</v>
      </c>
      <c r="Z163" s="65" t="s">
        <v>972</v>
      </c>
      <c r="AA163" s="65"/>
      <c r="AE163" s="49" t="s">
        <v>292</v>
      </c>
      <c r="AG163" s="51"/>
      <c r="AH163" s="51"/>
      <c r="AT163" s="66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V163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49" t="str">
        <f>Table2[[#This Row],[device_suggested_area]]</f>
        <v>Lounge</v>
      </c>
      <c r="BA163" s="49" t="str">
        <f>IF(ISBLANK(Table2[[#This Row],[device_model]]), "", Table2[[#This Row],[device_suggested_area]])</f>
        <v>Lounge</v>
      </c>
      <c r="BB163" s="49" t="s">
        <v>1507</v>
      </c>
      <c r="BC163" s="49" t="s">
        <v>1510</v>
      </c>
      <c r="BD163" s="49" t="s">
        <v>377</v>
      </c>
      <c r="BE163" s="49" t="s">
        <v>1424</v>
      </c>
      <c r="BF163" s="49" t="s">
        <v>488</v>
      </c>
      <c r="BG163" s="49" t="s">
        <v>194</v>
      </c>
      <c r="BI163" s="49" t="s">
        <v>687</v>
      </c>
      <c r="BN163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s="49" customFormat="1" ht="16" customHeight="1" x14ac:dyDescent="0.2">
      <c r="A164" s="49">
        <v>1631</v>
      </c>
      <c r="B164" s="49" t="s">
        <v>26</v>
      </c>
      <c r="C164" s="49" t="s">
        <v>377</v>
      </c>
      <c r="D164" s="49" t="s">
        <v>137</v>
      </c>
      <c r="E164" s="49" t="s">
        <v>1505</v>
      </c>
      <c r="F164" s="50" t="str">
        <f>IF(ISBLANK(Table2[[#This Row],[unique_id]]), "", PROPER(SUBSTITUTE(Table2[[#This Row],[unique_id]], "_", " ")))</f>
        <v>Lounge Reading Bulb 1</v>
      </c>
      <c r="H164" s="49" t="s">
        <v>139</v>
      </c>
      <c r="O164" s="51" t="s">
        <v>788</v>
      </c>
      <c r="P164" s="49" t="s">
        <v>165</v>
      </c>
      <c r="Q164" s="49" t="s">
        <v>760</v>
      </c>
      <c r="R164" s="49" t="str">
        <f>Table2[[#This Row],[entity_domain]]</f>
        <v>Lights</v>
      </c>
      <c r="S164" s="49" t="str">
        <f>_xlfn.CONCAT( Table2[[#This Row],[device_suggested_area]], " ",Table2[[#This Row],[powercalc_group_3]])</f>
        <v>Lounge Lights</v>
      </c>
      <c r="T164" s="52"/>
      <c r="V164" s="51"/>
      <c r="W164" s="51" t="s">
        <v>489</v>
      </c>
      <c r="X164" s="64">
        <v>114</v>
      </c>
      <c r="Y164" s="65" t="s">
        <v>756</v>
      </c>
      <c r="Z164" s="65" t="s">
        <v>1364</v>
      </c>
      <c r="AA164" s="65"/>
      <c r="AG164" s="51"/>
      <c r="AH164" s="51"/>
      <c r="AT164" s="66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V164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49" t="str">
        <f>Table2[[#This Row],[device_suggested_area]]</f>
        <v>Lounge</v>
      </c>
      <c r="BA164" s="49" t="str">
        <f>IF(ISBLANK(Table2[[#This Row],[device_model]]), "", Table2[[#This Row],[device_suggested_area]])</f>
        <v>Lounge</v>
      </c>
      <c r="BB164" s="49" t="s">
        <v>1508</v>
      </c>
      <c r="BC164" s="49" t="s">
        <v>1510</v>
      </c>
      <c r="BD164" s="49" t="s">
        <v>377</v>
      </c>
      <c r="BE164" s="49" t="s">
        <v>1424</v>
      </c>
      <c r="BF164" s="49" t="s">
        <v>488</v>
      </c>
      <c r="BG164" s="49" t="s">
        <v>194</v>
      </c>
      <c r="BI164" s="49" t="s">
        <v>687</v>
      </c>
      <c r="BL164" s="49" t="s">
        <v>557</v>
      </c>
      <c r="BN164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1424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1424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1424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1424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1424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1424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1424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1424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1424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1424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1424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1231</v>
      </c>
      <c r="F180" s="36" t="str">
        <f>IF(ISBLANK(Table2[[#This Row],[unique_id]]), "", PROPER(SUBSTITUTE(Table2[[#This Row],[unique_id]], "_", " ")))</f>
        <v>Kitchen Bench Lights Plug</v>
      </c>
      <c r="G180" s="30" t="s">
        <v>1232</v>
      </c>
      <c r="H180" s="30" t="s">
        <v>139</v>
      </c>
      <c r="I180" s="30" t="s">
        <v>132</v>
      </c>
      <c r="J180" s="30" t="s">
        <v>1234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1233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1264</v>
      </c>
      <c r="BL180" s="30" t="s">
        <v>919</v>
      </c>
      <c r="BM180" s="30" t="s">
        <v>1290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1424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1424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1424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1424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1424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1424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1424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1424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1424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1424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1424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1424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1397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1398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1264</v>
      </c>
      <c r="BL201" s="55" t="s">
        <v>561</v>
      </c>
      <c r="BM201" s="55" t="s">
        <v>1291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1264</v>
      </c>
      <c r="BL203" s="30" t="s">
        <v>1053</v>
      </c>
      <c r="BM203" s="30" t="s">
        <v>1292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1206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1399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1400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1264</v>
      </c>
      <c r="BL206" s="55" t="s">
        <v>560</v>
      </c>
      <c r="BM206" s="55" t="s">
        <v>1293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1264</v>
      </c>
      <c r="BL208" s="30" t="s">
        <v>1052</v>
      </c>
      <c r="BM208" s="30" t="s">
        <v>1294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1424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1424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1424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1424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1424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1424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1424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1424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1424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1424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1424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1424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1424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1264</v>
      </c>
      <c r="BL224" s="30" t="s">
        <v>350</v>
      </c>
      <c r="BM224" s="30" t="s">
        <v>1295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1264</v>
      </c>
      <c r="BL226" s="30" t="s">
        <v>442</v>
      </c>
      <c r="BM226" s="30" t="s">
        <v>1296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1264</v>
      </c>
      <c r="BL230" s="30" t="s">
        <v>1046</v>
      </c>
      <c r="BM230" s="30" t="s">
        <v>1297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1333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1333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1263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1330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1190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1227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1228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1229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1225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1230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1200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1203</v>
      </c>
      <c r="H288" s="30" t="s">
        <v>1199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1202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1201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1204</v>
      </c>
      <c r="H289" s="30" t="s">
        <v>1199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1202</v>
      </c>
      <c r="AF289" s="30">
        <v>200</v>
      </c>
      <c r="AG289" s="31" t="s">
        <v>34</v>
      </c>
      <c r="AH289" s="31"/>
      <c r="AI289" s="30" t="s">
        <v>1142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1187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1121</v>
      </c>
      <c r="BC289" s="30" t="s">
        <v>1123</v>
      </c>
      <c r="BD289" s="30" t="s">
        <v>1122</v>
      </c>
      <c r="BF289" s="30" t="s">
        <v>990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1512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1514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1513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1500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1224</v>
      </c>
      <c r="BC298" s="30" t="s">
        <v>36</v>
      </c>
      <c r="BD298" s="30" t="s">
        <v>37</v>
      </c>
      <c r="BF298" s="30" t="s">
        <v>1064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1192</v>
      </c>
      <c r="D301" s="30" t="s">
        <v>134</v>
      </c>
      <c r="E301" s="30" t="s">
        <v>1520</v>
      </c>
      <c r="F301" s="30" t="str">
        <f>IF(ISBLANK(Table2[[#This Row],[unique_id]]), "", PROPER(SUBSTITUTE(Table2[[#This Row],[unique_id]], "_", " ")))</f>
        <v>Service Plex</v>
      </c>
      <c r="G301" s="30" t="s">
        <v>1193</v>
      </c>
      <c r="H301" s="30" t="s">
        <v>1191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1554</v>
      </c>
      <c r="AF301" s="30">
        <v>6</v>
      </c>
      <c r="AG301" s="31" t="s">
        <v>34</v>
      </c>
      <c r="AH301" s="31"/>
      <c r="AI301" s="30" t="s">
        <v>1481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1553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1192</v>
      </c>
      <c r="BC301" s="30" t="s">
        <v>1518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1192</v>
      </c>
      <c r="D302" s="30" t="s">
        <v>134</v>
      </c>
      <c r="E302" s="30" t="s">
        <v>1521</v>
      </c>
      <c r="F302" s="30" t="str">
        <f>IF(ISBLANK(Table2[[#This Row],[unique_id]]), "", PROPER(SUBSTITUTE(Table2[[#This Row],[unique_id]], "_", " ")))</f>
        <v>Service Sabnzbd</v>
      </c>
      <c r="G302" s="30" t="s">
        <v>1545</v>
      </c>
      <c r="H302" s="30" t="s">
        <v>1191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1554</v>
      </c>
      <c r="AF302" s="30">
        <v>6</v>
      </c>
      <c r="AG302" s="31" t="s">
        <v>34</v>
      </c>
      <c r="AH302" s="31"/>
      <c r="AI302" s="30" t="s">
        <v>1481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1553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1192</v>
      </c>
      <c r="BC302" s="30" t="s">
        <v>1518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1192</v>
      </c>
      <c r="D303" s="30" t="s">
        <v>134</v>
      </c>
      <c r="E303" s="30" t="s">
        <v>1522</v>
      </c>
      <c r="F303" s="30" t="str">
        <f>IF(ISBLANK(Table2[[#This Row],[unique_id]]), "", PROPER(SUBSTITUTE(Table2[[#This Row],[unique_id]], "_", " ")))</f>
        <v>Service Influxdb3</v>
      </c>
      <c r="G303" s="30" t="s">
        <v>1544</v>
      </c>
      <c r="H303" s="30" t="s">
        <v>1191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1554</v>
      </c>
      <c r="AF303" s="30">
        <v>6</v>
      </c>
      <c r="AG303" s="31" t="s">
        <v>34</v>
      </c>
      <c r="AH303" s="31"/>
      <c r="AI303" s="30" t="s">
        <v>1482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1553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1192</v>
      </c>
      <c r="BC303" s="30" t="s">
        <v>1518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1192</v>
      </c>
      <c r="D304" s="30" t="s">
        <v>134</v>
      </c>
      <c r="E304" s="30" t="s">
        <v>1523</v>
      </c>
      <c r="F304" s="30" t="str">
        <f>IF(ISBLANK(Table2[[#This Row],[unique_id]]), "", PROPER(SUBSTITUTE(Table2[[#This Row],[unique_id]], "_", " ")))</f>
        <v>Service Mlflow</v>
      </c>
      <c r="G304" s="30" t="s">
        <v>1546</v>
      </c>
      <c r="H304" s="30" t="s">
        <v>1191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1554</v>
      </c>
      <c r="AF304" s="30">
        <v>6</v>
      </c>
      <c r="AG304" s="31" t="s">
        <v>34</v>
      </c>
      <c r="AH304" s="31"/>
      <c r="AI304" s="30" t="s">
        <v>1482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1553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1192</v>
      </c>
      <c r="BC304" s="30" t="s">
        <v>1518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1192</v>
      </c>
      <c r="D305" s="30" t="s">
        <v>134</v>
      </c>
      <c r="E305" s="30" t="s">
        <v>1524</v>
      </c>
      <c r="F305" s="30" t="str">
        <f>IF(ISBLANK(Table2[[#This Row],[unique_id]]), "", PROPER(SUBSTITUTE(Table2[[#This Row],[unique_id]], "_", " ")))</f>
        <v>Service Mlserver</v>
      </c>
      <c r="G305" s="30" t="s">
        <v>1547</v>
      </c>
      <c r="H305" s="30" t="s">
        <v>1191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1554</v>
      </c>
      <c r="AF305" s="30">
        <v>6</v>
      </c>
      <c r="AG305" s="31" t="s">
        <v>34</v>
      </c>
      <c r="AH305" s="31"/>
      <c r="AI305" s="30" t="s">
        <v>1482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1553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1192</v>
      </c>
      <c r="BC305" s="30" t="s">
        <v>1518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1192</v>
      </c>
      <c r="D306" s="30" t="s">
        <v>134</v>
      </c>
      <c r="E306" s="30" t="s">
        <v>1525</v>
      </c>
      <c r="F306" s="30" t="str">
        <f>IF(ISBLANK(Table2[[#This Row],[unique_id]]), "", PROPER(SUBSTITUTE(Table2[[#This Row],[unique_id]], "_", " ")))</f>
        <v>Service Openra</v>
      </c>
      <c r="G306" s="30" t="s">
        <v>1548</v>
      </c>
      <c r="H306" s="30" t="s">
        <v>1191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1554</v>
      </c>
      <c r="AF306" s="30">
        <v>6</v>
      </c>
      <c r="AG306" s="31" t="s">
        <v>34</v>
      </c>
      <c r="AH306" s="31"/>
      <c r="AI306" s="30" t="s">
        <v>1482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1553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1192</v>
      </c>
      <c r="BC306" s="30" t="s">
        <v>1518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1192</v>
      </c>
      <c r="D307" s="30" t="s">
        <v>134</v>
      </c>
      <c r="E307" s="30" t="s">
        <v>1526</v>
      </c>
      <c r="F307" s="30" t="str">
        <f>IF(ISBLANK(Table2[[#This Row],[unique_id]]), "", PROPER(SUBSTITUTE(Table2[[#This Row],[unique_id]], "_", " ")))</f>
        <v>Service Rhasspy</v>
      </c>
      <c r="G307" s="30" t="s">
        <v>1541</v>
      </c>
      <c r="H307" s="30" t="s">
        <v>1191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1554</v>
      </c>
      <c r="AF307" s="30">
        <v>6</v>
      </c>
      <c r="AG307" s="31" t="s">
        <v>34</v>
      </c>
      <c r="AH307" s="31"/>
      <c r="AI307" s="30" t="s">
        <v>1482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1553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1192</v>
      </c>
      <c r="BC307" s="30" t="s">
        <v>1518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1192</v>
      </c>
      <c r="D308" s="30" t="s">
        <v>134</v>
      </c>
      <c r="E308" s="30" t="s">
        <v>1527</v>
      </c>
      <c r="F308" s="30" t="str">
        <f>IF(ISBLANK(Table2[[#This Row],[unique_id]]), "", PROPER(SUBSTITUTE(Table2[[#This Row],[unique_id]], "_", " ")))</f>
        <v>Service Digitemp</v>
      </c>
      <c r="G308" s="30" t="s">
        <v>1115</v>
      </c>
      <c r="H308" s="30" t="s">
        <v>1191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1554</v>
      </c>
      <c r="AF308" s="30">
        <v>6</v>
      </c>
      <c r="AG308" s="31" t="s">
        <v>34</v>
      </c>
      <c r="AH308" s="31"/>
      <c r="AI308" s="30" t="s">
        <v>1446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homeassistant/switch/supervisor_macmini-may/service_digitemp/config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supervisor/macmini-may/command/service/digitemp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1553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1192</v>
      </c>
      <c r="BC308" s="30" t="s">
        <v>1518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1192</v>
      </c>
      <c r="D309" s="30" t="s">
        <v>134</v>
      </c>
      <c r="E309" s="30" t="s">
        <v>1528</v>
      </c>
      <c r="F309" s="30" t="str">
        <f>IF(ISBLANK(Table2[[#This Row],[unique_id]]), "", PROPER(SUBSTITUTE(Table2[[#This Row],[unique_id]], "_", " ")))</f>
        <v>Service Grafana</v>
      </c>
      <c r="G309" s="30" t="s">
        <v>1194</v>
      </c>
      <c r="H309" s="30" t="s">
        <v>1191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1554</v>
      </c>
      <c r="AF309" s="30">
        <v>6</v>
      </c>
      <c r="AG309" s="31" t="s">
        <v>34</v>
      </c>
      <c r="AH309" s="31"/>
      <c r="AI309" s="30" t="s">
        <v>1446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1553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1192</v>
      </c>
      <c r="BC309" s="30" t="s">
        <v>1518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1192</v>
      </c>
      <c r="D310" s="30" t="s">
        <v>134</v>
      </c>
      <c r="E310" s="30" t="s">
        <v>1529</v>
      </c>
      <c r="F310" s="30" t="str">
        <f>IF(ISBLANK(Table2[[#This Row],[unique_id]]), "", PROPER(SUBSTITUTE(Table2[[#This Row],[unique_id]], "_", " ")))</f>
        <v>Service Influxdb</v>
      </c>
      <c r="G310" s="30" t="s">
        <v>1544</v>
      </c>
      <c r="H310" s="30" t="s">
        <v>1191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1554</v>
      </c>
      <c r="AF310" s="30">
        <v>6</v>
      </c>
      <c r="AG310" s="31" t="s">
        <v>34</v>
      </c>
      <c r="AH310" s="31"/>
      <c r="AI310" s="30" t="s">
        <v>1446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1553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1192</v>
      </c>
      <c r="BC310" s="30" t="s">
        <v>1518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1192</v>
      </c>
      <c r="D311" s="30" t="s">
        <v>134</v>
      </c>
      <c r="E311" s="30" t="s">
        <v>1530</v>
      </c>
      <c r="F311" s="30" t="str">
        <f>IF(ISBLANK(Table2[[#This Row],[unique_id]]), "", PROPER(SUBSTITUTE(Table2[[#This Row],[unique_id]], "_", " ")))</f>
        <v>Service Letsencrypt</v>
      </c>
      <c r="G311" s="30" t="s">
        <v>1549</v>
      </c>
      <c r="H311" s="30" t="s">
        <v>1191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1554</v>
      </c>
      <c r="AF311" s="30">
        <v>6</v>
      </c>
      <c r="AG311" s="31" t="s">
        <v>34</v>
      </c>
      <c r="AH311" s="31"/>
      <c r="AI311" s="30" t="s">
        <v>1446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1553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1192</v>
      </c>
      <c r="BC311" s="30" t="s">
        <v>1518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1192</v>
      </c>
      <c r="D312" s="30" t="s">
        <v>134</v>
      </c>
      <c r="E312" s="30" t="s">
        <v>1531</v>
      </c>
      <c r="F312" s="30" t="str">
        <f>IF(ISBLANK(Table2[[#This Row],[unique_id]]), "", PROPER(SUBSTITUTE(Table2[[#This Row],[unique_id]], "_", " ")))</f>
        <v>Service Sonarr</v>
      </c>
      <c r="G312" s="30" t="s">
        <v>1542</v>
      </c>
      <c r="H312" s="30" t="s">
        <v>1191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1554</v>
      </c>
      <c r="AF312" s="30">
        <v>6</v>
      </c>
      <c r="AG312" s="31" t="s">
        <v>34</v>
      </c>
      <c r="AH312" s="31"/>
      <c r="AI312" s="30" t="s">
        <v>1446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1553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1192</v>
      </c>
      <c r="BC312" s="30" t="s">
        <v>1518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1192</v>
      </c>
      <c r="D313" s="30" t="s">
        <v>134</v>
      </c>
      <c r="E313" s="30" t="s">
        <v>1532</v>
      </c>
      <c r="F313" s="30" t="str">
        <f>IF(ISBLANK(Table2[[#This Row],[unique_id]]), "", PROPER(SUBSTITUTE(Table2[[#This Row],[unique_id]], "_", " ")))</f>
        <v>Service Unpoller</v>
      </c>
      <c r="G313" s="30" t="s">
        <v>1543</v>
      </c>
      <c r="H313" s="30" t="s">
        <v>1191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1554</v>
      </c>
      <c r="AF313" s="30">
        <v>6</v>
      </c>
      <c r="AG313" s="31" t="s">
        <v>34</v>
      </c>
      <c r="AH313" s="31"/>
      <c r="AI313" s="30" t="s">
        <v>1446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1553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1192</v>
      </c>
      <c r="BC313" s="30" t="s">
        <v>1518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1192</v>
      </c>
      <c r="D314" s="30" t="s">
        <v>134</v>
      </c>
      <c r="E314" s="30" t="s">
        <v>1533</v>
      </c>
      <c r="F314" s="30" t="str">
        <f>IF(ISBLANK(Table2[[#This Row],[unique_id]]), "", PROPER(SUBSTITUTE(Table2[[#This Row],[unique_id]], "_", " ")))</f>
        <v>Service Wrangle</v>
      </c>
      <c r="G314" s="30" t="s">
        <v>1195</v>
      </c>
      <c r="H314" s="30" t="s">
        <v>1191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1554</v>
      </c>
      <c r="AF314" s="30">
        <v>6</v>
      </c>
      <c r="AG314" s="31" t="s">
        <v>34</v>
      </c>
      <c r="AH314" s="31"/>
      <c r="AI314" s="30" t="s">
        <v>1446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supervisor/macmini-may/command/service/wrangle</v>
      </c>
      <c r="AM314" s="30" t="str">
        <f>IF(ISBLANK(Table2[[#This Row],[index]]),  "", _xlfn.CONCAT("supervisor/", Table2[[#This Row],[unique_id_device]], "/status"))</f>
        <v>supervisor/macmini-may/status</v>
      </c>
      <c r="AR314" s="30" t="s">
        <v>1553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1192</v>
      </c>
      <c r="BC314" s="30" t="s">
        <v>1518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1192</v>
      </c>
      <c r="D315" s="30" t="s">
        <v>134</v>
      </c>
      <c r="E315" s="30" t="s">
        <v>1519</v>
      </c>
      <c r="F315" s="30" t="str">
        <f>IF(ISBLANK(Table2[[#This Row],[unique_id]]), "", PROPER(SUBSTITUTE(Table2[[#This Row],[unique_id]], "_", " ")))</f>
        <v>Service Homeassistant</v>
      </c>
      <c r="G315" s="30" t="s">
        <v>1198</v>
      </c>
      <c r="H315" s="30" t="s">
        <v>1191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1554</v>
      </c>
      <c r="AF315" s="30">
        <v>6</v>
      </c>
      <c r="AG315" s="31" t="s">
        <v>34</v>
      </c>
      <c r="AH315" s="31"/>
      <c r="AI315" s="30" t="s">
        <v>1142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1553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1192</v>
      </c>
      <c r="BC315" s="30" t="s">
        <v>1518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1192</v>
      </c>
      <c r="D316" s="30" t="s">
        <v>134</v>
      </c>
      <c r="E316" s="30" t="s">
        <v>1534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1191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1554</v>
      </c>
      <c r="AF316" s="30">
        <v>6</v>
      </c>
      <c r="AG316" s="31" t="s">
        <v>34</v>
      </c>
      <c r="AH316" s="31"/>
      <c r="AI316" s="30" t="s">
        <v>1142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1553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1192</v>
      </c>
      <c r="BC316" s="30" t="s">
        <v>1518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1192</v>
      </c>
      <c r="D317" s="30" t="s">
        <v>134</v>
      </c>
      <c r="E317" s="30" t="s">
        <v>1535</v>
      </c>
      <c r="F317" s="30" t="str">
        <f>IF(ISBLANK(Table2[[#This Row],[unique_id]]), "", PROPER(SUBSTITUTE(Table2[[#This Row],[unique_id]], "_", " ")))</f>
        <v>Service Mariadb</v>
      </c>
      <c r="G317" s="30" t="s">
        <v>1550</v>
      </c>
      <c r="H317" s="30" t="s">
        <v>1191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1554</v>
      </c>
      <c r="AF317" s="30">
        <v>6</v>
      </c>
      <c r="AG317" s="31" t="s">
        <v>34</v>
      </c>
      <c r="AH317" s="31"/>
      <c r="AI317" s="30" t="s">
        <v>1142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1553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1192</v>
      </c>
      <c r="BC317" s="30" t="s">
        <v>1518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1192</v>
      </c>
      <c r="D318" s="30" t="s">
        <v>134</v>
      </c>
      <c r="E318" s="30" t="s">
        <v>1536</v>
      </c>
      <c r="F318" s="30" t="str">
        <f>IF(ISBLANK(Table2[[#This Row],[unique_id]]), "", PROPER(SUBSTITUTE(Table2[[#This Row],[unique_id]], "_", " ")))</f>
        <v>Service Nginx</v>
      </c>
      <c r="G318" s="30" t="s">
        <v>1196</v>
      </c>
      <c r="H318" s="30" t="s">
        <v>1191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1554</v>
      </c>
      <c r="AF318" s="30">
        <v>6</v>
      </c>
      <c r="AG318" s="31" t="s">
        <v>34</v>
      </c>
      <c r="AH318" s="31"/>
      <c r="AI318" s="30" t="s">
        <v>1142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1553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1192</v>
      </c>
      <c r="BC318" s="30" t="s">
        <v>1518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1192</v>
      </c>
      <c r="D319" s="30" t="s">
        <v>134</v>
      </c>
      <c r="E319" s="30" t="s">
        <v>1537</v>
      </c>
      <c r="F319" s="30" t="str">
        <f>IF(ISBLANK(Table2[[#This Row],[unique_id]]), "", PROPER(SUBSTITUTE(Table2[[#This Row],[unique_id]], "_", " ")))</f>
        <v>Service Postgres</v>
      </c>
      <c r="G319" s="30" t="s">
        <v>1197</v>
      </c>
      <c r="H319" s="30" t="s">
        <v>1191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1554</v>
      </c>
      <c r="AF319" s="30">
        <v>6</v>
      </c>
      <c r="AG319" s="31" t="s">
        <v>34</v>
      </c>
      <c r="AH319" s="31"/>
      <c r="AI319" s="30" t="s">
        <v>1142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supervisor/macmini-meg/command/service/postgres</v>
      </c>
      <c r="AM319" s="30" t="str">
        <f>IF(ISBLANK(Table2[[#This Row],[index]]),  "", _xlfn.CONCAT("supervisor/", Table2[[#This Row],[unique_id_device]], "/status"))</f>
        <v>supervisor/macmini-meg/status</v>
      </c>
      <c r="AR319" s="30" t="s">
        <v>1553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1192</v>
      </c>
      <c r="BC319" s="30" t="s">
        <v>1518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1192</v>
      </c>
      <c r="D320" s="30" t="s">
        <v>134</v>
      </c>
      <c r="E320" s="30" t="s">
        <v>1538</v>
      </c>
      <c r="F320" s="30" t="str">
        <f>IF(ISBLANK(Table2[[#This Row],[unique_id]]), "", PROPER(SUBSTITUTE(Table2[[#This Row],[unique_id]], "_", " ")))</f>
        <v>Service Vernemq</v>
      </c>
      <c r="G320" s="30" t="s">
        <v>1551</v>
      </c>
      <c r="H320" s="30" t="s">
        <v>1191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1554</v>
      </c>
      <c r="AF320" s="30">
        <v>6</v>
      </c>
      <c r="AG320" s="31" t="s">
        <v>34</v>
      </c>
      <c r="AH320" s="31"/>
      <c r="AI320" s="30" t="s">
        <v>1142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1553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1192</v>
      </c>
      <c r="BC320" s="30" t="s">
        <v>1518</v>
      </c>
      <c r="BD320" s="30" t="s">
        <v>1122</v>
      </c>
      <c r="BF320" s="30" t="s">
        <v>990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1192</v>
      </c>
      <c r="D321" s="30" t="s">
        <v>134</v>
      </c>
      <c r="E321" s="30" t="s">
        <v>1539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1191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1554</v>
      </c>
      <c r="AF321" s="30">
        <v>6</v>
      </c>
      <c r="AG321" s="31" t="s">
        <v>34</v>
      </c>
      <c r="AH321" s="31"/>
      <c r="AI321" s="30" t="s">
        <v>1449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1553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1192</v>
      </c>
      <c r="BC321" s="30" t="s">
        <v>1518</v>
      </c>
      <c r="BD321" s="30" t="s">
        <v>1122</v>
      </c>
      <c r="BF321" s="30" t="s">
        <v>990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1192</v>
      </c>
      <c r="D322" s="30" t="s">
        <v>134</v>
      </c>
      <c r="E322" s="30" t="s">
        <v>1540</v>
      </c>
      <c r="F322" s="30" t="str">
        <f>IF(ISBLANK(Table2[[#This Row],[unique_id]]), "", PROPER(SUBSTITUTE(Table2[[#This Row],[unique_id]], "_", " ")))</f>
        <v>Service Zigbee2Mqtt</v>
      </c>
      <c r="G322" s="30" t="s">
        <v>1552</v>
      </c>
      <c r="H322" s="30" t="s">
        <v>1191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1554</v>
      </c>
      <c r="AF322" s="30">
        <v>6</v>
      </c>
      <c r="AG322" s="31" t="s">
        <v>34</v>
      </c>
      <c r="AH322" s="31"/>
      <c r="AI322" s="30" t="s">
        <v>1449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1553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1192</v>
      </c>
      <c r="BC322" s="30" t="s">
        <v>1518</v>
      </c>
      <c r="BD322" s="30" t="s">
        <v>1122</v>
      </c>
      <c r="BF322" s="30" t="s">
        <v>990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1191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1209</v>
      </c>
      <c r="D324" s="30" t="s">
        <v>27</v>
      </c>
      <c r="E324" s="30" t="s">
        <v>1215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1210</v>
      </c>
      <c r="H324" s="30" t="s">
        <v>1212</v>
      </c>
      <c r="I324" s="30" t="s">
        <v>291</v>
      </c>
      <c r="K324" s="30" t="s">
        <v>1173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1116</v>
      </c>
      <c r="F325" s="36" t="str">
        <f>IF(ISBLANK(Table2[[#This Row],[unique_id]]), "", PROPER(SUBSTITUTE(Table2[[#This Row],[unique_id]], "_", " ")))</f>
        <v>Rack Top Temperature</v>
      </c>
      <c r="G325" s="30" t="s">
        <v>1118</v>
      </c>
      <c r="H325" s="30" t="s">
        <v>1212</v>
      </c>
      <c r="I325" s="30" t="s">
        <v>291</v>
      </c>
      <c r="K325" s="30" t="s">
        <v>1165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1446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1141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1165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1118</v>
      </c>
      <c r="H326" s="30" t="s">
        <v>1212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1115</v>
      </c>
      <c r="D327" s="30" t="s">
        <v>27</v>
      </c>
      <c r="E327" s="30" t="s">
        <v>1117</v>
      </c>
      <c r="F327" s="36" t="str">
        <f>IF(ISBLANK(Table2[[#This Row],[unique_id]]), "", PROPER(SUBSTITUTE(Table2[[#This Row],[unique_id]], "_", " ")))</f>
        <v>Rack Bottom Temperature</v>
      </c>
      <c r="G327" s="30" t="s">
        <v>1124</v>
      </c>
      <c r="H327" s="30" t="s">
        <v>1212</v>
      </c>
      <c r="I327" s="30" t="s">
        <v>291</v>
      </c>
      <c r="K327" s="30" t="s">
        <v>1166</v>
      </c>
      <c r="O327" s="31"/>
      <c r="P327" s="30"/>
      <c r="T327" s="37"/>
      <c r="U327" s="30"/>
      <c r="V327" s="31" t="s">
        <v>1185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1446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7" s="30" t="str">
        <f>IF(ISBLANK(Table2[[#This Row],[index]]),  "", _xlfn.CONCAT("telegraf/", Table2[[#This Row],[unique_id_device]], "/", LOWER(Table2[[#This Row],[device_via_device]])))</f>
        <v>telegraf/macmini-may/digitemp</v>
      </c>
      <c r="AR327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1119</v>
      </c>
      <c r="BD327" s="30" t="s">
        <v>1115</v>
      </c>
      <c r="BF327" s="30" t="s">
        <v>1120</v>
      </c>
      <c r="BG327" s="30" t="s">
        <v>28</v>
      </c>
      <c r="BL327" s="30" t="s">
        <v>1140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1115</v>
      </c>
      <c r="D328" s="30" t="s">
        <v>27</v>
      </c>
      <c r="E328" s="30" t="s">
        <v>1166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1124</v>
      </c>
      <c r="H328" s="30" t="s">
        <v>1212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1192</v>
      </c>
      <c r="D329" s="30" t="s">
        <v>27</v>
      </c>
      <c r="E329" s="30" t="s">
        <v>1475</v>
      </c>
      <c r="F329" s="30" t="str">
        <f>IF(ISBLANK(Table2[[#This Row],[unique_id]]), "", PROPER(SUBSTITUTE(Table2[[#This Row],[unique_id]], "_", " ")))</f>
        <v>Host Mad Temperature</v>
      </c>
      <c r="G329" s="30" t="s">
        <v>1479</v>
      </c>
      <c r="H329" s="30" t="s">
        <v>1212</v>
      </c>
      <c r="I329" s="30" t="s">
        <v>291</v>
      </c>
      <c r="K329" s="30" t="s">
        <v>1476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1481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9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29" s="30" t="str">
        <f>IF(ISBLANK(Table2[[#This Row],[index]]),  "", _xlfn.CONCAT("supervisor/", Table2[[#This Row],[unique_id_device]], "/status"))</f>
        <v>supervisor/macmini-mad/status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1192</v>
      </c>
      <c r="BC329" s="30" t="s">
        <v>1518</v>
      </c>
      <c r="BD329" s="30" t="s">
        <v>1122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1192</v>
      </c>
      <c r="D330" s="30" t="s">
        <v>27</v>
      </c>
      <c r="E330" s="30" t="s">
        <v>1476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1479</v>
      </c>
      <c r="H330" s="30" t="s">
        <v>1212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1192</v>
      </c>
      <c r="D331" s="30" t="s">
        <v>27</v>
      </c>
      <c r="E331" s="30" t="s">
        <v>1477</v>
      </c>
      <c r="F331" s="30" t="str">
        <f>IF(ISBLANK(Table2[[#This Row],[unique_id]]), "", PROPER(SUBSTITUTE(Table2[[#This Row],[unique_id]], "_", " ")))</f>
        <v>Host Max Temperature</v>
      </c>
      <c r="G331" s="30" t="s">
        <v>1480</v>
      </c>
      <c r="H331" s="30" t="s">
        <v>1212</v>
      </c>
      <c r="I331" s="30" t="s">
        <v>291</v>
      </c>
      <c r="K331" s="30" t="s">
        <v>1478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1482</v>
      </c>
      <c r="AJ33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31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31" s="30" t="str">
        <f>IF(ISBLANK(Table2[[#This Row],[index]]),  "", _xlfn.CONCAT("supervisor/", Table2[[#This Row],[unique_id_device]], "/status"))</f>
        <v>supervisor/macmini-max/status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1192</v>
      </c>
      <c r="BC331" s="30" t="s">
        <v>1518</v>
      </c>
      <c r="BD331" s="30" t="s">
        <v>1122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1192</v>
      </c>
      <c r="D332" s="30" t="s">
        <v>27</v>
      </c>
      <c r="E332" s="30" t="s">
        <v>1478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1480</v>
      </c>
      <c r="H332" s="30" t="s">
        <v>1212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1192</v>
      </c>
      <c r="D333" s="30" t="s">
        <v>27</v>
      </c>
      <c r="E333" s="30" t="s">
        <v>1440</v>
      </c>
      <c r="F333" s="30" t="str">
        <f>IF(ISBLANK(Table2[[#This Row],[unique_id]]), "", PROPER(SUBSTITUTE(Table2[[#This Row],[unique_id]], "_", " ")))</f>
        <v>Host May Temperature</v>
      </c>
      <c r="G333" s="30" t="s">
        <v>1439</v>
      </c>
      <c r="H333" s="30" t="s">
        <v>1212</v>
      </c>
      <c r="I333" s="30" t="s">
        <v>291</v>
      </c>
      <c r="K333" s="30" t="s">
        <v>1441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1446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33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33" s="30" t="str">
        <f>IF(ISBLANK(Table2[[#This Row],[index]]),  "", _xlfn.CONCAT("supervisor/", Table2[[#This Row],[unique_id_device]], "/status"))</f>
        <v>supervisor/macmini-may/status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1192</v>
      </c>
      <c r="BC333" s="30" t="s">
        <v>1518</v>
      </c>
      <c r="BD333" s="30" t="s">
        <v>1122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1192</v>
      </c>
      <c r="D334" s="30" t="s">
        <v>27</v>
      </c>
      <c r="E334" s="30" t="s">
        <v>1441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1439</v>
      </c>
      <c r="H334" s="30" t="s">
        <v>1212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1192</v>
      </c>
      <c r="D335" s="30" t="s">
        <v>27</v>
      </c>
      <c r="E335" s="30" t="s">
        <v>1205</v>
      </c>
      <c r="F335" s="30" t="str">
        <f>IF(ISBLANK(Table2[[#This Row],[unique_id]]), "", PROPER(SUBSTITUTE(Table2[[#This Row],[unique_id]], "_", " ")))</f>
        <v>Host Meg Temperature</v>
      </c>
      <c r="G335" s="30" t="s">
        <v>1208</v>
      </c>
      <c r="H335" s="30" t="s">
        <v>1212</v>
      </c>
      <c r="I335" s="30" t="s">
        <v>291</v>
      </c>
      <c r="K335" s="30" t="s">
        <v>1207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1142</v>
      </c>
      <c r="AJ33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35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35" s="30" t="str">
        <f>IF(ISBLANK(Table2[[#This Row],[index]]),  "", _xlfn.CONCAT("supervisor/", Table2[[#This Row],[unique_id_device]], "/status"))</f>
        <v>supervisor/macmini-meg/status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1192</v>
      </c>
      <c r="BC335" s="30" t="s">
        <v>1518</v>
      </c>
      <c r="BD335" s="30" t="s">
        <v>1122</v>
      </c>
      <c r="BF335" s="30" t="s">
        <v>990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1192</v>
      </c>
      <c r="D336" s="30" t="s">
        <v>27</v>
      </c>
      <c r="E336" s="30" t="s">
        <v>1207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1208</v>
      </c>
      <c r="H336" s="30" t="s">
        <v>1212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1209</v>
      </c>
      <c r="D337" s="30" t="s">
        <v>27</v>
      </c>
      <c r="E337" s="30" t="s">
        <v>1217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1214</v>
      </c>
      <c r="H337" s="30" t="s">
        <v>1213</v>
      </c>
      <c r="I337" s="30" t="s">
        <v>291</v>
      </c>
      <c r="K337" s="30" t="s">
        <v>1164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1209</v>
      </c>
      <c r="D338" s="30" t="s">
        <v>27</v>
      </c>
      <c r="E338" s="30" t="s">
        <v>1216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1425</v>
      </c>
      <c r="H338" s="30" t="s">
        <v>1211</v>
      </c>
      <c r="I338" s="30" t="s">
        <v>291</v>
      </c>
      <c r="K338" s="30" t="s">
        <v>1170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1192</v>
      </c>
      <c r="D339" s="30" t="s">
        <v>27</v>
      </c>
      <c r="E339" s="30" t="s">
        <v>1452</v>
      </c>
      <c r="F339" s="30" t="str">
        <f>IF(ISBLANK(Table2[[#This Row],[unique_id]]), "", PROPER(SUBSTITUTE(Table2[[#This Row],[unique_id]], "_", " ")))</f>
        <v>Host Jen Temperature</v>
      </c>
      <c r="G339" s="30" t="s">
        <v>1453</v>
      </c>
      <c r="H339" s="30" t="s">
        <v>1211</v>
      </c>
      <c r="I339" s="30" t="s">
        <v>291</v>
      </c>
      <c r="K339" s="30" t="s">
        <v>1448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1449</v>
      </c>
      <c r="AJ33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9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39" s="30" t="str">
        <f>IF(ISBLANK(Table2[[#This Row],[index]]),  "", _xlfn.CONCAT("supervisor/", Table2[[#This Row],[unique_id_device]], "/status"))</f>
        <v>supervisor/raspbpi-jen/status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1192</v>
      </c>
      <c r="BC339" s="30" t="s">
        <v>1518</v>
      </c>
      <c r="BD339" s="30" t="s">
        <v>1122</v>
      </c>
      <c r="BF339" s="30" t="s">
        <v>990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1192</v>
      </c>
      <c r="D340" s="30" t="s">
        <v>27</v>
      </c>
      <c r="E340" s="30" t="s">
        <v>1448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1453</v>
      </c>
      <c r="H340" s="30" t="s">
        <v>1211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1211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1189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1189</v>
      </c>
      <c r="I348" s="49" t="s">
        <v>291</v>
      </c>
      <c r="O348" s="51"/>
      <c r="T348" s="52"/>
      <c r="V348" s="51" t="s">
        <v>1226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1187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1224</v>
      </c>
      <c r="BC348" s="49" t="s">
        <v>36</v>
      </c>
      <c r="BD348" s="49" t="s">
        <v>37</v>
      </c>
      <c r="BF348" s="49" t="s">
        <v>1064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1358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1359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992</v>
      </c>
      <c r="BC350" s="30" t="s">
        <v>994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1360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992</v>
      </c>
      <c r="BC351" s="30" t="s">
        <v>994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1361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1189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992</v>
      </c>
      <c r="BC352" s="30" t="s">
        <v>994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1189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1189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1189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1483</v>
      </c>
      <c r="F357" s="36" t="str">
        <f>IF(ISBLANK(Table2[[#This Row],[unique_id]]), "", PROPER(SUBSTITUTE(Table2[[#This Row],[unique_id]], "_", " ")))</f>
        <v>Rack Printer Plug</v>
      </c>
      <c r="G357" s="30" t="s">
        <v>1498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1484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1264</v>
      </c>
      <c r="BL357" s="30" t="s">
        <v>1503</v>
      </c>
      <c r="BM357" s="30" t="s">
        <v>1499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1493</v>
      </c>
      <c r="F358" s="36" t="str">
        <f>IF(ISBLANK(Table2[[#This Row],[unique_id]]), "", PROPER(SUBSTITUTE(Table2[[#This Row],[unique_id]], "_", " ")))</f>
        <v>Rack Screen Plug</v>
      </c>
      <c r="G358" s="30" t="s">
        <v>1486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1109</v>
      </c>
      <c r="AB358" s="30"/>
      <c r="AC358" s="30"/>
      <c r="AE358" s="30" t="s">
        <v>1487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1490</v>
      </c>
      <c r="BC358" s="39" t="s">
        <v>767</v>
      </c>
      <c r="BD358" s="30" t="s">
        <v>1110</v>
      </c>
      <c r="BF358" s="30" t="s">
        <v>887</v>
      </c>
      <c r="BG358" s="30" t="s">
        <v>28</v>
      </c>
      <c r="BK358" s="30" t="s">
        <v>1264</v>
      </c>
      <c r="BL358" s="30" t="s">
        <v>1495</v>
      </c>
      <c r="BM358" s="30" t="s">
        <v>1491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1467</v>
      </c>
      <c r="F359" s="36" t="str">
        <f>IF(ISBLANK(Table2[[#This Row],[unique_id]]), "", PROPER(SUBSTITUTE(Table2[[#This Row],[unique_id]], "_", " ")))</f>
        <v>Rack Backup Plug</v>
      </c>
      <c r="G359" s="30" t="s">
        <v>1485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1109</v>
      </c>
      <c r="AB359" s="30"/>
      <c r="AC359" s="30"/>
      <c r="AE359" s="30" t="s">
        <v>1488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1489</v>
      </c>
      <c r="BC359" s="39" t="s">
        <v>767</v>
      </c>
      <c r="BD359" s="30" t="s">
        <v>1110</v>
      </c>
      <c r="BF359" s="30" t="s">
        <v>887</v>
      </c>
      <c r="BG359" s="30" t="s">
        <v>28</v>
      </c>
      <c r="BK359" s="30" t="s">
        <v>1264</v>
      </c>
      <c r="BL359" s="30" t="s">
        <v>1494</v>
      </c>
      <c r="BM359" s="30" t="s">
        <v>1492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1109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1110</v>
      </c>
      <c r="BF360" s="30" t="s">
        <v>887</v>
      </c>
      <c r="BG360" s="30" t="s">
        <v>28</v>
      </c>
      <c r="BK360" s="30" t="s">
        <v>1264</v>
      </c>
      <c r="BL360" s="30" t="s">
        <v>589</v>
      </c>
      <c r="BM360" s="30" t="s">
        <v>1318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1071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1068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981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1070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981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978</v>
      </c>
      <c r="BK362" s="30" t="s">
        <v>1264</v>
      </c>
      <c r="BL362" s="30" t="s">
        <v>349</v>
      </c>
      <c r="BM362" s="30" t="s">
        <v>1298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1401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1068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1021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1402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1021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977</v>
      </c>
      <c r="BK364" s="55" t="s">
        <v>1264</v>
      </c>
      <c r="BL364" s="55" t="s">
        <v>340</v>
      </c>
      <c r="BM364" s="55" t="s">
        <v>1299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1403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1404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1019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977</v>
      </c>
      <c r="BK366" s="55" t="s">
        <v>1264</v>
      </c>
      <c r="BL366" s="55" t="s">
        <v>351</v>
      </c>
      <c r="BM366" s="55" t="s">
        <v>1300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1405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1019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1406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1019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978</v>
      </c>
      <c r="BK368" s="55" t="s">
        <v>1264</v>
      </c>
      <c r="BL368" s="55" t="s">
        <v>352</v>
      </c>
      <c r="BM368" s="55" t="s">
        <v>1301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1407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1067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1408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978</v>
      </c>
      <c r="BK370" s="55" t="s">
        <v>1264</v>
      </c>
      <c r="BL370" s="55" t="s">
        <v>343</v>
      </c>
      <c r="BM370" s="55" t="s">
        <v>1302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978</v>
      </c>
      <c r="BK372" s="30" t="s">
        <v>1264</v>
      </c>
      <c r="BL372" s="30" t="s">
        <v>355</v>
      </c>
      <c r="BM372" s="30" t="s">
        <v>1313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1409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1067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1410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977</v>
      </c>
      <c r="BK374" s="55" t="s">
        <v>1264</v>
      </c>
      <c r="BL374" s="55" t="s">
        <v>344</v>
      </c>
      <c r="BM374" s="55" t="s">
        <v>1303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1411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1067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1412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977</v>
      </c>
      <c r="BK376" s="55" t="s">
        <v>1264</v>
      </c>
      <c r="BL376" s="55" t="s">
        <v>345</v>
      </c>
      <c r="BM376" s="55" t="s">
        <v>1304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1497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1068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1022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1496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1022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978</v>
      </c>
      <c r="BK378" s="63" t="s">
        <v>1264</v>
      </c>
      <c r="BL378" s="63" t="s">
        <v>1468</v>
      </c>
      <c r="BM378" s="63" t="s">
        <v>1469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1068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1023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1023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978</v>
      </c>
      <c r="BK380" s="30" t="s">
        <v>1264</v>
      </c>
      <c r="BL380" s="30" t="s">
        <v>347</v>
      </c>
      <c r="BM380" s="30" t="s">
        <v>1306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1393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1394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1394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1392</v>
      </c>
      <c r="F382" s="36" t="str">
        <f>IF(ISBLANK(Table2[[#This Row],[unique_id]]), "", PROPER(SUBSTITUTE(Table2[[#This Row],[unique_id]], "_", " ")))</f>
        <v>Garden Sewerage Blower Plug</v>
      </c>
      <c r="G382" s="30" t="s">
        <v>1394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1394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978</v>
      </c>
      <c r="BK382" s="30" t="s">
        <v>1264</v>
      </c>
      <c r="BL382" s="36" t="s">
        <v>363</v>
      </c>
      <c r="BM382" s="36" t="s">
        <v>1285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1413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1067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1414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977</v>
      </c>
      <c r="BK384" s="55" t="s">
        <v>1264</v>
      </c>
      <c r="BL384" s="55" t="s">
        <v>341</v>
      </c>
      <c r="BM384" s="55" t="s">
        <v>1307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1415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1416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978</v>
      </c>
      <c r="BK386" s="55" t="s">
        <v>1264</v>
      </c>
      <c r="BL386" s="55" t="s">
        <v>342</v>
      </c>
      <c r="BM386" s="55" t="s">
        <v>1308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1417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1067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1418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977</v>
      </c>
      <c r="BK388" s="55" t="s">
        <v>1264</v>
      </c>
      <c r="BL388" s="55" t="s">
        <v>800</v>
      </c>
      <c r="BM388" s="55" t="s">
        <v>1309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1015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1016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1515</v>
      </c>
      <c r="F391" s="36" t="str">
        <f>IF(ISBLANK(Table2[[#This Row],[unique_id]]), "", PROPER(SUBSTITUTE(Table2[[#This Row],[unique_id]], "_", " ")))</f>
        <v>Ada Desk Outlet</v>
      </c>
      <c r="G391" s="30" t="s">
        <v>1514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1502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1516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1501</v>
      </c>
      <c r="F392" s="36" t="str">
        <f>IF(ISBLANK(Table2[[#This Row],[unique_id]]), "", PROPER(SUBSTITUTE(Table2[[#This Row],[unique_id]], "_", " ")))</f>
        <v>Edwin Desk Outlet</v>
      </c>
      <c r="G392" s="30" t="s">
        <v>1500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1502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1442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1443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1067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1447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1444</v>
      </c>
      <c r="F394" s="57" t="str">
        <f>IF(ISBLANK(Table2[[#This Row],[unique_id]]), "", PROPER(SUBSTITUTE(Table2[[#This Row],[unique_id]], "_", " ")))</f>
        <v>Broken Server May Plug</v>
      </c>
      <c r="G394" s="55" t="s">
        <v>1443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1447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978</v>
      </c>
      <c r="BK394" s="55" t="s">
        <v>1264</v>
      </c>
      <c r="BL394" s="55" t="s">
        <v>804</v>
      </c>
      <c r="BM394" s="55" t="s">
        <v>1310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1419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1067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1060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1420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1060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978</v>
      </c>
      <c r="BK396" s="55" t="s">
        <v>1264</v>
      </c>
      <c r="BL396" s="55" t="s">
        <v>803</v>
      </c>
      <c r="BM396" s="55" t="s">
        <v>1311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1450</v>
      </c>
      <c r="F397" s="36" t="str">
        <f>IF(ISBLANK(Table2[[#This Row],[unique_id]]), "", PROPER(SUBSTITUTE(Table2[[#This Row],[unique_id]], "_", " ")))</f>
        <v>Template Server Jen Plug Proxy</v>
      </c>
      <c r="G397" s="30" t="s">
        <v>1454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1455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1451</v>
      </c>
      <c r="F398" s="36" t="str">
        <f>IF(ISBLANK(Table2[[#This Row],[unique_id]]), "", PROPER(SUBSTITUTE(Table2[[#This Row],[unique_id]], "_", " ")))</f>
        <v>Server Jen Plug</v>
      </c>
      <c r="G398" s="30" t="s">
        <v>1454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1455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978</v>
      </c>
      <c r="BK398" s="30" t="s">
        <v>1264</v>
      </c>
      <c r="BL398" s="30" t="s">
        <v>348</v>
      </c>
      <c r="BM398" s="30" t="s">
        <v>1312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1069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1108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1019</v>
      </c>
      <c r="BC400" s="30" t="s">
        <v>915</v>
      </c>
      <c r="BD400" s="30" t="s">
        <v>1110</v>
      </c>
      <c r="BF400" s="30" t="s">
        <v>887</v>
      </c>
      <c r="BG400" s="30" t="s">
        <v>28</v>
      </c>
      <c r="BK400" s="30" t="s">
        <v>1264</v>
      </c>
      <c r="BL400" s="30" t="s">
        <v>914</v>
      </c>
      <c r="BM400" s="30" t="s">
        <v>1314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1104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1019</v>
      </c>
      <c r="BC401" s="30" t="s">
        <v>915</v>
      </c>
      <c r="BD401" s="30" t="s">
        <v>1110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1105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1019</v>
      </c>
      <c r="BC402" s="30" t="s">
        <v>915</v>
      </c>
      <c r="BD402" s="30" t="s">
        <v>1110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1094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1434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1069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1095</v>
      </c>
      <c r="F404" s="36" t="str">
        <f>IF(ISBLANK(Table2[[#This Row],[unique_id]]), "", PROPER(SUBSTITUTE(Table2[[#This Row],[unique_id]], "_", " ")))</f>
        <v>Ceiling Network Switch Plug</v>
      </c>
      <c r="G404" s="30" t="s">
        <v>1434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1108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1110</v>
      </c>
      <c r="BF404" s="30" t="s">
        <v>887</v>
      </c>
      <c r="BG404" s="30" t="s">
        <v>403</v>
      </c>
      <c r="BK404" s="30" t="s">
        <v>1264</v>
      </c>
      <c r="BL404" s="41" t="s">
        <v>980</v>
      </c>
      <c r="BM404" s="30" t="s">
        <v>1316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1096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1434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1104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1110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1097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1434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1105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1110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1421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1067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1024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1422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1024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977</v>
      </c>
      <c r="BK408" s="55" t="s">
        <v>1264</v>
      </c>
      <c r="BL408" s="55" t="s">
        <v>354</v>
      </c>
      <c r="BM408" s="55" t="s">
        <v>1317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989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989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989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1506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1043</v>
      </c>
      <c r="BG435" s="30" t="s">
        <v>130</v>
      </c>
      <c r="BK435" s="30" t="s">
        <v>1263</v>
      </c>
      <c r="BL435" s="41" t="s">
        <v>420</v>
      </c>
      <c r="BM435" s="39" t="s">
        <v>1265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127</v>
      </c>
      <c r="BK436" s="30" t="s">
        <v>1263</v>
      </c>
      <c r="BL436" s="41" t="s">
        <v>419</v>
      </c>
      <c r="BM436" s="39" t="s">
        <v>1266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1037</v>
      </c>
      <c r="BD437" s="30" t="s">
        <v>235</v>
      </c>
      <c r="BF437" s="30" t="s">
        <v>1044</v>
      </c>
      <c r="BG437" s="30" t="s">
        <v>192</v>
      </c>
      <c r="BK437" s="30" t="s">
        <v>1263</v>
      </c>
      <c r="BL437" s="41" t="s">
        <v>637</v>
      </c>
      <c r="BM437" s="39" t="s">
        <v>1267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1037</v>
      </c>
      <c r="BD438" s="30" t="s">
        <v>235</v>
      </c>
      <c r="BF438" s="30" t="s">
        <v>1044</v>
      </c>
      <c r="BG438" s="30" t="s">
        <v>206</v>
      </c>
      <c r="BK438" s="30" t="s">
        <v>1263</v>
      </c>
      <c r="BL438" s="41" t="s">
        <v>730</v>
      </c>
      <c r="BM438" s="39" t="s">
        <v>1268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1043</v>
      </c>
      <c r="BG439" s="30" t="s">
        <v>212</v>
      </c>
      <c r="BK439" s="30" t="s">
        <v>1263</v>
      </c>
      <c r="BL439" s="41" t="s">
        <v>417</v>
      </c>
      <c r="BM439" s="39" t="s">
        <v>1269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1043</v>
      </c>
      <c r="BG440" s="30" t="s">
        <v>194</v>
      </c>
      <c r="BK440" s="30" t="s">
        <v>1263</v>
      </c>
      <c r="BL440" s="41" t="s">
        <v>418</v>
      </c>
      <c r="BM440" s="39" t="s">
        <v>1270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1045</v>
      </c>
      <c r="BD441" s="30" t="s">
        <v>235</v>
      </c>
      <c r="BF441" s="30" t="s">
        <v>823</v>
      </c>
      <c r="BG441" s="30" t="s">
        <v>194</v>
      </c>
      <c r="BK441" s="30" t="s">
        <v>1263</v>
      </c>
      <c r="BL441" s="41" t="s">
        <v>1242</v>
      </c>
      <c r="BM441" s="39" t="s">
        <v>1271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1045</v>
      </c>
      <c r="BD442" s="30" t="s">
        <v>235</v>
      </c>
      <c r="BF442" s="30" t="s">
        <v>823</v>
      </c>
      <c r="BG442" s="30" t="s">
        <v>206</v>
      </c>
      <c r="BK442" s="30" t="s">
        <v>1263</v>
      </c>
      <c r="BL442" s="41" t="s">
        <v>1243</v>
      </c>
      <c r="BM442" s="39" t="s">
        <v>1274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981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1263</v>
      </c>
      <c r="BL443" s="41" t="s">
        <v>581</v>
      </c>
      <c r="BM443" s="39" t="s">
        <v>1272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981</v>
      </c>
      <c r="BC444" s="30" t="s">
        <v>1038</v>
      </c>
      <c r="BD444" s="30" t="s">
        <v>264</v>
      </c>
      <c r="BF444" s="30" t="s">
        <v>397</v>
      </c>
      <c r="BG444" s="30" t="s">
        <v>192</v>
      </c>
      <c r="BK444" s="30" t="s">
        <v>1263</v>
      </c>
      <c r="BL444" s="41" t="s">
        <v>399</v>
      </c>
      <c r="BM444" s="39" t="s">
        <v>1273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981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1263</v>
      </c>
      <c r="BL445" s="41" t="s">
        <v>421</v>
      </c>
      <c r="BM445" s="39" t="s">
        <v>1275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1041</v>
      </c>
      <c r="BD447" s="30" t="s">
        <v>182</v>
      </c>
      <c r="BF447" s="30">
        <v>15.4</v>
      </c>
      <c r="BG447" s="30" t="s">
        <v>194</v>
      </c>
      <c r="BK447" s="30" t="s">
        <v>1263</v>
      </c>
      <c r="BL447" s="30" t="s">
        <v>585</v>
      </c>
      <c r="BM447" s="39" t="s">
        <v>1276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206</v>
      </c>
      <c r="BK449" s="30" t="s">
        <v>1263</v>
      </c>
      <c r="BL449" s="30" t="s">
        <v>368</v>
      </c>
      <c r="BM449" s="39" t="s">
        <v>1277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1040</v>
      </c>
      <c r="BD450" s="30" t="s">
        <v>182</v>
      </c>
      <c r="BF450" s="30">
        <v>15.4</v>
      </c>
      <c r="BG450" s="30" t="s">
        <v>206</v>
      </c>
      <c r="BK450" s="30" t="s">
        <v>1263</v>
      </c>
      <c r="BL450" s="37" t="s">
        <v>367</v>
      </c>
      <c r="BM450" s="39" t="s">
        <v>1278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1039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1039</v>
      </c>
      <c r="BD452" s="30" t="s">
        <v>182</v>
      </c>
      <c r="BF452" s="30">
        <v>15.4</v>
      </c>
      <c r="BG452" s="30" t="s">
        <v>192</v>
      </c>
      <c r="BK452" s="30" t="s">
        <v>1263</v>
      </c>
      <c r="BL452" s="30" t="s">
        <v>366</v>
      </c>
      <c r="BM452" s="39" t="s">
        <v>1279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1322</v>
      </c>
      <c r="F453" s="36" t="str">
        <f>IF(ISBLANK(Table2[[#This Row],[unique_id]]), "", PROPER(SUBSTITUTE(Table2[[#This Row],[unique_id]], "_", " ")))</f>
        <v>Parents Homepod</v>
      </c>
      <c r="G453" s="30" t="s">
        <v>1323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1324</v>
      </c>
      <c r="BC453" s="30" t="s">
        <v>1042</v>
      </c>
      <c r="BD453" s="30" t="s">
        <v>264</v>
      </c>
      <c r="BF453" s="30" t="s">
        <v>397</v>
      </c>
      <c r="BG453" s="30" t="s">
        <v>192</v>
      </c>
      <c r="BK453" s="30" t="s">
        <v>1263</v>
      </c>
      <c r="BL453" s="41" t="s">
        <v>400</v>
      </c>
      <c r="BM453" s="39" t="s">
        <v>1280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1032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1036</v>
      </c>
      <c r="BC457" s="37" t="s">
        <v>642</v>
      </c>
      <c r="BD457" s="30" t="s">
        <v>1110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1032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1036</v>
      </c>
      <c r="BC462" s="37" t="s">
        <v>642</v>
      </c>
      <c r="BD462" s="30" t="s">
        <v>1110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1335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1435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1264</v>
      </c>
      <c r="BL472" s="30" t="s">
        <v>383</v>
      </c>
      <c r="BM472" s="30" t="s">
        <v>1319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1336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1435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1264</v>
      </c>
      <c r="BL474" s="30" t="s">
        <v>384</v>
      </c>
      <c r="BM474" s="30" t="s">
        <v>1320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1436</v>
      </c>
      <c r="BA476" s="30" t="str">
        <f>IF(ISBLANK(Table2[[#This Row],[device_model]]), "", Table2[[#This Row],[device_suggested_area]])</f>
        <v>Rack</v>
      </c>
      <c r="BC476" s="30" t="s">
        <v>1028</v>
      </c>
      <c r="BD476" s="30" t="s">
        <v>234</v>
      </c>
      <c r="BF476" s="30" t="s">
        <v>402</v>
      </c>
      <c r="BG476" s="30" t="s">
        <v>28</v>
      </c>
      <c r="BK476" s="30" t="s">
        <v>1257</v>
      </c>
      <c r="BL476" s="30" t="s">
        <v>405</v>
      </c>
      <c r="BM476" s="30" t="s">
        <v>1258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1437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1025</v>
      </c>
      <c r="BD477" s="30" t="s">
        <v>234</v>
      </c>
      <c r="BF477" s="30" t="s">
        <v>610</v>
      </c>
      <c r="BG477" s="30" t="s">
        <v>28</v>
      </c>
      <c r="BK477" s="30" t="s">
        <v>1257</v>
      </c>
      <c r="BL477" s="30" t="s">
        <v>611</v>
      </c>
      <c r="BM477" s="30" t="s">
        <v>1259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1437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1026</v>
      </c>
      <c r="BD478" s="30" t="s">
        <v>234</v>
      </c>
      <c r="BF478" s="30" t="s">
        <v>1066</v>
      </c>
      <c r="BG478" s="30" t="s">
        <v>212</v>
      </c>
      <c r="BK478" s="30" t="s">
        <v>1257</v>
      </c>
      <c r="BL478" s="30" t="s">
        <v>406</v>
      </c>
      <c r="BM478" s="30" t="s">
        <v>1473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1437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1472</v>
      </c>
      <c r="BD479" s="30" t="s">
        <v>234</v>
      </c>
      <c r="BF479" s="30" t="s">
        <v>1066</v>
      </c>
      <c r="BG479" s="30" t="s">
        <v>403</v>
      </c>
      <c r="BK479" s="30" t="s">
        <v>1257</v>
      </c>
      <c r="BL479" s="30" t="s">
        <v>1474</v>
      </c>
      <c r="BM479" s="30" t="s">
        <v>1260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1438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1380</v>
      </c>
      <c r="BD480" s="30" t="s">
        <v>234</v>
      </c>
      <c r="BF480" s="30" t="s">
        <v>1065</v>
      </c>
      <c r="BG480" s="30" t="s">
        <v>404</v>
      </c>
      <c r="BK480" s="30" t="s">
        <v>1257</v>
      </c>
      <c r="BL480" s="30" t="s">
        <v>1379</v>
      </c>
      <c r="BM480" s="30" t="s">
        <v>1261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1438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1027</v>
      </c>
      <c r="BD481" s="30" t="s">
        <v>234</v>
      </c>
      <c r="BF481" s="30" t="s">
        <v>1065</v>
      </c>
      <c r="BG481" s="30" t="s">
        <v>1431</v>
      </c>
      <c r="BK481" s="30" t="s">
        <v>1257</v>
      </c>
      <c r="BL481" s="30" t="s">
        <v>1433</v>
      </c>
      <c r="BM481" s="30" t="s">
        <v>1262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1438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1027</v>
      </c>
      <c r="BD482" s="30" t="s">
        <v>234</v>
      </c>
      <c r="BF482" s="30" t="s">
        <v>1065</v>
      </c>
      <c r="BG482" s="30" t="s">
        <v>1430</v>
      </c>
      <c r="BK482" s="30" t="s">
        <v>1257</v>
      </c>
      <c r="BL482" s="30" t="s">
        <v>407</v>
      </c>
      <c r="BM482" s="30" t="s">
        <v>1432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1365</v>
      </c>
      <c r="BA483" s="30" t="str">
        <f>IF(ISBLANK(Table2[[#This Row],[device_model]]), "", Table2[[#This Row],[device_suggested_area]])</f>
        <v>Rack</v>
      </c>
      <c r="BB483" s="30" t="s">
        <v>1376</v>
      </c>
      <c r="BC483" s="30" t="s">
        <v>1367</v>
      </c>
      <c r="BD483" s="30" t="s">
        <v>1365</v>
      </c>
      <c r="BF483" s="30" t="s">
        <v>1373</v>
      </c>
      <c r="BG483" s="30" t="s">
        <v>28</v>
      </c>
      <c r="BL483" s="41"/>
      <c r="BM483" s="30" t="s">
        <v>1375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customHeight="1" x14ac:dyDescent="0.2">
      <c r="A484" s="30">
        <v>5008</v>
      </c>
      <c r="B484" s="39" t="s">
        <v>579</v>
      </c>
      <c r="C484" s="39" t="s">
        <v>1365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1366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1365</v>
      </c>
      <c r="BA484" s="30" t="str">
        <f>IF(ISBLANK(Table2[[#This Row],[device_model]]), "", Table2[[#This Row],[device_suggested_area]])</f>
        <v>Rack</v>
      </c>
      <c r="BB484" s="30" t="s">
        <v>1024</v>
      </c>
      <c r="BC484" s="30" t="s">
        <v>1367</v>
      </c>
      <c r="BD484" s="30" t="s">
        <v>1365</v>
      </c>
      <c r="BF484" s="30" t="s">
        <v>1373</v>
      </c>
      <c r="BG484" s="30" t="s">
        <v>28</v>
      </c>
      <c r="BL484" s="41"/>
      <c r="BM484" s="30" t="s">
        <v>1368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customHeight="1" x14ac:dyDescent="0.2">
      <c r="A485" s="30">
        <v>5009</v>
      </c>
      <c r="B485" s="39" t="s">
        <v>579</v>
      </c>
      <c r="C485" s="39" t="s">
        <v>1369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1370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1369</v>
      </c>
      <c r="BA485" s="30" t="str">
        <f>IF(ISBLANK(Table2[[#This Row],[device_model]]), "", Table2[[#This Row],[device_suggested_area]])</f>
        <v>Rack</v>
      </c>
      <c r="BB485" s="30" t="s">
        <v>1371</v>
      </c>
      <c r="BC485" s="30" t="s">
        <v>1372</v>
      </c>
      <c r="BD485" s="30" t="s">
        <v>1369</v>
      </c>
      <c r="BF485" s="30" t="s">
        <v>1373</v>
      </c>
      <c r="BG485" s="30" t="s">
        <v>28</v>
      </c>
      <c r="BL485" s="41"/>
      <c r="BM485" s="30" t="s">
        <v>1374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1029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1263</v>
      </c>
      <c r="BL486" s="41" t="s">
        <v>432</v>
      </c>
      <c r="BM486" s="30" t="s">
        <v>1281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1056</v>
      </c>
      <c r="BA487" s="30" t="str">
        <f>IF(ISBLANK(Table2[[#This Row],[device_model]]), "", Table2[[#This Row],[device_suggested_area]])</f>
        <v>Wardrobe</v>
      </c>
      <c r="BB487" s="30" t="s">
        <v>1456</v>
      </c>
      <c r="BC487" s="30" t="s">
        <v>1035</v>
      </c>
      <c r="BD487" s="30" t="s">
        <v>554</v>
      </c>
      <c r="BF487" s="63" t="s">
        <v>1460</v>
      </c>
      <c r="BG487" s="30" t="s">
        <v>495</v>
      </c>
      <c r="BK487" s="30" t="s">
        <v>401</v>
      </c>
      <c r="BL487" s="30" t="s">
        <v>553</v>
      </c>
      <c r="BM487" s="30" t="s">
        <v>1256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1056</v>
      </c>
      <c r="BA488" s="30" t="str">
        <f>IF(ISBLANK(Table2[[#This Row],[device_model]]), "", Table2[[#This Row],[device_suggested_area]])</f>
        <v>Guildford</v>
      </c>
      <c r="BB488" s="30" t="s">
        <v>1458</v>
      </c>
      <c r="BC488" s="30" t="s">
        <v>1459</v>
      </c>
      <c r="BD488" s="30" t="s">
        <v>554</v>
      </c>
      <c r="BF488" s="63" t="s">
        <v>1460</v>
      </c>
      <c r="BG488" s="30" t="s">
        <v>1457</v>
      </c>
      <c r="BL488" s="30" t="s">
        <v>1464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1461</v>
      </c>
      <c r="BC489" s="30" t="s">
        <v>1462</v>
      </c>
      <c r="BD489" s="30" t="s">
        <v>264</v>
      </c>
      <c r="BF489" s="63" t="s">
        <v>1466</v>
      </c>
      <c r="BG489" s="30" t="s">
        <v>28</v>
      </c>
      <c r="BK489" s="30" t="s">
        <v>401</v>
      </c>
      <c r="BL489" s="41" t="s">
        <v>1465</v>
      </c>
      <c r="BM489" s="30" t="s">
        <v>1252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1055</v>
      </c>
      <c r="BA490" s="30" t="str">
        <f>IF(ISBLANK(Table2[[#This Row],[device_model]]), "", Table2[[#This Row],[device_suggested_area]])</f>
        <v>Rack</v>
      </c>
      <c r="BB490" s="30" t="s">
        <v>1463</v>
      </c>
      <c r="BC490" s="30" t="s">
        <v>1033</v>
      </c>
      <c r="BD490" s="30" t="s">
        <v>264</v>
      </c>
      <c r="BF490" s="63" t="s">
        <v>1470</v>
      </c>
      <c r="BG490" s="30" t="s">
        <v>28</v>
      </c>
      <c r="BK490" s="30" t="s">
        <v>401</v>
      </c>
      <c r="BL490" s="46" t="s">
        <v>1471</v>
      </c>
      <c r="BM490" s="30" t="s">
        <v>1253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1055</v>
      </c>
      <c r="BA491" s="30" t="str">
        <f>IF(ISBLANK(Table2[[#This Row],[device_model]]), "", Table2[[#This Row],[device_suggested_area]])</f>
        <v>Rack</v>
      </c>
      <c r="BB491" s="30" t="s">
        <v>1445</v>
      </c>
      <c r="BC491" s="30" t="s">
        <v>1033</v>
      </c>
      <c r="BD491" s="30" t="s">
        <v>264</v>
      </c>
      <c r="BF491" s="63" t="s">
        <v>1460</v>
      </c>
      <c r="BG491" s="30" t="s">
        <v>28</v>
      </c>
      <c r="BK491" s="30" t="s">
        <v>401</v>
      </c>
      <c r="BL491" s="46" t="s">
        <v>1331</v>
      </c>
      <c r="BM491" s="30" t="s">
        <v>1254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1055</v>
      </c>
      <c r="BA492" s="30" t="str">
        <f>IF(ISBLANK(Table2[[#This Row],[device_model]]), "", Table2[[#This Row],[device_suggested_area]])</f>
        <v>Rack</v>
      </c>
      <c r="BB492" s="30" t="s">
        <v>1034</v>
      </c>
      <c r="BC492" s="30" t="s">
        <v>1033</v>
      </c>
      <c r="BD492" s="30" t="s">
        <v>264</v>
      </c>
      <c r="BF492" s="63" t="s">
        <v>1460</v>
      </c>
      <c r="BG492" s="30" t="s">
        <v>28</v>
      </c>
      <c r="BK492" s="30" t="s">
        <v>401</v>
      </c>
      <c r="BL492" s="30" t="s">
        <v>587</v>
      </c>
      <c r="BM492" s="30" t="s">
        <v>1255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1264</v>
      </c>
      <c r="BL493" s="30" t="s">
        <v>379</v>
      </c>
      <c r="BM493" s="30" t="s">
        <v>1321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1031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2026-03-22T07:06:07Z</dcterms:modified>
</cp:coreProperties>
</file>