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BDC320E8-3C5B-5244-92DE-C2604BF7BC76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87" i="1" l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/>
  <c r="AV285" i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/>
  <c r="AV284" i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8" i="1"/>
  <c r="BA288" i="1"/>
  <c r="AW288" i="1"/>
  <c r="AX288" i="1" s="1"/>
  <c r="AV288" i="1"/>
  <c r="F288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K328" i="1"/>
  <c r="AK324" i="1"/>
  <c r="AK322" i="1"/>
  <c r="AK320" i="1"/>
  <c r="AK318" i="1"/>
  <c r="AJ328" i="1"/>
  <c r="AJ324" i="1"/>
  <c r="AJ322" i="1"/>
  <c r="AJ320" i="1"/>
  <c r="AJ318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BN330" i="1"/>
  <c r="BA330" i="1"/>
  <c r="AW330" i="1"/>
  <c r="AX330" i="1" s="1"/>
  <c r="AV330" i="1"/>
  <c r="F330" i="1"/>
  <c r="BN289" i="1"/>
  <c r="BA289" i="1"/>
  <c r="AW289" i="1"/>
  <c r="AV289" i="1"/>
  <c r="F289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299" i="1"/>
  <c r="BA299" i="1"/>
  <c r="AW299" i="1" s="1"/>
  <c r="AM299" i="1"/>
  <c r="AK299" i="1"/>
  <c r="F299" i="1"/>
  <c r="BN298" i="1"/>
  <c r="BA298" i="1"/>
  <c r="AW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M295" i="1"/>
  <c r="AK295" i="1"/>
  <c r="F295" i="1"/>
  <c r="BN294" i="1"/>
  <c r="BA294" i="1"/>
  <c r="AW294" i="1" s="1"/>
  <c r="AV294" i="1" s="1"/>
  <c r="AM294" i="1"/>
  <c r="AK294" i="1"/>
  <c r="F294" i="1"/>
  <c r="BN293" i="1"/>
  <c r="BA293" i="1"/>
  <c r="AW293" i="1" s="1"/>
  <c r="AM293" i="1"/>
  <c r="AK293" i="1"/>
  <c r="F293" i="1"/>
  <c r="BN292" i="1"/>
  <c r="BA292" i="1"/>
  <c r="AW292" i="1" s="1"/>
  <c r="AV292" i="1" s="1"/>
  <c r="AM292" i="1"/>
  <c r="AK292" i="1"/>
  <c r="F292" i="1"/>
  <c r="BN291" i="1"/>
  <c r="BA291" i="1"/>
  <c r="AW291" i="1" s="1"/>
  <c r="AV291" i="1" s="1"/>
  <c r="AM291" i="1"/>
  <c r="AK291" i="1"/>
  <c r="F291" i="1"/>
  <c r="AK290" i="1"/>
  <c r="BA290" i="1"/>
  <c r="AW290" i="1" s="1"/>
  <c r="AV290" i="1" s="1"/>
  <c r="AM290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0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0" i="1"/>
  <c r="AR77" i="1"/>
  <c r="AR76" i="1"/>
  <c r="AR75" i="1"/>
  <c r="AR74" i="1"/>
  <c r="AR73" i="1"/>
  <c r="AR72" i="1"/>
  <c r="AY283" i="1" l="1"/>
  <c r="AX284" i="1"/>
  <c r="AY287" i="1"/>
  <c r="G287" i="1"/>
  <c r="AX287" i="1"/>
  <c r="AX285" i="1"/>
  <c r="AY285" i="1"/>
  <c r="AX286" i="1"/>
  <c r="AX283" i="1"/>
  <c r="AY286" i="1"/>
  <c r="AY284" i="1"/>
  <c r="G283" i="1"/>
  <c r="AY288" i="1"/>
  <c r="AY282" i="1"/>
  <c r="G282" i="1"/>
  <c r="AX282" i="1"/>
  <c r="AX320" i="1"/>
  <c r="AX318" i="1"/>
  <c r="AY330" i="1"/>
  <c r="AY312" i="1"/>
  <c r="AY289" i="1"/>
  <c r="AX289" i="1"/>
  <c r="AX303" i="1"/>
  <c r="AX306" i="1"/>
  <c r="AX295" i="1"/>
  <c r="AX300" i="1"/>
  <c r="AX310" i="1"/>
  <c r="AY302" i="1"/>
  <c r="AX293" i="1"/>
  <c r="AX296" i="1"/>
  <c r="AX305" i="1"/>
  <c r="AY295" i="1"/>
  <c r="AY305" i="1"/>
  <c r="AY293" i="1"/>
  <c r="AY297" i="1"/>
  <c r="AY307" i="1"/>
  <c r="AX298" i="1"/>
  <c r="AY300" i="1"/>
  <c r="AX308" i="1"/>
  <c r="AY310" i="1"/>
  <c r="AY292" i="1"/>
  <c r="AY303" i="1"/>
  <c r="AY296" i="1"/>
  <c r="AV293" i="1"/>
  <c r="AX292" i="1"/>
  <c r="AY298" i="1"/>
  <c r="AY308" i="1"/>
  <c r="AY294" i="1"/>
  <c r="AX299" i="1"/>
  <c r="AY301" i="1"/>
  <c r="AX309" i="1"/>
  <c r="AY311" i="1"/>
  <c r="AX291" i="1"/>
  <c r="AX302" i="1"/>
  <c r="AY304" i="1"/>
  <c r="AX301" i="1"/>
  <c r="AX311" i="1"/>
  <c r="AX294" i="1"/>
  <c r="AX304" i="1"/>
  <c r="AY306" i="1"/>
  <c r="AY291" i="1"/>
  <c r="AX297" i="1"/>
  <c r="AY299" i="1"/>
  <c r="AX307" i="1"/>
  <c r="AY309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20" i="1"/>
  <c r="AY318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79" i="1"/>
  <c r="AV479" i="1"/>
  <c r="AV478" i="1"/>
  <c r="AY478" i="1"/>
  <c r="AY41" i="1"/>
  <c r="AY43" i="1"/>
  <c r="AX328" i="1"/>
  <c r="AX324" i="1"/>
  <c r="AX314" i="1"/>
  <c r="AX290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0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7" i="1"/>
  <c r="AY226" i="1"/>
  <c r="AV381" i="1"/>
  <c r="AV168" i="1"/>
  <c r="AY47" i="1"/>
  <c r="AV120" i="1"/>
  <c r="AY332" i="1"/>
  <c r="AY215" i="1"/>
  <c r="AY216" i="1"/>
  <c r="AY95" i="1"/>
  <c r="AY101" i="1"/>
  <c r="AY333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5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4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1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7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<sst xmlns="http://schemas.openxmlformats.org/spreadsheetml/2006/main" count="7738" uniqueCount="1523">
  <si>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</si>
  <si>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</si>
  <si>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</si>
  <si>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</si>
  <si>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</si>
  <si>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</si>
  <si>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</si>
  <si>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</si>
  <si>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</si>
  <si>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</si>
  <si>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</si>
  <si>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</si>
  <si>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</si>
  <si>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</si>
  <si>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</si>
  <si>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</si>
  <si>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</si>
  <si>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</si>
  <si>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</si>
  <si>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</si>
  <si>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</si>
  <si>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</si>
  <si>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</si>
  <si>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</si>
  <si>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</si>
  <si>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</si>
  <si>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</si>
  <si>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</si>
  <si>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</si>
  <si>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</si>
  <si>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</si>
  <si>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</si>
  <si>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</si>
  <si>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</si>
  <si>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</si>
  <si>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</si>
  <si>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</si>
  <si>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</si>
  <si>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</si>
  <si>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</si>
  <si>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</si>
  <si>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</si>
  <si>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</si>
  <si>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</si>
  <si>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</si>
  <si>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</si>
  <si>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</si>
  <si>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</si>
  <si>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</si>
  <si>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</si>
  <si>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</si>
  <si>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</si>
  <si>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</si>
  <si>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</si>
  <si>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</si>
  <si>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</si>
  <si>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</si>
  <si>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</si>
  <si>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</si>
  <si>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</si>
  <si>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</si>
  <si>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</si>
  <si>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</si>
  <si>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</si>
  <si>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</si>
  <si>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</si>
  <si>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</si>
  <si>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</si>
  <si>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</si>
  <si>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</si>
  <si>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</si>
  <si>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</si>
  <si>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</si>
  <si>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</si>
  <si>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</si>
  <si>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</si>
  <si>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</si>
  <si>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</si>
  <si>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</si>
  <si>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</si>
  <si>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</si>
  <si>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</si>
  <si>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</si>
  <si>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</si>
  <si>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</si>
  <si>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</si>
  <si>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</si>
  <si>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</si>
  <si>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</si>
  <si>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</si>
  <si>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</si>
  <si>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</si>
  <si>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</si>
  <si>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</si>
  <si>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</si>
  <si>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</si>
  <si>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</si>
  <si>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</si>
  <si>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</si>
  <si>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</si>
  <si>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</si>
  <si>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</si>
  <si>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</si>
  <si>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</si>
  <si>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</si>
  <si>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</si>
  <si>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</si>
  <si>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</si>
  <si>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</si>
  <si>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</si>
  <si>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</si>
  <si>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</si>
  <si>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</si>
  <si>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</si>
  <si>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</si>
  <si>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</si>
  <si>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</si>
  <si>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</si>
  <si>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</si>
  <si>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</si>
  <si>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</si>
  <si>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</si>
  <si>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</si>
  <si>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</si>
  <si>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</si>
  <si>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</si>
  <si>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</si>
  <si>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</si>
  <si>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</si>
  <si>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</si>
  <si>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</si>
  <si>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</si>
  <si>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</si>
  <si>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</si>
  <si>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</si>
  <si>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</si>
  <si>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</si>
  <si>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</si>
  <si>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</si>
  <si>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</si>
  <si>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</si>
  <si>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</si>
  <si>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</si>
  <si>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</si>
  <si>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</si>
  <si>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</si>
  <si>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</si>
  <si>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</si>
  <si>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</si>
  <si>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</si>
  <si>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</si>
  <si>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</si>
  <si>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</si>
  <si>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</si>
  <si>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</si>
  <si>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</si>
  <si>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</si>
  <si>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</si>
  <si>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</si>
  <si>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</si>
  <si>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</si>
  <si>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</si>
  <si>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</si>
  <si>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</si>
  <si>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</si>
  <si>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</si>
  <si>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</si>
  <si>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</si>
  <si>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</si>
  <si>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</si>
  <si>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</si>
  <si>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</si>
  <si>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</si>
  <si>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</si>
  <si>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</si>
  <si>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</si>
  <si>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</si>
  <si>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</si>
  <si>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</si>
  <si>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</si>
  <si>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</si>
  <si>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</si>
  <si>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</si>
  <si>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</si>
  <si>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</si>
  <si>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</si>
  <si>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</si>
  <si>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</si>
  <si>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</si>
  <si>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</si>
  <si>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</si>
  <si>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</si>
  <si>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</si>
  <si>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</si>
  <si>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</si>
  <si>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</si>
  <si>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</si>
  <si>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</si>
  <si>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</si>
  <si>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</si>
  <si>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</si>
  <si>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</si>
  <si>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</si>
  <si>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</si>
  <si>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</si>
  <si>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</si>
  <si>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</si>
  <si>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</si>
  <si>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</si>
  <si>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</si>
  <si>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</si>
  <si>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</si>
  <si>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</si>
  <si>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</si>
  <si>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</si>
  <si>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</si>
  <si>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</si>
  <si>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</si>
  <si>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</si>
  <si>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</si>
  <si>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</si>
  <si>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</si>
  <si>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</si>
  <si>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</si>
  <si>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</si>
  <si>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</si>
  <si>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</si>
  <si>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</si>
  <si>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</si>
  <si>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</si>
  <si>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</si>
  <si>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</si>
  <si>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</si>
  <si>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</si>
  <si>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</si>
  <si>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</si>
  <si>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</si>
  <si>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</si>
  <si>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</si>
  <si>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</si>
  <si>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</si>
  <si>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</si>
  <si>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</si>
  <si>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</si>
  <si>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</si>
  <si>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</si>
  <si>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</si>
  <si>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</si>
  <si>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</si>
  <si>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</si>
  <si>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</si>
  <si>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</si>
  <si>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</si>
  <si>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</si>
  <si>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</si>
  <si>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</si>
  <si>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</si>
  <si>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</si>
  <si>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</si>
  <si>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</si>
  <si>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</si>
  <si>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</si>
  <si>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</si>
  <si>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</si>
  <si>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</si>
  <si>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</si>
  <si>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</si>
  <si>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</si>
  <si>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</si>
  <si>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</si>
  <si>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</si>
  <si>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</si>
  <si>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</si>
  <si>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</si>
  <si>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</si>
  <si>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</si>
  <si>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</si>
  <si>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</si>
  <si>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</si>
  <si>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</si>
  <si>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</si>
  <si>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</si>
  <si>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</si>
  <si>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</si>
  <si>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</si>
  <si>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</si>
  <si>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</si>
  <si>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</si>
  <si>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</si>
  <si>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</si>
  <si>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</si>
  <si>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</si>
  <si>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</si>
  <si>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</si>
  <si>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</si>
  <si>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</si>
  <si>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</si>
  <si>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</si>
  <si>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</si>
  <si>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</si>
  <si>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</si>
  <si>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</si>
  <si>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</si>
  <si>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</si>
  <si>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</si>
  <si>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</si>
  <si>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</si>
  <si>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</si>
  <si>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</si>
  <si>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</si>
  <si>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</si>
  <si>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</si>
  <si>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</si>
  <si>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</si>
  <si>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</si>
  <si>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</si>
  <si>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</si>
  <si>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</si>
  <si>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</si>
  <si>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</si>
  <si>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</si>
  <si>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</si>
  <si>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</si>
  <si>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</si>
  <si>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</si>
  <si>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</si>
  <si>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</si>
  <si>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</si>
  <si>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</si>
  <si>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</si>
  <si>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</si>
  <si>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</si>
  <si>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</si>
  <si>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</si>
  <si>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</si>
  <si>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</si>
  <si>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</si>
  <si>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</si>
  <si>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</si>
  <si>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</si>
  <si>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</si>
  <si>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</si>
  <si>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</si>
  <si>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</si>
  <si>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</si>
  <si>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</si>
  <si>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</si>
  <si>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</si>
  <si>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</si>
  <si>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</si>
  <si>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</si>
  <si>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</si>
  <si>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</si>
  <si>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</si>
  <si>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</si>
  <si>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</si>
  <si>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</si>
  <si>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</si>
  <si>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</si>
  <si>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</si>
  <si>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</si>
  <si>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</si>
  <si>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</si>
  <si>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</si>
  <si>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</si>
  <si>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</si>
  <si>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</si>
  <si>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</si>
  <si>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</si>
  <si>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</si>
  <si>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</si>
  <si>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</si>
  <si>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</si>
  <si>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</si>
  <si>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</si>
  <si>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</si>
  <si>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</si>
  <si>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</si>
  <si>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</si>
  <si>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</si>
  <si>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</si>
  <si>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</si>
  <si>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</si>
  <si>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</si>
  <si>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</si>
  <si>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</si>
  <si>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</si>
  <si>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</si>
  <si>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</si>
  <si>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</si>
  <si>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</si>
  <si>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</si>
  <si>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</si>
  <si>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</si>
  <si>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</si>
  <si>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</si>
  <si>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</si>
  <si>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</si>
  <si>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</si>
  <si>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</si>
  <si>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</si>
  <si>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</si>
  <si>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</si>
  <si>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</si>
  <si>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</si>
  <si>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</si>
  <si>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</si>
  <si>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</si>
  <si>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</si>
  <si>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</si>
  <si>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</si>
  <si>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</si>
  <si>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</si>
  <si>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</si>
  <si>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</si>
  <si>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</si>
  <si>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</si>
  <si>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</si>
  <si>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</si>
  <si>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</si>
  <si>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</si>
  <si>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</si>
  <si>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</si>
  <si>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</si>
  <si>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</si>
  <si>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</si>
  <si>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</si>
  <si>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</si>
  <si>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</si>
  <si>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</si>
  <si>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</si>
  <si>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</si>
  <si>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</si>
  <si>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</si>
  <si>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</si>
  <si>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</si>
  <si>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</si>
  <si>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</si>
  <si>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</si>
  <si>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</si>
  <si>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</si>
  <si>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</si>
  <si>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</si>
  <si>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</si>
  <si>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</si>
  <si>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</si>
  <si>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</si>
  <si>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</si>
  <si>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</si>
  <si>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</si>
  <si>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</si>
  <si>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</si>
  <si>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</si>
  <si>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</si>
  <si>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</si>
  <si>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</si>
  <si>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</si>
  <si>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</si>
  <si>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</si>
  <si>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</si>
  <si>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</si>
  <si>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</si>
  <si>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</si>
  <si>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</si>
  <si>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</si>
  <si>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</si>
  <si>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</si>
  <si>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</si>
  <si>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</si>
  <si>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</si>
  <si>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</si>
  <si>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</si>
  <si>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</si>
  <si>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</si>
  <si>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</si>
  <si>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</si>
  <si>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</si>
  <si>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</si>
  <si>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</si>
  <si>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</si>
  <si>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</si>
  <si>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</si>
  <si>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</si>
  <si>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</si>
  <si>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</si>
  <si>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</si>
  <si>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</si>
  <si>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</si>
  <si>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</si>
  <si>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</si>
  <si>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</si>
  <si>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</si>
  <si>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</si>
  <si>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</si>
  <si>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</si>
  <si>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</si>
  <si>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</si>
  <si>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</si>
  <si>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</si>
  <si>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</si>
  <si>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</si>
  <si>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</si>
  <si>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</si>
  <si>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</si>
  <si>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</si>
  <si>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</si>
  <si>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</si>
  <si>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</si>
  <si>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</si>
  <si>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</si>
  <si>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</si>
  <si>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</si>
  <si>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</si>
  <si>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</si>
  <si>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</si>
  <si>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</si>
  <si>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</si>
  <si>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</si>
  <si>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</si>
  <si>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</si>
  <si>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</si>
  <si>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</si>
  <si>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</si>
  <si>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</si>
  <si>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</si>
  <si>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</si>
  <si>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</si>
  <si>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</si>
  <si>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</si>
  <si>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</si>
  <si>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</si>
  <si>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</si>
  <si>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</si>
  <si>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</si>
  <si>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</si>
  <si>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</si>
  <si>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</si>
  <si>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</si>
  <si>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</si>
  <si>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</si>
  <si>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</si>
  <si>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</si>
  <si>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</si>
  <si>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</si>
  <si>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</si>
  <si>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</si>
  <si>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</si>
  <si>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</si>
  <si>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</si>
  <si>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</si>
  <si>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</si>
  <si>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</si>
  <si>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</si>
  <si>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</si>
  <si>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</si>
  <si>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</si>
  <si>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</si>
  <si>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</si>
  <si>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</si>
  <si>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</si>
  <si>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</si>
  <si>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</si>
  <si>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</si>
  <si>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</si>
  <si>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</si>
  <si>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</si>
  <si>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</si>
  <si>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</si>
  <si>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</si>
  <si>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</si>
  <si>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</si>
  <si>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</si>
  <si>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</si>
  <si>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</si>
  <si>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</si>
  <si>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</si>
  <si>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</si>
  <si>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</si>
  <si>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</si>
  <si>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</si>
  <si>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</si>
  <si>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</si>
  <si>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</si>
  <si>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</si>
  <si>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</si>
  <si>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</si>
  <si>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</si>
  <si>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</si>
  <si>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</si>
  <si>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</si>
  <si>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</si>
  <si>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</si>
  <si>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</si>
  <si>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</si>
  <si>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</si>
  <si>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</si>
  <si>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</si>
  <si>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</si>
  <si>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</si>
  <si>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</si>
  <si>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</si>
  <si>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</si>
  <si>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</si>
  <si>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</si>
  <si>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</si>
  <si>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</si>
  <si>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</si>
  <si>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</si>
  <si>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</si>
  <si>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</si>
  <si>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</si>
  <si>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</si>
  <si>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</si>
  <si>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</si>
  <si>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</si>
  <si>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</si>
  <si>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</si>
  <si>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</si>
  <si>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</si>
  <si>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</si>
  <si>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</si>
  <si>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</si>
  <si>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</si>
  <si>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</si>
  <si>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</si>
  <si>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</si>
  <si>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</si>
  <si>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</si>
  <si>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</si>
  <si>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</si>
  <si>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</si>
  <si>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</si>
  <si>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</si>
  <si>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</si>
  <si>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</si>
  <si>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</si>
  <si>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</si>
  <si>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</si>
  <si>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</si>
  <si>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</si>
  <si>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</si>
  <si>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</si>
  <si>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</si>
  <si>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</si>
  <si>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</si>
  <si>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</si>
  <si>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</si>
  <si>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</si>
  <si>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</si>
  <si>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</si>
  <si>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</si>
  <si>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</si>
  <si>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</si>
  <si>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</si>
  <si>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</si>
  <si>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</si>
  <si>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</si>
  <si>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</si>
  <si>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</si>
  <si>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</si>
  <si>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</si>
  <si>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</si>
  <si>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</si>
  <si>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</si>
  <si>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</si>
  <si>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</si>
  <si>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</si>
  <si>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</si>
  <si>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</si>
  <si>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</si>
  <si>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</si>
  <si>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</si>
  <si>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</si>
  <si>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</si>
  <si>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</si>
  <si>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</si>
  <si>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</si>
  <si>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</si>
  <si>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</si>
  <si>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</si>
  <si>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</si>
  <si>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</si>
  <si>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</si>
  <si>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</si>
  <si>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</si>
  <si>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</si>
  <si>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</si>
  <si>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</si>
  <si>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</si>
  <si>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</si>
  <si>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</si>
  <si>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</si>
  <si>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</si>
  <si>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</si>
  <si>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</si>
  <si>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</si>
  <si>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</si>
  <si>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</si>
  <si>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</si>
  <si>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</si>
  <si>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</si>
  <si>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</si>
  <si>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</si>
  <si>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</si>
  <si>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</si>
  <si>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</si>
  <si>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</si>
  <si>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</si>
  <si>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</si>
  <si>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</si>
  <si>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</si>
  <si>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</si>
  <si>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</si>
  <si>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</si>
  <si>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</si>
  <si>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</si>
  <si>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</si>
  <si>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</si>
  <si>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</si>
  <si>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</si>
  <si>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</si>
  <si>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</si>
  <si>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</si>
  <si>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</si>
  <si>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</si>
  <si>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</si>
  <si>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</si>
  <si>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</si>
  <si>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</si>
  <si>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</si>
  <si>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</si>
  <si>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</si>
  <si>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</si>
  <si>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</si>
  <si>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</si>
  <si>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</si>
  <si>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</si>
  <si>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</si>
  <si>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</si>
  <si>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</si>
  <si>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</si>
  <si>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</si>
  <si>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</si>
  <si>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</si>
  <si>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</si>
  <si>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</si>
  <si>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</si>
  <si>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</si>
  <si>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</si>
  <si>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</si>
  <si>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</si>
  <si>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</si>
  <si>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</si>
  <si>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</si>
  <si>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</si>
  <si>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</si>
  <si>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</si>
  <si>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</si>
  <si>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</si>
  <si>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</si>
  <si>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</si>
  <si>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</si>
  <si>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</si>
  <si>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</si>
  <si>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</si>
  <si>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</si>
  <si>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</si>
  <si>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</si>
  <si>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</si>
  <si>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</si>
  <si>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</si>
  <si>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</si>
  <si>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</si>
  <si>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</si>
  <si>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</si>
  <si>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</si>
  <si>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</si>
  <si>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</si>
  <si>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</si>
  <si>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</si>
  <si>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</si>
  <si>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</si>
  <si>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</si>
  <si>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</si>
  <si>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</si>
  <si>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</si>
  <si>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</si>
  <si>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</si>
  <si>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</si>
  <si>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</si>
  <si>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</si>
  <si>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</si>
  <si>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</si>
  <si>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</si>
  <si>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</si>
  <si>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</si>
  <si>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</si>
  <si>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</si>
  <si>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</si>
  <si>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</si>
  <si>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</si>
  <si>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</si>
  <si>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</si>
  <si>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</si>
  <si>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</si>
  <si>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</si>
  <si>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</si>
  <si>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</si>
  <si>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</si>
  <si>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</si>
  <si>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</si>
  <si>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</si>
  <si>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</si>
  <si>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</si>
  <si>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</si>
  <si>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</si>
  <si>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</si>
  <si>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</si>
  <si>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</si>
  <si>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</si>
  <si>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</si>
  <si>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</si>
  <si>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</si>
  <si>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</si>
  <si>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</si>
  <si>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</si>
  <si>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</si>
  <si>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</si>
  <si>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</si>
  <si>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</si>
  <si>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</si>
  <si>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</si>
  <si>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</si>
  <si>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</si>
  <si>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</si>
  <si>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</si>
  <si>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</si>
  <si>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</si>
  <si>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</si>
  <si>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</si>
  <si>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</si>
  <si>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</si>
  <si>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</si>
  <si>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</si>
  <si>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</si>
  <si>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</si>
  <si>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</si>
  <si>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</si>
  <si>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</si>
  <si>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</si>
  <si>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</si>
  <si>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</si>
  <si>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</si>
  <si>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</si>
  <si>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</si>
  <si>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</si>
  <si>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</si>
  <si>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</si>
  <si>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</si>
  <si>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</si>
  <si>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</si>
  <si>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</si>
  <si>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</si>
  <si>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</si>
  <si>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</si>
  <si>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</si>
  <si>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</si>
  <si>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</si>
  <si>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</si>
  <si>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</si>
  <si>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</si>
  <si>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</si>
  <si>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</si>
  <si>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</si>
  <si>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</si>
  <si>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</si>
  <si>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</si>
  <si>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</si>
  <si>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</si>
  <si>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</si>
  <si>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</si>
  <si>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</si>
  <si>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</si>
  <si>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</si>
  <si>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</si>
  <si>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</si>
  <si>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</si>
  <si>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</si>
  <si>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</si>
  <si>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</si>
  <si>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</si>
  <si>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</si>
  <si>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</si>
  <si>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</si>
  <si>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</si>
  <si>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</si>
  <si>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</si>
  <si>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</si>
  <si>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</si>
  <si>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</si>
  <si>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</si>
  <si>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</si>
  <si>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</si>
  <si>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</si>
  <si>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</si>
  <si>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</si>
  <si>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</si>
  <si>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</si>
  <si>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</si>
  <si>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</si>
  <si>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</si>
  <si>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</si>
  <si>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</si>
  <si>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</si>
  <si>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</si>
  <si>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</si>
  <si>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</si>
  <si>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</si>
  <si>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</si>
  <si>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</si>
  <si>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</si>
  <si>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</si>
  <si>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</si>
  <si>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</si>
  <si>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</si>
  <si>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</si>
  <si>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</si>
  <si>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</si>
  <si>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</si>
  <si>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</si>
  <si>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</si>
  <si>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</si>
  <si>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</si>
  <si>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</si>
  <si>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</si>
  <si>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</si>
  <si>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</si>
  <si>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</si>
  <si>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</si>
  <si>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</si>
  <si>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</si>
  <si>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</si>
  <si>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</si>
  <si>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</si>
  <si>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</si>
  <si>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</si>
  <si>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</si>
  <si>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</si>
  <si>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</si>
  <si>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</si>
  <si>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</si>
  <si>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</si>
  <si>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</si>
  <si>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</si>
  <si>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</si>
  <si>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</si>
  <si>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</si>
  <si>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</si>
  <si>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</si>
  <si>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</si>
  <si>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</si>
  <si>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</si>
  <si>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</si>
  <si>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</si>
  <si>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</si>
  <si>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</si>
  <si>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</si>
  <si>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</si>
  <si>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</si>
  <si>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</si>
  <si>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</si>
  <si>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</si>
  <si>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</si>
  <si>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</si>
  <si>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</si>
  <si>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</si>
  <si>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</si>
  <si>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</si>
  <si>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</si>
  <si>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</si>
  <si>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</si>
  <si>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</si>
  <si>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</si>
  <si>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</si>
  <si>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</si>
  <si>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</si>
  <si>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</si>
  <si>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</si>
  <si>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</si>
  <si>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</si>
  <si>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</si>
  <si>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</si>
  <si>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</si>
  <si>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</si>
  <si>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</si>
  <si>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</si>
  <si>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</si>
  <si>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</si>
  <si>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</si>
  <si>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</si>
  <si>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</si>
  <si>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</si>
  <si>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</si>
  <si>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</si>
  <si>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</si>
  <si>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</si>
  <si>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</si>
  <si>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</si>
  <si>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</si>
  <si>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</si>
  <si>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</si>
  <si>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</si>
  <si>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</si>
  <si>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</si>
  <si>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</si>
  <si>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</si>
  <si>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</si>
  <si>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</si>
  <si>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</si>
  <si>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</si>
  <si>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</si>
  <si>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</si>
  <si>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</si>
  <si>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</si>
  <si>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</si>
  <si>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</si>
  <si>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</si>
  <si>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</si>
  <si>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</si>
  <si>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</si>
  <si>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</si>
  <si>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</si>
  <si>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</si>
  <si>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</si>
  <si>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</si>
  <si>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</si>
  <si>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</si>
  <si>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</si>
  <si>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</si>
  <si>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</si>
  <si>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</si>
  <si>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</si>
  <si>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</si>
  <si>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</si>
  <si>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</si>
  <si>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</si>
  <si>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</si>
  <si>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</si>
  <si>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</si>
  <si>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</si>
  <si>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</si>
  <si>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</si>
  <si>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</si>
  <si>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</si>
  <si>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</si>
  <si>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</si>
  <si>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</si>
  <si>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</si>
  <si>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</si>
  <si>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</si>
  <si>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</si>
  <si>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</si>
  <si>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</si>
  <si>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</si>
  <si>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</si>
  <si>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</si>
  <si>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</si>
  <si>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</si>
  <si>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</si>
  <si>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</si>
  <si>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</si>
  <si>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</si>
  <si>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</si>
  <si>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</si>
  <si>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</si>
  <si>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</si>
  <si>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</si>
  <si>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</si>
  <si>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</si>
  <si>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</si>
  <si>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</si>
  <si>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</si>
  <si>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</si>
  <si>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</si>
  <si>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</si>
  <si>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</si>
  <si>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</si>
  <si>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</si>
  <si>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</si>
  <si>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</si>
  <si>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</si>
  <si>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</si>
  <si>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</si>
  <si>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</si>
  <si>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</si>
  <si>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</si>
  <si>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</si>
  <si>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</si>
  <si>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</si>
  <si>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</si>
  <si>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</si>
  <si>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</si>
  <si>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</si>
  <si>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</si>
  <si>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</si>
  <si>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</si>
  <si>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</si>
  <si>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</si>
  <si>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</si>
  <si>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</si>
  <si>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</si>
  <si>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</si>
  <si>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</si>
  <si>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</si>
  <si>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</si>
  <si>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</si>
  <si>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</si>
  <si>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</si>
  <si>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</si>
  <si>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</si>
  <si>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</si>
  <si>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</si>
  <si>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</si>
  <si>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</si>
  <si>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</si>
  <si>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</si>
  <si>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</si>
  <si>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</si>
  <si>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</si>
  <si>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</si>
  <si>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</si>
  <si>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</si>
  <si>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</si>
  <si>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</si>
  <si>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</si>
  <si>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</si>
  <si>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</si>
  <si>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</si>
  <si>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</si>
  <si>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</si>
  <si>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</si>
  <si>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</si>
  <si>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</si>
  <si>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</si>
  <si>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</si>
  <si>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</si>
  <si>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</si>
  <si>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</si>
  <si>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</si>
  <si>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</si>
  <si>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</si>
  <si>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</si>
  <si>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</si>
  <si>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</si>
  <si>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</si>
  <si>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</si>
  <si>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</si>
  <si>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</si>
  <si>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</si>
  <si>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</si>
  <si>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</si>
  <si>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</si>
  <si>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</si>
  <si>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</si>
  <si>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</si>
  <si>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</si>
  <si>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</si>
  <si>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</si>
  <si>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</si>
  <si>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</si>
  <si>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</si>
  <si>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</si>
  <si>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</si>
  <si>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</si>
  <si>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</si>
  <si>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</si>
  <si>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</si>
  <si>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</si>
  <si>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</si>
  <si>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</si>
  <si>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</si>
  <si>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</si>
  <si>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</si>
  <si>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</si>
  <si>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</si>
  <si>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</si>
  <si>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</si>
  <si>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</si>
  <si>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</si>
  <si>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</si>
  <si>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</si>
  <si>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</si>
  <si>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</si>
  <si>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</si>
  <si>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</si>
  <si>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</si>
  <si>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</si>
  <si>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</si>
  <si>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</si>
  <si>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</si>
  <si>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</si>
  <si>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</si>
  <si>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</si>
  <si>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</si>
  <si>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</si>
  <si>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</si>
  <si>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</si>
  <si>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</si>
  <si>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</si>
  <si>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</si>
  <si>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</si>
  <si>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</si>
  <si>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</si>
  <si>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</si>
  <si>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</si>
  <si>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</si>
  <si>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</si>
  <si>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</si>
  <si>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</si>
  <si>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</si>
  <si>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</si>
  <si>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</si>
  <si>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</si>
  <si>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</si>
  <si>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</si>
  <si>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</si>
  <si>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</si>
  <si>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</si>
  <si>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</si>
  <si>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</si>
  <si>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</si>
  <si>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</si>
  <si>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</si>
  <si>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</si>
  <si>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</si>
  <si>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</si>
  <si>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</si>
  <si>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</si>
  <si>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</si>
  <si>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</si>
  <si>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</si>
  <si>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</si>
  <si>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</si>
  <si>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</si>
  <si>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</si>
  <si>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</si>
  <si>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</si>
  <si>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</si>
  <si>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</si>
  <si>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</si>
  <si>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</si>
  <si>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</si>
  <si>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</si>
  <si>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</si>
  <si>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</si>
  <si>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</si>
  <si>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</si>
  <si>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</si>
  <si>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</si>
  <si>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</si>
  <si>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</si>
  <si>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</si>
  <si>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</si>
  <si>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</si>
  <si>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</si>
  <si>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</si>
  <si>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</si>
  <si>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</si>
  <si>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</si>
  <si>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</si>
  <si>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</si>
  <si>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</si>
  <si>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</si>
  <si>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</si>
  <si>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</si>
  <si>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</si>
  <si>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</si>
  <si>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</si>
  <si>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</si>
  <si>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</si>
  <si>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</si>
  <si>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</si>
  <si>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</si>
  <si>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</si>
  <si>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</si>
  <si>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</si>
  <si>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</si>
  <si>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</si>
  <si>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</si>
  <si>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</si>
  <si>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</si>
  <si>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</si>
  <si>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</si>
  <si>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</si>
  <si>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</si>
  <si>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</si>
  <si>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</si>
  <si>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</si>
  <si>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</si>
  <si>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</si>
  <si>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</si>
  <si>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</si>
  <si>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</si>
  <si>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</si>
  <si>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</si>
  <si>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</si>
  <si>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</si>
  <si>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</si>
  <si>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</si>
  <si>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</si>
  <si>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</si>
  <si>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</si>
  <si>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</si>
  <si>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</si>
  <si>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</si>
  <si>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</si>
  <si>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</si>
  <si>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</si>
  <si>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</si>
  <si>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</si>
  <si>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</si>
  <si>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</si>
  <si>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</si>
  <si>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</si>
  <si>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</si>
  <si>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</si>
  <si>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</si>
  <si>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</si>
  <si>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</si>
  <si>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</si>
  <si>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</si>
  <si>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</si>
  <si>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</si>
  <si>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</si>
  <si>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</si>
  <si>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</si>
  <si>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</si>
  <si>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</si>
  <si>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</si>
  <si>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</si>
  <si>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</si>
  <si>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</si>
  <si>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</si>
  <si>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</si>
  <si>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</si>
  <si>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</si>
  <si>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</si>
  <si>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</si>
  <si>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</si>
  <si>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</si>
  <si>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</si>
  <si>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</si>
  <si>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</si>
  <si>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</si>
  <si>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</si>
  <si>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</si>
  <si>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</si>
  <si>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</si>
  <si>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</si>
  <si>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</si>
  <si>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</si>
  <si>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</si>
  <si>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</si>
  <si>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</si>
  <si>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</si>
  <si>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</si>
  <si>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</si>
  <si>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</si>
  <si>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</si>
  <si>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</si>
  <si>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</si>
  <si>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</si>
  <si>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</si>
  <si>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</si>
  <si>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</si>
  <si>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</si>
  <si>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</si>
  <si>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</si>
  <si>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</si>
  <si>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</si>
  <si>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</si>
  <si>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</si>
  <si>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</si>
  <si>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</si>
  <si>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</si>
  <si>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</si>
  <si>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</si>
  <si>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</si>
  <si>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</si>
  <si>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</si>
  <si>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</si>
  <si>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</si>
  <si>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</si>
  <si>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</si>
  <si>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</si>
  <si>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</si>
  <si>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</si>
  <si>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</si>
  <si>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</si>
  <si>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</si>
  <si>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</si>
  <si>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</si>
  <si>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</si>
  <si>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</si>
  <si>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</si>
  <si>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</si>
  <si>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</si>
  <si>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</si>
  <si>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</si>
  <si>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</si>
  <si>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</si>
  <si>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</si>
  <si>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</si>
  <si>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</si>
  <si>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</si>
  <si>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</si>
  <si>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</si>
  <si>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</si>
  <si>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</si>
  <si>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</si>
  <si>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</si>
  <si>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</si>
  <si>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</si>
  <si>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</si>
  <si>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</si>
  <si>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</si>
  <si>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</si>
  <si>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</si>
  <si>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</si>
  <si>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</si>
  <si>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</si>
  <si>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</si>
  <si>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</si>
  <si>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</si>
  <si>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</si>
  <si>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</si>
  <si>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</si>
  <si>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</si>
  <si>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</si>
  <si>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</si>
  <si>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</si>
  <si>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</si>
  <si>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</si>
  <si>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</si>
  <si>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</si>
  <si>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</si>
  <si>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</si>
  <si>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</si>
  <si>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</si>
  <si>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</si>
  <si>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</si>
  <si>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</si>
  <si>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</si>
  <si>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</si>
  <si>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</si>
  <si>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</si>
  <si>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</si>
  <si>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</si>
  <si>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</si>
  <si>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</si>
  <si>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</si>
  <si>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</si>
  <si>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</si>
  <si>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</si>
  <si>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</si>
  <si>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</si>
  <si>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</si>
  <si>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</si>
  <si>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</si>
  <si>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</si>
  <si>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</si>
  <si>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</si>
  <si>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</si>
  <si>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</si>
  <si>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</si>
  <si>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</si>
  <si>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</si>
  <si>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</si>
  <si>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</si>
  <si>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</si>
  <si>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</si>
  <si>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</si>
  <si>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</si>
  <si>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</si>
  <si>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</si>
  <si>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</si>
  <si>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</si>
  <si>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</si>
  <si>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</si>
  <si>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</si>
  <si>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</si>
  <si>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</si>
  <si>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</si>
  <si>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</si>
  <si>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</si>
  <si>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</si>
  <si>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</si>
  <si>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</si>
  <si>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</si>
  <si>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</si>
  <si>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</si>
  <si>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</si>
  <si>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</si>
  <si>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</si>
  <si>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</si>
  <si>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</si>
  <si>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</si>
  <si>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</si>
  <si>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</si>
  <si>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</si>
  <si>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</si>
  <si>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</si>
  <si>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</si>
  <si>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</si>
  <si>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</si>
  <si>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</si>
  <si>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</si>
  <si>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</si>
  <si>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</si>
  <si>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network_certificates</t>
  </si>
  <si>
    <t>service_networks</t>
  </si>
  <si>
    <t>mdi:certificate</t>
  </si>
  <si>
    <t>mdi:credit-card-wireless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</si>
</sst>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/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zoomScale="121" zoomScaleNormal="120" workbookViewId="0">
      <selection activeCell="A287" sqref="A287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1104</v>
      </c>
      <c r="L1" s="2" t="s">
        <v>1104</v>
      </c>
      <c r="M1" s="2" t="s">
        <v>266</v>
      </c>
      <c r="N1" s="2" t="s">
        <v>267</v>
      </c>
      <c r="O1" s="3" t="s">
        <v>713</v>
      </c>
      <c r="P1" s="4" t="s">
        <v>713</v>
      </c>
      <c r="Q1" s="4" t="s">
        <v>713</v>
      </c>
      <c r="R1" s="4" t="s">
        <v>713</v>
      </c>
      <c r="S1" s="4" t="s">
        <v>713</v>
      </c>
      <c r="T1" s="5" t="s">
        <v>714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858</v>
      </c>
      <c r="AB1" s="6" t="s">
        <v>184</v>
      </c>
      <c r="AC1" s="6" t="s">
        <v>185</v>
      </c>
      <c r="AD1" s="7" t="s">
        <v>186</v>
      </c>
      <c r="AE1" s="7" t="s">
        <v>1086</v>
      </c>
      <c r="AF1" s="6" t="s">
        <v>184</v>
      </c>
      <c r="AG1" s="6" t="s">
        <v>184</v>
      </c>
      <c r="AH1" s="6" t="s">
        <v>859</v>
      </c>
      <c r="AI1" s="6" t="s">
        <v>184</v>
      </c>
      <c r="AJ1" s="6" t="s">
        <v>184</v>
      </c>
      <c r="AK1" s="6" t="s">
        <v>184</v>
      </c>
      <c r="AL1" s="6" t="s">
        <v>859</v>
      </c>
      <c r="AM1" s="6" t="s">
        <v>859</v>
      </c>
      <c r="AN1" s="6" t="s">
        <v>859</v>
      </c>
      <c r="AO1" s="6" t="s">
        <v>859</v>
      </c>
      <c r="AP1" s="6" t="s">
        <v>859</v>
      </c>
      <c r="AQ1" s="6" t="s">
        <v>859</v>
      </c>
      <c r="AR1" s="6" t="s">
        <v>184</v>
      </c>
      <c r="AS1" s="6" t="s">
        <v>184</v>
      </c>
      <c r="AT1" s="6" t="s">
        <v>184</v>
      </c>
      <c r="AU1" s="6" t="s">
        <v>765</v>
      </c>
      <c r="AV1" s="6" t="s">
        <v>431</v>
      </c>
      <c r="AW1" s="6" t="s">
        <v>431</v>
      </c>
      <c r="AX1" s="6" t="s">
        <v>1176</v>
      </c>
      <c r="AY1" s="6" t="s">
        <v>1176</v>
      </c>
      <c r="AZ1" s="6" t="s">
        <v>765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714</v>
      </c>
      <c r="BF1" s="6" t="s">
        <v>431</v>
      </c>
      <c r="BG1" s="6" t="s">
        <v>431</v>
      </c>
      <c r="BH1" s="6" t="s">
        <v>675</v>
      </c>
      <c r="BI1" s="6" t="s">
        <v>675</v>
      </c>
      <c r="BJ1" s="6" t="s">
        <v>765</v>
      </c>
      <c r="BK1" s="6" t="s">
        <v>431</v>
      </c>
      <c r="BL1" s="6" t="s">
        <v>671</v>
      </c>
      <c r="BM1" s="6" t="s">
        <v>431</v>
      </c>
      <c r="BN1" s="6" t="s">
        <v>672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1087</v>
      </c>
      <c r="E2" s="11" t="s">
        <v>1088</v>
      </c>
      <c r="F2" s="11" t="s">
        <v>1089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1090</v>
      </c>
      <c r="L2" s="11" t="s">
        <v>1091</v>
      </c>
      <c r="M2" s="11" t="s">
        <v>1092</v>
      </c>
      <c r="N2" s="11" t="s">
        <v>1093</v>
      </c>
      <c r="O2" s="13" t="s">
        <v>754</v>
      </c>
      <c r="P2" s="12" t="s">
        <v>758</v>
      </c>
      <c r="Q2" s="12" t="s">
        <v>715</v>
      </c>
      <c r="R2" s="12" t="s">
        <v>715</v>
      </c>
      <c r="S2" s="12" t="s">
        <v>716</v>
      </c>
      <c r="T2" s="12" t="s">
        <v>717</v>
      </c>
      <c r="U2" s="12" t="s">
        <v>452</v>
      </c>
      <c r="V2" s="14" t="s">
        <v>1327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857</v>
      </c>
      <c r="AB2" s="15" t="s">
        <v>152</v>
      </c>
      <c r="AC2" s="15" t="s">
        <v>153</v>
      </c>
      <c r="AD2" s="15" t="s">
        <v>175</v>
      </c>
      <c r="AE2" s="16" t="s">
        <v>1094</v>
      </c>
      <c r="AF2" s="16" t="s">
        <v>154</v>
      </c>
      <c r="AG2" s="16" t="s">
        <v>155</v>
      </c>
      <c r="AH2" s="16" t="s">
        <v>863</v>
      </c>
      <c r="AI2" s="16" t="s">
        <v>156</v>
      </c>
      <c r="AJ2" s="17" t="s">
        <v>1095</v>
      </c>
      <c r="AK2" s="16" t="s">
        <v>1096</v>
      </c>
      <c r="AL2" s="16" t="s">
        <v>860</v>
      </c>
      <c r="AM2" s="16" t="s">
        <v>870</v>
      </c>
      <c r="AN2" s="16" t="s">
        <v>879</v>
      </c>
      <c r="AO2" s="16" t="s">
        <v>880</v>
      </c>
      <c r="AP2" s="16" t="s">
        <v>875</v>
      </c>
      <c r="AQ2" s="16" t="s">
        <v>876</v>
      </c>
      <c r="AR2" s="15" t="s">
        <v>157</v>
      </c>
      <c r="AS2" s="16" t="s">
        <v>504</v>
      </c>
      <c r="AT2" s="18" t="s">
        <v>162</v>
      </c>
      <c r="AU2" s="18" t="s">
        <v>949</v>
      </c>
      <c r="AV2" s="16" t="s">
        <v>321</v>
      </c>
      <c r="AW2" s="16" t="s">
        <v>159</v>
      </c>
      <c r="AX2" s="16" t="s">
        <v>1177</v>
      </c>
      <c r="AY2" s="16" t="s">
        <v>1173</v>
      </c>
      <c r="AZ2" s="16" t="s">
        <v>1027</v>
      </c>
      <c r="BA2" s="16" t="s">
        <v>1028</v>
      </c>
      <c r="BB2" s="16" t="s">
        <v>1029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1097</v>
      </c>
      <c r="BH2" s="16" t="s">
        <v>1123</v>
      </c>
      <c r="BI2" s="16" t="s">
        <v>1122</v>
      </c>
      <c r="BJ2" s="16" t="s">
        <v>766</v>
      </c>
      <c r="BK2" s="16" t="s">
        <v>673</v>
      </c>
      <c r="BL2" s="16" t="s">
        <v>670</v>
      </c>
      <c r="BM2" s="16" t="s">
        <v>320</v>
      </c>
      <c r="BN2" s="18" t="s">
        <v>674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655</v>
      </c>
      <c r="L3" s="21" t="s">
        <v>656</v>
      </c>
      <c r="M3" s="21" t="s">
        <v>1098</v>
      </c>
      <c r="N3" s="21" t="s">
        <v>1099</v>
      </c>
      <c r="O3" s="23" t="s">
        <v>753</v>
      </c>
      <c r="P3" s="22" t="s">
        <v>718</v>
      </c>
      <c r="Q3" s="22" t="s">
        <v>719</v>
      </c>
      <c r="R3" s="24" t="s">
        <v>720</v>
      </c>
      <c r="S3" s="24" t="s">
        <v>721</v>
      </c>
      <c r="T3" s="25" t="s">
        <v>711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856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862</v>
      </c>
      <c r="AI3" s="27" t="s">
        <v>13</v>
      </c>
      <c r="AJ3" s="27" t="s">
        <v>14</v>
      </c>
      <c r="AK3" s="27" t="s">
        <v>15</v>
      </c>
      <c r="AL3" s="27" t="s">
        <v>861</v>
      </c>
      <c r="AM3" s="27" t="s">
        <v>869</v>
      </c>
      <c r="AN3" s="27" t="s">
        <v>877</v>
      </c>
      <c r="AO3" s="27" t="s">
        <v>878</v>
      </c>
      <c r="AP3" s="27" t="s">
        <v>871</v>
      </c>
      <c r="AQ3" s="27" t="s">
        <v>872</v>
      </c>
      <c r="AR3" s="27" t="s">
        <v>16</v>
      </c>
      <c r="AS3" s="27" t="s">
        <v>17</v>
      </c>
      <c r="AT3" s="28" t="s">
        <v>24</v>
      </c>
      <c r="AU3" s="28" t="s">
        <v>948</v>
      </c>
      <c r="AV3" s="27" t="s">
        <v>20</v>
      </c>
      <c r="AW3" s="27" t="s">
        <v>18</v>
      </c>
      <c r="AX3" s="27" t="s">
        <v>1174</v>
      </c>
      <c r="AY3" s="27" t="s">
        <v>1175</v>
      </c>
      <c r="AZ3" s="27" t="s">
        <v>1023</v>
      </c>
      <c r="BA3" s="27" t="s">
        <v>1024</v>
      </c>
      <c r="BB3" s="27" t="s">
        <v>1025</v>
      </c>
      <c r="BC3" s="27" t="s">
        <v>21</v>
      </c>
      <c r="BD3" s="27" t="s">
        <v>22</v>
      </c>
      <c r="BE3" s="27" t="s">
        <v>1372</v>
      </c>
      <c r="BF3" s="28" t="s">
        <v>19</v>
      </c>
      <c r="BG3" s="27" t="s">
        <v>23</v>
      </c>
      <c r="BH3" s="27" t="s">
        <v>1124</v>
      </c>
      <c r="BI3" s="27" t="s">
        <v>1121</v>
      </c>
      <c r="BJ3" s="27" t="s">
        <v>764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1030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575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576</v>
      </c>
      <c r="O6" s="31"/>
      <c r="P6" s="30"/>
      <c r="T6" s="37"/>
      <c r="U6" s="30"/>
      <c r="V6" s="31" t="s">
        <v>1136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959</v>
      </c>
      <c r="BC6" s="30" t="s">
        <v>957</v>
      </c>
      <c r="BD6" s="30" t="s">
        <v>127</v>
      </c>
      <c r="BF6" s="30" t="s">
        <v>405</v>
      </c>
      <c r="BG6" s="30" t="s">
        <v>129</v>
      </c>
      <c r="BK6" s="38" t="s">
        <v>1212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576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696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577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578</v>
      </c>
      <c r="O8" s="31"/>
      <c r="P8" s="30"/>
      <c r="T8" s="37"/>
      <c r="U8" s="30"/>
      <c r="V8" s="31" t="s">
        <v>1142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959</v>
      </c>
      <c r="BC8" s="30" t="s">
        <v>957</v>
      </c>
      <c r="BD8" s="30" t="s">
        <v>127</v>
      </c>
      <c r="BF8" s="30" t="s">
        <v>405</v>
      </c>
      <c r="BG8" s="30" t="s">
        <v>126</v>
      </c>
      <c r="BK8" s="38" t="s">
        <v>1212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578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696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1286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1287</v>
      </c>
      <c r="O10" s="31"/>
      <c r="P10" s="30"/>
      <c r="T10" s="37"/>
      <c r="U10" s="30"/>
      <c r="V10" s="31" t="s">
        <v>1138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958</v>
      </c>
      <c r="BC10" s="30" t="s">
        <v>960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579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580</v>
      </c>
      <c r="O12" s="31"/>
      <c r="P12" s="30"/>
      <c r="T12" s="37"/>
      <c r="U12" s="30"/>
      <c r="V12" s="31" t="s">
        <v>1145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959</v>
      </c>
      <c r="BC12" s="30" t="s">
        <v>957</v>
      </c>
      <c r="BD12" s="30" t="s">
        <v>127</v>
      </c>
      <c r="BF12" s="30" t="s">
        <v>405</v>
      </c>
      <c r="BG12" s="30" t="s">
        <v>190</v>
      </c>
      <c r="BK12" s="38" t="s">
        <v>1212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580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1197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1198</v>
      </c>
      <c r="O14" s="31"/>
      <c r="P14" s="30"/>
      <c r="T14" s="37"/>
      <c r="U14" s="30"/>
      <c r="V14" s="31" t="s">
        <v>1140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959</v>
      </c>
      <c r="BC14" s="30" t="s">
        <v>960</v>
      </c>
      <c r="BD14" s="30" t="s">
        <v>127</v>
      </c>
      <c r="BF14" s="30" t="s">
        <v>406</v>
      </c>
      <c r="BG14" s="30" t="s">
        <v>210</v>
      </c>
      <c r="BK14" s="38" t="s">
        <v>1212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1198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1199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1200</v>
      </c>
      <c r="O16" s="31"/>
      <c r="P16" s="30"/>
      <c r="T16" s="37"/>
      <c r="U16" s="30"/>
      <c r="V16" s="31" t="s">
        <v>1137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959</v>
      </c>
      <c r="BC16" s="30" t="s">
        <v>960</v>
      </c>
      <c r="BD16" s="30" t="s">
        <v>127</v>
      </c>
      <c r="BF16" s="30" t="s">
        <v>406</v>
      </c>
      <c r="BG16" s="30" t="s">
        <v>204</v>
      </c>
      <c r="BK16" s="30" t="s">
        <v>1212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1200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1288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1289</v>
      </c>
      <c r="O18" s="31"/>
      <c r="P18" s="30"/>
      <c r="T18" s="37"/>
      <c r="U18" s="30"/>
      <c r="V18" s="31" t="s">
        <v>1139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958</v>
      </c>
      <c r="BC18" s="30" t="s">
        <v>960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1290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1291</v>
      </c>
      <c r="O20" s="31"/>
      <c r="P20" s="30"/>
      <c r="T20" s="37"/>
      <c r="U20" s="30"/>
      <c r="V20" s="31" t="s">
        <v>1138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958</v>
      </c>
      <c r="BC20" s="30" t="s">
        <v>960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573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574</v>
      </c>
      <c r="O22" s="31"/>
      <c r="P22" s="30"/>
      <c r="T22" s="37"/>
      <c r="U22" s="30"/>
      <c r="V22" s="31" t="s">
        <v>1144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959</v>
      </c>
      <c r="BC22" s="30" t="s">
        <v>957</v>
      </c>
      <c r="BD22" s="30" t="s">
        <v>127</v>
      </c>
      <c r="BF22" s="30" t="s">
        <v>405</v>
      </c>
      <c r="BG22" s="30" t="s">
        <v>211</v>
      </c>
      <c r="BK22" s="30" t="s">
        <v>1212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574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1130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1131</v>
      </c>
      <c r="O24" s="31"/>
      <c r="P24" s="30"/>
      <c r="T24" s="37"/>
      <c r="U24" s="30"/>
      <c r="V24" s="31" t="s">
        <v>1147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1178</v>
      </c>
      <c r="BC24" s="30" t="s">
        <v>36</v>
      </c>
      <c r="BD24" s="30" t="s">
        <v>37</v>
      </c>
      <c r="BF24" s="30" t="s">
        <v>1030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1500</v>
      </c>
      <c r="D26" s="30" t="s">
        <v>27</v>
      </c>
      <c r="E26" s="30" t="s">
        <v>1133</v>
      </c>
      <c r="F26" s="36" t="str">
        <f>IF(ISBLANK(Table2[[#This Row],[unique_id]]), "", PROPER(SUBSTITUTE(Table2[[#This Row],[unique_id]], "_", " ")))</f>
        <v>Utility Temperature</v>
      </c>
      <c r="G26" s="30" t="s">
        <v>1132</v>
      </c>
      <c r="H26" s="30" t="s">
        <v>86</v>
      </c>
      <c r="I26" s="30" t="s">
        <v>30</v>
      </c>
      <c r="K26" s="30" t="s">
        <v>1134</v>
      </c>
      <c r="O26" s="31"/>
      <c r="P26" s="30"/>
      <c r="T26" s="37"/>
      <c r="U26" s="30"/>
      <c r="V26" s="31" t="s">
        <v>1146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1395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1502</v>
      </c>
      <c r="BD26" s="30" t="s">
        <v>1503</v>
      </c>
      <c r="BF26" s="30" t="s">
        <v>956</v>
      </c>
      <c r="BG26" s="30" t="s">
        <v>28</v>
      </c>
      <c r="BL26" s="30" t="s">
        <v>1100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1500</v>
      </c>
      <c r="D27" s="30" t="s">
        <v>27</v>
      </c>
      <c r="E27" s="30" t="s">
        <v>1134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1132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677</v>
      </c>
      <c r="D28" s="30" t="s">
        <v>27</v>
      </c>
      <c r="E28" s="30" t="s">
        <v>1013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1125</v>
      </c>
      <c r="O28" s="31"/>
      <c r="P28" s="30"/>
      <c r="T28" s="37"/>
      <c r="U28" s="30" t="s">
        <v>418</v>
      </c>
      <c r="V28" s="31" t="s">
        <v>1141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864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883</v>
      </c>
      <c r="AO28" s="30" t="s">
        <v>884</v>
      </c>
      <c r="AP28" s="30" t="s">
        <v>873</v>
      </c>
      <c r="AQ28" s="30" t="s">
        <v>874</v>
      </c>
      <c r="AR28" s="30" t="s">
        <v>1080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694</v>
      </c>
      <c r="BC28" s="30" t="s">
        <v>1077</v>
      </c>
      <c r="BD28" s="30" t="s">
        <v>1076</v>
      </c>
      <c r="BF28" s="30" t="s">
        <v>854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677</v>
      </c>
      <c r="D29" s="30" t="s">
        <v>27</v>
      </c>
      <c r="E29" s="30" t="s">
        <v>1125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1292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1293</v>
      </c>
      <c r="O30" s="31"/>
      <c r="P30" s="30"/>
      <c r="T30" s="37"/>
      <c r="U30" s="30"/>
      <c r="V30" s="31" t="s">
        <v>1138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958</v>
      </c>
      <c r="BC30" s="30" t="s">
        <v>960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1105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1030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1106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1030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1107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1030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1108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1030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1109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1178</v>
      </c>
      <c r="BC36" s="30" t="s">
        <v>36</v>
      </c>
      <c r="BD36" s="30" t="s">
        <v>37</v>
      </c>
      <c r="BF36" s="30" t="s">
        <v>1030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1110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1030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1190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1189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1375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1030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1112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959</v>
      </c>
      <c r="BC45" s="30" t="s">
        <v>957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1113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959</v>
      </c>
      <c r="BC46" s="30" t="s">
        <v>957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1294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958</v>
      </c>
      <c r="BC47" s="30" t="s">
        <v>960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1114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959</v>
      </c>
      <c r="BC48" s="30" t="s">
        <v>957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1196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958</v>
      </c>
      <c r="BC49" s="30" t="s">
        <v>960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1195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958</v>
      </c>
      <c r="BC50" s="30" t="s">
        <v>960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1295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958</v>
      </c>
      <c r="BC51" s="30" t="s">
        <v>960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1296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958</v>
      </c>
      <c r="BC52" s="30" t="s">
        <v>960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1115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959</v>
      </c>
      <c r="BC53" s="30" t="s">
        <v>957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1135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1178</v>
      </c>
      <c r="BC54" s="30" t="s">
        <v>36</v>
      </c>
      <c r="BD54" s="30" t="s">
        <v>37</v>
      </c>
      <c r="BF54" s="30" t="s">
        <v>1030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1297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958</v>
      </c>
      <c r="BC55" s="30" t="s">
        <v>960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1298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959</v>
      </c>
      <c r="BC57" s="30" t="s">
        <v>957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1299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959</v>
      </c>
      <c r="BC58" s="30" t="s">
        <v>957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1300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959</v>
      </c>
      <c r="BC59" s="30" t="s">
        <v>957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1301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958</v>
      </c>
      <c r="BC60" s="30" t="s">
        <v>960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1302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958</v>
      </c>
      <c r="BC61" s="30" t="s">
        <v>960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1303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958</v>
      </c>
      <c r="BC62" s="30" t="s">
        <v>960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1304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958</v>
      </c>
      <c r="BC63" s="30" t="s">
        <v>960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1305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958</v>
      </c>
      <c r="BC64" s="30" t="s">
        <v>960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1306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959</v>
      </c>
      <c r="BC65" s="30" t="s">
        <v>957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1116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959</v>
      </c>
      <c r="BC66" s="30" t="s">
        <v>957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1117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959</v>
      </c>
      <c r="BC67" s="30" t="s">
        <v>957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1118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959</v>
      </c>
      <c r="BC68" s="30" t="s">
        <v>957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1194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958</v>
      </c>
      <c r="BC69" s="30" t="s">
        <v>960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1193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958</v>
      </c>
      <c r="BC70" s="30" t="s">
        <v>960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1119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959</v>
      </c>
      <c r="BC71" s="30" t="s">
        <v>957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1030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1030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1030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1030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1030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1030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1030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1030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1030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1030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1030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1030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1030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1030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1030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1030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1030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1030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1030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1338</v>
      </c>
      <c r="F94" s="36" t="str">
        <f>IF(ISBLANK(Table2[[#This Row],[unique_id]]), "", PROPER(SUBSTITUTE(Table2[[#This Row],[unique_id]], "_", " ")))</f>
        <v>Home Started</v>
      </c>
      <c r="G94" s="30" t="s">
        <v>1339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633</v>
      </c>
      <c r="F95" s="36" t="str">
        <f>IF(ISBLANK(Table2[[#This Row],[unique_id]]), "", PROPER(SUBSTITUTE(Table2[[#This Row],[unique_id]], "_", " ")))</f>
        <v>Home Security</v>
      </c>
      <c r="G95" s="30" t="s">
        <v>631</v>
      </c>
      <c r="H95" s="30" t="s">
        <v>293</v>
      </c>
      <c r="I95" s="30" t="s">
        <v>131</v>
      </c>
      <c r="J95" s="30" t="s">
        <v>632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646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676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676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676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676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650</v>
      </c>
      <c r="D99" s="30" t="s">
        <v>651</v>
      </c>
      <c r="E99" s="30" t="s">
        <v>652</v>
      </c>
      <c r="F99" s="36" t="str">
        <f>IF(ISBLANK(Table2[[#This Row],[unique_id]]), "", PROPER(SUBSTITUTE(Table2[[#This Row],[unique_id]], "_", " ")))</f>
        <v>Home Secure Back Door Off</v>
      </c>
      <c r="G99" s="30" t="s">
        <v>653</v>
      </c>
      <c r="H99" s="30" t="s">
        <v>293</v>
      </c>
      <c r="I99" s="30" t="s">
        <v>131</v>
      </c>
      <c r="K99" s="30" t="s">
        <v>654</v>
      </c>
      <c r="L99" s="30" t="s">
        <v>657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658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650</v>
      </c>
      <c r="D100" s="30" t="s">
        <v>651</v>
      </c>
      <c r="E100" s="30" t="s">
        <v>659</v>
      </c>
      <c r="F100" s="36" t="str">
        <f>IF(ISBLANK(Table2[[#This Row],[unique_id]]), "", PROPER(SUBSTITUTE(Table2[[#This Row],[unique_id]], "_", " ")))</f>
        <v>Home Secure Front Door Off</v>
      </c>
      <c r="G100" s="30" t="s">
        <v>660</v>
      </c>
      <c r="H100" s="30" t="s">
        <v>293</v>
      </c>
      <c r="I100" s="30" t="s">
        <v>131</v>
      </c>
      <c r="K100" s="30" t="s">
        <v>661</v>
      </c>
      <c r="L100" s="30" t="s">
        <v>657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658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650</v>
      </c>
      <c r="D101" s="30" t="s">
        <v>651</v>
      </c>
      <c r="E101" s="30" t="s">
        <v>662</v>
      </c>
      <c r="F101" s="36" t="str">
        <f>IF(ISBLANK(Table2[[#This Row],[unique_id]]), "", PROPER(SUBSTITUTE(Table2[[#This Row],[unique_id]], "_", " ")))</f>
        <v>Home Sleep On</v>
      </c>
      <c r="G101" s="30" t="s">
        <v>1311</v>
      </c>
      <c r="H101" s="30" t="s">
        <v>293</v>
      </c>
      <c r="I101" s="30" t="s">
        <v>131</v>
      </c>
      <c r="K101" s="30" t="s">
        <v>664</v>
      </c>
      <c r="L101" s="30" t="s">
        <v>665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650</v>
      </c>
      <c r="D102" s="30" t="s">
        <v>651</v>
      </c>
      <c r="E102" s="30" t="s">
        <v>663</v>
      </c>
      <c r="F102" s="36" t="str">
        <f>IF(ISBLANK(Table2[[#This Row],[unique_id]]), "", PROPER(SUBSTITUTE(Table2[[#This Row],[unique_id]], "_", " ")))</f>
        <v>Home Sleep Off</v>
      </c>
      <c r="G102" s="30" t="s">
        <v>1312</v>
      </c>
      <c r="H102" s="30" t="s">
        <v>293</v>
      </c>
      <c r="I102" s="30" t="s">
        <v>131</v>
      </c>
      <c r="K102" s="30" t="s">
        <v>664</v>
      </c>
      <c r="L102" s="30" t="s">
        <v>657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666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1332</v>
      </c>
      <c r="F103" s="36" t="str">
        <f>IF(ISBLANK(Table2[[#This Row],[unique_id]]), "", PROPER(SUBSTITUTE(Table2[[#This Row],[unique_id]], "_", " ")))</f>
        <v>Edwin Wakeup</v>
      </c>
      <c r="G103" s="30" t="s">
        <v>1330</v>
      </c>
      <c r="H103" s="30" t="s">
        <v>293</v>
      </c>
      <c r="I103" s="30" t="s">
        <v>131</v>
      </c>
      <c r="J103" s="30" t="s">
        <v>1335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1333</v>
      </c>
      <c r="F104" s="36" t="str">
        <f>IF(ISBLANK(Table2[[#This Row],[unique_id]]), "", PROPER(SUBSTITUTE(Table2[[#This Row],[unique_id]], "_", " ")))</f>
        <v>Edwin Playtime</v>
      </c>
      <c r="G104" s="30" t="s">
        <v>1340</v>
      </c>
      <c r="H104" s="30" t="s">
        <v>293</v>
      </c>
      <c r="I104" s="30" t="s">
        <v>131</v>
      </c>
      <c r="J104" s="30" t="s">
        <v>1336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1334</v>
      </c>
      <c r="F105" s="36" t="str">
        <f>IF(ISBLANK(Table2[[#This Row],[unique_id]]), "", PROPER(SUBSTITUTE(Table2[[#This Row],[unique_id]], "_", " ")))</f>
        <v>Edwin Goodnight</v>
      </c>
      <c r="G105" s="30" t="s">
        <v>1331</v>
      </c>
      <c r="H105" s="30" t="s">
        <v>293</v>
      </c>
      <c r="I105" s="30" t="s">
        <v>131</v>
      </c>
      <c r="J105" s="30" t="s">
        <v>1337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775</v>
      </c>
      <c r="D106" s="54" t="s">
        <v>147</v>
      </c>
      <c r="E106" s="55" t="s">
        <v>1344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1283</v>
      </c>
      <c r="I106" s="54" t="s">
        <v>131</v>
      </c>
      <c r="O106" s="57" t="s">
        <v>755</v>
      </c>
      <c r="P106" s="54" t="s">
        <v>164</v>
      </c>
      <c r="Q106" s="54" t="s">
        <v>728</v>
      </c>
      <c r="R106" s="54" t="s">
        <v>738</v>
      </c>
      <c r="S106" s="54" t="str">
        <f>Table2[[#This Row],[friendly_name]]</f>
        <v>Coffee Machine</v>
      </c>
      <c r="T106" s="55" t="s">
        <v>1033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1345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1283</v>
      </c>
      <c r="I107" s="54" t="s">
        <v>131</v>
      </c>
      <c r="J107" s="54" t="s">
        <v>134</v>
      </c>
      <c r="M107" s="54" t="s">
        <v>255</v>
      </c>
      <c r="O107" s="57" t="s">
        <v>755</v>
      </c>
      <c r="P107" s="54" t="s">
        <v>164</v>
      </c>
      <c r="Q107" s="54" t="s">
        <v>728</v>
      </c>
      <c r="R107" s="54" t="s">
        <v>738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944</v>
      </c>
      <c r="BK107" s="54" t="s">
        <v>1213</v>
      </c>
      <c r="BL107" s="54" t="s">
        <v>328</v>
      </c>
      <c r="BM107" s="54" t="s">
        <v>1254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775</v>
      </c>
      <c r="D108" s="30" t="s">
        <v>147</v>
      </c>
      <c r="E108" s="37" t="s">
        <v>932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1283</v>
      </c>
      <c r="I108" s="30" t="s">
        <v>131</v>
      </c>
      <c r="O108" s="31" t="s">
        <v>755</v>
      </c>
      <c r="P108" s="30" t="s">
        <v>164</v>
      </c>
      <c r="Q108" s="30" t="s">
        <v>728</v>
      </c>
      <c r="R108" s="30" t="s">
        <v>738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803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1283</v>
      </c>
      <c r="I109" s="30" t="s">
        <v>131</v>
      </c>
      <c r="J109" s="30" t="s">
        <v>134</v>
      </c>
      <c r="M109" s="30" t="s">
        <v>255</v>
      </c>
      <c r="O109" s="31" t="s">
        <v>755</v>
      </c>
      <c r="P109" s="30" t="s">
        <v>164</v>
      </c>
      <c r="Q109" s="30" t="s">
        <v>728</v>
      </c>
      <c r="R109" s="30" t="s">
        <v>738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944</v>
      </c>
      <c r="BK109" s="30" t="s">
        <v>1213</v>
      </c>
      <c r="BL109" s="30" t="s">
        <v>335</v>
      </c>
      <c r="BM109" s="30" t="s">
        <v>1264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687</v>
      </c>
      <c r="M110" s="30" t="s">
        <v>135</v>
      </c>
      <c r="O110" s="31" t="s">
        <v>755</v>
      </c>
      <c r="P110" s="30" t="s">
        <v>164</v>
      </c>
      <c r="Q110" s="30" t="s">
        <v>727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722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1213</v>
      </c>
      <c r="BL110" s="30" t="s">
        <v>353</v>
      </c>
      <c r="BM110" s="30" t="s">
        <v>1231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687</v>
      </c>
      <c r="M111" s="30" t="s">
        <v>135</v>
      </c>
      <c r="O111" s="31" t="s">
        <v>755</v>
      </c>
      <c r="P111" s="30" t="s">
        <v>164</v>
      </c>
      <c r="Q111" s="30" t="s">
        <v>727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722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1213</v>
      </c>
      <c r="BL111" s="30" t="s">
        <v>354</v>
      </c>
      <c r="BM111" s="30" t="s">
        <v>1232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755</v>
      </c>
      <c r="P112" s="30" t="s">
        <v>164</v>
      </c>
      <c r="Q112" s="30" t="s">
        <v>727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722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1213</v>
      </c>
      <c r="BL112" s="30" t="s">
        <v>357</v>
      </c>
      <c r="BM112" s="30" t="s">
        <v>1233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775</v>
      </c>
      <c r="D113" s="30" t="s">
        <v>147</v>
      </c>
      <c r="E113" s="37" t="s">
        <v>887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755</v>
      </c>
      <c r="P113" s="30" t="s">
        <v>164</v>
      </c>
      <c r="Q113" s="30" t="s">
        <v>727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1035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882</v>
      </c>
      <c r="BD113" s="30" t="s">
        <v>1076</v>
      </c>
      <c r="BF113" s="30" t="s">
        <v>854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677</v>
      </c>
      <c r="D114" s="30" t="s">
        <v>128</v>
      </c>
      <c r="E114" s="30" t="s">
        <v>798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755</v>
      </c>
      <c r="P114" s="30" t="s">
        <v>164</v>
      </c>
      <c r="Q114" s="30" t="s">
        <v>727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1073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864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883</v>
      </c>
      <c r="AO114" s="30" t="s">
        <v>884</v>
      </c>
      <c r="AP114" s="30" t="s">
        <v>873</v>
      </c>
      <c r="AQ114" s="30" t="s">
        <v>874</v>
      </c>
      <c r="AR114" s="30" t="s">
        <v>937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882</v>
      </c>
      <c r="BD114" s="30" t="s">
        <v>1076</v>
      </c>
      <c r="BF114" s="30" t="s">
        <v>854</v>
      </c>
      <c r="BG114" s="30" t="s">
        <v>204</v>
      </c>
      <c r="BK114" s="30" t="s">
        <v>1213</v>
      </c>
      <c r="BL114" s="30" t="s">
        <v>888</v>
      </c>
      <c r="BM114" s="30" t="s">
        <v>1235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677</v>
      </c>
      <c r="D115" s="30" t="s">
        <v>27</v>
      </c>
      <c r="E115" s="30" t="s">
        <v>889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865</v>
      </c>
      <c r="AF115" s="30">
        <v>10</v>
      </c>
      <c r="AG115" s="31" t="s">
        <v>34</v>
      </c>
      <c r="AH115" s="31" t="s">
        <v>864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883</v>
      </c>
      <c r="AO115" s="30" t="s">
        <v>884</v>
      </c>
      <c r="AP115" s="30" t="s">
        <v>873</v>
      </c>
      <c r="AQ115" s="30" t="s">
        <v>874</v>
      </c>
      <c r="AR115" s="30" t="s">
        <v>1070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882</v>
      </c>
      <c r="BD115" s="30" t="s">
        <v>1076</v>
      </c>
      <c r="BF115" s="30" t="s">
        <v>854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677</v>
      </c>
      <c r="D116" s="30" t="s">
        <v>27</v>
      </c>
      <c r="E116" s="30" t="s">
        <v>890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866</v>
      </c>
      <c r="AF116" s="30">
        <v>10</v>
      </c>
      <c r="AG116" s="31" t="s">
        <v>34</v>
      </c>
      <c r="AH116" s="31" t="s">
        <v>864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883</v>
      </c>
      <c r="AO116" s="30" t="s">
        <v>884</v>
      </c>
      <c r="AP116" s="30" t="s">
        <v>873</v>
      </c>
      <c r="AQ116" s="30" t="s">
        <v>874</v>
      </c>
      <c r="AR116" s="30" t="s">
        <v>1071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882</v>
      </c>
      <c r="BD116" s="30" t="s">
        <v>1076</v>
      </c>
      <c r="BF116" s="30" t="s">
        <v>854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755</v>
      </c>
      <c r="P117" s="30" t="s">
        <v>164</v>
      </c>
      <c r="Q117" s="30" t="s">
        <v>727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722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1213</v>
      </c>
      <c r="BL117" s="30" t="s">
        <v>358</v>
      </c>
      <c r="BM117" s="30" t="s">
        <v>1236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688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755</v>
      </c>
      <c r="P119" s="30" t="s">
        <v>164</v>
      </c>
      <c r="Q119" s="30" t="s">
        <v>727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722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983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1213</v>
      </c>
      <c r="BL119" s="30" t="s">
        <v>355</v>
      </c>
      <c r="BM119" s="30" t="s">
        <v>1237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755</v>
      </c>
      <c r="P120" s="30" t="s">
        <v>164</v>
      </c>
      <c r="Q120" s="30" t="s">
        <v>727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722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984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1213</v>
      </c>
      <c r="BL120" s="30" t="s">
        <v>356</v>
      </c>
      <c r="BM120" s="39" t="s">
        <v>1238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775</v>
      </c>
      <c r="D121" s="30" t="s">
        <v>147</v>
      </c>
      <c r="E121" s="43" t="s">
        <v>774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755</v>
      </c>
      <c r="P121" s="30" t="s">
        <v>164</v>
      </c>
      <c r="Q121" s="30" t="s">
        <v>727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776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669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723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669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775</v>
      </c>
      <c r="D123" s="30" t="s">
        <v>147</v>
      </c>
      <c r="E123" s="43" t="s">
        <v>773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755</v>
      </c>
      <c r="P123" s="30" t="s">
        <v>164</v>
      </c>
      <c r="Q123" s="30" t="s">
        <v>727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776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669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723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669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775</v>
      </c>
      <c r="D125" s="30" t="s">
        <v>147</v>
      </c>
      <c r="E125" s="43" t="s">
        <v>1186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755</v>
      </c>
      <c r="P125" s="30" t="s">
        <v>164</v>
      </c>
      <c r="Q125" s="30" t="s">
        <v>727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776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669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1187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723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669</v>
      </c>
      <c r="BL126" s="30" t="s">
        <v>1281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775</v>
      </c>
      <c r="D127" s="30" t="s">
        <v>147</v>
      </c>
      <c r="E127" s="43" t="s">
        <v>1185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755</v>
      </c>
      <c r="P127" s="30" t="s">
        <v>164</v>
      </c>
      <c r="Q127" s="30" t="s">
        <v>727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776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669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1184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723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669</v>
      </c>
      <c r="BL128" s="30" t="s">
        <v>1378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775</v>
      </c>
      <c r="D129" s="30" t="s">
        <v>147</v>
      </c>
      <c r="E129" s="43" t="s">
        <v>1376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755</v>
      </c>
      <c r="P129" s="30" t="s">
        <v>164</v>
      </c>
      <c r="Q129" s="30" t="s">
        <v>727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776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669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1377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723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669</v>
      </c>
      <c r="BL130" s="30" t="s">
        <v>1188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1274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1274</v>
      </c>
      <c r="BA131" s="30" t="str">
        <f>IF(ISBLANK(Table2[[#This Row],[device_model]]), "", Table2[[#This Row],[device_suggested_area]])</f>
        <v>Home</v>
      </c>
      <c r="BB131" s="30" t="s">
        <v>1278</v>
      </c>
      <c r="BC131" s="30" t="s">
        <v>1275</v>
      </c>
      <c r="BD131" s="30" t="s">
        <v>1274</v>
      </c>
      <c r="BF131" s="30" t="s">
        <v>1276</v>
      </c>
      <c r="BG131" s="30" t="s">
        <v>164</v>
      </c>
      <c r="BK131" s="30" t="s">
        <v>1212</v>
      </c>
      <c r="BL131" s="46" t="s">
        <v>1277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689</v>
      </c>
      <c r="M133" s="30" t="s">
        <v>135</v>
      </c>
      <c r="O133" s="31" t="s">
        <v>755</v>
      </c>
      <c r="P133" s="30" t="s">
        <v>164</v>
      </c>
      <c r="Q133" s="30" t="s">
        <v>727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740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852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725</v>
      </c>
      <c r="Z134" s="42" t="s">
        <v>939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1373</v>
      </c>
      <c r="BF134" s="30" t="s">
        <v>544</v>
      </c>
      <c r="BG134" s="30" t="s">
        <v>129</v>
      </c>
      <c r="BI134" s="30" t="s">
        <v>669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891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755</v>
      </c>
      <c r="P135" s="30" t="s">
        <v>164</v>
      </c>
      <c r="Q135" s="30" t="s">
        <v>727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723</v>
      </c>
      <c r="Z135" s="42" t="s">
        <v>939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961</v>
      </c>
      <c r="BC135" s="30" t="s">
        <v>547</v>
      </c>
      <c r="BD135" s="30" t="s">
        <v>359</v>
      </c>
      <c r="BE135" s="30" t="s">
        <v>1373</v>
      </c>
      <c r="BF135" s="30" t="s">
        <v>544</v>
      </c>
      <c r="BG135" s="30" t="s">
        <v>129</v>
      </c>
      <c r="BI135" s="30" t="s">
        <v>669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852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725</v>
      </c>
      <c r="Z136" s="42" t="s">
        <v>939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1373</v>
      </c>
      <c r="BF136" s="30" t="s">
        <v>544</v>
      </c>
      <c r="BG136" s="30" t="s">
        <v>126</v>
      </c>
      <c r="BI136" s="30" t="s">
        <v>669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892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755</v>
      </c>
      <c r="P137" s="30" t="s">
        <v>164</v>
      </c>
      <c r="Q137" s="30" t="s">
        <v>727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723</v>
      </c>
      <c r="Z137" s="42" t="s">
        <v>939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961</v>
      </c>
      <c r="BC137" s="30" t="s">
        <v>547</v>
      </c>
      <c r="BD137" s="30" t="s">
        <v>359</v>
      </c>
      <c r="BE137" s="30" t="s">
        <v>1373</v>
      </c>
      <c r="BF137" s="30" t="s">
        <v>544</v>
      </c>
      <c r="BG137" s="30" t="s">
        <v>126</v>
      </c>
      <c r="BI137" s="30" t="s">
        <v>669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689</v>
      </c>
      <c r="M138" s="30" t="s">
        <v>135</v>
      </c>
      <c r="O138" s="31" t="s">
        <v>755</v>
      </c>
      <c r="P138" s="30" t="s">
        <v>164</v>
      </c>
      <c r="Q138" s="30" t="s">
        <v>727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741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849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725</v>
      </c>
      <c r="Z139" s="42" t="s">
        <v>1313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1373</v>
      </c>
      <c r="BF139" s="30" t="s">
        <v>470</v>
      </c>
      <c r="BG139" s="30" t="s">
        <v>126</v>
      </c>
      <c r="BI139" s="30" t="s">
        <v>669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893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755</v>
      </c>
      <c r="P140" s="30" t="s">
        <v>164</v>
      </c>
      <c r="Q140" s="30" t="s">
        <v>727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723</v>
      </c>
      <c r="Z140" s="42" t="s">
        <v>1313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962</v>
      </c>
      <c r="BC140" s="30" t="s">
        <v>469</v>
      </c>
      <c r="BD140" s="30" t="s">
        <v>359</v>
      </c>
      <c r="BE140" s="30" t="s">
        <v>1373</v>
      </c>
      <c r="BF140" s="30" t="s">
        <v>470</v>
      </c>
      <c r="BG140" s="30" t="s">
        <v>126</v>
      </c>
      <c r="BI140" s="30" t="s">
        <v>669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691</v>
      </c>
      <c r="K141" s="30" t="s">
        <v>885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725</v>
      </c>
      <c r="Z141" s="42" t="s">
        <v>940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963</v>
      </c>
      <c r="BC141" s="30" t="s">
        <v>469</v>
      </c>
      <c r="BD141" s="30" t="s">
        <v>359</v>
      </c>
      <c r="BE141" s="30" t="s">
        <v>1373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894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755</v>
      </c>
      <c r="P142" s="30" t="s">
        <v>164</v>
      </c>
      <c r="Q142" s="30" t="s">
        <v>727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723</v>
      </c>
      <c r="Z142" s="42" t="s">
        <v>940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964</v>
      </c>
      <c r="BC142" s="30" t="s">
        <v>469</v>
      </c>
      <c r="BD142" s="30" t="s">
        <v>359</v>
      </c>
      <c r="BE142" s="30" t="s">
        <v>1373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895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755</v>
      </c>
      <c r="P143" s="30" t="s">
        <v>164</v>
      </c>
      <c r="Q143" s="30" t="s">
        <v>727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723</v>
      </c>
      <c r="Z143" s="42" t="s">
        <v>940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965</v>
      </c>
      <c r="BC143" s="30" t="s">
        <v>469</v>
      </c>
      <c r="BD143" s="30" t="s">
        <v>359</v>
      </c>
      <c r="BE143" s="30" t="s">
        <v>1373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896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755</v>
      </c>
      <c r="P144" s="30" t="s">
        <v>164</v>
      </c>
      <c r="Q144" s="30" t="s">
        <v>727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723</v>
      </c>
      <c r="Z144" s="42" t="s">
        <v>940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966</v>
      </c>
      <c r="BC144" s="30" t="s">
        <v>469</v>
      </c>
      <c r="BD144" s="30" t="s">
        <v>359</v>
      </c>
      <c r="BE144" s="30" t="s">
        <v>1373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897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755</v>
      </c>
      <c r="P145" s="30" t="s">
        <v>164</v>
      </c>
      <c r="Q145" s="30" t="s">
        <v>727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723</v>
      </c>
      <c r="Z145" s="42" t="s">
        <v>940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967</v>
      </c>
      <c r="BC145" s="30" t="s">
        <v>469</v>
      </c>
      <c r="BD145" s="30" t="s">
        <v>359</v>
      </c>
      <c r="BE145" s="30" t="s">
        <v>1373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820</v>
      </c>
      <c r="F146" s="36" t="str">
        <f>IF(ISBLANK(Table2[[#This Row],[unique_id]]), "", PROPER(SUBSTITUTE(Table2[[#This Row],[unique_id]], "_", " ")))</f>
        <v>Hallway Sconces</v>
      </c>
      <c r="G146" s="30" t="s">
        <v>822</v>
      </c>
      <c r="H146" s="30" t="s">
        <v>138</v>
      </c>
      <c r="I146" s="30" t="s">
        <v>131</v>
      </c>
      <c r="J146" s="30" t="s">
        <v>812</v>
      </c>
      <c r="K146" s="30" t="s">
        <v>885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725</v>
      </c>
      <c r="Z146" s="31" t="s">
        <v>1501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812</v>
      </c>
      <c r="BC146" s="30" t="s">
        <v>815</v>
      </c>
      <c r="BD146" s="30" t="s">
        <v>432</v>
      </c>
      <c r="BF146" s="30" t="s">
        <v>813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821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755</v>
      </c>
      <c r="P147" s="30" t="s">
        <v>164</v>
      </c>
      <c r="Q147" s="30" t="s">
        <v>727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723</v>
      </c>
      <c r="Z147" s="31" t="s">
        <v>1501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950</v>
      </c>
      <c r="BC147" s="30" t="s">
        <v>815</v>
      </c>
      <c r="BD147" s="30" t="s">
        <v>432</v>
      </c>
      <c r="BF147" s="30" t="s">
        <v>813</v>
      </c>
      <c r="BG147" s="30" t="s">
        <v>386</v>
      </c>
      <c r="BL147" s="30" t="s">
        <v>823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1172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755</v>
      </c>
      <c r="P148" s="30" t="s">
        <v>164</v>
      </c>
      <c r="Q148" s="30" t="s">
        <v>727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723</v>
      </c>
      <c r="Z148" s="31" t="s">
        <v>1501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951</v>
      </c>
      <c r="BC148" s="30" t="s">
        <v>815</v>
      </c>
      <c r="BD148" s="30" t="s">
        <v>432</v>
      </c>
      <c r="BF148" s="30" t="s">
        <v>813</v>
      </c>
      <c r="BG148" s="30" t="s">
        <v>386</v>
      </c>
      <c r="BL148" s="30" t="s">
        <v>824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691</v>
      </c>
      <c r="K149" s="30" t="s">
        <v>848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725</v>
      </c>
      <c r="Z149" s="42" t="s">
        <v>939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963</v>
      </c>
      <c r="BC149" s="30" t="s">
        <v>469</v>
      </c>
      <c r="BD149" s="30" t="s">
        <v>359</v>
      </c>
      <c r="BE149" s="30" t="s">
        <v>1373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898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755</v>
      </c>
      <c r="P150" s="30" t="s">
        <v>164</v>
      </c>
      <c r="Q150" s="30" t="s">
        <v>727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723</v>
      </c>
      <c r="Z150" s="42" t="s">
        <v>939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964</v>
      </c>
      <c r="BC150" s="30" t="s">
        <v>469</v>
      </c>
      <c r="BD150" s="30" t="s">
        <v>359</v>
      </c>
      <c r="BE150" s="30" t="s">
        <v>1373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899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755</v>
      </c>
      <c r="P151" s="30" t="s">
        <v>164</v>
      </c>
      <c r="Q151" s="30" t="s">
        <v>727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723</v>
      </c>
      <c r="Z151" s="42" t="s">
        <v>939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965</v>
      </c>
      <c r="BC151" s="30" t="s">
        <v>469</v>
      </c>
      <c r="BD151" s="30" t="s">
        <v>359</v>
      </c>
      <c r="BE151" s="30" t="s">
        <v>1373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900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755</v>
      </c>
      <c r="P152" s="30" t="s">
        <v>164</v>
      </c>
      <c r="Q152" s="30" t="s">
        <v>727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723</v>
      </c>
      <c r="Z152" s="42" t="s">
        <v>939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966</v>
      </c>
      <c r="BC152" s="30" t="s">
        <v>469</v>
      </c>
      <c r="BD152" s="30" t="s">
        <v>359</v>
      </c>
      <c r="BE152" s="30" t="s">
        <v>1373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901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755</v>
      </c>
      <c r="P153" s="30" t="s">
        <v>164</v>
      </c>
      <c r="Q153" s="30" t="s">
        <v>727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723</v>
      </c>
      <c r="Z153" s="42" t="s">
        <v>939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967</v>
      </c>
      <c r="BC153" s="30" t="s">
        <v>469</v>
      </c>
      <c r="BD153" s="30" t="s">
        <v>359</v>
      </c>
      <c r="BE153" s="30" t="s">
        <v>1373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902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755</v>
      </c>
      <c r="P154" s="30" t="s">
        <v>164</v>
      </c>
      <c r="Q154" s="30" t="s">
        <v>727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723</v>
      </c>
      <c r="Z154" s="42" t="s">
        <v>939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968</v>
      </c>
      <c r="BC154" s="30" t="s">
        <v>469</v>
      </c>
      <c r="BD154" s="30" t="s">
        <v>359</v>
      </c>
      <c r="BE154" s="30" t="s">
        <v>1373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903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755</v>
      </c>
      <c r="P155" s="30" t="s">
        <v>164</v>
      </c>
      <c r="Q155" s="30" t="s">
        <v>727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723</v>
      </c>
      <c r="Z155" s="42" t="s">
        <v>939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969</v>
      </c>
      <c r="BC155" s="30" t="s">
        <v>469</v>
      </c>
      <c r="BD155" s="30" t="s">
        <v>359</v>
      </c>
      <c r="BE155" s="30" t="s">
        <v>1373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691</v>
      </c>
      <c r="K156" s="30" t="s">
        <v>848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725</v>
      </c>
      <c r="Z156" s="42" t="s">
        <v>939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963</v>
      </c>
      <c r="BC156" s="30" t="s">
        <v>469</v>
      </c>
      <c r="BD156" s="30" t="s">
        <v>359</v>
      </c>
      <c r="BE156" s="30" t="s">
        <v>1373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904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755</v>
      </c>
      <c r="P157" s="30" t="s">
        <v>164</v>
      </c>
      <c r="Q157" s="30" t="s">
        <v>727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723</v>
      </c>
      <c r="Z157" s="42" t="s">
        <v>939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964</v>
      </c>
      <c r="BC157" s="30" t="s">
        <v>469</v>
      </c>
      <c r="BD157" s="30" t="s">
        <v>359</v>
      </c>
      <c r="BE157" s="30" t="s">
        <v>1373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905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755</v>
      </c>
      <c r="P158" s="30" t="s">
        <v>164</v>
      </c>
      <c r="Q158" s="30" t="s">
        <v>727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723</v>
      </c>
      <c r="Z158" s="42" t="s">
        <v>939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965</v>
      </c>
      <c r="BC158" s="30" t="s">
        <v>469</v>
      </c>
      <c r="BD158" s="30" t="s">
        <v>359</v>
      </c>
      <c r="BE158" s="30" t="s">
        <v>1373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906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755</v>
      </c>
      <c r="P159" s="30" t="s">
        <v>164</v>
      </c>
      <c r="Q159" s="30" t="s">
        <v>727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723</v>
      </c>
      <c r="Z159" s="42" t="s">
        <v>939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966</v>
      </c>
      <c r="BC159" s="30" t="s">
        <v>469</v>
      </c>
      <c r="BD159" s="30" t="s">
        <v>359</v>
      </c>
      <c r="BE159" s="30" t="s">
        <v>1373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692</v>
      </c>
      <c r="M160" s="30" t="s">
        <v>135</v>
      </c>
      <c r="O160" s="31" t="s">
        <v>755</v>
      </c>
      <c r="P160" s="30" t="s">
        <v>164</v>
      </c>
      <c r="Q160" s="30" t="s">
        <v>727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742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669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852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725</v>
      </c>
      <c r="Z161" s="42" t="s">
        <v>939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1460</v>
      </c>
      <c r="BD161" s="30" t="s">
        <v>359</v>
      </c>
      <c r="BE161" s="30" t="s">
        <v>1373</v>
      </c>
      <c r="BF161" s="30" t="s">
        <v>470</v>
      </c>
      <c r="BG161" s="30" t="s">
        <v>192</v>
      </c>
      <c r="BI161" s="30" t="s">
        <v>669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907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755</v>
      </c>
      <c r="P162" s="30" t="s">
        <v>164</v>
      </c>
      <c r="Q162" s="30" t="s">
        <v>727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723</v>
      </c>
      <c r="Z162" s="42" t="s">
        <v>1313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961</v>
      </c>
      <c r="BC162" s="30" t="s">
        <v>1460</v>
      </c>
      <c r="BD162" s="30" t="s">
        <v>359</v>
      </c>
      <c r="BE162" s="30" t="s">
        <v>1373</v>
      </c>
      <c r="BF162" s="30" t="s">
        <v>470</v>
      </c>
      <c r="BG162" s="30" t="s">
        <v>192</v>
      </c>
      <c r="BI162" s="30" t="s">
        <v>669</v>
      </c>
      <c r="BL162" s="30" t="s">
        <v>1458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1453</v>
      </c>
      <c r="F163" s="36" t="str">
        <f>IF(ISBLANK(Table2[[#This Row],[unique_id]]), "", PROPER(SUBSTITUTE(Table2[[#This Row],[unique_id]], "_", " ")))</f>
        <v>Lounge Reading</v>
      </c>
      <c r="G163" s="30" t="s">
        <v>1464</v>
      </c>
      <c r="H163" s="30" t="s">
        <v>138</v>
      </c>
      <c r="I163" s="30" t="s">
        <v>131</v>
      </c>
      <c r="J163" s="30" t="s">
        <v>1456</v>
      </c>
      <c r="K163" s="30" t="s">
        <v>852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725</v>
      </c>
      <c r="Z163" s="42" t="s">
        <v>939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1456</v>
      </c>
      <c r="BC163" s="30" t="s">
        <v>1459</v>
      </c>
      <c r="BD163" s="30" t="s">
        <v>359</v>
      </c>
      <c r="BE163" s="30" t="s">
        <v>1373</v>
      </c>
      <c r="BF163" s="30" t="s">
        <v>470</v>
      </c>
      <c r="BG163" s="30" t="s">
        <v>192</v>
      </c>
      <c r="BI163" s="30" t="s">
        <v>669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1454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755</v>
      </c>
      <c r="P164" s="30" t="s">
        <v>164</v>
      </c>
      <c r="Q164" s="30" t="s">
        <v>727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723</v>
      </c>
      <c r="Z164" s="42" t="s">
        <v>1313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1457</v>
      </c>
      <c r="BC164" s="30" t="s">
        <v>1459</v>
      </c>
      <c r="BD164" s="30" t="s">
        <v>359</v>
      </c>
      <c r="BE164" s="30" t="s">
        <v>1373</v>
      </c>
      <c r="BF164" s="30" t="s">
        <v>470</v>
      </c>
      <c r="BG164" s="30" t="s">
        <v>192</v>
      </c>
      <c r="BI164" s="30" t="s">
        <v>669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691</v>
      </c>
      <c r="K165" s="30" t="s">
        <v>851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725</v>
      </c>
      <c r="Z165" s="42" t="s">
        <v>940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963</v>
      </c>
      <c r="BC165" s="30" t="s">
        <v>469</v>
      </c>
      <c r="BD165" s="30" t="s">
        <v>359</v>
      </c>
      <c r="BE165" s="30" t="s">
        <v>1373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908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755</v>
      </c>
      <c r="P166" s="30" t="s">
        <v>164</v>
      </c>
      <c r="Q166" s="30" t="s">
        <v>727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723</v>
      </c>
      <c r="Z166" s="42" t="s">
        <v>940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964</v>
      </c>
      <c r="BC166" s="30" t="s">
        <v>469</v>
      </c>
      <c r="BD166" s="30" t="s">
        <v>359</v>
      </c>
      <c r="BE166" s="30" t="s">
        <v>1373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909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755</v>
      </c>
      <c r="P167" s="30" t="s">
        <v>164</v>
      </c>
      <c r="Q167" s="30" t="s">
        <v>727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723</v>
      </c>
      <c r="Z167" s="42" t="s">
        <v>940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965</v>
      </c>
      <c r="BC167" s="30" t="s">
        <v>469</v>
      </c>
      <c r="BD167" s="30" t="s">
        <v>359</v>
      </c>
      <c r="BE167" s="30" t="s">
        <v>1373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910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755</v>
      </c>
      <c r="P168" s="30" t="s">
        <v>164</v>
      </c>
      <c r="Q168" s="30" t="s">
        <v>727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723</v>
      </c>
      <c r="Z168" s="42" t="s">
        <v>940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966</v>
      </c>
      <c r="BC168" s="30" t="s">
        <v>469</v>
      </c>
      <c r="BD168" s="30" t="s">
        <v>359</v>
      </c>
      <c r="BE168" s="30" t="s">
        <v>1373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833</v>
      </c>
      <c r="F169" s="36" t="str">
        <f>IF(ISBLANK(Table2[[#This Row],[unique_id]]), "", PROPER(SUBSTITUTE(Table2[[#This Row],[unique_id]], "_", " ")))</f>
        <v>Parents Jane Bedside</v>
      </c>
      <c r="G169" s="30" t="s">
        <v>831</v>
      </c>
      <c r="H169" s="30" t="s">
        <v>138</v>
      </c>
      <c r="I169" s="30" t="s">
        <v>131</v>
      </c>
      <c r="J169" s="30" t="s">
        <v>846</v>
      </c>
      <c r="K169" s="30" t="s">
        <v>850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725</v>
      </c>
      <c r="Z169" s="31" t="s">
        <v>1501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831</v>
      </c>
      <c r="BC169" s="30" t="s">
        <v>815</v>
      </c>
      <c r="BD169" s="30" t="s">
        <v>432</v>
      </c>
      <c r="BF169" s="30" t="s">
        <v>813</v>
      </c>
      <c r="BG169" s="30" t="s">
        <v>190</v>
      </c>
      <c r="BI169" s="30" t="s">
        <v>669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834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755</v>
      </c>
      <c r="P170" s="30" t="s">
        <v>164</v>
      </c>
      <c r="Q170" s="30" t="s">
        <v>727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723</v>
      </c>
      <c r="Z170" s="31" t="s">
        <v>1501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952</v>
      </c>
      <c r="BC170" s="30" t="s">
        <v>815</v>
      </c>
      <c r="BD170" s="30" t="s">
        <v>432</v>
      </c>
      <c r="BF170" s="30" t="s">
        <v>813</v>
      </c>
      <c r="BG170" s="30" t="s">
        <v>190</v>
      </c>
      <c r="BI170" s="30" t="s">
        <v>669</v>
      </c>
      <c r="BL170" s="30" t="s">
        <v>819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835</v>
      </c>
      <c r="F171" s="36" t="str">
        <f>IF(ISBLANK(Table2[[#This Row],[unique_id]]), "", PROPER(SUBSTITUTE(Table2[[#This Row],[unique_id]], "_", " ")))</f>
        <v>Parents Graham Bedside</v>
      </c>
      <c r="G171" s="30" t="s">
        <v>832</v>
      </c>
      <c r="H171" s="30" t="s">
        <v>138</v>
      </c>
      <c r="I171" s="30" t="s">
        <v>131</v>
      </c>
      <c r="J171" s="30" t="s">
        <v>847</v>
      </c>
      <c r="K171" s="30" t="s">
        <v>850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725</v>
      </c>
      <c r="Z171" s="31" t="s">
        <v>1501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832</v>
      </c>
      <c r="BC171" s="30" t="s">
        <v>815</v>
      </c>
      <c r="BD171" s="30" t="s">
        <v>432</v>
      </c>
      <c r="BF171" s="30" t="s">
        <v>813</v>
      </c>
      <c r="BG171" s="30" t="s">
        <v>190</v>
      </c>
      <c r="BI171" s="30" t="s">
        <v>669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836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755</v>
      </c>
      <c r="P172" s="30" t="s">
        <v>164</v>
      </c>
      <c r="Q172" s="30" t="s">
        <v>727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723</v>
      </c>
      <c r="Z172" s="31" t="s">
        <v>1501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953</v>
      </c>
      <c r="BC172" s="30" t="s">
        <v>815</v>
      </c>
      <c r="BD172" s="30" t="s">
        <v>432</v>
      </c>
      <c r="BF172" s="30" t="s">
        <v>813</v>
      </c>
      <c r="BG172" s="30" t="s">
        <v>190</v>
      </c>
      <c r="BI172" s="30" t="s">
        <v>669</v>
      </c>
      <c r="BL172" s="30" t="s">
        <v>818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708</v>
      </c>
      <c r="F173" s="36" t="str">
        <f>IF(ISBLANK(Table2[[#This Row],[unique_id]]), "", PROPER(SUBSTITUTE(Table2[[#This Row],[unique_id]], "_", " ")))</f>
        <v>Study Lamp</v>
      </c>
      <c r="G173" s="30" t="s">
        <v>709</v>
      </c>
      <c r="H173" s="30" t="s">
        <v>138</v>
      </c>
      <c r="I173" s="30" t="s">
        <v>131</v>
      </c>
      <c r="K173" s="30" t="s">
        <v>852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725</v>
      </c>
      <c r="Z173" s="42" t="s">
        <v>939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1373</v>
      </c>
      <c r="BF173" s="30" t="s">
        <v>470</v>
      </c>
      <c r="BG173" s="30" t="s">
        <v>338</v>
      </c>
      <c r="BI173" s="30" t="s">
        <v>669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911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755</v>
      </c>
      <c r="P174" s="30" t="s">
        <v>164</v>
      </c>
      <c r="Q174" s="30" t="s">
        <v>727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723</v>
      </c>
      <c r="Z174" s="42" t="s">
        <v>939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961</v>
      </c>
      <c r="BC174" s="30" t="s">
        <v>469</v>
      </c>
      <c r="BD174" s="30" t="s">
        <v>359</v>
      </c>
      <c r="BE174" s="30" t="s">
        <v>1373</v>
      </c>
      <c r="BF174" s="30" t="s">
        <v>470</v>
      </c>
      <c r="BG174" s="30" t="s">
        <v>338</v>
      </c>
      <c r="BI174" s="30" t="s">
        <v>669</v>
      </c>
      <c r="BL174" s="30" t="s">
        <v>710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691</v>
      </c>
      <c r="K175" s="30" t="s">
        <v>848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725</v>
      </c>
      <c r="Z175" s="42" t="s">
        <v>939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963</v>
      </c>
      <c r="BC175" s="30" t="s">
        <v>547</v>
      </c>
      <c r="BD175" s="30" t="s">
        <v>359</v>
      </c>
      <c r="BE175" s="30" t="s">
        <v>1373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912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755</v>
      </c>
      <c r="P176" s="30" t="s">
        <v>164</v>
      </c>
      <c r="Q176" s="30" t="s">
        <v>727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723</v>
      </c>
      <c r="Z176" s="42" t="s">
        <v>939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964</v>
      </c>
      <c r="BC176" s="30" t="s">
        <v>547</v>
      </c>
      <c r="BD176" s="30" t="s">
        <v>359</v>
      </c>
      <c r="BE176" s="30" t="s">
        <v>1373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913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755</v>
      </c>
      <c r="P177" s="30" t="s">
        <v>164</v>
      </c>
      <c r="Q177" s="30" t="s">
        <v>727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723</v>
      </c>
      <c r="Z177" s="42" t="s">
        <v>939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965</v>
      </c>
      <c r="BC177" s="30" t="s">
        <v>547</v>
      </c>
      <c r="BD177" s="30" t="s">
        <v>359</v>
      </c>
      <c r="BE177" s="30" t="s">
        <v>1373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914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755</v>
      </c>
      <c r="P178" s="30" t="s">
        <v>164</v>
      </c>
      <c r="Q178" s="30" t="s">
        <v>727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723</v>
      </c>
      <c r="Z178" s="42" t="s">
        <v>939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966</v>
      </c>
      <c r="BC178" s="30" t="s">
        <v>547</v>
      </c>
      <c r="BD178" s="30" t="s">
        <v>359</v>
      </c>
      <c r="BE178" s="30" t="s">
        <v>1373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915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755</v>
      </c>
      <c r="P179" s="30" t="s">
        <v>164</v>
      </c>
      <c r="Q179" s="30" t="s">
        <v>727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723</v>
      </c>
      <c r="Z179" s="42" t="s">
        <v>939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967</v>
      </c>
      <c r="BC179" s="30" t="s">
        <v>547</v>
      </c>
      <c r="BD179" s="30" t="s">
        <v>359</v>
      </c>
      <c r="BE179" s="30" t="s">
        <v>1373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677</v>
      </c>
      <c r="D180" s="30" t="s">
        <v>136</v>
      </c>
      <c r="E180" s="30" t="s">
        <v>1180</v>
      </c>
      <c r="F180" s="36" t="str">
        <f>IF(ISBLANK(Table2[[#This Row],[unique_id]]), "", PROPER(SUBSTITUTE(Table2[[#This Row],[unique_id]], "_", " ")))</f>
        <v>Kitchen Bench Lights Plug</v>
      </c>
      <c r="G180" s="30" t="s">
        <v>1181</v>
      </c>
      <c r="H180" s="30" t="s">
        <v>138</v>
      </c>
      <c r="I180" s="30" t="s">
        <v>131</v>
      </c>
      <c r="J180" s="30" t="s">
        <v>1183</v>
      </c>
      <c r="M180" s="30" t="s">
        <v>135</v>
      </c>
      <c r="O180" s="31" t="s">
        <v>755</v>
      </c>
      <c r="P180" s="30" t="s">
        <v>164</v>
      </c>
      <c r="Q180" s="30" t="s">
        <v>727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945</v>
      </c>
      <c r="U180" s="30"/>
      <c r="V180" s="31"/>
      <c r="W180" s="31"/>
      <c r="X180" s="31"/>
      <c r="Y180" s="31"/>
      <c r="Z180" s="31"/>
      <c r="AA180" s="31" t="s">
        <v>1072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864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883</v>
      </c>
      <c r="AO180" s="30" t="s">
        <v>884</v>
      </c>
      <c r="AP180" s="30" t="s">
        <v>873</v>
      </c>
      <c r="AQ180" s="30" t="s">
        <v>874</v>
      </c>
      <c r="AR180" s="30" t="s">
        <v>937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1182</v>
      </c>
      <c r="BC180" s="30" t="s">
        <v>734</v>
      </c>
      <c r="BD180" s="30" t="s">
        <v>1076</v>
      </c>
      <c r="BF180" s="30" t="s">
        <v>854</v>
      </c>
      <c r="BG180" s="30" t="s">
        <v>204</v>
      </c>
      <c r="BK180" s="30" t="s">
        <v>1213</v>
      </c>
      <c r="BL180" s="30" t="s">
        <v>886</v>
      </c>
      <c r="BM180" s="30" t="s">
        <v>1239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690</v>
      </c>
      <c r="K181" s="30" t="s">
        <v>848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725</v>
      </c>
      <c r="Z181" s="42" t="s">
        <v>939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963</v>
      </c>
      <c r="BC181" s="30" t="s">
        <v>469</v>
      </c>
      <c r="BD181" s="30" t="s">
        <v>359</v>
      </c>
      <c r="BE181" s="30" t="s">
        <v>1373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916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755</v>
      </c>
      <c r="P182" s="30" t="s">
        <v>164</v>
      </c>
      <c r="Q182" s="30" t="s">
        <v>727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723</v>
      </c>
      <c r="Z182" s="42" t="s">
        <v>939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964</v>
      </c>
      <c r="BC182" s="30" t="s">
        <v>469</v>
      </c>
      <c r="BD182" s="30" t="s">
        <v>359</v>
      </c>
      <c r="BE182" s="30" t="s">
        <v>1373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690</v>
      </c>
      <c r="K183" s="30" t="s">
        <v>848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725</v>
      </c>
      <c r="Z183" s="42" t="s">
        <v>939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963</v>
      </c>
      <c r="BC183" s="30" t="s">
        <v>469</v>
      </c>
      <c r="BD183" s="30" t="s">
        <v>359</v>
      </c>
      <c r="BE183" s="30" t="s">
        <v>1373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917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755</v>
      </c>
      <c r="P184" s="30" t="s">
        <v>164</v>
      </c>
      <c r="Q184" s="30" t="s">
        <v>727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723</v>
      </c>
      <c r="Z184" s="42" t="s">
        <v>939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964</v>
      </c>
      <c r="BC184" s="30" t="s">
        <v>469</v>
      </c>
      <c r="BD184" s="30" t="s">
        <v>359</v>
      </c>
      <c r="BE184" s="30" t="s">
        <v>1373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690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725</v>
      </c>
      <c r="Z185" s="42" t="s">
        <v>941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963</v>
      </c>
      <c r="BC185" s="30" t="s">
        <v>547</v>
      </c>
      <c r="BD185" s="30" t="s">
        <v>359</v>
      </c>
      <c r="BE185" s="30" t="s">
        <v>1373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918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755</v>
      </c>
      <c r="P186" s="30" t="s">
        <v>164</v>
      </c>
      <c r="Q186" s="30" t="s">
        <v>727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723</v>
      </c>
      <c r="Z186" s="42" t="s">
        <v>941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964</v>
      </c>
      <c r="BC186" s="30" t="s">
        <v>547</v>
      </c>
      <c r="BD186" s="30" t="s">
        <v>359</v>
      </c>
      <c r="BE186" s="30" t="s">
        <v>1373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690</v>
      </c>
      <c r="K187" s="30" t="s">
        <v>851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725</v>
      </c>
      <c r="Z187" s="42" t="s">
        <v>940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963</v>
      </c>
      <c r="BC187" s="30" t="s">
        <v>469</v>
      </c>
      <c r="BD187" s="30" t="s">
        <v>359</v>
      </c>
      <c r="BE187" s="30" t="s">
        <v>1373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919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755</v>
      </c>
      <c r="P188" s="30" t="s">
        <v>164</v>
      </c>
      <c r="Q188" s="30" t="s">
        <v>727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723</v>
      </c>
      <c r="Z188" s="42" t="s">
        <v>940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964</v>
      </c>
      <c r="BC188" s="30" t="s">
        <v>469</v>
      </c>
      <c r="BD188" s="30" t="s">
        <v>359</v>
      </c>
      <c r="BE188" s="30" t="s">
        <v>1373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825</v>
      </c>
      <c r="F189" s="36" t="str">
        <f>IF(ISBLANK(Table2[[#This Row],[unique_id]]), "", PROPER(SUBSTITUTE(Table2[[#This Row],[unique_id]], "_", " ")))</f>
        <v>Bathroom Sconces</v>
      </c>
      <c r="G189" s="30" t="s">
        <v>828</v>
      </c>
      <c r="H189" s="30" t="s">
        <v>138</v>
      </c>
      <c r="I189" s="30" t="s">
        <v>131</v>
      </c>
      <c r="J189" s="30" t="s">
        <v>812</v>
      </c>
      <c r="K189" s="30" t="s">
        <v>850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725</v>
      </c>
      <c r="Z189" s="31" t="s">
        <v>1501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812</v>
      </c>
      <c r="BC189" s="30" t="s">
        <v>815</v>
      </c>
      <c r="BD189" s="30" t="s">
        <v>432</v>
      </c>
      <c r="BF189" s="30" t="s">
        <v>813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826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755</v>
      </c>
      <c r="P190" s="30" t="s">
        <v>164</v>
      </c>
      <c r="Q190" s="30" t="s">
        <v>727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723</v>
      </c>
      <c r="Z190" s="31" t="s">
        <v>1501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950</v>
      </c>
      <c r="BC190" s="30" t="s">
        <v>815</v>
      </c>
      <c r="BD190" s="30" t="s">
        <v>432</v>
      </c>
      <c r="BF190" s="30" t="s">
        <v>813</v>
      </c>
      <c r="BG190" s="30" t="s">
        <v>340</v>
      </c>
      <c r="BL190" s="30" t="s">
        <v>829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827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755</v>
      </c>
      <c r="P191" s="30" t="s">
        <v>164</v>
      </c>
      <c r="Q191" s="30" t="s">
        <v>727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723</v>
      </c>
      <c r="Z191" s="31" t="s">
        <v>1501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951</v>
      </c>
      <c r="BC191" s="30" t="s">
        <v>815</v>
      </c>
      <c r="BD191" s="30" t="s">
        <v>432</v>
      </c>
      <c r="BF191" s="30" t="s">
        <v>813</v>
      </c>
      <c r="BG191" s="30" t="s">
        <v>340</v>
      </c>
      <c r="BL191" s="30" t="s">
        <v>830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690</v>
      </c>
      <c r="K192" s="30" t="s">
        <v>851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725</v>
      </c>
      <c r="Z192" s="42" t="s">
        <v>940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963</v>
      </c>
      <c r="BC192" s="30" t="s">
        <v>547</v>
      </c>
      <c r="BD192" s="30" t="s">
        <v>359</v>
      </c>
      <c r="BE192" s="30" t="s">
        <v>1373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920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755</v>
      </c>
      <c r="P193" s="30" t="s">
        <v>164</v>
      </c>
      <c r="Q193" s="30" t="s">
        <v>727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723</v>
      </c>
      <c r="Z193" s="42" t="s">
        <v>940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964</v>
      </c>
      <c r="BC193" s="30" t="s">
        <v>547</v>
      </c>
      <c r="BD193" s="30" t="s">
        <v>359</v>
      </c>
      <c r="BE193" s="30" t="s">
        <v>1373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807</v>
      </c>
      <c r="F194" s="36" t="str">
        <f>IF(ISBLANK(Table2[[#This Row],[unique_id]]), "", PROPER(SUBSTITUTE(Table2[[#This Row],[unique_id]], "_", " ")))</f>
        <v>Ensuite Sconces</v>
      </c>
      <c r="G194" s="30" t="s">
        <v>811</v>
      </c>
      <c r="H194" s="30" t="s">
        <v>138</v>
      </c>
      <c r="I194" s="30" t="s">
        <v>131</v>
      </c>
      <c r="J194" s="30" t="s">
        <v>812</v>
      </c>
      <c r="K194" s="30" t="s">
        <v>850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725</v>
      </c>
      <c r="Z194" s="31" t="s">
        <v>1501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812</v>
      </c>
      <c r="BC194" s="30" t="s">
        <v>815</v>
      </c>
      <c r="BD194" s="30" t="s">
        <v>432</v>
      </c>
      <c r="BF194" s="30" t="s">
        <v>813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808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755</v>
      </c>
      <c r="P195" s="30" t="s">
        <v>164</v>
      </c>
      <c r="Q195" s="30" t="s">
        <v>727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723</v>
      </c>
      <c r="Z195" s="31" t="s">
        <v>1501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950</v>
      </c>
      <c r="BC195" s="30" t="s">
        <v>815</v>
      </c>
      <c r="BD195" s="30" t="s">
        <v>432</v>
      </c>
      <c r="BF195" s="30" t="s">
        <v>813</v>
      </c>
      <c r="BG195" s="30" t="s">
        <v>376</v>
      </c>
      <c r="BL195" s="30" t="s">
        <v>814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809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755</v>
      </c>
      <c r="P196" s="30" t="s">
        <v>164</v>
      </c>
      <c r="Q196" s="30" t="s">
        <v>727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723</v>
      </c>
      <c r="Z196" s="31" t="s">
        <v>1501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951</v>
      </c>
      <c r="BC196" s="30" t="s">
        <v>815</v>
      </c>
      <c r="BD196" s="30" t="s">
        <v>432</v>
      </c>
      <c r="BF196" s="30" t="s">
        <v>813</v>
      </c>
      <c r="BG196" s="30" t="s">
        <v>376</v>
      </c>
      <c r="BL196" s="30" t="s">
        <v>816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810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755</v>
      </c>
      <c r="P197" s="30" t="s">
        <v>164</v>
      </c>
      <c r="Q197" s="30" t="s">
        <v>727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723</v>
      </c>
      <c r="Z197" s="31" t="s">
        <v>1501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954</v>
      </c>
      <c r="BC197" s="30" t="s">
        <v>815</v>
      </c>
      <c r="BD197" s="30" t="s">
        <v>432</v>
      </c>
      <c r="BF197" s="30" t="s">
        <v>813</v>
      </c>
      <c r="BG197" s="30" t="s">
        <v>376</v>
      </c>
      <c r="BL197" s="30" t="s">
        <v>817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690</v>
      </c>
      <c r="K198" s="39" t="s">
        <v>848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725</v>
      </c>
      <c r="Z198" s="42" t="s">
        <v>939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963</v>
      </c>
      <c r="BC198" s="30" t="s">
        <v>547</v>
      </c>
      <c r="BD198" s="30" t="s">
        <v>359</v>
      </c>
      <c r="BE198" s="30" t="s">
        <v>1373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921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755</v>
      </c>
      <c r="P199" s="30" t="s">
        <v>164</v>
      </c>
      <c r="Q199" s="30" t="s">
        <v>727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723</v>
      </c>
      <c r="Z199" s="42" t="s">
        <v>939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964</v>
      </c>
      <c r="BC199" s="30" t="s">
        <v>547</v>
      </c>
      <c r="BD199" s="30" t="s">
        <v>359</v>
      </c>
      <c r="BE199" s="30" t="s">
        <v>1373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775</v>
      </c>
      <c r="D200" s="54" t="s">
        <v>147</v>
      </c>
      <c r="E200" s="55" t="s">
        <v>1346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755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694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1347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755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694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943</v>
      </c>
      <c r="BK201" s="54" t="s">
        <v>1213</v>
      </c>
      <c r="BL201" s="54" t="s">
        <v>543</v>
      </c>
      <c r="BM201" s="54" t="s">
        <v>1240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775</v>
      </c>
      <c r="D202" s="30" t="s">
        <v>147</v>
      </c>
      <c r="E202" s="37" t="s">
        <v>922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755</v>
      </c>
      <c r="P202" s="30" t="s">
        <v>164</v>
      </c>
      <c r="Q202" s="30" t="s">
        <v>727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1035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694</v>
      </c>
      <c r="BC202" s="30" t="s">
        <v>1077</v>
      </c>
      <c r="BD202" s="30" t="s">
        <v>1076</v>
      </c>
      <c r="BF202" s="30" t="s">
        <v>854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677</v>
      </c>
      <c r="D203" s="30" t="s">
        <v>136</v>
      </c>
      <c r="E203" s="30" t="s">
        <v>799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694</v>
      </c>
      <c r="M203" s="30" t="s">
        <v>135</v>
      </c>
      <c r="O203" s="31" t="s">
        <v>755</v>
      </c>
      <c r="P203" s="30" t="s">
        <v>164</v>
      </c>
      <c r="Q203" s="30" t="s">
        <v>727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1017</v>
      </c>
      <c r="U203" s="30"/>
      <c r="V203" s="31"/>
      <c r="W203" s="31"/>
      <c r="X203" s="31"/>
      <c r="Y203" s="31"/>
      <c r="Z203" s="31"/>
      <c r="AA203" s="42" t="s">
        <v>1069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864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883</v>
      </c>
      <c r="AO203" s="30" t="s">
        <v>884</v>
      </c>
      <c r="AP203" s="30" t="s">
        <v>873</v>
      </c>
      <c r="AQ203" s="30" t="s">
        <v>874</v>
      </c>
      <c r="AR203" s="30" t="s">
        <v>937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694</v>
      </c>
      <c r="BC203" s="30" t="s">
        <v>1077</v>
      </c>
      <c r="BD203" s="30" t="s">
        <v>1076</v>
      </c>
      <c r="BF203" s="30" t="s">
        <v>854</v>
      </c>
      <c r="BG203" s="30" t="s">
        <v>339</v>
      </c>
      <c r="BK203" s="30" t="s">
        <v>1213</v>
      </c>
      <c r="BL203" s="30" t="s">
        <v>1019</v>
      </c>
      <c r="BM203" s="30" t="s">
        <v>1241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677</v>
      </c>
      <c r="D204" s="30" t="s">
        <v>27</v>
      </c>
      <c r="E204" s="30" t="s">
        <v>1014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864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883</v>
      </c>
      <c r="AO204" s="30" t="s">
        <v>884</v>
      </c>
      <c r="AP204" s="30" t="s">
        <v>873</v>
      </c>
      <c r="AQ204" s="30" t="s">
        <v>874</v>
      </c>
      <c r="AR204" s="30" t="s">
        <v>1160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694</v>
      </c>
      <c r="BC204" s="30" t="s">
        <v>1077</v>
      </c>
      <c r="BD204" s="30" t="s">
        <v>1076</v>
      </c>
      <c r="BF204" s="30" t="s">
        <v>854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775</v>
      </c>
      <c r="D205" s="54" t="s">
        <v>147</v>
      </c>
      <c r="E205" s="55" t="s">
        <v>1348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755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694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1349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755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694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943</v>
      </c>
      <c r="BK206" s="54" t="s">
        <v>1213</v>
      </c>
      <c r="BL206" s="54" t="s">
        <v>542</v>
      </c>
      <c r="BM206" s="54" t="s">
        <v>1242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775</v>
      </c>
      <c r="D207" s="30" t="s">
        <v>147</v>
      </c>
      <c r="E207" s="37" t="s">
        <v>923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755</v>
      </c>
      <c r="P207" s="30" t="s">
        <v>164</v>
      </c>
      <c r="Q207" s="30" t="s">
        <v>727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1035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694</v>
      </c>
      <c r="BC207" s="30" t="s">
        <v>1078</v>
      </c>
      <c r="BD207" s="30" t="s">
        <v>1076</v>
      </c>
      <c r="BF207" s="30" t="s">
        <v>854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677</v>
      </c>
      <c r="D208" s="30" t="s">
        <v>136</v>
      </c>
      <c r="E208" s="30" t="s">
        <v>800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694</v>
      </c>
      <c r="M208" s="30" t="s">
        <v>135</v>
      </c>
      <c r="O208" s="31" t="s">
        <v>755</v>
      </c>
      <c r="P208" s="30" t="s">
        <v>164</v>
      </c>
      <c r="Q208" s="30" t="s">
        <v>727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1016</v>
      </c>
      <c r="U208" s="30"/>
      <c r="V208" s="31"/>
      <c r="W208" s="31"/>
      <c r="X208" s="31"/>
      <c r="Y208" s="31"/>
      <c r="Z208" s="31"/>
      <c r="AA208" s="42" t="s">
        <v>1069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864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883</v>
      </c>
      <c r="AO208" s="30" t="s">
        <v>884</v>
      </c>
      <c r="AP208" s="30" t="s">
        <v>873</v>
      </c>
      <c r="AQ208" s="30" t="s">
        <v>874</v>
      </c>
      <c r="AR208" s="30" t="s">
        <v>937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694</v>
      </c>
      <c r="BC208" s="30" t="s">
        <v>1078</v>
      </c>
      <c r="BD208" s="30" t="s">
        <v>1076</v>
      </c>
      <c r="BF208" s="30" t="s">
        <v>854</v>
      </c>
      <c r="BG208" s="30" t="s">
        <v>541</v>
      </c>
      <c r="BK208" s="30" t="s">
        <v>1213</v>
      </c>
      <c r="BL208" s="30" t="s">
        <v>1018</v>
      </c>
      <c r="BM208" s="30" t="s">
        <v>1243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693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726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693</v>
      </c>
      <c r="BC209" s="30" t="s">
        <v>548</v>
      </c>
      <c r="BD209" s="30" t="s">
        <v>359</v>
      </c>
      <c r="BE209" s="30" t="s">
        <v>1373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924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727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723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970</v>
      </c>
      <c r="BC210" s="30" t="s">
        <v>548</v>
      </c>
      <c r="BD210" s="30" t="s">
        <v>359</v>
      </c>
      <c r="BE210" s="30" t="s">
        <v>1373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925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727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723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971</v>
      </c>
      <c r="BC211" s="30" t="s">
        <v>548</v>
      </c>
      <c r="BD211" s="30" t="s">
        <v>359</v>
      </c>
      <c r="BE211" s="30" t="s">
        <v>1373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926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727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723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972</v>
      </c>
      <c r="BC212" s="30" t="s">
        <v>548</v>
      </c>
      <c r="BD212" s="30" t="s">
        <v>359</v>
      </c>
      <c r="BE212" s="30" t="s">
        <v>1373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927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727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723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973</v>
      </c>
      <c r="BC213" s="30" t="s">
        <v>548</v>
      </c>
      <c r="BD213" s="30" t="s">
        <v>359</v>
      </c>
      <c r="BE213" s="30" t="s">
        <v>1373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723</v>
      </c>
      <c r="Z214" s="42" t="s">
        <v>942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974</v>
      </c>
      <c r="BC214" s="30" t="s">
        <v>548</v>
      </c>
      <c r="BD214" s="30" t="s">
        <v>359</v>
      </c>
      <c r="BE214" s="30" t="s">
        <v>1373</v>
      </c>
      <c r="BF214" s="30" t="s">
        <v>546</v>
      </c>
      <c r="BG214" s="30" t="s">
        <v>558</v>
      </c>
      <c r="BL214" s="30" t="s">
        <v>1020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723</v>
      </c>
      <c r="Z215" s="42" t="s">
        <v>942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975</v>
      </c>
      <c r="BC215" s="30" t="s">
        <v>548</v>
      </c>
      <c r="BD215" s="30" t="s">
        <v>359</v>
      </c>
      <c r="BE215" s="30" t="s">
        <v>1373</v>
      </c>
      <c r="BF215" s="30" t="s">
        <v>546</v>
      </c>
      <c r="BG215" s="30" t="s">
        <v>558</v>
      </c>
      <c r="BL215" s="30" t="s">
        <v>1020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723</v>
      </c>
      <c r="Z216" s="42" t="s">
        <v>942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976</v>
      </c>
      <c r="BC216" s="30" t="s">
        <v>548</v>
      </c>
      <c r="BD216" s="30" t="s">
        <v>359</v>
      </c>
      <c r="BE216" s="30" t="s">
        <v>1373</v>
      </c>
      <c r="BF216" s="30" t="s">
        <v>546</v>
      </c>
      <c r="BG216" s="30" t="s">
        <v>558</v>
      </c>
      <c r="BL216" s="30" t="s">
        <v>1020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723</v>
      </c>
      <c r="Z217" s="42" t="s">
        <v>942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977</v>
      </c>
      <c r="BC217" s="30" t="s">
        <v>548</v>
      </c>
      <c r="BD217" s="30" t="s">
        <v>359</v>
      </c>
      <c r="BE217" s="30" t="s">
        <v>1373</v>
      </c>
      <c r="BF217" s="30" t="s">
        <v>546</v>
      </c>
      <c r="BG217" s="30" t="s">
        <v>558</v>
      </c>
      <c r="BL217" s="30" t="s">
        <v>1020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695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726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695</v>
      </c>
      <c r="BC218" s="30" t="s">
        <v>554</v>
      </c>
      <c r="BD218" s="30" t="s">
        <v>359</v>
      </c>
      <c r="BE218" s="30" t="s">
        <v>1373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928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755</v>
      </c>
      <c r="P219" s="30" t="s">
        <v>164</v>
      </c>
      <c r="Q219" s="30" t="s">
        <v>727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723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978</v>
      </c>
      <c r="BC219" s="30" t="s">
        <v>554</v>
      </c>
      <c r="BD219" s="30" t="s">
        <v>359</v>
      </c>
      <c r="BE219" s="30" t="s">
        <v>1373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929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755</v>
      </c>
      <c r="P220" s="30" t="s">
        <v>164</v>
      </c>
      <c r="Q220" s="30" t="s">
        <v>727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723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979</v>
      </c>
      <c r="BC220" s="30" t="s">
        <v>554</v>
      </c>
      <c r="BD220" s="30" t="s">
        <v>359</v>
      </c>
      <c r="BE220" s="30" t="s">
        <v>1373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723</v>
      </c>
      <c r="Z221" s="42" t="s">
        <v>942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980</v>
      </c>
      <c r="BC221" s="30" t="s">
        <v>554</v>
      </c>
      <c r="BD221" s="30" t="s">
        <v>359</v>
      </c>
      <c r="BE221" s="30" t="s">
        <v>1373</v>
      </c>
      <c r="BF221" s="30" t="s">
        <v>546</v>
      </c>
      <c r="BG221" s="30" t="s">
        <v>553</v>
      </c>
      <c r="BL221" s="30" t="s">
        <v>1020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775</v>
      </c>
      <c r="D223" s="30" t="s">
        <v>147</v>
      </c>
      <c r="E223" s="37" t="s">
        <v>930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634</v>
      </c>
      <c r="I223" s="30" t="s">
        <v>131</v>
      </c>
      <c r="O223" s="31" t="s">
        <v>755</v>
      </c>
      <c r="P223" s="30" t="s">
        <v>164</v>
      </c>
      <c r="Q223" s="39" t="s">
        <v>728</v>
      </c>
      <c r="R223" s="30" t="str">
        <f>Table2[[#This Row],[entity_domain]]</f>
        <v>Heating &amp; Cooling</v>
      </c>
      <c r="S223" s="30" t="s">
        <v>430</v>
      </c>
      <c r="T223" s="37" t="s">
        <v>1034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986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801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634</v>
      </c>
      <c r="I224" s="30" t="s">
        <v>131</v>
      </c>
      <c r="J224" s="30" t="s">
        <v>430</v>
      </c>
      <c r="M224" s="30" t="s">
        <v>255</v>
      </c>
      <c r="O224" s="31" t="s">
        <v>755</v>
      </c>
      <c r="P224" s="30" t="s">
        <v>164</v>
      </c>
      <c r="Q224" s="39" t="s">
        <v>728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986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944</v>
      </c>
      <c r="BK224" s="30" t="s">
        <v>1213</v>
      </c>
      <c r="BL224" s="30" t="s">
        <v>332</v>
      </c>
      <c r="BM224" s="30" t="s">
        <v>1244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775</v>
      </c>
      <c r="D225" s="30" t="s">
        <v>147</v>
      </c>
      <c r="E225" s="37" t="s">
        <v>1056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1129</v>
      </c>
      <c r="H225" s="30" t="s">
        <v>634</v>
      </c>
      <c r="I225" s="30" t="s">
        <v>131</v>
      </c>
      <c r="O225" s="31" t="s">
        <v>755</v>
      </c>
      <c r="P225" s="30" t="s">
        <v>164</v>
      </c>
      <c r="Q225" s="39" t="s">
        <v>728</v>
      </c>
      <c r="R225" s="30" t="str">
        <f>Table2[[#This Row],[entity_domain]]</f>
        <v>Heating &amp; Cooling</v>
      </c>
      <c r="S225" s="30" t="s">
        <v>427</v>
      </c>
      <c r="T225" s="37" t="s">
        <v>1034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1076</v>
      </c>
      <c r="BF225" s="30" t="s">
        <v>854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677</v>
      </c>
      <c r="D226" s="30" t="s">
        <v>133</v>
      </c>
      <c r="E226" s="30" t="s">
        <v>1057</v>
      </c>
      <c r="F226" s="36" t="str">
        <f>IF(ISBLANK(Table2[[#This Row],[unique_id]]), "", PROPER(SUBSTITUTE(Table2[[#This Row],[unique_id]], "_", " ")))</f>
        <v>Ceiling Water Booster Plug</v>
      </c>
      <c r="G226" s="30" t="s">
        <v>1129</v>
      </c>
      <c r="H226" s="30" t="s">
        <v>634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755</v>
      </c>
      <c r="P226" s="30" t="s">
        <v>164</v>
      </c>
      <c r="Q226" s="30" t="s">
        <v>728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1073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864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883</v>
      </c>
      <c r="AO226" s="30" t="s">
        <v>884</v>
      </c>
      <c r="AP226" s="30" t="s">
        <v>873</v>
      </c>
      <c r="AQ226" s="30" t="s">
        <v>874</v>
      </c>
      <c r="AR226" s="30" t="s">
        <v>937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1076</v>
      </c>
      <c r="BF226" s="30" t="s">
        <v>854</v>
      </c>
      <c r="BG226" s="30" t="s">
        <v>385</v>
      </c>
      <c r="BK226" s="30" t="s">
        <v>1213</v>
      </c>
      <c r="BL226" s="30" t="s">
        <v>424</v>
      </c>
      <c r="BM226" s="30" t="s">
        <v>1245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677</v>
      </c>
      <c r="D227" s="30" t="s">
        <v>27</v>
      </c>
      <c r="E227" s="30" t="s">
        <v>1058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867</v>
      </c>
      <c r="H227" s="30" t="s">
        <v>634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865</v>
      </c>
      <c r="AF227" s="30">
        <v>10</v>
      </c>
      <c r="AG227" s="31" t="s">
        <v>34</v>
      </c>
      <c r="AH227" s="31" t="s">
        <v>864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883</v>
      </c>
      <c r="AO227" s="30" t="s">
        <v>884</v>
      </c>
      <c r="AP227" s="30" t="s">
        <v>873</v>
      </c>
      <c r="AQ227" s="30" t="s">
        <v>874</v>
      </c>
      <c r="AR227" s="30" t="s">
        <v>1070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1076</v>
      </c>
      <c r="BF227" s="30" t="s">
        <v>854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677</v>
      </c>
      <c r="D228" s="30" t="s">
        <v>27</v>
      </c>
      <c r="E228" s="30" t="s">
        <v>1059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868</v>
      </c>
      <c r="H228" s="30" t="s">
        <v>634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866</v>
      </c>
      <c r="AF228" s="30">
        <v>10</v>
      </c>
      <c r="AG228" s="31" t="s">
        <v>34</v>
      </c>
      <c r="AH228" s="31" t="s">
        <v>864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883</v>
      </c>
      <c r="AO228" s="30" t="s">
        <v>884</v>
      </c>
      <c r="AP228" s="30" t="s">
        <v>873</v>
      </c>
      <c r="AQ228" s="30" t="s">
        <v>874</v>
      </c>
      <c r="AR228" s="30" t="s">
        <v>1071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1076</v>
      </c>
      <c r="BF228" s="30" t="s">
        <v>854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775</v>
      </c>
      <c r="D229" s="30" t="s">
        <v>147</v>
      </c>
      <c r="E229" s="37" t="s">
        <v>1064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634</v>
      </c>
      <c r="I229" s="30" t="s">
        <v>131</v>
      </c>
      <c r="O229" s="31" t="s">
        <v>755</v>
      </c>
      <c r="P229" s="30" t="s">
        <v>164</v>
      </c>
      <c r="Q229" s="39" t="s">
        <v>728</v>
      </c>
      <c r="R229" s="30" t="str">
        <f>Table2[[#This Row],[entity_domain]]</f>
        <v>Heating &amp; Cooling</v>
      </c>
      <c r="S229" s="30" t="s">
        <v>301</v>
      </c>
      <c r="T229" s="37" t="s">
        <v>1034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1076</v>
      </c>
      <c r="BF229" s="30" t="s">
        <v>854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677</v>
      </c>
      <c r="D230" s="30" t="s">
        <v>133</v>
      </c>
      <c r="E230" s="30" t="s">
        <v>1065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634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755</v>
      </c>
      <c r="P230" s="30" t="s">
        <v>164</v>
      </c>
      <c r="Q230" s="30" t="s">
        <v>728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1073</v>
      </c>
      <c r="AB230" s="30"/>
      <c r="AC230" s="30"/>
      <c r="AE230" s="30" t="s">
        <v>1068</v>
      </c>
      <c r="AF230" s="30">
        <v>10</v>
      </c>
      <c r="AG230" s="31" t="s">
        <v>34</v>
      </c>
      <c r="AH230" s="31" t="s">
        <v>864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883</v>
      </c>
      <c r="AO230" s="30" t="s">
        <v>884</v>
      </c>
      <c r="AP230" s="30" t="s">
        <v>873</v>
      </c>
      <c r="AQ230" s="30" t="s">
        <v>874</v>
      </c>
      <c r="AR230" s="30" t="s">
        <v>937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1076</v>
      </c>
      <c r="BF230" s="30" t="s">
        <v>854</v>
      </c>
      <c r="BG230" s="30" t="s">
        <v>558</v>
      </c>
      <c r="BK230" s="30" t="s">
        <v>1213</v>
      </c>
      <c r="BL230" s="30" t="s">
        <v>1012</v>
      </c>
      <c r="BM230" s="30" t="s">
        <v>1246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677</v>
      </c>
      <c r="D231" s="30" t="s">
        <v>27</v>
      </c>
      <c r="E231" s="30" t="s">
        <v>1066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867</v>
      </c>
      <c r="H231" s="30" t="s">
        <v>634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865</v>
      </c>
      <c r="AF231" s="30">
        <v>10</v>
      </c>
      <c r="AG231" s="31" t="s">
        <v>34</v>
      </c>
      <c r="AH231" s="31" t="s">
        <v>864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883</v>
      </c>
      <c r="AO231" s="30" t="s">
        <v>884</v>
      </c>
      <c r="AP231" s="30" t="s">
        <v>873</v>
      </c>
      <c r="AQ231" s="30" t="s">
        <v>874</v>
      </c>
      <c r="AR231" s="30" t="s">
        <v>1070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1076</v>
      </c>
      <c r="BF231" s="30" t="s">
        <v>854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677</v>
      </c>
      <c r="D232" s="30" t="s">
        <v>27</v>
      </c>
      <c r="E232" s="30" t="s">
        <v>1067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868</v>
      </c>
      <c r="H232" s="30" t="s">
        <v>634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866</v>
      </c>
      <c r="AF232" s="30">
        <v>10</v>
      </c>
      <c r="AG232" s="31" t="s">
        <v>34</v>
      </c>
      <c r="AH232" s="31" t="s">
        <v>864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883</v>
      </c>
      <c r="AO232" s="30" t="s">
        <v>884</v>
      </c>
      <c r="AP232" s="30" t="s">
        <v>873</v>
      </c>
      <c r="AQ232" s="30" t="s">
        <v>874</v>
      </c>
      <c r="AR232" s="30" t="s">
        <v>1071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1076</v>
      </c>
      <c r="BF232" s="30" t="s">
        <v>854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677</v>
      </c>
      <c r="D233" s="30" t="s">
        <v>27</v>
      </c>
      <c r="E233" s="30" t="s">
        <v>1015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1120</v>
      </c>
      <c r="H233" s="30" t="s">
        <v>1282</v>
      </c>
      <c r="I233" s="30" t="s">
        <v>131</v>
      </c>
      <c r="K233" s="30" t="s">
        <v>1128</v>
      </c>
      <c r="O233" s="31"/>
      <c r="P233" s="30"/>
      <c r="T233" s="37"/>
      <c r="U233" s="30" t="s">
        <v>418</v>
      </c>
      <c r="V233" s="31" t="s">
        <v>1143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864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883</v>
      </c>
      <c r="AO233" s="30" t="s">
        <v>884</v>
      </c>
      <c r="AP233" s="30" t="s">
        <v>873</v>
      </c>
      <c r="AQ233" s="30" t="s">
        <v>874</v>
      </c>
      <c r="AR233" s="30" t="s">
        <v>1079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694</v>
      </c>
      <c r="BC233" s="30" t="s">
        <v>1078</v>
      </c>
      <c r="BD233" s="30" t="s">
        <v>1076</v>
      </c>
      <c r="BF233" s="30" t="s">
        <v>854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677</v>
      </c>
      <c r="D234" s="30" t="s">
        <v>27</v>
      </c>
      <c r="E234" s="30" t="s">
        <v>1128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1120</v>
      </c>
      <c r="H234" s="30" t="s">
        <v>1282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744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744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744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744</v>
      </c>
      <c r="D239" s="30" t="s">
        <v>27</v>
      </c>
      <c r="E239" s="30" t="s">
        <v>730</v>
      </c>
      <c r="F239" s="36" t="str">
        <f>IF(ISBLANK(Table2[[#This Row],[unique_id]]), "", PROPER(SUBSTITUTE(Table2[[#This Row],[unique_id]], "_", " ")))</f>
        <v>Lights Power</v>
      </c>
      <c r="G239" s="30" t="s">
        <v>757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744</v>
      </c>
      <c r="D240" s="30" t="s">
        <v>27</v>
      </c>
      <c r="E240" s="30" t="s">
        <v>731</v>
      </c>
      <c r="F240" s="36" t="str">
        <f>IF(ISBLANK(Table2[[#This Row],[unique_id]]), "", PROPER(SUBSTITUTE(Table2[[#This Row],[unique_id]], "_", " ")))</f>
        <v>Fans Power</v>
      </c>
      <c r="G240" s="30" t="s">
        <v>756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744</v>
      </c>
      <c r="D241" s="30" t="s">
        <v>27</v>
      </c>
      <c r="E241" s="30" t="s">
        <v>793</v>
      </c>
      <c r="F241" s="36" t="str">
        <f>IF(ISBLANK(Table2[[#This Row],[unique_id]]), "", PROPER(SUBSTITUTE(Table2[[#This Row],[unique_id]], "_", " ")))</f>
        <v>All Standby Power</v>
      </c>
      <c r="G241" s="30" t="s">
        <v>806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744</v>
      </c>
      <c r="D242" s="30" t="s">
        <v>27</v>
      </c>
      <c r="E242" s="30" t="s">
        <v>1038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744</v>
      </c>
      <c r="D243" s="30" t="s">
        <v>27</v>
      </c>
      <c r="E243" s="30" t="s">
        <v>1039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744</v>
      </c>
      <c r="D244" s="30" t="s">
        <v>27</v>
      </c>
      <c r="E244" s="30" t="s">
        <v>1040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744</v>
      </c>
      <c r="D245" s="30" t="s">
        <v>27</v>
      </c>
      <c r="E245" s="30" t="s">
        <v>1041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744</v>
      </c>
      <c r="D246" s="30" t="s">
        <v>27</v>
      </c>
      <c r="E246" s="30" t="s">
        <v>1042</v>
      </c>
      <c r="F246" s="36" t="str">
        <f>IF(ISBLANK(Table2[[#This Row],[unique_id]]), "", PROPER(SUBSTITUTE(Table2[[#This Row],[unique_id]], "_", " ")))</f>
        <v>Water Booster Power</v>
      </c>
      <c r="G246" s="30" t="s">
        <v>1129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744</v>
      </c>
      <c r="D247" s="30" t="s">
        <v>27</v>
      </c>
      <c r="E247" s="30" t="s">
        <v>1043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744</v>
      </c>
      <c r="D248" s="30" t="s">
        <v>27</v>
      </c>
      <c r="E248" s="30" t="s">
        <v>1044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744</v>
      </c>
      <c r="D249" s="30" t="s">
        <v>27</v>
      </c>
      <c r="E249" s="30" t="s">
        <v>1045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744</v>
      </c>
      <c r="D250" s="30" t="s">
        <v>27</v>
      </c>
      <c r="E250" s="30" t="s">
        <v>745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744</v>
      </c>
      <c r="D251" s="30" t="s">
        <v>27</v>
      </c>
      <c r="E251" s="30" t="s">
        <v>746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744</v>
      </c>
      <c r="D252" s="30" t="s">
        <v>27</v>
      </c>
      <c r="E252" s="30" t="s">
        <v>1046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744</v>
      </c>
      <c r="D253" s="30" t="s">
        <v>27</v>
      </c>
      <c r="E253" s="30" t="s">
        <v>747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744</v>
      </c>
      <c r="D254" s="30" t="s">
        <v>27</v>
      </c>
      <c r="E254" s="30" t="s">
        <v>748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744</v>
      </c>
      <c r="D255" s="30" t="s">
        <v>27</v>
      </c>
      <c r="E255" s="30" t="s">
        <v>761</v>
      </c>
      <c r="F255" s="36" t="str">
        <f>IF(ISBLANK(Table2[[#This Row],[unique_id]]), "", PROPER(SUBSTITUTE(Table2[[#This Row],[unique_id]], "_", " ")))</f>
        <v>Audio Visual Devices Power</v>
      </c>
      <c r="G255" s="30" t="s">
        <v>762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744</v>
      </c>
      <c r="D256" s="30" t="s">
        <v>27</v>
      </c>
      <c r="E256" s="30" t="s">
        <v>735</v>
      </c>
      <c r="F256" s="36" t="str">
        <f>IF(ISBLANK(Table2[[#This Row],[unique_id]]), "", PROPER(SUBSTITUTE(Table2[[#This Row],[unique_id]], "_", " ")))</f>
        <v>Servers Network Power</v>
      </c>
      <c r="G256" s="30" t="s">
        <v>729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744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744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744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744</v>
      </c>
      <c r="D262" s="30" t="s">
        <v>27</v>
      </c>
      <c r="E262" s="30" t="s">
        <v>732</v>
      </c>
      <c r="F262" s="36" t="str">
        <f>IF(ISBLANK(Table2[[#This Row],[unique_id]]), "", PROPER(SUBSTITUTE(Table2[[#This Row],[unique_id]], "_", " ")))</f>
        <v>Lights Energy Daily</v>
      </c>
      <c r="G262" s="30" t="s">
        <v>757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744</v>
      </c>
      <c r="D263" s="30" t="s">
        <v>27</v>
      </c>
      <c r="E263" s="30" t="s">
        <v>733</v>
      </c>
      <c r="F263" s="36" t="str">
        <f>IF(ISBLANK(Table2[[#This Row],[unique_id]]), "", PROPER(SUBSTITUTE(Table2[[#This Row],[unique_id]], "_", " ")))</f>
        <v>Fans Energy Daily</v>
      </c>
      <c r="G263" s="30" t="s">
        <v>756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744</v>
      </c>
      <c r="D264" s="30" t="s">
        <v>27</v>
      </c>
      <c r="E264" s="30" t="s">
        <v>797</v>
      </c>
      <c r="F264" s="36" t="str">
        <f>IF(ISBLANK(Table2[[#This Row],[unique_id]]), "", PROPER(SUBSTITUTE(Table2[[#This Row],[unique_id]], "_", " ")))</f>
        <v>All Standby Energy Daily</v>
      </c>
      <c r="G264" s="30" t="s">
        <v>806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744</v>
      </c>
      <c r="D265" s="30" t="s">
        <v>27</v>
      </c>
      <c r="E265" s="30" t="s">
        <v>1047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744</v>
      </c>
      <c r="D266" s="30" t="s">
        <v>27</v>
      </c>
      <c r="E266" s="30" t="s">
        <v>1048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744</v>
      </c>
      <c r="D267" s="30" t="s">
        <v>27</v>
      </c>
      <c r="E267" s="30" t="s">
        <v>1049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744</v>
      </c>
      <c r="D268" s="30" t="s">
        <v>27</v>
      </c>
      <c r="E268" s="30" t="s">
        <v>1050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744</v>
      </c>
      <c r="D269" s="30" t="s">
        <v>27</v>
      </c>
      <c r="E269" s="30" t="s">
        <v>1051</v>
      </c>
      <c r="F269" s="36" t="str">
        <f>IF(ISBLANK(Table2[[#This Row],[unique_id]]), "", PROPER(SUBSTITUTE(Table2[[#This Row],[unique_id]], "_", " ")))</f>
        <v>Water Booster Energy Daily</v>
      </c>
      <c r="G269" s="30" t="s">
        <v>1129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744</v>
      </c>
      <c r="D270" s="30" t="s">
        <v>27</v>
      </c>
      <c r="E270" s="30" t="s">
        <v>1052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744</v>
      </c>
      <c r="D271" s="30" t="s">
        <v>27</v>
      </c>
      <c r="E271" s="30" t="s">
        <v>1053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744</v>
      </c>
      <c r="D272" s="30" t="s">
        <v>27</v>
      </c>
      <c r="E272" s="30" t="s">
        <v>1054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744</v>
      </c>
      <c r="D273" s="30" t="s">
        <v>27</v>
      </c>
      <c r="E273" s="30" t="s">
        <v>749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744</v>
      </c>
      <c r="D274" s="30" t="s">
        <v>27</v>
      </c>
      <c r="E274" s="30" t="s">
        <v>750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744</v>
      </c>
      <c r="D275" s="30" t="s">
        <v>27</v>
      </c>
      <c r="E275" s="30" t="s">
        <v>1055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744</v>
      </c>
      <c r="D276" s="30" t="s">
        <v>27</v>
      </c>
      <c r="E276" s="30" t="s">
        <v>751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744</v>
      </c>
      <c r="D277" s="30" t="s">
        <v>27</v>
      </c>
      <c r="E277" s="30" t="s">
        <v>752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744</v>
      </c>
      <c r="D278" s="30" t="s">
        <v>27</v>
      </c>
      <c r="E278" s="30" t="s">
        <v>763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762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744</v>
      </c>
      <c r="D279" s="30" t="s">
        <v>27</v>
      </c>
      <c r="E279" s="30" t="s">
        <v>736</v>
      </c>
      <c r="F279" s="36" t="str">
        <f>IF(ISBLANK(Table2[[#This Row],[unique_id]]), "", PROPER(SUBSTITUTE(Table2[[#This Row],[unique_id]], "_", " ")))</f>
        <v>Servers Network Energy Daily</v>
      </c>
      <c r="G279" s="30" t="s">
        <v>729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996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1212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1505</v>
      </c>
      <c r="D282" s="30" t="s">
        <v>133</v>
      </c>
      <c r="E282" s="30" t="s">
        <v>1506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1509</v>
      </c>
      <c r="AF282" s="30">
        <f>15*60</f>
        <v>900</v>
      </c>
      <c r="AG282" s="31" t="s">
        <v>34</v>
      </c>
      <c r="AH282" s="31"/>
      <c r="AI282" s="30" t="s">
        <v>1510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1511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1505</v>
      </c>
      <c r="BC282" s="30" t="s">
        <v>1465</v>
      </c>
      <c r="BD282" s="30" t="s">
        <v>1084</v>
      </c>
      <c r="BF282" s="30" t="s">
        <v>956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1505</v>
      </c>
      <c r="D283" s="30" t="s">
        <v>133</v>
      </c>
      <c r="E283" s="30" t="s">
        <v>1513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1516</v>
      </c>
      <c r="AF283" s="30">
        <f>15*60</f>
        <v>900</v>
      </c>
      <c r="AG283" s="31" t="s">
        <v>34</v>
      </c>
      <c r="AH283" s="31"/>
      <c r="AI283" s="30" t="s">
        <v>1510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1511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1505</v>
      </c>
      <c r="BC283" s="30" t="s">
        <v>1465</v>
      </c>
      <c r="BD283" s="30" t="s">
        <v>1084</v>
      </c>
      <c r="BF283" s="30" t="s">
        <v>956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1505</v>
      </c>
      <c r="D284" s="30" t="s">
        <v>133</v>
      </c>
      <c r="E284" s="30" t="s">
        <v>1514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1522</v>
      </c>
      <c r="AF284" s="30">
        <f>15*60</f>
        <v>900</v>
      </c>
      <c r="AG284" s="31" t="s">
        <v>34</v>
      </c>
      <c r="AH284" s="31"/>
      <c r="AI284" s="30" t="s">
        <v>1510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1511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1505</v>
      </c>
      <c r="BC284" s="30" t="s">
        <v>1465</v>
      </c>
      <c r="BD284" s="30" t="s">
        <v>1084</v>
      </c>
      <c r="BF284" s="30" t="s">
        <v>956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1505</v>
      </c>
      <c r="D285" s="30" t="s">
        <v>133</v>
      </c>
      <c r="E285" s="30" t="s">
        <v>1515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1517</v>
      </c>
      <c r="AF285" s="30">
        <f>15*60</f>
        <v>900</v>
      </c>
      <c r="AG285" s="31" t="s">
        <v>34</v>
      </c>
      <c r="AH285" s="31"/>
      <c r="AI285" s="30" t="s">
        <v>1510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1511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1505</v>
      </c>
      <c r="BC285" s="30" t="s">
        <v>1465</v>
      </c>
      <c r="BD285" s="30" t="s">
        <v>1084</v>
      </c>
      <c r="BF285" s="30" t="s">
        <v>956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1505</v>
      </c>
      <c r="D286" s="30" t="s">
        <v>133</v>
      </c>
      <c r="E286" s="30" t="s">
        <v>1512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1518</v>
      </c>
      <c r="AF286" s="30">
        <f>15*60</f>
        <v>900</v>
      </c>
      <c r="AG286" s="31" t="s">
        <v>34</v>
      </c>
      <c r="AH286" s="31"/>
      <c r="AI286" s="30" t="s">
        <v>1510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1511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1505</v>
      </c>
      <c r="BC286" s="30" t="s">
        <v>1465</v>
      </c>
      <c r="BD286" s="30" t="s">
        <v>1084</v>
      </c>
      <c r="BF286" s="30" t="s">
        <v>956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1505</v>
      </c>
      <c r="D287" s="30" t="s">
        <v>133</v>
      </c>
      <c r="E287" s="30" t="s">
        <v>1519</v>
      </c>
      <c r="F287" s="30" t="str">
        <f>IF(ISBLANK(Table2[[#This Row],[unique_id]]), "", PROPER(SUBSTITUTE(Table2[[#This Row],[unique_id]], "_", " ")))</f>
        <v>Network Certificates</v>
      </c>
      <c r="G287" s="30" t="str">
        <f>TRIM(RIGHT(SUBSTITUTE(TRIM(F287)," ",REPT(" ",100)),100))</f>
        <v>Certificates</v>
      </c>
      <c r="H287" s="30" t="s">
        <v>1507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1521</v>
      </c>
      <c r="AF287" s="30">
        <f>15*60</f>
        <v>900</v>
      </c>
      <c r="AG287" s="31" t="s">
        <v>34</v>
      </c>
      <c r="AH287" s="31"/>
      <c r="AI287" s="30" t="s">
        <v>1510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homeassistant/switch/networks/network_certificates/config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networks/data/certificates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networks/command/certificates</v>
      </c>
      <c r="AM287" s="30" t="str">
        <f>IF(ISBLANK(Table2[[#This Row],[index]]),  "", _xlfn.CONCAT(LOWER(Table2[[#This Row],[device_via_device]]), "/status"))</f>
        <v>networks/status</v>
      </c>
      <c r="AR287" s="30" t="s">
        <v>1511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Certificates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1505</v>
      </c>
      <c r="BC287" s="30" t="s">
        <v>1465</v>
      </c>
      <c r="BD287" s="30" t="s">
        <v>1084</v>
      </c>
      <c r="BF287" s="30" t="s">
        <v>956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</v>
      </c>
      <c r="D288" s="30" t="s">
        <v>588</v>
      </c>
      <c r="E288" s="30" t="s">
        <v>1279</v>
      </c>
      <c r="F288" s="36" t="str">
        <f>IF(ISBLANK(Table2[[#This Row],[unique_id]]), "", PROPER(SUBSTITUTE(Table2[[#This Row],[unique_id]], "_", " ")))</f>
        <v>Google Assistant Synchronize Devices</v>
      </c>
      <c r="G288" s="30" t="s">
        <v>1151</v>
      </c>
      <c r="H288" s="30" t="s">
        <v>589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422</v>
      </c>
      <c r="D289" s="30" t="s">
        <v>315</v>
      </c>
      <c r="E289" s="30" t="s">
        <v>314</v>
      </c>
      <c r="F289" s="36" t="str">
        <f>IF(ISBLANK(Table2[[#This Row],[unique_id]]), "", PROPER(SUBSTITUTE(Table2[[#This Row],[unique_id]], "_", " ")))</f>
        <v>Column Break</v>
      </c>
      <c r="G289" s="30" t="s">
        <v>311</v>
      </c>
      <c r="H289" s="30" t="s">
        <v>589</v>
      </c>
      <c r="I289" s="30" t="s">
        <v>273</v>
      </c>
      <c r="M289" s="30" t="s">
        <v>312</v>
      </c>
      <c r="N289" s="30" t="s">
        <v>313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1152</v>
      </c>
      <c r="D290" s="30" t="s">
        <v>133</v>
      </c>
      <c r="E290" s="30" t="s">
        <v>1467</v>
      </c>
      <c r="F290" s="30" t="str">
        <f>IF(ISBLANK(Table2[[#This Row],[unique_id]]), "", PROPER(SUBSTITUTE(Table2[[#This Row],[unique_id]], "_", " ")))</f>
        <v>Service Plex</v>
      </c>
      <c r="G290" s="30" t="s">
        <v>1153</v>
      </c>
      <c r="H290" s="30" t="s">
        <v>1508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1499</v>
      </c>
      <c r="AF290" s="30">
        <v>6</v>
      </c>
      <c r="AG290" s="31" t="s">
        <v>34</v>
      </c>
      <c r="AH290" s="31"/>
      <c r="AI290" s="30" t="s">
        <v>1430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0" s="30" t="str">
        <f>IF(ISBLANK(Table2[[#This Row],[index]]),  "", _xlfn.CONCAT("supervisor/", Table2[[#This Row],[unique_id_device]], "/status"))</f>
        <v>supervisor/macmini-mad/status</v>
      </c>
      <c r="AR290" s="30" t="s">
        <v>1498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1152</v>
      </c>
      <c r="BC290" s="30" t="s">
        <v>1465</v>
      </c>
      <c r="BD290" s="30" t="s">
        <v>1084</v>
      </c>
      <c r="BF290" s="30" t="s">
        <v>956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1152</v>
      </c>
      <c r="D291" s="30" t="s">
        <v>133</v>
      </c>
      <c r="E291" s="30" t="s">
        <v>1468</v>
      </c>
      <c r="F291" s="30" t="str">
        <f>IF(ISBLANK(Table2[[#This Row],[unique_id]]), "", PROPER(SUBSTITUTE(Table2[[#This Row],[unique_id]], "_", " ")))</f>
        <v>Service Sabnzbd</v>
      </c>
      <c r="G291" s="30" t="s">
        <v>1490</v>
      </c>
      <c r="H291" s="30" t="s">
        <v>1508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1499</v>
      </c>
      <c r="AF291" s="30">
        <v>6</v>
      </c>
      <c r="AG291" s="31" t="s">
        <v>34</v>
      </c>
      <c r="AH291" s="31"/>
      <c r="AI291" s="30" t="s">
        <v>1430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1498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1152</v>
      </c>
      <c r="BC291" s="30" t="s">
        <v>1465</v>
      </c>
      <c r="BD291" s="30" t="s">
        <v>1084</v>
      </c>
      <c r="BF291" s="30" t="s">
        <v>956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1152</v>
      </c>
      <c r="D292" s="30" t="s">
        <v>133</v>
      </c>
      <c r="E292" s="30" t="s">
        <v>1469</v>
      </c>
      <c r="F292" s="30" t="str">
        <f>IF(ISBLANK(Table2[[#This Row],[unique_id]]), "", PROPER(SUBSTITUTE(Table2[[#This Row],[unique_id]], "_", " ")))</f>
        <v>Service Influxdb3</v>
      </c>
      <c r="G292" s="30" t="s">
        <v>1489</v>
      </c>
      <c r="H292" s="30" t="s">
        <v>1508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1499</v>
      </c>
      <c r="AF292" s="30">
        <v>6</v>
      </c>
      <c r="AG292" s="31" t="s">
        <v>34</v>
      </c>
      <c r="AH292" s="31"/>
      <c r="AI292" s="30" t="s">
        <v>1431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2" s="30" t="str">
        <f>IF(ISBLANK(Table2[[#This Row],[index]]),  "", _xlfn.CONCAT("supervisor/", Table2[[#This Row],[unique_id_device]], "/status"))</f>
        <v>supervisor/macmini-max/status</v>
      </c>
      <c r="AR292" s="30" t="s">
        <v>1498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1152</v>
      </c>
      <c r="BC292" s="30" t="s">
        <v>1465</v>
      </c>
      <c r="BD292" s="30" t="s">
        <v>1084</v>
      </c>
      <c r="BF292" s="30" t="s">
        <v>956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1152</v>
      </c>
      <c r="D293" s="30" t="s">
        <v>133</v>
      </c>
      <c r="E293" s="30" t="s">
        <v>1470</v>
      </c>
      <c r="F293" s="30" t="str">
        <f>IF(ISBLANK(Table2[[#This Row],[unique_id]]), "", PROPER(SUBSTITUTE(Table2[[#This Row],[unique_id]], "_", " ")))</f>
        <v>Service Mlflow</v>
      </c>
      <c r="G293" s="30" t="s">
        <v>1491</v>
      </c>
      <c r="H293" s="30" t="s">
        <v>1508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1499</v>
      </c>
      <c r="AF293" s="30">
        <v>6</v>
      </c>
      <c r="AG293" s="31" t="s">
        <v>34</v>
      </c>
      <c r="AH293" s="31"/>
      <c r="AI293" s="30" t="s">
        <v>1431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3" s="30" t="str">
        <f>IF(ISBLANK(Table2[[#This Row],[index]]),  "", _xlfn.CONCAT("supervisor/", Table2[[#This Row],[unique_id_device]], "/status"))</f>
        <v>supervisor/macmini-max/status</v>
      </c>
      <c r="AR293" s="30" t="s">
        <v>1498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1152</v>
      </c>
      <c r="BC293" s="30" t="s">
        <v>1465</v>
      </c>
      <c r="BD293" s="30" t="s">
        <v>1084</v>
      </c>
      <c r="BF293" s="30" t="s">
        <v>956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1152</v>
      </c>
      <c r="D294" s="30" t="s">
        <v>133</v>
      </c>
      <c r="E294" s="30" t="s">
        <v>1471</v>
      </c>
      <c r="F294" s="30" t="str">
        <f>IF(ISBLANK(Table2[[#This Row],[unique_id]]), "", PROPER(SUBSTITUTE(Table2[[#This Row],[unique_id]], "_", " ")))</f>
        <v>Service Mlserver</v>
      </c>
      <c r="G294" s="30" t="s">
        <v>1492</v>
      </c>
      <c r="H294" s="30" t="s">
        <v>1508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1499</v>
      </c>
      <c r="AF294" s="30">
        <v>6</v>
      </c>
      <c r="AG294" s="31" t="s">
        <v>34</v>
      </c>
      <c r="AH294" s="31"/>
      <c r="AI294" s="30" t="s">
        <v>1431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4" s="30" t="str">
        <f>IF(ISBLANK(Table2[[#This Row],[index]]),  "", _xlfn.CONCAT("supervisor/", Table2[[#This Row],[unique_id_device]], "/status"))</f>
        <v>supervisor/macmini-max/status</v>
      </c>
      <c r="AR294" s="30" t="s">
        <v>1498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1152</v>
      </c>
      <c r="BC294" s="30" t="s">
        <v>1465</v>
      </c>
      <c r="BD294" s="30" t="s">
        <v>1084</v>
      </c>
      <c r="BF294" s="30" t="s">
        <v>956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1152</v>
      </c>
      <c r="D295" s="30" t="s">
        <v>133</v>
      </c>
      <c r="E295" s="30" t="s">
        <v>1472</v>
      </c>
      <c r="F295" s="30" t="str">
        <f>IF(ISBLANK(Table2[[#This Row],[unique_id]]), "", PROPER(SUBSTITUTE(Table2[[#This Row],[unique_id]], "_", " ")))</f>
        <v>Service Openra</v>
      </c>
      <c r="G295" s="30" t="s">
        <v>1493</v>
      </c>
      <c r="H295" s="30" t="s">
        <v>1508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1499</v>
      </c>
      <c r="AF295" s="30">
        <v>6</v>
      </c>
      <c r="AG295" s="31" t="s">
        <v>34</v>
      </c>
      <c r="AH295" s="31"/>
      <c r="AI295" s="30" t="s">
        <v>1431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1498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1152</v>
      </c>
      <c r="BC295" s="30" t="s">
        <v>1465</v>
      </c>
      <c r="BD295" s="30" t="s">
        <v>1084</v>
      </c>
      <c r="BF295" s="30" t="s">
        <v>956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561</v>
      </c>
      <c r="C296" s="30" t="s">
        <v>1152</v>
      </c>
      <c r="D296" s="30" t="s">
        <v>133</v>
      </c>
      <c r="E296" s="30" t="s">
        <v>1473</v>
      </c>
      <c r="F296" s="30" t="str">
        <f>IF(ISBLANK(Table2[[#This Row],[unique_id]]), "", PROPER(SUBSTITUTE(Table2[[#This Row],[unique_id]], "_", " ")))</f>
        <v>Service Rhasspy</v>
      </c>
      <c r="G296" s="30" t="s">
        <v>1486</v>
      </c>
      <c r="H296" s="30" t="s">
        <v>1508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1499</v>
      </c>
      <c r="AF296" s="30">
        <v>6</v>
      </c>
      <c r="AG296" s="31" t="s">
        <v>34</v>
      </c>
      <c r="AH296" s="31"/>
      <c r="AI296" s="30" t="s">
        <v>1431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1498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1152</v>
      </c>
      <c r="BC296" s="30" t="s">
        <v>1465</v>
      </c>
      <c r="BD296" s="30" t="s">
        <v>1084</v>
      </c>
      <c r="BF296" s="30" t="s">
        <v>956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1152</v>
      </c>
      <c r="D297" s="30" t="s">
        <v>133</v>
      </c>
      <c r="E297" s="30" t="s">
        <v>1504</v>
      </c>
      <c r="F297" s="30" t="str">
        <f>IF(ISBLANK(Table2[[#This Row],[unique_id]]), "", PROPER(SUBSTITUTE(Table2[[#This Row],[unique_id]], "_", " ")))</f>
        <v>Service Tempstat</v>
      </c>
      <c r="G297" s="30" t="s">
        <v>1500</v>
      </c>
      <c r="H297" s="30" t="s">
        <v>1508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1499</v>
      </c>
      <c r="AF297" s="30">
        <v>6</v>
      </c>
      <c r="AG297" s="31" t="s">
        <v>34</v>
      </c>
      <c r="AH297" s="31"/>
      <c r="AI297" s="30" t="s">
        <v>1395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297" s="30" t="str">
        <f>IF(ISBLANK(Table2[[#This Row],[index]]),  "", _xlfn.CONCAT("supervisor/", Table2[[#This Row],[unique_id_device]], "/status"))</f>
        <v>supervisor/macmini-may/status</v>
      </c>
      <c r="AR297" s="30" t="s">
        <v>1498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1152</v>
      </c>
      <c r="BC297" s="30" t="s">
        <v>1465</v>
      </c>
      <c r="BD297" s="30" t="s">
        <v>1084</v>
      </c>
      <c r="BF297" s="30" t="s">
        <v>956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1152</v>
      </c>
      <c r="D298" s="30" t="s">
        <v>133</v>
      </c>
      <c r="E298" s="30" t="s">
        <v>1474</v>
      </c>
      <c r="F298" s="30" t="str">
        <f>IF(ISBLANK(Table2[[#This Row],[unique_id]]), "", PROPER(SUBSTITUTE(Table2[[#This Row],[unique_id]], "_", " ")))</f>
        <v>Service Grafana</v>
      </c>
      <c r="G298" s="30" t="s">
        <v>1154</v>
      </c>
      <c r="H298" s="30" t="s">
        <v>1508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1499</v>
      </c>
      <c r="AF298" s="30">
        <v>6</v>
      </c>
      <c r="AG298" s="31" t="s">
        <v>34</v>
      </c>
      <c r="AH298" s="31"/>
      <c r="AI298" s="30" t="s">
        <v>1395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298" s="30" t="str">
        <f>IF(ISBLANK(Table2[[#This Row],[index]]),  "", _xlfn.CONCAT("supervisor/", Table2[[#This Row],[unique_id_device]], "/status"))</f>
        <v>supervisor/macmini-may/status</v>
      </c>
      <c r="AR298" s="30" t="s">
        <v>1498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1152</v>
      </c>
      <c r="BC298" s="30" t="s">
        <v>1465</v>
      </c>
      <c r="BD298" s="30" t="s">
        <v>1084</v>
      </c>
      <c r="BF298" s="30" t="s">
        <v>956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1152</v>
      </c>
      <c r="D299" s="30" t="s">
        <v>133</v>
      </c>
      <c r="E299" s="30" t="s">
        <v>1475</v>
      </c>
      <c r="F299" s="30" t="str">
        <f>IF(ISBLANK(Table2[[#This Row],[unique_id]]), "", PROPER(SUBSTITUTE(Table2[[#This Row],[unique_id]], "_", " ")))</f>
        <v>Service Influxdb</v>
      </c>
      <c r="G299" s="30" t="s">
        <v>1489</v>
      </c>
      <c r="H299" s="30" t="s">
        <v>1508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1499</v>
      </c>
      <c r="AF299" s="30">
        <v>6</v>
      </c>
      <c r="AG299" s="31" t="s">
        <v>34</v>
      </c>
      <c r="AH299" s="31"/>
      <c r="AI299" s="30" t="s">
        <v>1395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299" s="30" t="str">
        <f>IF(ISBLANK(Table2[[#This Row],[index]]),  "", _xlfn.CONCAT("supervisor/", Table2[[#This Row],[unique_id_device]], "/status"))</f>
        <v>supervisor/macmini-may/status</v>
      </c>
      <c r="AR299" s="30" t="s">
        <v>1498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1152</v>
      </c>
      <c r="BC299" s="30" t="s">
        <v>1465</v>
      </c>
      <c r="BD299" s="30" t="s">
        <v>1084</v>
      </c>
      <c r="BF299" s="30" t="s">
        <v>956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1152</v>
      </c>
      <c r="D300" s="30" t="s">
        <v>133</v>
      </c>
      <c r="E300" s="30" t="s">
        <v>1476</v>
      </c>
      <c r="F300" s="30" t="str">
        <f>IF(ISBLANK(Table2[[#This Row],[unique_id]]), "", PROPER(SUBSTITUTE(Table2[[#This Row],[unique_id]], "_", " ")))</f>
        <v>Service Letsencrypt</v>
      </c>
      <c r="G300" s="30" t="s">
        <v>1494</v>
      </c>
      <c r="H300" s="30" t="s">
        <v>1508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1499</v>
      </c>
      <c r="AF300" s="30">
        <v>6</v>
      </c>
      <c r="AG300" s="31" t="s">
        <v>34</v>
      </c>
      <c r="AH300" s="31"/>
      <c r="AI300" s="30" t="s">
        <v>1395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1498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1152</v>
      </c>
      <c r="BC300" s="30" t="s">
        <v>1465</v>
      </c>
      <c r="BD300" s="30" t="s">
        <v>1084</v>
      </c>
      <c r="BF300" s="30" t="s">
        <v>956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1152</v>
      </c>
      <c r="D301" s="30" t="s">
        <v>133</v>
      </c>
      <c r="E301" s="30" t="s">
        <v>1477</v>
      </c>
      <c r="F301" s="30" t="str">
        <f>IF(ISBLANK(Table2[[#This Row],[unique_id]]), "", PROPER(SUBSTITUTE(Table2[[#This Row],[unique_id]], "_", " ")))</f>
        <v>Service Sonarr</v>
      </c>
      <c r="G301" s="30" t="s">
        <v>1487</v>
      </c>
      <c r="H301" s="30" t="s">
        <v>1508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1499</v>
      </c>
      <c r="AF301" s="30">
        <v>6</v>
      </c>
      <c r="AG301" s="31" t="s">
        <v>34</v>
      </c>
      <c r="AH301" s="31"/>
      <c r="AI301" s="30" t="s">
        <v>1395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1152</v>
      </c>
      <c r="BC301" s="30" t="s">
        <v>1465</v>
      </c>
      <c r="BD301" s="30" t="s">
        <v>1084</v>
      </c>
      <c r="BF301" s="30" t="s">
        <v>956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1152</v>
      </c>
      <c r="D302" s="30" t="s">
        <v>133</v>
      </c>
      <c r="E302" s="30" t="s">
        <v>1478</v>
      </c>
      <c r="F302" s="30" t="str">
        <f>IF(ISBLANK(Table2[[#This Row],[unique_id]]), "", PROPER(SUBSTITUTE(Table2[[#This Row],[unique_id]], "_", " ")))</f>
        <v>Service Unpoller</v>
      </c>
      <c r="G302" s="30" t="s">
        <v>1488</v>
      </c>
      <c r="H302" s="30" t="s">
        <v>1508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1499</v>
      </c>
      <c r="AF302" s="30">
        <v>6</v>
      </c>
      <c r="AG302" s="31" t="s">
        <v>34</v>
      </c>
      <c r="AH302" s="31"/>
      <c r="AI302" s="30" t="s">
        <v>1395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1152</v>
      </c>
      <c r="BC302" s="30" t="s">
        <v>1465</v>
      </c>
      <c r="BD302" s="30" t="s">
        <v>1084</v>
      </c>
      <c r="BF302" s="30" t="s">
        <v>956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1152</v>
      </c>
      <c r="D303" s="30" t="s">
        <v>133</v>
      </c>
      <c r="E303" s="30" t="s">
        <v>1479</v>
      </c>
      <c r="F303" s="30" t="str">
        <f>IF(ISBLANK(Table2[[#This Row],[unique_id]]), "", PROPER(SUBSTITUTE(Table2[[#This Row],[unique_id]], "_", " ")))</f>
        <v>Service Wrangle</v>
      </c>
      <c r="G303" s="30" t="s">
        <v>1155</v>
      </c>
      <c r="H303" s="30" t="s">
        <v>1508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1499</v>
      </c>
      <c r="AF303" s="30">
        <v>6</v>
      </c>
      <c r="AG303" s="31" t="s">
        <v>34</v>
      </c>
      <c r="AH303" s="31"/>
      <c r="AI303" s="30" t="s">
        <v>1430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3" s="30" t="str">
        <f>IF(ISBLANK(Table2[[#This Row],[index]]),  "", _xlfn.CONCAT("supervisor/", Table2[[#This Row],[unique_id_device]], "/status"))</f>
        <v>supervisor/macmini-mad/status</v>
      </c>
      <c r="AR303" s="30" t="s">
        <v>1498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1152</v>
      </c>
      <c r="BC303" s="30" t="s">
        <v>1465</v>
      </c>
      <c r="BD303" s="30" t="s">
        <v>1084</v>
      </c>
      <c r="BF303" s="30" t="s">
        <v>956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1152</v>
      </c>
      <c r="D304" s="30" t="s">
        <v>133</v>
      </c>
      <c r="E304" s="30" t="s">
        <v>1466</v>
      </c>
      <c r="F304" s="30" t="str">
        <f>IF(ISBLANK(Table2[[#This Row],[unique_id]]), "", PROPER(SUBSTITUTE(Table2[[#This Row],[unique_id]], "_", " ")))</f>
        <v>Service Homeassistant</v>
      </c>
      <c r="G304" s="30" t="s">
        <v>1158</v>
      </c>
      <c r="H304" s="30" t="s">
        <v>1508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1499</v>
      </c>
      <c r="AF304" s="30">
        <v>6</v>
      </c>
      <c r="AG304" s="31" t="s">
        <v>34</v>
      </c>
      <c r="AH304" s="31"/>
      <c r="AI304" s="30" t="s">
        <v>1103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1152</v>
      </c>
      <c r="BC304" s="30" t="s">
        <v>1465</v>
      </c>
      <c r="BD304" s="30" t="s">
        <v>1084</v>
      </c>
      <c r="BF304" s="30" t="s">
        <v>956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1152</v>
      </c>
      <c r="D305" s="30" t="s">
        <v>133</v>
      </c>
      <c r="E305" s="30" t="s">
        <v>1520</v>
      </c>
      <c r="F305" s="30" t="str">
        <f>IF(ISBLANK(Table2[[#This Row],[unique_id]]), "", PROPER(SUBSTITUTE(Table2[[#This Row],[unique_id]], "_", " ")))</f>
        <v>Service Networks</v>
      </c>
      <c r="G305" s="30" t="s">
        <v>1505</v>
      </c>
      <c r="H305" s="30" t="s">
        <v>1508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1499</v>
      </c>
      <c r="AF305" s="30">
        <v>6</v>
      </c>
      <c r="AG305" s="31" t="s">
        <v>34</v>
      </c>
      <c r="AH305" s="31"/>
      <c r="AI305" s="30" t="s">
        <v>1103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homeassistant/switch/supervisor_macmini-meg/service_networks/config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supervisor/macmini-meg/data/service/networks/health_status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supervisor/macmini-meg/command/service/networks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1152</v>
      </c>
      <c r="BC305" s="30" t="s">
        <v>1465</v>
      </c>
      <c r="BD305" s="30" t="s">
        <v>1084</v>
      </c>
      <c r="BF305" s="30" t="s">
        <v>956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1152</v>
      </c>
      <c r="D306" s="30" t="s">
        <v>133</v>
      </c>
      <c r="E306" s="30" t="s">
        <v>1480</v>
      </c>
      <c r="F306" s="30" t="str">
        <f>IF(ISBLANK(Table2[[#This Row],[unique_id]]), "", PROPER(SUBSTITUTE(Table2[[#This Row],[unique_id]], "_", " ")))</f>
        <v>Service Mariadb</v>
      </c>
      <c r="G306" s="30" t="s">
        <v>1495</v>
      </c>
      <c r="H306" s="30" t="s">
        <v>1508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1499</v>
      </c>
      <c r="AF306" s="30">
        <v>6</v>
      </c>
      <c r="AG306" s="31" t="s">
        <v>34</v>
      </c>
      <c r="AH306" s="31"/>
      <c r="AI306" s="30" t="s">
        <v>1103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1152</v>
      </c>
      <c r="BC306" s="30" t="s">
        <v>1465</v>
      </c>
      <c r="BD306" s="30" t="s">
        <v>1084</v>
      </c>
      <c r="BF306" s="30" t="s">
        <v>956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1152</v>
      </c>
      <c r="D307" s="30" t="s">
        <v>133</v>
      </c>
      <c r="E307" s="30" t="s">
        <v>1481</v>
      </c>
      <c r="F307" s="30" t="str">
        <f>IF(ISBLANK(Table2[[#This Row],[unique_id]]), "", PROPER(SUBSTITUTE(Table2[[#This Row],[unique_id]], "_", " ")))</f>
        <v>Service Nginx</v>
      </c>
      <c r="G307" s="30" t="s">
        <v>1156</v>
      </c>
      <c r="H307" s="30" t="s">
        <v>1508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1499</v>
      </c>
      <c r="AF307" s="30">
        <v>6</v>
      </c>
      <c r="AG307" s="31" t="s">
        <v>34</v>
      </c>
      <c r="AH307" s="31"/>
      <c r="AI307" s="30" t="s">
        <v>1103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1152</v>
      </c>
      <c r="BC307" s="30" t="s">
        <v>1465</v>
      </c>
      <c r="BD307" s="30" t="s">
        <v>1084</v>
      </c>
      <c r="BF307" s="30" t="s">
        <v>956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1152</v>
      </c>
      <c r="D308" s="30" t="s">
        <v>133</v>
      </c>
      <c r="E308" s="30" t="s">
        <v>1482</v>
      </c>
      <c r="F308" s="30" t="str">
        <f>IF(ISBLANK(Table2[[#This Row],[unique_id]]), "", PROPER(SUBSTITUTE(Table2[[#This Row],[unique_id]], "_", " ")))</f>
        <v>Service Postgres</v>
      </c>
      <c r="G308" s="30" t="s">
        <v>1157</v>
      </c>
      <c r="H308" s="30" t="s">
        <v>1508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1499</v>
      </c>
      <c r="AF308" s="30">
        <v>6</v>
      </c>
      <c r="AG308" s="31" t="s">
        <v>34</v>
      </c>
      <c r="AH308" s="31"/>
      <c r="AI308" s="30" t="s">
        <v>1430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08" s="30" t="str">
        <f>IF(ISBLANK(Table2[[#This Row],[index]]),  "", _xlfn.CONCAT("supervisor/", Table2[[#This Row],[unique_id_device]], "/status"))</f>
        <v>supervisor/macmini-mad/status</v>
      </c>
      <c r="AR308" s="30" t="s">
        <v>1498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1152</v>
      </c>
      <c r="BC308" s="30" t="s">
        <v>1465</v>
      </c>
      <c r="BD308" s="30" t="s">
        <v>1084</v>
      </c>
      <c r="BF308" s="30" t="s">
        <v>956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1152</v>
      </c>
      <c r="D309" s="30" t="s">
        <v>133</v>
      </c>
      <c r="E309" s="30" t="s">
        <v>1483</v>
      </c>
      <c r="F309" s="30" t="str">
        <f>IF(ISBLANK(Table2[[#This Row],[unique_id]]), "", PROPER(SUBSTITUTE(Table2[[#This Row],[unique_id]], "_", " ")))</f>
        <v>Service Vernemq</v>
      </c>
      <c r="G309" s="30" t="s">
        <v>1496</v>
      </c>
      <c r="H309" s="30" t="s">
        <v>1508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1499</v>
      </c>
      <c r="AF309" s="30">
        <v>6</v>
      </c>
      <c r="AG309" s="31" t="s">
        <v>34</v>
      </c>
      <c r="AH309" s="31"/>
      <c r="AI309" s="30" t="s">
        <v>1103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1498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1152</v>
      </c>
      <c r="BC309" s="30" t="s">
        <v>1465</v>
      </c>
      <c r="BD309" s="30" t="s">
        <v>1084</v>
      </c>
      <c r="BF309" s="30" t="s">
        <v>956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1152</v>
      </c>
      <c r="D310" s="30" t="s">
        <v>133</v>
      </c>
      <c r="E310" s="30" t="s">
        <v>1484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1508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1499</v>
      </c>
      <c r="AF310" s="30">
        <v>6</v>
      </c>
      <c r="AG310" s="31" t="s">
        <v>34</v>
      </c>
      <c r="AH310" s="31"/>
      <c r="AI310" s="30" t="s">
        <v>1398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1152</v>
      </c>
      <c r="BC310" s="30" t="s">
        <v>1465</v>
      </c>
      <c r="BD310" s="30" t="s">
        <v>1084</v>
      </c>
      <c r="BF310" s="30" t="s">
        <v>956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1152</v>
      </c>
      <c r="D311" s="30" t="s">
        <v>133</v>
      </c>
      <c r="E311" s="30" t="s">
        <v>1485</v>
      </c>
      <c r="F311" s="30" t="str">
        <f>IF(ISBLANK(Table2[[#This Row],[unique_id]]), "", PROPER(SUBSTITUTE(Table2[[#This Row],[unique_id]], "_", " ")))</f>
        <v>Service Zigbee2Mqtt</v>
      </c>
      <c r="G311" s="30" t="s">
        <v>1497</v>
      </c>
      <c r="H311" s="30" t="s">
        <v>1508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1499</v>
      </c>
      <c r="AF311" s="30">
        <v>6</v>
      </c>
      <c r="AG311" s="31" t="s">
        <v>34</v>
      </c>
      <c r="AH311" s="31"/>
      <c r="AI311" s="30" t="s">
        <v>1398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1498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1152</v>
      </c>
      <c r="BC311" s="30" t="s">
        <v>1465</v>
      </c>
      <c r="BD311" s="30" t="s">
        <v>1084</v>
      </c>
      <c r="BF311" s="30" t="s">
        <v>956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1508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1163</v>
      </c>
      <c r="D313" s="30" t="s">
        <v>27</v>
      </c>
      <c r="E313" s="30" t="s">
        <v>1169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1164</v>
      </c>
      <c r="H313" s="30" t="s">
        <v>1166</v>
      </c>
      <c r="I313" s="30" t="s">
        <v>273</v>
      </c>
      <c r="K313" s="30" t="s">
        <v>1134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1500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Top Temperature</v>
      </c>
      <c r="G314" s="30" t="s">
        <v>1083</v>
      </c>
      <c r="H314" s="30" t="s">
        <v>1166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1146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1395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1502</v>
      </c>
      <c r="BD314" s="30" t="s">
        <v>1503</v>
      </c>
      <c r="BF314" s="30" t="s">
        <v>956</v>
      </c>
      <c r="BG314" s="30" t="s">
        <v>28</v>
      </c>
      <c r="BL314" s="30" t="s">
        <v>1102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1500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1083</v>
      </c>
      <c r="H315" s="30" t="s">
        <v>1166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1500</v>
      </c>
      <c r="D316" s="30" t="s">
        <v>27</v>
      </c>
      <c r="E316" s="30" t="s">
        <v>1082</v>
      </c>
      <c r="F316" s="36" t="str">
        <f>IF(ISBLANK(Table2[[#This Row],[unique_id]]), "", PROPER(SUBSTITUTE(Table2[[#This Row],[unique_id]], "_", " ")))</f>
        <v>Rack Bottom Temperature</v>
      </c>
      <c r="G316" s="30" t="s">
        <v>1085</v>
      </c>
      <c r="H316" s="30" t="s">
        <v>1166</v>
      </c>
      <c r="I316" s="30" t="s">
        <v>273</v>
      </c>
      <c r="K316" s="30" t="s">
        <v>1127</v>
      </c>
      <c r="O316" s="31"/>
      <c r="P316" s="30"/>
      <c r="T316" s="37"/>
      <c r="U316" s="30"/>
      <c r="V316" s="31" t="s">
        <v>1146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1395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1502</v>
      </c>
      <c r="BD316" s="30" t="s">
        <v>1503</v>
      </c>
      <c r="BF316" s="30" t="s">
        <v>956</v>
      </c>
      <c r="BG316" s="30" t="s">
        <v>28</v>
      </c>
      <c r="BL316" s="30" t="s">
        <v>1101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1500</v>
      </c>
      <c r="D317" s="30" t="s">
        <v>27</v>
      </c>
      <c r="E317" s="30" t="s">
        <v>1127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1085</v>
      </c>
      <c r="H317" s="30" t="s">
        <v>1166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1152</v>
      </c>
      <c r="D318" s="30" t="s">
        <v>27</v>
      </c>
      <c r="E318" s="30" t="s">
        <v>1424</v>
      </c>
      <c r="F318" s="30" t="str">
        <f>IF(ISBLANK(Table2[[#This Row],[unique_id]]), "", PROPER(SUBSTITUTE(Table2[[#This Row],[unique_id]], "_", " ")))</f>
        <v>Host Mad Temperature</v>
      </c>
      <c r="G318" s="30" t="s">
        <v>1428</v>
      </c>
      <c r="H318" s="30" t="s">
        <v>1166</v>
      </c>
      <c r="I318" s="30" t="s">
        <v>273</v>
      </c>
      <c r="K318" s="30" t="s">
        <v>1425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8" s="30" t="str">
        <f>IF(ISBLANK(Table2[[#This Row],[index]]),  "", _xlfn.CONCAT("supervisor/", Table2[[#This Row],[unique_id_device]], "/status"))</f>
        <v>supervisor/macmini-mad/status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1152</v>
      </c>
      <c r="BC318" s="30" t="s">
        <v>1465</v>
      </c>
      <c r="BD318" s="30" t="s">
        <v>1084</v>
      </c>
      <c r="BF318" s="30" t="s">
        <v>956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1152</v>
      </c>
      <c r="D319" s="30" t="s">
        <v>27</v>
      </c>
      <c r="E319" s="30" t="s">
        <v>1425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1428</v>
      </c>
      <c r="H319" s="30" t="s">
        <v>1166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1152</v>
      </c>
      <c r="D320" s="30" t="s">
        <v>27</v>
      </c>
      <c r="E320" s="30" t="s">
        <v>1426</v>
      </c>
      <c r="F320" s="30" t="str">
        <f>IF(ISBLANK(Table2[[#This Row],[unique_id]]), "", PROPER(SUBSTITUTE(Table2[[#This Row],[unique_id]], "_", " ")))</f>
        <v>Host Max Temperature</v>
      </c>
      <c r="G320" s="30" t="s">
        <v>1429</v>
      </c>
      <c r="H320" s="30" t="s">
        <v>1166</v>
      </c>
      <c r="I320" s="30" t="s">
        <v>273</v>
      </c>
      <c r="K320" s="30" t="s">
        <v>1427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1431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20" s="30" t="str">
        <f>IF(ISBLANK(Table2[[#This Row],[index]]),  "", _xlfn.CONCAT("supervisor/", Table2[[#This Row],[unique_id_device]], "/status"))</f>
        <v>supervisor/macmini-max/status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1152</v>
      </c>
      <c r="BC320" s="30" t="s">
        <v>1465</v>
      </c>
      <c r="BD320" s="30" t="s">
        <v>1084</v>
      </c>
      <c r="BF320" s="30" t="s">
        <v>956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1152</v>
      </c>
      <c r="D321" s="30" t="s">
        <v>27</v>
      </c>
      <c r="E321" s="30" t="s">
        <v>1427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1429</v>
      </c>
      <c r="H321" s="30" t="s">
        <v>1166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1152</v>
      </c>
      <c r="D322" s="30" t="s">
        <v>27</v>
      </c>
      <c r="E322" s="30" t="s">
        <v>1389</v>
      </c>
      <c r="F322" s="30" t="str">
        <f>IF(ISBLANK(Table2[[#This Row],[unique_id]]), "", PROPER(SUBSTITUTE(Table2[[#This Row],[unique_id]], "_", " ")))</f>
        <v>Host May Temperature</v>
      </c>
      <c r="G322" s="30" t="s">
        <v>1388</v>
      </c>
      <c r="H322" s="30" t="s">
        <v>1166</v>
      </c>
      <c r="I322" s="30" t="s">
        <v>273</v>
      </c>
      <c r="K322" s="30" t="s">
        <v>1390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2" s="30" t="str">
        <f>IF(ISBLANK(Table2[[#This Row],[index]]),  "", _xlfn.CONCAT("supervisor/", Table2[[#This Row],[unique_id_device]], "/status"))</f>
        <v>supervisor/macmini-may/status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1152</v>
      </c>
      <c r="BC322" s="30" t="s">
        <v>1465</v>
      </c>
      <c r="BD322" s="30" t="s">
        <v>1084</v>
      </c>
      <c r="BF322" s="30" t="s">
        <v>956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1152</v>
      </c>
      <c r="D323" s="30" t="s">
        <v>27</v>
      </c>
      <c r="E323" s="30" t="s">
        <v>1390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1388</v>
      </c>
      <c r="H323" s="30" t="s">
        <v>1166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1152</v>
      </c>
      <c r="D324" s="30" t="s">
        <v>27</v>
      </c>
      <c r="E324" s="30" t="s">
        <v>1159</v>
      </c>
      <c r="F324" s="30" t="str">
        <f>IF(ISBLANK(Table2[[#This Row],[unique_id]]), "", PROPER(SUBSTITUTE(Table2[[#This Row],[unique_id]], "_", " ")))</f>
        <v>Host Meg Temperature</v>
      </c>
      <c r="G324" s="30" t="s">
        <v>1162</v>
      </c>
      <c r="H324" s="30" t="s">
        <v>1166</v>
      </c>
      <c r="I324" s="30" t="s">
        <v>273</v>
      </c>
      <c r="K324" s="30" t="s">
        <v>1161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1103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4" s="30" t="str">
        <f>IF(ISBLANK(Table2[[#This Row],[index]]),  "", _xlfn.CONCAT("supervisor/", Table2[[#This Row],[unique_id_device]], "/status"))</f>
        <v>supervisor/macmini-meg/status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1152</v>
      </c>
      <c r="BC324" s="30" t="s">
        <v>1465</v>
      </c>
      <c r="BD324" s="30" t="s">
        <v>1084</v>
      </c>
      <c r="BF324" s="30" t="s">
        <v>956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1152</v>
      </c>
      <c r="D325" s="30" t="s">
        <v>27</v>
      </c>
      <c r="E325" s="30" t="s">
        <v>1161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1162</v>
      </c>
      <c r="H325" s="30" t="s">
        <v>1166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1163</v>
      </c>
      <c r="D326" s="30" t="s">
        <v>27</v>
      </c>
      <c r="E326" s="30" t="s">
        <v>1171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1168</v>
      </c>
      <c r="H326" s="30" t="s">
        <v>1167</v>
      </c>
      <c r="I326" s="30" t="s">
        <v>273</v>
      </c>
      <c r="K326" s="30" t="s">
        <v>1125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1163</v>
      </c>
      <c r="D327" s="30" t="s">
        <v>27</v>
      </c>
      <c r="E327" s="30" t="s">
        <v>1170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1374</v>
      </c>
      <c r="H327" s="30" t="s">
        <v>1165</v>
      </c>
      <c r="I327" s="30" t="s">
        <v>273</v>
      </c>
      <c r="K327" s="30" t="s">
        <v>1131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1152</v>
      </c>
      <c r="D328" s="30" t="s">
        <v>27</v>
      </c>
      <c r="E328" s="30" t="s">
        <v>1401</v>
      </c>
      <c r="F328" s="30" t="str">
        <f>IF(ISBLANK(Table2[[#This Row],[unique_id]]), "", PROPER(SUBSTITUTE(Table2[[#This Row],[unique_id]], "_", " ")))</f>
        <v>Host Jen Temperature</v>
      </c>
      <c r="G328" s="30" t="s">
        <v>1402</v>
      </c>
      <c r="H328" s="30" t="s">
        <v>1165</v>
      </c>
      <c r="I328" s="30" t="s">
        <v>273</v>
      </c>
      <c r="K328" s="30" t="s">
        <v>1397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1398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8" s="30" t="str">
        <f>IF(ISBLANK(Table2[[#This Row],[index]]),  "", _xlfn.CONCAT("supervisor/", Table2[[#This Row],[unique_id_device]], "/status"))</f>
        <v>supervisor/raspbpi-jen/status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1152</v>
      </c>
      <c r="BC328" s="30" t="s">
        <v>1465</v>
      </c>
      <c r="BD328" s="30" t="s">
        <v>1084</v>
      </c>
      <c r="BF328" s="30" t="s">
        <v>956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1152</v>
      </c>
      <c r="D329" s="30" t="s">
        <v>27</v>
      </c>
      <c r="E329" s="30" t="s">
        <v>1397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1402</v>
      </c>
      <c r="H329" s="30" t="s">
        <v>1165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1165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604</v>
      </c>
      <c r="D331" s="30" t="s">
        <v>27</v>
      </c>
      <c r="E331" s="30" t="s">
        <v>642</v>
      </c>
      <c r="F331" s="36" t="str">
        <f>IF(ISBLANK(Table2[[#This Row],[unique_id]]), "", PROPER(SUBSTITUTE(Table2[[#This Row],[unique_id]], "_", " ")))</f>
        <v>Back Door Lock Battery</v>
      </c>
      <c r="G331" s="30" t="s">
        <v>628</v>
      </c>
      <c r="H331" s="30" t="s">
        <v>1150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604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Front Door Lock Battery</v>
      </c>
      <c r="G332" s="30" t="s">
        <v>627</v>
      </c>
      <c r="H332" s="30" t="s">
        <v>1150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645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630</v>
      </c>
      <c r="H333" s="30" t="s">
        <v>1150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644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629</v>
      </c>
      <c r="H334" s="30" t="s">
        <v>1150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1150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639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637</v>
      </c>
      <c r="H336" s="48" t="s">
        <v>1150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638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1150</v>
      </c>
      <c r="I337" s="48" t="s">
        <v>273</v>
      </c>
      <c r="O337" s="50"/>
      <c r="T337" s="51"/>
      <c r="V337" s="50" t="s">
        <v>1179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1148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1178</v>
      </c>
      <c r="BC337" s="48" t="s">
        <v>36</v>
      </c>
      <c r="BD337" s="48" t="s">
        <v>37</v>
      </c>
      <c r="BF337" s="48" t="s">
        <v>1030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1307</v>
      </c>
      <c r="F338" s="36" t="str">
        <f>IF(ISBLANK(Table2[[#This Row],[unique_id]]), "", PROPER(SUBSTITUTE(Table2[[#This Row],[unique_id]], "_", " ")))</f>
        <v>Office Pantry Battery</v>
      </c>
      <c r="G338" s="30" t="s">
        <v>440</v>
      </c>
      <c r="H338" s="30" t="s">
        <v>1150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958</v>
      </c>
      <c r="BC338" s="30" t="s">
        <v>960</v>
      </c>
      <c r="BD338" s="30" t="s">
        <v>127</v>
      </c>
      <c r="BF338" s="30" t="s">
        <v>406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1308</v>
      </c>
      <c r="F339" s="36" t="str">
        <f>IF(ISBLANK(Table2[[#This Row],[unique_id]]), "", PROPER(SUBSTITUTE(Table2[[#This Row],[unique_id]], "_", " ")))</f>
        <v>Office Lounge Battery</v>
      </c>
      <c r="G339" s="30" t="s">
        <v>441</v>
      </c>
      <c r="H339" s="30" t="s">
        <v>1150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958</v>
      </c>
      <c r="BC339" s="30" t="s">
        <v>960</v>
      </c>
      <c r="BD339" s="30" t="s">
        <v>127</v>
      </c>
      <c r="BF339" s="30" t="s">
        <v>406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1309</v>
      </c>
      <c r="F340" s="36" t="str">
        <f>IF(ISBLANK(Table2[[#This Row],[unique_id]]), "", PROPER(SUBSTITUTE(Table2[[#This Row],[unique_id]], "_", " ")))</f>
        <v>Office Dining Battery</v>
      </c>
      <c r="G340" s="30" t="s">
        <v>442</v>
      </c>
      <c r="H340" s="30" t="s">
        <v>1150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958</v>
      </c>
      <c r="BC340" s="30" t="s">
        <v>960</v>
      </c>
      <c r="BD340" s="30" t="s">
        <v>127</v>
      </c>
      <c r="BF340" s="30" t="s">
        <v>406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1310</v>
      </c>
      <c r="F341" s="36" t="str">
        <f>IF(ISBLANK(Table2[[#This Row],[unique_id]]), "", PROPER(SUBSTITUTE(Table2[[#This Row],[unique_id]], "_", " ")))</f>
        <v>Office Basement Battery</v>
      </c>
      <c r="G341" s="30" t="s">
        <v>443</v>
      </c>
      <c r="H341" s="30" t="s">
        <v>1150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958</v>
      </c>
      <c r="BC341" s="30" t="s">
        <v>960</v>
      </c>
      <c r="BD341" s="30" t="s">
        <v>127</v>
      </c>
      <c r="BF341" s="30" t="s">
        <v>406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703</v>
      </c>
      <c r="F342" s="36" t="str">
        <f>IF(ISBLANK(Table2[[#This Row],[unique_id]]), "", PROPER(SUBSTITUTE(Table2[[#This Row],[unique_id]], "_", " ")))</f>
        <v>Parents Move Battery</v>
      </c>
      <c r="G342" s="30" t="s">
        <v>444</v>
      </c>
      <c r="H342" s="30" t="s">
        <v>1150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Kitchen Move Battery</v>
      </c>
      <c r="G343" s="30" t="s">
        <v>445</v>
      </c>
      <c r="H343" s="30" t="s">
        <v>1150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422</v>
      </c>
      <c r="D344" s="30" t="s">
        <v>315</v>
      </c>
      <c r="E344" s="30" t="s">
        <v>314</v>
      </c>
      <c r="F344" s="36" t="str">
        <f>IF(ISBLANK(Table2[[#This Row],[unique_id]]), "", PROPER(SUBSTITUTE(Table2[[#This Row],[unique_id]], "_", " ")))</f>
        <v>Column Break</v>
      </c>
      <c r="G344" s="30" t="s">
        <v>311</v>
      </c>
      <c r="H344" s="30" t="s">
        <v>1150</v>
      </c>
      <c r="I344" s="30" t="s">
        <v>273</v>
      </c>
      <c r="M344" s="30" t="s">
        <v>312</v>
      </c>
      <c r="N344" s="30" t="s">
        <v>313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744</v>
      </c>
      <c r="D345" s="30" t="s">
        <v>27</v>
      </c>
      <c r="E345" s="30" t="s">
        <v>795</v>
      </c>
      <c r="F345" s="36" t="str">
        <f>IF(ISBLANK(Table2[[#This Row],[unique_id]]), "", PROPER(SUBSTITUTE(Table2[[#This Row],[unique_id]], "_", " ")))</f>
        <v>All Standby</v>
      </c>
      <c r="G345" s="30" t="s">
        <v>796</v>
      </c>
      <c r="H345" s="30" t="s">
        <v>508</v>
      </c>
      <c r="I345" s="30" t="s">
        <v>273</v>
      </c>
      <c r="O345" s="31" t="s">
        <v>755</v>
      </c>
      <c r="P345" s="30"/>
      <c r="R345" s="41"/>
      <c r="T345" s="37" t="s">
        <v>794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677</v>
      </c>
      <c r="D346" s="30" t="s">
        <v>133</v>
      </c>
      <c r="E346" s="30" t="s">
        <v>1432</v>
      </c>
      <c r="F346" s="36" t="str">
        <f>IF(ISBLANK(Table2[[#This Row],[unique_id]]), "", PROPER(SUBSTITUTE(Table2[[#This Row],[unique_id]], "_", " ")))</f>
        <v>Rack Printer Plug</v>
      </c>
      <c r="G346" s="30" t="s">
        <v>1447</v>
      </c>
      <c r="H346" s="30" t="s">
        <v>508</v>
      </c>
      <c r="I346" s="30" t="s">
        <v>273</v>
      </c>
      <c r="M346" s="30" t="s">
        <v>255</v>
      </c>
      <c r="O346" s="31" t="s">
        <v>755</v>
      </c>
      <c r="P346" s="30"/>
      <c r="T346" s="37" t="s">
        <v>938</v>
      </c>
      <c r="U346" s="30"/>
      <c r="V346" s="31"/>
      <c r="W346" s="31"/>
      <c r="X346" s="31"/>
      <c r="Y346" s="31"/>
      <c r="Z346" s="31"/>
      <c r="AA346" s="31" t="s">
        <v>1075</v>
      </c>
      <c r="AB346" s="30"/>
      <c r="AC346" s="30"/>
      <c r="AE346" s="30" t="s">
        <v>1433</v>
      </c>
      <c r="AF346" s="30">
        <v>10</v>
      </c>
      <c r="AG346" s="31" t="s">
        <v>34</v>
      </c>
      <c r="AH346" s="31" t="s">
        <v>864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883</v>
      </c>
      <c r="AO346" s="30" t="s">
        <v>884</v>
      </c>
      <c r="AP346" s="30" t="s">
        <v>873</v>
      </c>
      <c r="AQ346" s="30" t="s">
        <v>874</v>
      </c>
      <c r="AR346" s="30" t="s">
        <v>937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364</v>
      </c>
      <c r="BC346" s="39" t="s">
        <v>734</v>
      </c>
      <c r="BD346" s="30" t="s">
        <v>1076</v>
      </c>
      <c r="BF346" s="30" t="s">
        <v>854</v>
      </c>
      <c r="BG346" s="30" t="s">
        <v>28</v>
      </c>
      <c r="BK346" s="30" t="s">
        <v>1213</v>
      </c>
      <c r="BL346" s="30" t="s">
        <v>1452</v>
      </c>
      <c r="BM346" s="30" t="s">
        <v>1448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677</v>
      </c>
      <c r="D347" s="30" t="s">
        <v>133</v>
      </c>
      <c r="E347" s="30" t="s">
        <v>1442</v>
      </c>
      <c r="F347" s="36" t="str">
        <f>IF(ISBLANK(Table2[[#This Row],[unique_id]]), "", PROPER(SUBSTITUTE(Table2[[#This Row],[unique_id]], "_", " ")))</f>
        <v>Rack Screen Plug</v>
      </c>
      <c r="G347" s="30" t="s">
        <v>1435</v>
      </c>
      <c r="H347" s="30" t="s">
        <v>508</v>
      </c>
      <c r="I347" s="30" t="s">
        <v>273</v>
      </c>
      <c r="M347" s="30" t="s">
        <v>255</v>
      </c>
      <c r="O347" s="31" t="s">
        <v>755</v>
      </c>
      <c r="P347" s="30"/>
      <c r="T347" s="37" t="s">
        <v>938</v>
      </c>
      <c r="U347" s="30"/>
      <c r="V347" s="31"/>
      <c r="W347" s="31"/>
      <c r="X347" s="31"/>
      <c r="Y347" s="31"/>
      <c r="Z347" s="31"/>
      <c r="AA347" s="31" t="s">
        <v>1075</v>
      </c>
      <c r="AB347" s="30"/>
      <c r="AC347" s="30"/>
      <c r="AE347" s="30" t="s">
        <v>1436</v>
      </c>
      <c r="AF347" s="30">
        <v>10</v>
      </c>
      <c r="AG347" s="31" t="s">
        <v>34</v>
      </c>
      <c r="AH347" s="31" t="s">
        <v>864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883</v>
      </c>
      <c r="AO347" s="30" t="s">
        <v>884</v>
      </c>
      <c r="AP347" s="30" t="s">
        <v>873</v>
      </c>
      <c r="AQ347" s="30" t="s">
        <v>874</v>
      </c>
      <c r="AR347" s="30" t="s">
        <v>937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1439</v>
      </c>
      <c r="BC347" s="39" t="s">
        <v>734</v>
      </c>
      <c r="BD347" s="30" t="s">
        <v>1076</v>
      </c>
      <c r="BF347" s="30" t="s">
        <v>854</v>
      </c>
      <c r="BG347" s="30" t="s">
        <v>28</v>
      </c>
      <c r="BK347" s="30" t="s">
        <v>1213</v>
      </c>
      <c r="BL347" s="30" t="s">
        <v>1444</v>
      </c>
      <c r="BM347" s="30" t="s">
        <v>1440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677</v>
      </c>
      <c r="D348" s="30" t="s">
        <v>133</v>
      </c>
      <c r="E348" s="30" t="s">
        <v>1416</v>
      </c>
      <c r="F348" s="36" t="str">
        <f>IF(ISBLANK(Table2[[#This Row],[unique_id]]), "", PROPER(SUBSTITUTE(Table2[[#This Row],[unique_id]], "_", " ")))</f>
        <v>Rack Backup Plug</v>
      </c>
      <c r="G348" s="30" t="s">
        <v>1434</v>
      </c>
      <c r="H348" s="30" t="s">
        <v>508</v>
      </c>
      <c r="I348" s="30" t="s">
        <v>273</v>
      </c>
      <c r="M348" s="30" t="s">
        <v>255</v>
      </c>
      <c r="O348" s="31" t="s">
        <v>755</v>
      </c>
      <c r="P348" s="30"/>
      <c r="T348" s="37" t="s">
        <v>938</v>
      </c>
      <c r="U348" s="30"/>
      <c r="V348" s="31"/>
      <c r="W348" s="31"/>
      <c r="X348" s="31"/>
      <c r="Y348" s="31"/>
      <c r="Z348" s="31"/>
      <c r="AA348" s="31" t="s">
        <v>1075</v>
      </c>
      <c r="AB348" s="30"/>
      <c r="AC348" s="30"/>
      <c r="AE348" s="30" t="s">
        <v>1437</v>
      </c>
      <c r="AF348" s="30">
        <v>10</v>
      </c>
      <c r="AG348" s="31" t="s">
        <v>34</v>
      </c>
      <c r="AH348" s="31" t="s">
        <v>864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883</v>
      </c>
      <c r="AO348" s="30" t="s">
        <v>884</v>
      </c>
      <c r="AP348" s="30" t="s">
        <v>873</v>
      </c>
      <c r="AQ348" s="30" t="s">
        <v>874</v>
      </c>
      <c r="AR348" s="30" t="s">
        <v>937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1438</v>
      </c>
      <c r="BC348" s="39" t="s">
        <v>734</v>
      </c>
      <c r="BD348" s="30" t="s">
        <v>1076</v>
      </c>
      <c r="BF348" s="30" t="s">
        <v>854</v>
      </c>
      <c r="BG348" s="30" t="s">
        <v>28</v>
      </c>
      <c r="BK348" s="30" t="s">
        <v>1213</v>
      </c>
      <c r="BL348" s="30" t="s">
        <v>1443</v>
      </c>
      <c r="BM348" s="30" t="s">
        <v>1441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677</v>
      </c>
      <c r="D349" s="30" t="s">
        <v>133</v>
      </c>
      <c r="E349" s="30" t="s">
        <v>855</v>
      </c>
      <c r="F349" s="36" t="str">
        <f>IF(ISBLANK(Table2[[#This Row],[unique_id]]), "", PROPER(SUBSTITUTE(Table2[[#This Row],[unique_id]], "_", " ")))</f>
        <v>Rack Fans Plug</v>
      </c>
      <c r="G349" s="30" t="s">
        <v>570</v>
      </c>
      <c r="H349" s="30" t="s">
        <v>508</v>
      </c>
      <c r="I349" s="30" t="s">
        <v>273</v>
      </c>
      <c r="M349" s="30" t="s">
        <v>255</v>
      </c>
      <c r="O349" s="31" t="s">
        <v>755</v>
      </c>
      <c r="P349" s="30"/>
      <c r="T349" s="37" t="s">
        <v>938</v>
      </c>
      <c r="U349" s="30"/>
      <c r="V349" s="31"/>
      <c r="W349" s="31"/>
      <c r="X349" s="31"/>
      <c r="Y349" s="31"/>
      <c r="Z349" s="31"/>
      <c r="AA349" s="31" t="s">
        <v>1075</v>
      </c>
      <c r="AB349" s="30"/>
      <c r="AC349" s="30"/>
      <c r="AE349" s="30" t="s">
        <v>572</v>
      </c>
      <c r="AF349" s="30">
        <v>10</v>
      </c>
      <c r="AG349" s="31" t="s">
        <v>34</v>
      </c>
      <c r="AH349" s="31" t="s">
        <v>864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883</v>
      </c>
      <c r="AO349" s="30" t="s">
        <v>884</v>
      </c>
      <c r="AP349" s="30" t="s">
        <v>873</v>
      </c>
      <c r="AQ349" s="30" t="s">
        <v>874</v>
      </c>
      <c r="AR349" s="30" t="s">
        <v>937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734</v>
      </c>
      <c r="BD349" s="30" t="s">
        <v>1076</v>
      </c>
      <c r="BF349" s="30" t="s">
        <v>854</v>
      </c>
      <c r="BG349" s="30" t="s">
        <v>28</v>
      </c>
      <c r="BK349" s="30" t="s">
        <v>1213</v>
      </c>
      <c r="BL349" s="30" t="s">
        <v>571</v>
      </c>
      <c r="BM349" s="30" t="s">
        <v>1267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customHeight="1" x14ac:dyDescent="0.2">
      <c r="A350" s="30">
        <v>2568</v>
      </c>
      <c r="B350" s="30" t="s">
        <v>26</v>
      </c>
      <c r="C350" s="30" t="s">
        <v>775</v>
      </c>
      <c r="D350" s="30" t="s">
        <v>147</v>
      </c>
      <c r="E350" s="37" t="s">
        <v>1037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508</v>
      </c>
      <c r="I350" s="30" t="s">
        <v>273</v>
      </c>
      <c r="O350" s="31" t="s">
        <v>755</v>
      </c>
      <c r="P350" s="30" t="s">
        <v>164</v>
      </c>
      <c r="Q350" s="30" t="s">
        <v>727</v>
      </c>
      <c r="R350" s="41" t="s">
        <v>712</v>
      </c>
      <c r="S350" s="30" t="str">
        <f>Table2[[#This Row],[friendly_name]]</f>
        <v>Lounge TV</v>
      </c>
      <c r="T350" s="37" t="s">
        <v>1034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947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1036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508</v>
      </c>
      <c r="I351" s="30" t="s">
        <v>273</v>
      </c>
      <c r="M351" s="30" t="s">
        <v>255</v>
      </c>
      <c r="O351" s="31" t="s">
        <v>755</v>
      </c>
      <c r="P351" s="30" t="s">
        <v>164</v>
      </c>
      <c r="Q351" s="30" t="s">
        <v>727</v>
      </c>
      <c r="R351" s="41" t="s">
        <v>712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947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J351" s="30" t="s">
        <v>944</v>
      </c>
      <c r="BK351" s="30" t="s">
        <v>1213</v>
      </c>
      <c r="BL351" s="30" t="s">
        <v>331</v>
      </c>
      <c r="BM351" s="30" t="s">
        <v>1247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775</v>
      </c>
      <c r="D352" s="54" t="s">
        <v>147</v>
      </c>
      <c r="E352" s="55" t="s">
        <v>1350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759</v>
      </c>
      <c r="H352" s="54" t="s">
        <v>508</v>
      </c>
      <c r="I352" s="54" t="s">
        <v>273</v>
      </c>
      <c r="O352" s="57" t="s">
        <v>755</v>
      </c>
      <c r="P352" s="54" t="s">
        <v>164</v>
      </c>
      <c r="Q352" s="54" t="s">
        <v>727</v>
      </c>
      <c r="R352" s="60" t="s">
        <v>712</v>
      </c>
      <c r="S352" s="54" t="str">
        <f>Table2[[#This Row],[friendly_name]]</f>
        <v>Lounge Sub</v>
      </c>
      <c r="T352" s="55" t="s">
        <v>1034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987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1351</v>
      </c>
      <c r="F353" s="56" t="str">
        <f>IF(ISBLANK(Table2[[#This Row],[unique_id]]), "", PROPER(SUBSTITUTE(Table2[[#This Row],[unique_id]], "_", " ")))</f>
        <v>Broken Lounge Sub Plug</v>
      </c>
      <c r="G353" s="54" t="s">
        <v>759</v>
      </c>
      <c r="H353" s="54" t="s">
        <v>508</v>
      </c>
      <c r="I353" s="54" t="s">
        <v>273</v>
      </c>
      <c r="M353" s="54" t="s">
        <v>255</v>
      </c>
      <c r="O353" s="57" t="s">
        <v>755</v>
      </c>
      <c r="P353" s="54" t="s">
        <v>164</v>
      </c>
      <c r="Q353" s="54" t="s">
        <v>727</v>
      </c>
      <c r="R353" s="60" t="s">
        <v>712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760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987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J353" s="54" t="s">
        <v>943</v>
      </c>
      <c r="BK353" s="54" t="s">
        <v>1213</v>
      </c>
      <c r="BL353" s="54" t="s">
        <v>322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775</v>
      </c>
      <c r="D354" s="54" t="s">
        <v>147</v>
      </c>
      <c r="E354" s="55" t="s">
        <v>1352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508</v>
      </c>
      <c r="I354" s="54" t="s">
        <v>273</v>
      </c>
      <c r="O354" s="57" t="s">
        <v>755</v>
      </c>
      <c r="P354" s="54" t="s">
        <v>164</v>
      </c>
      <c r="Q354" s="54" t="s">
        <v>727</v>
      </c>
      <c r="R354" s="54" t="s">
        <v>508</v>
      </c>
      <c r="S354" s="54" t="str">
        <f>Table2[[#This Row],[friendly_name]]</f>
        <v>Study Outlet</v>
      </c>
      <c r="T354" s="55" t="s">
        <v>1033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985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1353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508</v>
      </c>
      <c r="I355" s="54" t="s">
        <v>273</v>
      </c>
      <c r="M355" s="54" t="s">
        <v>255</v>
      </c>
      <c r="O355" s="57" t="s">
        <v>755</v>
      </c>
      <c r="P355" s="54" t="s">
        <v>164</v>
      </c>
      <c r="Q355" s="54" t="s">
        <v>727</v>
      </c>
      <c r="R355" s="54" t="s">
        <v>508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985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J355" s="54" t="s">
        <v>943</v>
      </c>
      <c r="BK355" s="54" t="s">
        <v>1213</v>
      </c>
      <c r="BL355" s="54" t="s">
        <v>333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775</v>
      </c>
      <c r="D356" s="54" t="s">
        <v>147</v>
      </c>
      <c r="E356" s="55" t="s">
        <v>1354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508</v>
      </c>
      <c r="I356" s="54" t="s">
        <v>273</v>
      </c>
      <c r="O356" s="57" t="s">
        <v>755</v>
      </c>
      <c r="P356" s="54" t="s">
        <v>164</v>
      </c>
      <c r="Q356" s="54" t="s">
        <v>727</v>
      </c>
      <c r="R356" s="54" t="s">
        <v>508</v>
      </c>
      <c r="S356" s="54" t="str">
        <f>Table2[[#This Row],[friendly_name]]</f>
        <v>Office Outlet</v>
      </c>
      <c r="T356" s="55" t="s">
        <v>1033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985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1355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508</v>
      </c>
      <c r="I357" s="54" t="s">
        <v>273</v>
      </c>
      <c r="M357" s="54" t="s">
        <v>255</v>
      </c>
      <c r="O357" s="57" t="s">
        <v>755</v>
      </c>
      <c r="P357" s="54" t="s">
        <v>164</v>
      </c>
      <c r="Q357" s="54" t="s">
        <v>727</v>
      </c>
      <c r="R357" s="54" t="s">
        <v>508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985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J357" s="54" t="s">
        <v>944</v>
      </c>
      <c r="BK357" s="54" t="s">
        <v>1213</v>
      </c>
      <c r="BL357" s="54" t="s">
        <v>334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775</v>
      </c>
      <c r="D358" s="54" t="s">
        <v>147</v>
      </c>
      <c r="E358" s="55" t="s">
        <v>1356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508</v>
      </c>
      <c r="I358" s="54" t="s">
        <v>273</v>
      </c>
      <c r="O358" s="57" t="s">
        <v>755</v>
      </c>
      <c r="P358" s="54" t="s">
        <v>164</v>
      </c>
      <c r="Q358" s="54" t="s">
        <v>728</v>
      </c>
      <c r="R358" s="54" t="s">
        <v>738</v>
      </c>
      <c r="S358" s="54" t="str">
        <f>Table2[[#This Row],[friendly_name]]</f>
        <v>Dish Washer</v>
      </c>
      <c r="T358" s="55" t="s">
        <v>1033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1357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508</v>
      </c>
      <c r="I359" s="54" t="s">
        <v>273</v>
      </c>
      <c r="M359" s="54" t="s">
        <v>255</v>
      </c>
      <c r="O359" s="57" t="s">
        <v>755</v>
      </c>
      <c r="P359" s="54" t="s">
        <v>164</v>
      </c>
      <c r="Q359" s="54" t="s">
        <v>728</v>
      </c>
      <c r="R359" s="54" t="s">
        <v>738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J359" s="54" t="s">
        <v>944</v>
      </c>
      <c r="BK359" s="54" t="s">
        <v>1213</v>
      </c>
      <c r="BL359" s="54" t="s">
        <v>325</v>
      </c>
      <c r="BM359" s="54" t="s">
        <v>1251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customHeight="1" x14ac:dyDescent="0.2">
      <c r="A360" s="30">
        <v>2578</v>
      </c>
      <c r="B360" s="30" t="s">
        <v>26</v>
      </c>
      <c r="C360" s="30" t="s">
        <v>775</v>
      </c>
      <c r="D360" s="30" t="s">
        <v>147</v>
      </c>
      <c r="E360" s="37" t="s">
        <v>931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508</v>
      </c>
      <c r="I360" s="30" t="s">
        <v>273</v>
      </c>
      <c r="O360" s="31" t="s">
        <v>755</v>
      </c>
      <c r="P360" s="30" t="s">
        <v>164</v>
      </c>
      <c r="Q360" s="30" t="s">
        <v>728</v>
      </c>
      <c r="R360" s="30" t="s">
        <v>738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802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508</v>
      </c>
      <c r="I361" s="30" t="s">
        <v>273</v>
      </c>
      <c r="M361" s="30" t="s">
        <v>255</v>
      </c>
      <c r="O361" s="31" t="s">
        <v>755</v>
      </c>
      <c r="P361" s="30" t="s">
        <v>164</v>
      </c>
      <c r="Q361" s="30" t="s">
        <v>728</v>
      </c>
      <c r="R361" s="30" t="s">
        <v>738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J361" s="30" t="s">
        <v>944</v>
      </c>
      <c r="BK361" s="30" t="s">
        <v>1213</v>
      </c>
      <c r="BL361" s="30" t="s">
        <v>337</v>
      </c>
      <c r="BM361" s="30" t="s">
        <v>1262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775</v>
      </c>
      <c r="D362" s="54" t="s">
        <v>147</v>
      </c>
      <c r="E362" s="55" t="s">
        <v>1358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508</v>
      </c>
      <c r="I362" s="54" t="s">
        <v>273</v>
      </c>
      <c r="O362" s="57" t="s">
        <v>755</v>
      </c>
      <c r="P362" s="54" t="s">
        <v>164</v>
      </c>
      <c r="Q362" s="54" t="s">
        <v>728</v>
      </c>
      <c r="R362" s="54" t="s">
        <v>738</v>
      </c>
      <c r="S362" s="54" t="str">
        <f>Table2[[#This Row],[friendly_name]]</f>
        <v>Clothes Dryer</v>
      </c>
      <c r="T362" s="55" t="s">
        <v>1033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1359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508</v>
      </c>
      <c r="I363" s="54" t="s">
        <v>273</v>
      </c>
      <c r="M363" s="54" t="s">
        <v>255</v>
      </c>
      <c r="O363" s="57" t="s">
        <v>755</v>
      </c>
      <c r="P363" s="54" t="s">
        <v>164</v>
      </c>
      <c r="Q363" s="54" t="s">
        <v>728</v>
      </c>
      <c r="R363" s="54" t="s">
        <v>738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943</v>
      </c>
      <c r="BK363" s="54" t="s">
        <v>1213</v>
      </c>
      <c r="BL363" s="54" t="s">
        <v>326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775</v>
      </c>
      <c r="D364" s="54" t="s">
        <v>147</v>
      </c>
      <c r="E364" s="55" t="s">
        <v>1360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508</v>
      </c>
      <c r="I364" s="54" t="s">
        <v>273</v>
      </c>
      <c r="O364" s="57" t="s">
        <v>755</v>
      </c>
      <c r="P364" s="54" t="s">
        <v>164</v>
      </c>
      <c r="Q364" s="54" t="s">
        <v>728</v>
      </c>
      <c r="R364" s="54" t="s">
        <v>738</v>
      </c>
      <c r="S364" s="54" t="str">
        <f>Table2[[#This Row],[friendly_name]]</f>
        <v>Washing Machine</v>
      </c>
      <c r="T364" s="55" t="s">
        <v>1033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1361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508</v>
      </c>
      <c r="I365" s="54" t="s">
        <v>273</v>
      </c>
      <c r="M365" s="54" t="s">
        <v>255</v>
      </c>
      <c r="O365" s="57" t="s">
        <v>755</v>
      </c>
      <c r="P365" s="54" t="s">
        <v>164</v>
      </c>
      <c r="Q365" s="54" t="s">
        <v>728</v>
      </c>
      <c r="R365" s="54" t="s">
        <v>738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J365" s="54" t="s">
        <v>943</v>
      </c>
      <c r="BK365" s="54" t="s">
        <v>1213</v>
      </c>
      <c r="BL365" s="54" t="s">
        <v>327</v>
      </c>
      <c r="BM365" s="54" t="s">
        <v>1253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customHeight="1" x14ac:dyDescent="0.2">
      <c r="A366" s="30">
        <v>2584</v>
      </c>
      <c r="B366" s="30" t="s">
        <v>26</v>
      </c>
      <c r="C366" s="30" t="s">
        <v>775</v>
      </c>
      <c r="D366" s="30" t="s">
        <v>147</v>
      </c>
      <c r="E366" s="37" t="s">
        <v>1446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508</v>
      </c>
      <c r="I366" s="30" t="s">
        <v>273</v>
      </c>
      <c r="O366" s="31" t="s">
        <v>755</v>
      </c>
      <c r="P366" s="30" t="s">
        <v>164</v>
      </c>
      <c r="Q366" s="30" t="s">
        <v>727</v>
      </c>
      <c r="R366" s="30" t="s">
        <v>739</v>
      </c>
      <c r="S366" s="30" t="str">
        <f>Table2[[#This Row],[friendly_name]]</f>
        <v>Kitchen Fridge</v>
      </c>
      <c r="T366" s="37" t="s">
        <v>1034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1445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508</v>
      </c>
      <c r="I367" s="30" t="s">
        <v>273</v>
      </c>
      <c r="M367" s="30" t="s">
        <v>255</v>
      </c>
      <c r="O367" s="31" t="s">
        <v>755</v>
      </c>
      <c r="P367" s="30" t="s">
        <v>164</v>
      </c>
      <c r="Q367" s="30" t="s">
        <v>727</v>
      </c>
      <c r="R367" s="30" t="s">
        <v>739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944</v>
      </c>
      <c r="BK367" s="62" t="s">
        <v>1213</v>
      </c>
      <c r="BL367" s="62" t="s">
        <v>1417</v>
      </c>
      <c r="BM367" s="62" t="s">
        <v>1418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customHeight="1" x14ac:dyDescent="0.2">
      <c r="A368" s="30">
        <v>2586</v>
      </c>
      <c r="B368" s="30" t="s">
        <v>26</v>
      </c>
      <c r="C368" s="30" t="s">
        <v>775</v>
      </c>
      <c r="D368" s="30" t="s">
        <v>147</v>
      </c>
      <c r="E368" s="37" t="s">
        <v>933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508</v>
      </c>
      <c r="I368" s="30" t="s">
        <v>273</v>
      </c>
      <c r="O368" s="31" t="s">
        <v>755</v>
      </c>
      <c r="P368" s="30" t="s">
        <v>164</v>
      </c>
      <c r="Q368" s="30" t="s">
        <v>727</v>
      </c>
      <c r="R368" s="30" t="s">
        <v>739</v>
      </c>
      <c r="S368" s="30" t="str">
        <f>Table2[[#This Row],[friendly_name]]</f>
        <v>Deck Freezer</v>
      </c>
      <c r="T368" s="37" t="s">
        <v>1034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989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804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508</v>
      </c>
      <c r="I369" s="30" t="s">
        <v>273</v>
      </c>
      <c r="M369" s="30" t="s">
        <v>255</v>
      </c>
      <c r="O369" s="31" t="s">
        <v>755</v>
      </c>
      <c r="P369" s="30" t="s">
        <v>164</v>
      </c>
      <c r="Q369" s="30" t="s">
        <v>727</v>
      </c>
      <c r="R369" s="30" t="s">
        <v>739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989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J369" s="30" t="s">
        <v>944</v>
      </c>
      <c r="BK369" s="30" t="s">
        <v>1213</v>
      </c>
      <c r="BL369" s="30" t="s">
        <v>329</v>
      </c>
      <c r="BM369" s="30" t="s">
        <v>1255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customHeight="1" x14ac:dyDescent="0.2">
      <c r="A370" s="30">
        <v>2588</v>
      </c>
      <c r="B370" s="30" t="s">
        <v>26</v>
      </c>
      <c r="C370" s="30" t="s">
        <v>775</v>
      </c>
      <c r="D370" s="30" t="s">
        <v>147</v>
      </c>
      <c r="E370" s="37" t="s">
        <v>1342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1343</v>
      </c>
      <c r="H370" s="30" t="s">
        <v>508</v>
      </c>
      <c r="I370" s="30" t="s">
        <v>273</v>
      </c>
      <c r="O370" s="31" t="s">
        <v>755</v>
      </c>
      <c r="P370" s="30" t="s">
        <v>164</v>
      </c>
      <c r="Q370" s="30" t="s">
        <v>727</v>
      </c>
      <c r="R370" s="30" t="s">
        <v>508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1343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1341</v>
      </c>
      <c r="F371" s="36" t="str">
        <f>IF(ISBLANK(Table2[[#This Row],[unique_id]]), "", PROPER(SUBSTITUTE(Table2[[#This Row],[unique_id]], "_", " ")))</f>
        <v>Garden Sewerage Blower Plug</v>
      </c>
      <c r="G371" s="30" t="s">
        <v>1343</v>
      </c>
      <c r="H371" s="30" t="s">
        <v>508</v>
      </c>
      <c r="I371" s="30" t="s">
        <v>273</v>
      </c>
      <c r="M371" s="30" t="s">
        <v>255</v>
      </c>
      <c r="O371" s="31" t="s">
        <v>755</v>
      </c>
      <c r="P371" s="30" t="s">
        <v>164</v>
      </c>
      <c r="Q371" s="30" t="s">
        <v>727</v>
      </c>
      <c r="R371" s="30" t="s">
        <v>508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1343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J371" s="30" t="s">
        <v>944</v>
      </c>
      <c r="BK371" s="30" t="s">
        <v>1213</v>
      </c>
      <c r="BL371" s="36" t="s">
        <v>345</v>
      </c>
      <c r="BM371" s="36" t="s">
        <v>1234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775</v>
      </c>
      <c r="D372" s="54" t="s">
        <v>147</v>
      </c>
      <c r="E372" s="55" t="s">
        <v>1362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508</v>
      </c>
      <c r="I372" s="54" t="s">
        <v>273</v>
      </c>
      <c r="O372" s="57" t="s">
        <v>755</v>
      </c>
      <c r="P372" s="54" t="s">
        <v>164</v>
      </c>
      <c r="Q372" s="54" t="s">
        <v>727</v>
      </c>
      <c r="R372" s="54" t="s">
        <v>508</v>
      </c>
      <c r="S372" s="54" t="str">
        <f>Table2[[#This Row],[friendly_name]]</f>
        <v>Battery Charger</v>
      </c>
      <c r="T372" s="55" t="s">
        <v>1033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1363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508</v>
      </c>
      <c r="I373" s="54" t="s">
        <v>273</v>
      </c>
      <c r="M373" s="54" t="s">
        <v>255</v>
      </c>
      <c r="O373" s="57" t="s">
        <v>755</v>
      </c>
      <c r="P373" s="54" t="s">
        <v>164</v>
      </c>
      <c r="Q373" s="54" t="s">
        <v>727</v>
      </c>
      <c r="R373" s="54" t="s">
        <v>508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J373" s="54" t="s">
        <v>943</v>
      </c>
      <c r="BK373" s="54" t="s">
        <v>1213</v>
      </c>
      <c r="BL373" s="54" t="s">
        <v>323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775</v>
      </c>
      <c r="D374" s="54" t="s">
        <v>147</v>
      </c>
      <c r="E374" s="55" t="s">
        <v>1364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508</v>
      </c>
      <c r="I374" s="54" t="s">
        <v>273</v>
      </c>
      <c r="O374" s="57" t="s">
        <v>755</v>
      </c>
      <c r="P374" s="54" t="s">
        <v>164</v>
      </c>
      <c r="Q374" s="54" t="s">
        <v>727</v>
      </c>
      <c r="R374" s="54" t="s">
        <v>508</v>
      </c>
      <c r="S374" s="54" t="str">
        <f>Table2[[#This Row],[friendly_name]]</f>
        <v>Vacuum Charger</v>
      </c>
      <c r="T374" s="55" t="s">
        <v>1033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1365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508</v>
      </c>
      <c r="I375" s="54" t="s">
        <v>273</v>
      </c>
      <c r="M375" s="54" t="s">
        <v>255</v>
      </c>
      <c r="O375" s="57" t="s">
        <v>755</v>
      </c>
      <c r="P375" s="54" t="s">
        <v>164</v>
      </c>
      <c r="Q375" s="54" t="s">
        <v>727</v>
      </c>
      <c r="R375" s="54" t="s">
        <v>508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J375" s="54" t="s">
        <v>944</v>
      </c>
      <c r="BK375" s="54" t="s">
        <v>1213</v>
      </c>
      <c r="BL375" s="54" t="s">
        <v>324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775</v>
      </c>
      <c r="D376" s="54" t="s">
        <v>147</v>
      </c>
      <c r="E376" s="55" t="s">
        <v>1366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788</v>
      </c>
      <c r="H376" s="54" t="s">
        <v>508</v>
      </c>
      <c r="I376" s="54" t="s">
        <v>273</v>
      </c>
      <c r="O376" s="57" t="s">
        <v>755</v>
      </c>
      <c r="P376" s="54" t="s">
        <v>164</v>
      </c>
      <c r="Q376" s="54" t="s">
        <v>727</v>
      </c>
      <c r="R376" s="60" t="s">
        <v>712</v>
      </c>
      <c r="S376" s="54" t="str">
        <f>Table2[[#This Row],[friendly_name]]</f>
        <v>Ada Tablet</v>
      </c>
      <c r="T376" s="55" t="s">
        <v>1033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788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231</v>
      </c>
      <c r="D377" s="54" t="s">
        <v>133</v>
      </c>
      <c r="E377" s="54" t="s">
        <v>1367</v>
      </c>
      <c r="F377" s="56" t="str">
        <f>IF(ISBLANK(Table2[[#This Row],[unique_id]]), "", PROPER(SUBSTITUTE(Table2[[#This Row],[unique_id]], "_", " ")))</f>
        <v>Broken Ada Tablet Plug</v>
      </c>
      <c r="G377" s="54" t="s">
        <v>788</v>
      </c>
      <c r="H377" s="54" t="s">
        <v>508</v>
      </c>
      <c r="I377" s="54" t="s">
        <v>273</v>
      </c>
      <c r="M377" s="54" t="s">
        <v>255</v>
      </c>
      <c r="O377" s="57" t="s">
        <v>755</v>
      </c>
      <c r="P377" s="54" t="s">
        <v>164</v>
      </c>
      <c r="Q377" s="54" t="s">
        <v>727</v>
      </c>
      <c r="R377" s="60" t="s">
        <v>712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789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788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J377" s="54" t="s">
        <v>943</v>
      </c>
      <c r="BK377" s="54" t="s">
        <v>1213</v>
      </c>
      <c r="BL377" s="54" t="s">
        <v>767</v>
      </c>
      <c r="BM377" s="54" t="s">
        <v>1258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594</v>
      </c>
      <c r="F378" s="36" t="str">
        <f>IF(ISBLANK(Table2[[#This Row],[unique_id]]), "", PROPER(SUBSTITUTE(Table2[[#This Row],[unique_id]], "_", " ")))</f>
        <v>Deck Fans Outlet</v>
      </c>
      <c r="G378" s="30" t="s">
        <v>597</v>
      </c>
      <c r="H378" s="30" t="s">
        <v>508</v>
      </c>
      <c r="I378" s="30" t="s">
        <v>273</v>
      </c>
      <c r="M378" s="30" t="s">
        <v>255</v>
      </c>
      <c r="O378" s="31" t="s">
        <v>755</v>
      </c>
      <c r="P378" s="30" t="s">
        <v>164</v>
      </c>
      <c r="Q378" s="30" t="s">
        <v>727</v>
      </c>
      <c r="R378" s="30" t="s">
        <v>729</v>
      </c>
      <c r="S378" s="30" t="s">
        <v>786</v>
      </c>
      <c r="T378" s="37" t="s">
        <v>785</v>
      </c>
      <c r="U378" s="30"/>
      <c r="V378" s="31"/>
      <c r="W378" s="31" t="s">
        <v>471</v>
      </c>
      <c r="X378" s="31"/>
      <c r="Y378" s="42" t="s">
        <v>724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981</v>
      </c>
      <c r="BC378" s="37" t="s">
        <v>599</v>
      </c>
      <c r="BD378" s="30" t="s">
        <v>359</v>
      </c>
      <c r="BF378" s="37" t="s">
        <v>600</v>
      </c>
      <c r="BG378" s="30" t="s">
        <v>339</v>
      </c>
      <c r="BL378" s="30" t="s">
        <v>601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595</v>
      </c>
      <c r="F379" s="36" t="str">
        <f>IF(ISBLANK(Table2[[#This Row],[unique_id]]), "", PROPER(SUBSTITUTE(Table2[[#This Row],[unique_id]], "_", " ")))</f>
        <v>Kitchen Fan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755</v>
      </c>
      <c r="P379" s="30" t="s">
        <v>164</v>
      </c>
      <c r="Q379" s="30" t="s">
        <v>727</v>
      </c>
      <c r="R379" s="30" t="s">
        <v>729</v>
      </c>
      <c r="S379" s="30" t="s">
        <v>786</v>
      </c>
      <c r="T379" s="37" t="s">
        <v>785</v>
      </c>
      <c r="U379" s="30"/>
      <c r="V379" s="31"/>
      <c r="W379" s="31" t="s">
        <v>471</v>
      </c>
      <c r="X379" s="31"/>
      <c r="Y379" s="42" t="s">
        <v>724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982</v>
      </c>
      <c r="BC379" s="37" t="s">
        <v>599</v>
      </c>
      <c r="BD379" s="30" t="s">
        <v>359</v>
      </c>
      <c r="BF379" s="37" t="s">
        <v>600</v>
      </c>
      <c r="BG379" s="30" t="s">
        <v>204</v>
      </c>
      <c r="BL379" s="30" t="s">
        <v>602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1462</v>
      </c>
      <c r="F380" s="36" t="str">
        <f>IF(ISBLANK(Table2[[#This Row],[unique_id]]), "", PROPER(SUBSTITUTE(Table2[[#This Row],[unique_id]], "_", " ")))</f>
        <v>Ada Desk Outlet</v>
      </c>
      <c r="G380" s="30" t="s">
        <v>1461</v>
      </c>
      <c r="H380" s="30" t="s">
        <v>508</v>
      </c>
      <c r="I380" s="30" t="s">
        <v>273</v>
      </c>
      <c r="M380" s="30" t="s">
        <v>255</v>
      </c>
      <c r="O380" s="31" t="s">
        <v>755</v>
      </c>
      <c r="P380" s="30" t="s">
        <v>164</v>
      </c>
      <c r="Q380" s="30" t="s">
        <v>727</v>
      </c>
      <c r="R380" s="30" t="s">
        <v>729</v>
      </c>
      <c r="S380" s="30" t="s">
        <v>786</v>
      </c>
      <c r="T380" s="37" t="s">
        <v>785</v>
      </c>
      <c r="U380" s="30"/>
      <c r="V380" s="31"/>
      <c r="W380" s="31" t="s">
        <v>471</v>
      </c>
      <c r="X380" s="31"/>
      <c r="Y380" s="42" t="s">
        <v>724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1451</v>
      </c>
      <c r="BC380" s="37" t="s">
        <v>599</v>
      </c>
      <c r="BD380" s="30" t="s">
        <v>359</v>
      </c>
      <c r="BF380" s="37" t="s">
        <v>600</v>
      </c>
      <c r="BG380" s="30" t="s">
        <v>129</v>
      </c>
      <c r="BL380" s="30" t="s">
        <v>1463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1450</v>
      </c>
      <c r="F381" s="36" t="str">
        <f>IF(ISBLANK(Table2[[#This Row],[unique_id]]), "", PROPER(SUBSTITUTE(Table2[[#This Row],[unique_id]], "_", " ")))</f>
        <v>Edwin Desk Outlet</v>
      </c>
      <c r="G381" s="30" t="s">
        <v>1449</v>
      </c>
      <c r="H381" s="30" t="s">
        <v>508</v>
      </c>
      <c r="I381" s="30" t="s">
        <v>273</v>
      </c>
      <c r="M381" s="30" t="s">
        <v>255</v>
      </c>
      <c r="O381" s="31" t="s">
        <v>755</v>
      </c>
      <c r="P381" s="30" t="s">
        <v>164</v>
      </c>
      <c r="Q381" s="30" t="s">
        <v>727</v>
      </c>
      <c r="R381" s="30" t="s">
        <v>729</v>
      </c>
      <c r="S381" s="30" t="s">
        <v>786</v>
      </c>
      <c r="T381" s="37" t="s">
        <v>785</v>
      </c>
      <c r="U381" s="30"/>
      <c r="V381" s="31"/>
      <c r="W381" s="31" t="s">
        <v>471</v>
      </c>
      <c r="X381" s="31"/>
      <c r="Y381" s="42" t="s">
        <v>724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1451</v>
      </c>
      <c r="BC381" s="37" t="s">
        <v>599</v>
      </c>
      <c r="BD381" s="30" t="s">
        <v>359</v>
      </c>
      <c r="BF381" s="37" t="s">
        <v>600</v>
      </c>
      <c r="BG381" s="30" t="s">
        <v>126</v>
      </c>
      <c r="BL381" s="30" t="s">
        <v>598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775</v>
      </c>
      <c r="D382" s="54" t="s">
        <v>147</v>
      </c>
      <c r="E382" s="55" t="s">
        <v>1391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1392</v>
      </c>
      <c r="H382" s="54" t="s">
        <v>508</v>
      </c>
      <c r="I382" s="54" t="s">
        <v>273</v>
      </c>
      <c r="O382" s="57" t="s">
        <v>755</v>
      </c>
      <c r="R382" s="54" t="s">
        <v>768</v>
      </c>
      <c r="S382" s="54" t="str">
        <f>Table2[[#This Row],[friendly_name]]</f>
        <v>Server May</v>
      </c>
      <c r="T382" s="55" t="s">
        <v>1033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1396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1393</v>
      </c>
      <c r="F383" s="56" t="str">
        <f>IF(ISBLANK(Table2[[#This Row],[unique_id]]), "", PROPER(SUBSTITUTE(Table2[[#This Row],[unique_id]], "_", " ")))</f>
        <v>Broken Server May Plug</v>
      </c>
      <c r="G383" s="54" t="s">
        <v>1392</v>
      </c>
      <c r="H383" s="54" t="s">
        <v>508</v>
      </c>
      <c r="I383" s="54" t="s">
        <v>273</v>
      </c>
      <c r="M383" s="54" t="s">
        <v>255</v>
      </c>
      <c r="O383" s="57" t="s">
        <v>755</v>
      </c>
      <c r="R383" s="54" t="s">
        <v>768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1396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944</v>
      </c>
      <c r="BK383" s="54" t="s">
        <v>1213</v>
      </c>
      <c r="BL383" s="54" t="s">
        <v>771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775</v>
      </c>
      <c r="D384" s="54" t="s">
        <v>147</v>
      </c>
      <c r="E384" s="55" t="s">
        <v>1368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772</v>
      </c>
      <c r="H384" s="54" t="s">
        <v>508</v>
      </c>
      <c r="I384" s="54" t="s">
        <v>273</v>
      </c>
      <c r="O384" s="57" t="s">
        <v>755</v>
      </c>
      <c r="R384" s="54" t="s">
        <v>768</v>
      </c>
      <c r="S384" s="54" t="str">
        <f>Table2[[#This Row],[friendly_name]]</f>
        <v>Server Meg</v>
      </c>
      <c r="T384" s="55" t="s">
        <v>1033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1026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231</v>
      </c>
      <c r="D385" s="54" t="s">
        <v>133</v>
      </c>
      <c r="E385" s="54" t="s">
        <v>1369</v>
      </c>
      <c r="F385" s="56" t="str">
        <f>IF(ISBLANK(Table2[[#This Row],[unique_id]]), "", PROPER(SUBSTITUTE(Table2[[#This Row],[unique_id]], "_", " ")))</f>
        <v>Broken Server Meg Plug</v>
      </c>
      <c r="G385" s="59" t="s">
        <v>772</v>
      </c>
      <c r="H385" s="54" t="s">
        <v>508</v>
      </c>
      <c r="I385" s="54" t="s">
        <v>273</v>
      </c>
      <c r="M385" s="54" t="s">
        <v>255</v>
      </c>
      <c r="O385" s="57" t="s">
        <v>755</v>
      </c>
      <c r="R385" s="54" t="s">
        <v>768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1026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J385" s="54" t="s">
        <v>944</v>
      </c>
      <c r="BK385" s="54" t="s">
        <v>1213</v>
      </c>
      <c r="BL385" s="54" t="s">
        <v>770</v>
      </c>
      <c r="BM385" s="54" t="s">
        <v>1260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customHeight="1" x14ac:dyDescent="0.2">
      <c r="A386" s="30">
        <v>2604</v>
      </c>
      <c r="B386" s="30" t="s">
        <v>26</v>
      </c>
      <c r="C386" s="30" t="s">
        <v>775</v>
      </c>
      <c r="D386" s="30" t="s">
        <v>147</v>
      </c>
      <c r="E386" s="37" t="s">
        <v>1399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1403</v>
      </c>
      <c r="H386" s="30" t="s">
        <v>508</v>
      </c>
      <c r="I386" s="30" t="s">
        <v>273</v>
      </c>
      <c r="O386" s="31" t="s">
        <v>755</v>
      </c>
      <c r="P386" s="30" t="s">
        <v>164</v>
      </c>
      <c r="Q386" s="30" t="s">
        <v>727</v>
      </c>
      <c r="R386" s="30" t="s">
        <v>729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1404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1400</v>
      </c>
      <c r="F387" s="36" t="str">
        <f>IF(ISBLANK(Table2[[#This Row],[unique_id]]), "", PROPER(SUBSTITUTE(Table2[[#This Row],[unique_id]], "_", " ")))</f>
        <v>Server Jen Plug</v>
      </c>
      <c r="G387" s="30" t="s">
        <v>1403</v>
      </c>
      <c r="H387" s="30" t="s">
        <v>508</v>
      </c>
      <c r="I387" s="30" t="s">
        <v>273</v>
      </c>
      <c r="M387" s="30" t="s">
        <v>255</v>
      </c>
      <c r="O387" s="31" t="s">
        <v>755</v>
      </c>
      <c r="P387" s="30" t="s">
        <v>164</v>
      </c>
      <c r="Q387" s="30" t="s">
        <v>727</v>
      </c>
      <c r="R387" s="30" t="s">
        <v>729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1404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J387" s="30" t="s">
        <v>944</v>
      </c>
      <c r="BK387" s="30" t="s">
        <v>1213</v>
      </c>
      <c r="BL387" s="30" t="s">
        <v>330</v>
      </c>
      <c r="BM387" s="30" t="s">
        <v>1261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customHeight="1" x14ac:dyDescent="0.2">
      <c r="A388" s="30">
        <v>2606</v>
      </c>
      <c r="B388" s="30" t="s">
        <v>26</v>
      </c>
      <c r="C388" s="30" t="s">
        <v>775</v>
      </c>
      <c r="D388" s="30" t="s">
        <v>147</v>
      </c>
      <c r="E388" s="37" t="s">
        <v>934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508</v>
      </c>
      <c r="I388" s="30" t="s">
        <v>273</v>
      </c>
      <c r="O388" s="31" t="s">
        <v>755</v>
      </c>
      <c r="P388" s="30" t="s">
        <v>164</v>
      </c>
      <c r="Q388" s="30" t="s">
        <v>727</v>
      </c>
      <c r="R388" s="30" t="s">
        <v>729</v>
      </c>
      <c r="S388" s="30" t="str">
        <f>Table2[[#This Row],[friendly_name]]</f>
        <v>Server Rack</v>
      </c>
      <c r="T388" s="37" t="s">
        <v>1035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985</v>
      </c>
      <c r="BC388" s="30" t="s">
        <v>882</v>
      </c>
      <c r="BD388" s="30" t="s">
        <v>1076</v>
      </c>
      <c r="BF388" s="30" t="s">
        <v>854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677</v>
      </c>
      <c r="D389" s="30" t="s">
        <v>133</v>
      </c>
      <c r="E389" s="30" t="s">
        <v>805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508</v>
      </c>
      <c r="I389" s="30" t="s">
        <v>273</v>
      </c>
      <c r="M389" s="30" t="s">
        <v>255</v>
      </c>
      <c r="O389" s="31" t="s">
        <v>755</v>
      </c>
      <c r="P389" s="30" t="s">
        <v>164</v>
      </c>
      <c r="Q389" s="30" t="s">
        <v>727</v>
      </c>
      <c r="R389" s="30" t="s">
        <v>729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1074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864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883</v>
      </c>
      <c r="AO389" s="30" t="s">
        <v>884</v>
      </c>
      <c r="AP389" s="30" t="s">
        <v>873</v>
      </c>
      <c r="AQ389" s="30" t="s">
        <v>874</v>
      </c>
      <c r="AR389" s="30" t="s">
        <v>937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985</v>
      </c>
      <c r="BC389" s="30" t="s">
        <v>882</v>
      </c>
      <c r="BD389" s="30" t="s">
        <v>1076</v>
      </c>
      <c r="BF389" s="30" t="s">
        <v>854</v>
      </c>
      <c r="BG389" s="30" t="s">
        <v>28</v>
      </c>
      <c r="BK389" s="30" t="s">
        <v>1213</v>
      </c>
      <c r="BL389" s="30" t="s">
        <v>881</v>
      </c>
      <c r="BM389" s="30" t="s">
        <v>1263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677</v>
      </c>
      <c r="D390" s="30" t="s">
        <v>27</v>
      </c>
      <c r="E390" s="30" t="s">
        <v>935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309</v>
      </c>
      <c r="AD390" s="30" t="s">
        <v>865</v>
      </c>
      <c r="AF390" s="30">
        <v>10</v>
      </c>
      <c r="AG390" s="31" t="s">
        <v>34</v>
      </c>
      <c r="AH390" s="31" t="s">
        <v>864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883</v>
      </c>
      <c r="AO390" s="30" t="s">
        <v>884</v>
      </c>
      <c r="AP390" s="30" t="s">
        <v>873</v>
      </c>
      <c r="AQ390" s="30" t="s">
        <v>874</v>
      </c>
      <c r="AR390" s="30" t="s">
        <v>1070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985</v>
      </c>
      <c r="BC390" s="30" t="s">
        <v>882</v>
      </c>
      <c r="BD390" s="30" t="s">
        <v>1076</v>
      </c>
      <c r="BF390" s="30" t="s">
        <v>854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677</v>
      </c>
      <c r="D391" s="30" t="s">
        <v>27</v>
      </c>
      <c r="E391" s="30" t="s">
        <v>936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310</v>
      </c>
      <c r="AD391" s="30" t="s">
        <v>866</v>
      </c>
      <c r="AF391" s="30">
        <v>10</v>
      </c>
      <c r="AG391" s="31" t="s">
        <v>34</v>
      </c>
      <c r="AH391" s="31" t="s">
        <v>864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883</v>
      </c>
      <c r="AO391" s="30" t="s">
        <v>884</v>
      </c>
      <c r="AP391" s="30" t="s">
        <v>873</v>
      </c>
      <c r="AQ391" s="30" t="s">
        <v>874</v>
      </c>
      <c r="AR391" s="30" t="s">
        <v>1071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985</v>
      </c>
      <c r="BC391" s="30" t="s">
        <v>882</v>
      </c>
      <c r="BD391" s="30" t="s">
        <v>1076</v>
      </c>
      <c r="BF391" s="30" t="s">
        <v>854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775</v>
      </c>
      <c r="D392" s="30" t="s">
        <v>147</v>
      </c>
      <c r="E392" s="37" t="s">
        <v>1060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1383</v>
      </c>
      <c r="H392" s="30" t="s">
        <v>508</v>
      </c>
      <c r="I392" s="30" t="s">
        <v>273</v>
      </c>
      <c r="O392" s="31" t="s">
        <v>755</v>
      </c>
      <c r="P392" s="30" t="s">
        <v>164</v>
      </c>
      <c r="Q392" s="30" t="s">
        <v>727</v>
      </c>
      <c r="R392" s="30" t="s">
        <v>729</v>
      </c>
      <c r="S392" s="30" t="str">
        <f>Table2[[#This Row],[friendly_name]]</f>
        <v>Ceiling Network Devices</v>
      </c>
      <c r="T392" s="37" t="s">
        <v>1035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882</v>
      </c>
      <c r="BD392" s="30" t="s">
        <v>1076</v>
      </c>
      <c r="BF392" s="30" t="s">
        <v>854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677</v>
      </c>
      <c r="D393" s="30" t="s">
        <v>133</v>
      </c>
      <c r="E393" s="30" t="s">
        <v>1061</v>
      </c>
      <c r="F393" s="36" t="str">
        <f>IF(ISBLANK(Table2[[#This Row],[unique_id]]), "", PROPER(SUBSTITUTE(Table2[[#This Row],[unique_id]], "_", " ")))</f>
        <v>Ceiling Network Switch Plug</v>
      </c>
      <c r="G393" s="30" t="s">
        <v>1383</v>
      </c>
      <c r="H393" s="30" t="s">
        <v>508</v>
      </c>
      <c r="I393" s="30" t="s">
        <v>273</v>
      </c>
      <c r="M393" s="30" t="s">
        <v>255</v>
      </c>
      <c r="O393" s="31" t="s">
        <v>755</v>
      </c>
      <c r="P393" s="30" t="s">
        <v>164</v>
      </c>
      <c r="Q393" s="30" t="s">
        <v>727</v>
      </c>
      <c r="R393" s="30" t="s">
        <v>729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1074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864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883</v>
      </c>
      <c r="AO393" s="30" t="s">
        <v>884</v>
      </c>
      <c r="AP393" s="30" t="s">
        <v>873</v>
      </c>
      <c r="AQ393" s="30" t="s">
        <v>874</v>
      </c>
      <c r="AR393" s="30" t="s">
        <v>937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882</v>
      </c>
      <c r="BD393" s="30" t="s">
        <v>1076</v>
      </c>
      <c r="BF393" s="30" t="s">
        <v>854</v>
      </c>
      <c r="BG393" s="30" t="s">
        <v>385</v>
      </c>
      <c r="BK393" s="30" t="s">
        <v>1213</v>
      </c>
      <c r="BL393" s="41" t="s">
        <v>946</v>
      </c>
      <c r="BM393" s="30" t="s">
        <v>1265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677</v>
      </c>
      <c r="D394" s="30" t="s">
        <v>27</v>
      </c>
      <c r="E394" s="30" t="s">
        <v>1062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1383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309</v>
      </c>
      <c r="AD394" s="30" t="s">
        <v>865</v>
      </c>
      <c r="AF394" s="30">
        <v>10</v>
      </c>
      <c r="AG394" s="31" t="s">
        <v>34</v>
      </c>
      <c r="AH394" s="31" t="s">
        <v>864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883</v>
      </c>
      <c r="AO394" s="30" t="s">
        <v>884</v>
      </c>
      <c r="AP394" s="30" t="s">
        <v>873</v>
      </c>
      <c r="AQ394" s="30" t="s">
        <v>874</v>
      </c>
      <c r="AR394" s="30" t="s">
        <v>1070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882</v>
      </c>
      <c r="BD394" s="30" t="s">
        <v>1076</v>
      </c>
      <c r="BF394" s="30" t="s">
        <v>854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677</v>
      </c>
      <c r="D395" s="30" t="s">
        <v>27</v>
      </c>
      <c r="E395" s="30" t="s">
        <v>1063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1383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310</v>
      </c>
      <c r="AD395" s="30" t="s">
        <v>866</v>
      </c>
      <c r="AF395" s="30">
        <v>10</v>
      </c>
      <c r="AG395" s="31" t="s">
        <v>34</v>
      </c>
      <c r="AH395" s="31" t="s">
        <v>864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883</v>
      </c>
      <c r="AO395" s="30" t="s">
        <v>884</v>
      </c>
      <c r="AP395" s="30" t="s">
        <v>873</v>
      </c>
      <c r="AQ395" s="30" t="s">
        <v>874</v>
      </c>
      <c r="AR395" s="30" t="s">
        <v>1071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882</v>
      </c>
      <c r="BD395" s="30" t="s">
        <v>1076</v>
      </c>
      <c r="BF395" s="30" t="s">
        <v>854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775</v>
      </c>
      <c r="D396" s="54" t="s">
        <v>147</v>
      </c>
      <c r="E396" s="55" t="s">
        <v>1370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508</v>
      </c>
      <c r="I396" s="54" t="s">
        <v>273</v>
      </c>
      <c r="O396" s="57" t="s">
        <v>755</v>
      </c>
      <c r="R396" s="54" t="s">
        <v>769</v>
      </c>
      <c r="S396" s="54" t="str">
        <f>Table2[[#This Row],[friendly_name]]</f>
        <v>Internet Modem</v>
      </c>
      <c r="T396" s="55" t="s">
        <v>1033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990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231</v>
      </c>
      <c r="D397" s="54" t="s">
        <v>133</v>
      </c>
      <c r="E397" s="54" t="s">
        <v>1371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508</v>
      </c>
      <c r="I397" s="54" t="s">
        <v>273</v>
      </c>
      <c r="M397" s="54" t="s">
        <v>255</v>
      </c>
      <c r="O397" s="57" t="s">
        <v>755</v>
      </c>
      <c r="R397" s="54" t="s">
        <v>769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990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J397" s="54" t="s">
        <v>943</v>
      </c>
      <c r="BK397" s="54" t="s">
        <v>1213</v>
      </c>
      <c r="BL397" s="54" t="s">
        <v>336</v>
      </c>
      <c r="BM397" s="54" t="s">
        <v>1266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781</v>
      </c>
      <c r="F398" s="36" t="str">
        <f>IF(ISBLANK(Table2[[#This Row],[unique_id]]), "", PROPER(SUBSTITUTE(Table2[[#This Row],[unique_id]], "_", " ")))</f>
        <v>Garden Repeater Linkquality</v>
      </c>
      <c r="G398" s="30" t="s">
        <v>681</v>
      </c>
      <c r="H398" s="30" t="s">
        <v>508</v>
      </c>
      <c r="I398" s="30" t="s">
        <v>273</v>
      </c>
      <c r="O398" s="31" t="s">
        <v>755</v>
      </c>
      <c r="P398" s="30" t="s">
        <v>164</v>
      </c>
      <c r="Q398" s="30" t="s">
        <v>727</v>
      </c>
      <c r="R398" s="30" t="s">
        <v>729</v>
      </c>
      <c r="S398" s="30" t="s">
        <v>786</v>
      </c>
      <c r="T398" s="37" t="s">
        <v>784</v>
      </c>
      <c r="U398" s="30"/>
      <c r="V398" s="31"/>
      <c r="W398" s="31" t="s">
        <v>471</v>
      </c>
      <c r="X398" s="31"/>
      <c r="Y398" s="42" t="s">
        <v>724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955</v>
      </c>
      <c r="BC398" s="39" t="s">
        <v>679</v>
      </c>
      <c r="BD398" s="30" t="s">
        <v>432</v>
      </c>
      <c r="BF398" s="30" t="s">
        <v>678</v>
      </c>
      <c r="BG398" s="30" t="s">
        <v>558</v>
      </c>
      <c r="BL398" s="30" t="s">
        <v>680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782</v>
      </c>
      <c r="F399" s="36" t="str">
        <f>IF(ISBLANK(Table2[[#This Row],[unique_id]]), "", PROPER(SUBSTITUTE(Table2[[#This Row],[unique_id]], "_", " ")))</f>
        <v>Landing Repeater Linkquality</v>
      </c>
      <c r="G399" s="30" t="s">
        <v>683</v>
      </c>
      <c r="H399" s="30" t="s">
        <v>508</v>
      </c>
      <c r="I399" s="30" t="s">
        <v>273</v>
      </c>
      <c r="O399" s="31" t="s">
        <v>755</v>
      </c>
      <c r="P399" s="30" t="s">
        <v>164</v>
      </c>
      <c r="Q399" s="30" t="s">
        <v>727</v>
      </c>
      <c r="R399" s="30" t="s">
        <v>729</v>
      </c>
      <c r="S399" s="30" t="s">
        <v>786</v>
      </c>
      <c r="T399" s="37" t="s">
        <v>784</v>
      </c>
      <c r="U399" s="30"/>
      <c r="V399" s="31"/>
      <c r="W399" s="31" t="s">
        <v>471</v>
      </c>
      <c r="X399" s="31"/>
      <c r="Y399" s="42" t="s">
        <v>724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955</v>
      </c>
      <c r="BC399" s="39" t="s">
        <v>679</v>
      </c>
      <c r="BD399" s="30" t="s">
        <v>432</v>
      </c>
      <c r="BF399" s="30" t="s">
        <v>678</v>
      </c>
      <c r="BG399" s="30" t="s">
        <v>541</v>
      </c>
      <c r="BL399" s="30" t="s">
        <v>685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783</v>
      </c>
      <c r="F400" s="36" t="str">
        <f>IF(ISBLANK(Table2[[#This Row],[unique_id]]), "", PROPER(SUBSTITUTE(Table2[[#This Row],[unique_id]], "_", " ")))</f>
        <v>Driveway Repeater Linkquality</v>
      </c>
      <c r="G400" s="30" t="s">
        <v>682</v>
      </c>
      <c r="H400" s="30" t="s">
        <v>508</v>
      </c>
      <c r="I400" s="30" t="s">
        <v>273</v>
      </c>
      <c r="O400" s="31" t="s">
        <v>755</v>
      </c>
      <c r="P400" s="30" t="s">
        <v>164</v>
      </c>
      <c r="Q400" s="30" t="s">
        <v>727</v>
      </c>
      <c r="R400" s="30" t="s">
        <v>729</v>
      </c>
      <c r="S400" s="30" t="s">
        <v>786</v>
      </c>
      <c r="T400" s="37" t="s">
        <v>784</v>
      </c>
      <c r="U400" s="30"/>
      <c r="V400" s="31"/>
      <c r="W400" s="31" t="s">
        <v>471</v>
      </c>
      <c r="X400" s="31"/>
      <c r="Y400" s="42" t="s">
        <v>724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955</v>
      </c>
      <c r="BC400" s="39" t="s">
        <v>679</v>
      </c>
      <c r="BD400" s="30" t="s">
        <v>432</v>
      </c>
      <c r="BF400" s="30" t="s">
        <v>678</v>
      </c>
      <c r="BG400" s="30" t="s">
        <v>684</v>
      </c>
      <c r="BL400" s="30" t="s">
        <v>686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0" t="s">
        <v>853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757</v>
      </c>
      <c r="H401" s="30" t="s">
        <v>526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513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669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507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669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514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390</v>
      </c>
      <c r="H404" s="30" t="s">
        <v>526</v>
      </c>
      <c r="I404" s="30" t="s">
        <v>273</v>
      </c>
      <c r="J404" s="30" t="s">
        <v>525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669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515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837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822</v>
      </c>
      <c r="H406" s="30" t="s">
        <v>526</v>
      </c>
      <c r="I406" s="30" t="s">
        <v>273</v>
      </c>
      <c r="J406" s="30" t="s">
        <v>838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516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517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568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669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1455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669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518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839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831</v>
      </c>
      <c r="H412" s="30" t="s">
        <v>526</v>
      </c>
      <c r="I412" s="30" t="s">
        <v>273</v>
      </c>
      <c r="J412" s="30" t="s">
        <v>841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840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832</v>
      </c>
      <c r="H413" s="30" t="s">
        <v>526</v>
      </c>
      <c r="I413" s="30" t="s">
        <v>273</v>
      </c>
      <c r="J413" s="30" t="s">
        <v>842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843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709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519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520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521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522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828</v>
      </c>
      <c r="H420" s="30" t="s">
        <v>526</v>
      </c>
      <c r="I420" s="30" t="s">
        <v>273</v>
      </c>
      <c r="J420" s="30" t="s">
        <v>838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523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845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811</v>
      </c>
      <c r="H422" s="30" t="s">
        <v>526</v>
      </c>
      <c r="I422" s="30" t="s">
        <v>273</v>
      </c>
      <c r="J422" s="30" t="s">
        <v>838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524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477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712</v>
      </c>
      <c r="I424" s="30" t="s">
        <v>143</v>
      </c>
      <c r="M424" s="30" t="s">
        <v>135</v>
      </c>
      <c r="N424" s="30" t="s">
        <v>268</v>
      </c>
      <c r="O424" s="31" t="s">
        <v>755</v>
      </c>
      <c r="P424" s="30" t="s">
        <v>164</v>
      </c>
      <c r="Q424" s="30" t="s">
        <v>727</v>
      </c>
      <c r="R424" s="41" t="s">
        <v>712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373</v>
      </c>
      <c r="BD424" s="30" t="s">
        <v>233</v>
      </c>
      <c r="BF424" s="30" t="s">
        <v>1009</v>
      </c>
      <c r="BG424" s="30" t="s">
        <v>129</v>
      </c>
      <c r="BK424" s="30" t="s">
        <v>1212</v>
      </c>
      <c r="BL424" s="41" t="s">
        <v>402</v>
      </c>
      <c r="BM424" s="39" t="s">
        <v>1214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customHeight="1" x14ac:dyDescent="0.2">
      <c r="A425" s="30">
        <v>2643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712</v>
      </c>
      <c r="I425" s="30" t="s">
        <v>143</v>
      </c>
      <c r="M425" s="30" t="s">
        <v>135</v>
      </c>
      <c r="N425" s="30" t="s">
        <v>268</v>
      </c>
      <c r="O425" s="31" t="s">
        <v>755</v>
      </c>
      <c r="P425" s="30" t="s">
        <v>164</v>
      </c>
      <c r="Q425" s="30" t="s">
        <v>727</v>
      </c>
      <c r="R425" s="41" t="s">
        <v>712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373</v>
      </c>
      <c r="BD425" s="30" t="s">
        <v>233</v>
      </c>
      <c r="BF425" s="30" t="s">
        <v>1009</v>
      </c>
      <c r="BG425" s="30" t="s">
        <v>126</v>
      </c>
      <c r="BK425" s="30" t="s">
        <v>1212</v>
      </c>
      <c r="BL425" s="41" t="s">
        <v>401</v>
      </c>
      <c r="BM425" s="39" t="s">
        <v>1215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customHeight="1" x14ac:dyDescent="0.2">
      <c r="A426" s="30">
        <v>2644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712</v>
      </c>
      <c r="I426" s="30" t="s">
        <v>143</v>
      </c>
      <c r="M426" s="30" t="s">
        <v>135</v>
      </c>
      <c r="N426" s="30" t="s">
        <v>268</v>
      </c>
      <c r="O426" s="31" t="s">
        <v>755</v>
      </c>
      <c r="P426" s="30" t="s">
        <v>164</v>
      </c>
      <c r="Q426" s="30" t="s">
        <v>727</v>
      </c>
      <c r="R426" s="41" t="s">
        <v>712</v>
      </c>
      <c r="S426" s="30" t="str">
        <f>_xlfn.CONCAT( Table2[[#This Row],[friendly_name]], " Devices")</f>
        <v>Parents Home Devices</v>
      </c>
      <c r="T426" s="37" t="s">
        <v>737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1003</v>
      </c>
      <c r="BD426" s="30" t="s">
        <v>233</v>
      </c>
      <c r="BF426" s="30" t="s">
        <v>1010</v>
      </c>
      <c r="BG426" s="30" t="s">
        <v>190</v>
      </c>
      <c r="BK426" s="30" t="s">
        <v>1212</v>
      </c>
      <c r="BL426" s="41" t="s">
        <v>619</v>
      </c>
      <c r="BM426" s="39" t="s">
        <v>1216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customHeight="1" x14ac:dyDescent="0.2">
      <c r="A427" s="30">
        <v>2645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712</v>
      </c>
      <c r="I427" s="30" t="s">
        <v>143</v>
      </c>
      <c r="M427" s="30" t="s">
        <v>135</v>
      </c>
      <c r="N427" s="30" t="s">
        <v>268</v>
      </c>
      <c r="O427" s="31" t="s">
        <v>755</v>
      </c>
      <c r="P427" s="30" t="s">
        <v>164</v>
      </c>
      <c r="Q427" s="30" t="s">
        <v>727</v>
      </c>
      <c r="R427" s="41" t="s">
        <v>712</v>
      </c>
      <c r="S427" s="30" t="str">
        <f>_xlfn.CONCAT( Table2[[#This Row],[friendly_name]], " Devices")</f>
        <v>Kitchen Home Devices</v>
      </c>
      <c r="T427" s="37" t="s">
        <v>737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1003</v>
      </c>
      <c r="BD427" s="30" t="s">
        <v>233</v>
      </c>
      <c r="BF427" s="30" t="s">
        <v>1010</v>
      </c>
      <c r="BG427" s="30" t="s">
        <v>204</v>
      </c>
      <c r="BK427" s="30" t="s">
        <v>1212</v>
      </c>
      <c r="BL427" s="41" t="s">
        <v>697</v>
      </c>
      <c r="BM427" s="39" t="s">
        <v>1217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customHeight="1" x14ac:dyDescent="0.2">
      <c r="A428" s="30">
        <v>2646</v>
      </c>
      <c r="B428" s="30" t="s">
        <v>26</v>
      </c>
      <c r="C428" s="30" t="s">
        <v>233</v>
      </c>
      <c r="D428" s="30" t="s">
        <v>144</v>
      </c>
      <c r="E428" s="30" t="s">
        <v>590</v>
      </c>
      <c r="F428" s="36" t="str">
        <f>IF(ISBLANK(Table2[[#This Row],[unique_id]]), "", PROPER(SUBSTITUTE(Table2[[#This Row],[unique_id]], "_", " ")))</f>
        <v>Office Home</v>
      </c>
      <c r="G428" s="30" t="s">
        <v>591</v>
      </c>
      <c r="H428" s="30" t="s">
        <v>712</v>
      </c>
      <c r="I428" s="30" t="s">
        <v>143</v>
      </c>
      <c r="M428" s="30" t="s">
        <v>135</v>
      </c>
      <c r="N428" s="30" t="s">
        <v>268</v>
      </c>
      <c r="O428" s="31" t="s">
        <v>755</v>
      </c>
      <c r="P428" s="30" t="s">
        <v>164</v>
      </c>
      <c r="Q428" s="30" t="s">
        <v>727</v>
      </c>
      <c r="R428" s="41" t="s">
        <v>712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373</v>
      </c>
      <c r="BD428" s="30" t="s">
        <v>233</v>
      </c>
      <c r="BF428" s="30" t="s">
        <v>1009</v>
      </c>
      <c r="BG428" s="30" t="s">
        <v>210</v>
      </c>
      <c r="BK428" s="30" t="s">
        <v>1212</v>
      </c>
      <c r="BL428" s="41" t="s">
        <v>399</v>
      </c>
      <c r="BM428" s="39" t="s">
        <v>1218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customHeight="1" x14ac:dyDescent="0.2">
      <c r="A429" s="30">
        <v>2647</v>
      </c>
      <c r="B429" s="30" t="s">
        <v>26</v>
      </c>
      <c r="C429" s="30" t="s">
        <v>233</v>
      </c>
      <c r="D429" s="30" t="s">
        <v>144</v>
      </c>
      <c r="E429" s="30" t="s">
        <v>622</v>
      </c>
      <c r="F429" s="36" t="str">
        <f>IF(ISBLANK(Table2[[#This Row],[unique_id]]), "", PROPER(SUBSTITUTE(Table2[[#This Row],[unique_id]], "_", " ")))</f>
        <v>Lounge Home</v>
      </c>
      <c r="G429" s="30" t="s">
        <v>623</v>
      </c>
      <c r="H429" s="30" t="s">
        <v>712</v>
      </c>
      <c r="I429" s="30" t="s">
        <v>143</v>
      </c>
      <c r="M429" s="30" t="s">
        <v>135</v>
      </c>
      <c r="N429" s="30" t="s">
        <v>268</v>
      </c>
      <c r="O429" s="31" t="s">
        <v>755</v>
      </c>
      <c r="P429" s="30" t="s">
        <v>164</v>
      </c>
      <c r="Q429" s="30" t="s">
        <v>727</v>
      </c>
      <c r="R429" s="41" t="s">
        <v>712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373</v>
      </c>
      <c r="BD429" s="30" t="s">
        <v>233</v>
      </c>
      <c r="BF429" s="30" t="s">
        <v>1009</v>
      </c>
      <c r="BG429" s="30" t="s">
        <v>192</v>
      </c>
      <c r="BK429" s="30" t="s">
        <v>1212</v>
      </c>
      <c r="BL429" s="41" t="s">
        <v>400</v>
      </c>
      <c r="BM429" s="39" t="s">
        <v>1219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customHeight="1" x14ac:dyDescent="0.2">
      <c r="A430" s="30">
        <v>2648</v>
      </c>
      <c r="B430" s="30" t="s">
        <v>26</v>
      </c>
      <c r="C430" s="30" t="s">
        <v>233</v>
      </c>
      <c r="D430" s="30" t="s">
        <v>144</v>
      </c>
      <c r="E430" s="30" t="s">
        <v>787</v>
      </c>
      <c r="F430" s="36" t="str">
        <f>IF(ISBLANK(Table2[[#This Row],[unique_id]]), "", PROPER(SUBSTITUTE(Table2[[#This Row],[unique_id]], "_", " ")))</f>
        <v>Ada Tablet</v>
      </c>
      <c r="G430" s="30" t="s">
        <v>788</v>
      </c>
      <c r="H430" s="30" t="s">
        <v>712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788</v>
      </c>
      <c r="BC430" s="30" t="s">
        <v>1011</v>
      </c>
      <c r="BD430" s="30" t="s">
        <v>233</v>
      </c>
      <c r="BF430" s="30" t="s">
        <v>790</v>
      </c>
      <c r="BG430" s="30" t="s">
        <v>192</v>
      </c>
      <c r="BK430" s="30" t="s">
        <v>1212</v>
      </c>
      <c r="BL430" s="41" t="s">
        <v>1191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customHeight="1" x14ac:dyDescent="0.2">
      <c r="A431" s="30">
        <v>2649</v>
      </c>
      <c r="B431" s="30" t="s">
        <v>26</v>
      </c>
      <c r="C431" s="30" t="s">
        <v>233</v>
      </c>
      <c r="D431" s="30" t="s">
        <v>144</v>
      </c>
      <c r="E431" s="30" t="s">
        <v>791</v>
      </c>
      <c r="F431" s="36" t="str">
        <f>IF(ISBLANK(Table2[[#This Row],[unique_id]]), "", PROPER(SUBSTITUTE(Table2[[#This Row],[unique_id]], "_", " ")))</f>
        <v>Edwin Tablet</v>
      </c>
      <c r="G431" s="30" t="s">
        <v>792</v>
      </c>
      <c r="H431" s="30" t="s">
        <v>712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792</v>
      </c>
      <c r="BC431" s="30" t="s">
        <v>1011</v>
      </c>
      <c r="BD431" s="30" t="s">
        <v>233</v>
      </c>
      <c r="BF431" s="30" t="s">
        <v>790</v>
      </c>
      <c r="BG431" s="30" t="s">
        <v>204</v>
      </c>
      <c r="BK431" s="30" t="s">
        <v>1212</v>
      </c>
      <c r="BL431" s="41" t="s">
        <v>1192</v>
      </c>
      <c r="BM431" s="39" t="s">
        <v>1223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customHeight="1" x14ac:dyDescent="0.2">
      <c r="A432" s="30">
        <v>2650</v>
      </c>
      <c r="B432" s="30" t="s">
        <v>26</v>
      </c>
      <c r="C432" s="30" t="s">
        <v>562</v>
      </c>
      <c r="D432" s="30" t="s">
        <v>144</v>
      </c>
      <c r="E432" s="30" t="s">
        <v>587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712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947</v>
      </c>
      <c r="BC432" s="30" t="s">
        <v>565</v>
      </c>
      <c r="BD432" s="30" t="s">
        <v>562</v>
      </c>
      <c r="BF432" s="30" t="s">
        <v>564</v>
      </c>
      <c r="BG432" s="30" t="s">
        <v>192</v>
      </c>
      <c r="BK432" s="30" t="s">
        <v>1212</v>
      </c>
      <c r="BL432" s="41" t="s">
        <v>563</v>
      </c>
      <c r="BM432" s="39" t="s">
        <v>1221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customHeight="1" x14ac:dyDescent="0.2">
      <c r="A433" s="30">
        <v>2651</v>
      </c>
      <c r="B433" s="30" t="s">
        <v>561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712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947</v>
      </c>
      <c r="BC433" s="30" t="s">
        <v>1004</v>
      </c>
      <c r="BD433" s="30" t="s">
        <v>262</v>
      </c>
      <c r="BF433" s="30" t="s">
        <v>379</v>
      </c>
      <c r="BG433" s="30" t="s">
        <v>190</v>
      </c>
      <c r="BK433" s="30" t="s">
        <v>1212</v>
      </c>
      <c r="BL433" s="41" t="s">
        <v>381</v>
      </c>
      <c r="BM433" s="39" t="s">
        <v>1222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customHeight="1" x14ac:dyDescent="0.2">
      <c r="A434" s="30">
        <v>2652</v>
      </c>
      <c r="B434" s="30" t="s">
        <v>561</v>
      </c>
      <c r="C434" s="30" t="s">
        <v>233</v>
      </c>
      <c r="D434" s="30" t="s">
        <v>144</v>
      </c>
      <c r="E434" s="30" t="s">
        <v>667</v>
      </c>
      <c r="F434" s="36" t="str">
        <f>IF(ISBLANK(Table2[[#This Row],[unique_id]]), "", PROPER(SUBSTITUTE(Table2[[#This Row],[unique_id]], "_", " ")))</f>
        <v>Office Tv</v>
      </c>
      <c r="G434" s="30" t="s">
        <v>668</v>
      </c>
      <c r="H434" s="30" t="s">
        <v>712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947</v>
      </c>
      <c r="BC434" s="30" t="s">
        <v>374</v>
      </c>
      <c r="BD434" s="30" t="s">
        <v>233</v>
      </c>
      <c r="BF434" s="30" t="s">
        <v>375</v>
      </c>
      <c r="BG434" s="30" t="s">
        <v>210</v>
      </c>
      <c r="BK434" s="30" t="s">
        <v>1212</v>
      </c>
      <c r="BL434" s="41" t="s">
        <v>403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customHeight="1" x14ac:dyDescent="0.2">
      <c r="A435" s="30">
        <v>2653</v>
      </c>
      <c r="B435" s="30" t="s">
        <v>26</v>
      </c>
      <c r="C435" s="30" t="s">
        <v>422</v>
      </c>
      <c r="D435" s="30" t="s">
        <v>315</v>
      </c>
      <c r="E435" s="30" t="s">
        <v>314</v>
      </c>
      <c r="F435" s="36" t="str">
        <f>IF(ISBLANK(Table2[[#This Row],[unique_id]]), "", PROPER(SUBSTITUTE(Table2[[#This Row],[unique_id]], "_", " ")))</f>
        <v>Column Break</v>
      </c>
      <c r="G435" s="30" t="s">
        <v>311</v>
      </c>
      <c r="H435" s="30" t="s">
        <v>712</v>
      </c>
      <c r="I435" s="30" t="s">
        <v>143</v>
      </c>
      <c r="M435" s="30" t="s">
        <v>312</v>
      </c>
      <c r="N435" s="30" t="s">
        <v>313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2654</v>
      </c>
      <c r="B436" s="30" t="s">
        <v>26</v>
      </c>
      <c r="C436" s="30" t="s">
        <v>180</v>
      </c>
      <c r="D436" s="30" t="s">
        <v>144</v>
      </c>
      <c r="E436" s="30" t="s">
        <v>701</v>
      </c>
      <c r="F436" s="36" t="str">
        <f>IF(ISBLANK(Table2[[#This Row],[unique_id]]), "", PROPER(SUBSTITUTE(Table2[[#This Row],[unique_id]], "_", " ")))</f>
        <v>Lounge Arc</v>
      </c>
      <c r="G436" s="30" t="s">
        <v>704</v>
      </c>
      <c r="H436" s="30" t="s">
        <v>712</v>
      </c>
      <c r="I436" s="30" t="s">
        <v>143</v>
      </c>
      <c r="M436" s="30" t="s">
        <v>135</v>
      </c>
      <c r="N436" s="30" t="s">
        <v>268</v>
      </c>
      <c r="O436" s="31" t="s">
        <v>755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566</v>
      </c>
      <c r="BC436" s="30" t="s">
        <v>1007</v>
      </c>
      <c r="BD436" s="30" t="s">
        <v>180</v>
      </c>
      <c r="BF436" s="30">
        <v>15.4</v>
      </c>
      <c r="BG436" s="30" t="s">
        <v>192</v>
      </c>
      <c r="BK436" s="30" t="s">
        <v>1212</v>
      </c>
      <c r="BL436" s="30" t="s">
        <v>567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customHeight="1" x14ac:dyDescent="0.2">
      <c r="A437" s="30">
        <v>2655</v>
      </c>
      <c r="B437" s="30" t="s">
        <v>561</v>
      </c>
      <c r="C437" s="30" t="s">
        <v>775</v>
      </c>
      <c r="D437" s="30" t="s">
        <v>147</v>
      </c>
      <c r="E437" s="30" t="s">
        <v>777</v>
      </c>
      <c r="F437" s="36" t="str">
        <f>IF(ISBLANK(Table2[[#This Row],[unique_id]]), "", PROPER(SUBSTITUTE(Table2[[#This Row],[unique_id]], "_", " ")))</f>
        <v>Template Kitchen Move Proxy</v>
      </c>
      <c r="G437" s="30" t="s">
        <v>705</v>
      </c>
      <c r="H437" s="30" t="s">
        <v>712</v>
      </c>
      <c r="I437" s="30" t="s">
        <v>143</v>
      </c>
      <c r="O437" s="31" t="s">
        <v>755</v>
      </c>
      <c r="P437" s="30" t="s">
        <v>164</v>
      </c>
      <c r="Q437" s="30" t="s">
        <v>727</v>
      </c>
      <c r="R437" s="41" t="s">
        <v>712</v>
      </c>
      <c r="S437" s="30" t="str">
        <f>_xlfn.CONCAT( Table2[[#This Row],[friendly_name]], " Devices")</f>
        <v>Kitchen Move Devices</v>
      </c>
      <c r="T437" s="37" t="s">
        <v>780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1005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2656</v>
      </c>
      <c r="B438" s="30" t="s">
        <v>26</v>
      </c>
      <c r="C438" s="30" t="s">
        <v>180</v>
      </c>
      <c r="D438" s="30" t="s">
        <v>144</v>
      </c>
      <c r="E438" s="30" t="s">
        <v>700</v>
      </c>
      <c r="F438" s="36" t="str">
        <f>IF(ISBLANK(Table2[[#This Row],[unique_id]]), "", PROPER(SUBSTITUTE(Table2[[#This Row],[unique_id]], "_", " ")))</f>
        <v>Kitchen Move</v>
      </c>
      <c r="G438" s="30" t="s">
        <v>705</v>
      </c>
      <c r="H438" s="30" t="s">
        <v>712</v>
      </c>
      <c r="I438" s="30" t="s">
        <v>143</v>
      </c>
      <c r="M438" s="30" t="s">
        <v>135</v>
      </c>
      <c r="N438" s="30" t="s">
        <v>268</v>
      </c>
      <c r="O438" s="31" t="s">
        <v>755</v>
      </c>
      <c r="P438" s="30" t="s">
        <v>164</v>
      </c>
      <c r="Q438" s="30" t="s">
        <v>727</v>
      </c>
      <c r="R438" s="41" t="s">
        <v>712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1005</v>
      </c>
      <c r="BD438" s="30" t="s">
        <v>180</v>
      </c>
      <c r="BF438" s="30">
        <v>15.4</v>
      </c>
      <c r="BG438" s="30" t="s">
        <v>204</v>
      </c>
      <c r="BK438" s="30" t="s">
        <v>1212</v>
      </c>
      <c r="BL438" s="30" t="s">
        <v>350</v>
      </c>
      <c r="BM438" s="39" t="s">
        <v>1226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customHeight="1" x14ac:dyDescent="0.2">
      <c r="A439" s="30">
        <v>2657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Five</v>
      </c>
      <c r="G439" s="30" t="s">
        <v>706</v>
      </c>
      <c r="H439" s="30" t="s">
        <v>712</v>
      </c>
      <c r="I439" s="30" t="s">
        <v>143</v>
      </c>
      <c r="M439" s="30" t="s">
        <v>135</v>
      </c>
      <c r="N439" s="30" t="s">
        <v>268</v>
      </c>
      <c r="O439" s="31" t="s">
        <v>755</v>
      </c>
      <c r="P439" s="30" t="s">
        <v>164</v>
      </c>
      <c r="Q439" s="30" t="s">
        <v>727</v>
      </c>
      <c r="R439" s="41" t="s">
        <v>712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779</v>
      </c>
      <c r="BC439" s="30" t="s">
        <v>1006</v>
      </c>
      <c r="BD439" s="30" t="s">
        <v>180</v>
      </c>
      <c r="BF439" s="30">
        <v>15.4</v>
      </c>
      <c r="BG439" s="30" t="s">
        <v>204</v>
      </c>
      <c r="BK439" s="30" t="s">
        <v>1212</v>
      </c>
      <c r="BL439" s="37" t="s">
        <v>349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customHeight="1" x14ac:dyDescent="0.2">
      <c r="A440" s="30">
        <v>2658</v>
      </c>
      <c r="B440" s="30" t="s">
        <v>561</v>
      </c>
      <c r="C440" s="30" t="s">
        <v>775</v>
      </c>
      <c r="D440" s="30" t="s">
        <v>147</v>
      </c>
      <c r="E440" s="30" t="s">
        <v>778</v>
      </c>
      <c r="F440" s="36" t="str">
        <f>IF(ISBLANK(Table2[[#This Row],[unique_id]]), "", PROPER(SUBSTITUTE(Table2[[#This Row],[unique_id]], "_", " ")))</f>
        <v>Template Parents Move Proxy</v>
      </c>
      <c r="G440" s="30" t="s">
        <v>707</v>
      </c>
      <c r="H440" s="30" t="s">
        <v>712</v>
      </c>
      <c r="I440" s="30" t="s">
        <v>143</v>
      </c>
      <c r="O440" s="31" t="s">
        <v>755</v>
      </c>
      <c r="P440" s="30" t="s">
        <v>164</v>
      </c>
      <c r="Q440" s="30" t="s">
        <v>727</v>
      </c>
      <c r="R440" s="41" t="s">
        <v>712</v>
      </c>
      <c r="S440" s="30" t="str">
        <f>_xlfn.CONCAT( Table2[[#This Row],[friendly_name]], " Devices")</f>
        <v>Parents Move Devices</v>
      </c>
      <c r="T440" s="37" t="s">
        <v>780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1005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2659</v>
      </c>
      <c r="B441" s="30" t="s">
        <v>26</v>
      </c>
      <c r="C441" s="30" t="s">
        <v>180</v>
      </c>
      <c r="D441" s="30" t="s">
        <v>144</v>
      </c>
      <c r="E441" s="30" t="s">
        <v>698</v>
      </c>
      <c r="F441" s="36" t="str">
        <f>IF(ISBLANK(Table2[[#This Row],[unique_id]]), "", PROPER(SUBSTITUTE(Table2[[#This Row],[unique_id]], "_", " ")))</f>
        <v>Parents Move</v>
      </c>
      <c r="G441" s="30" t="s">
        <v>707</v>
      </c>
      <c r="H441" s="30" t="s">
        <v>712</v>
      </c>
      <c r="I441" s="30" t="s">
        <v>143</v>
      </c>
      <c r="M441" s="30" t="s">
        <v>135</v>
      </c>
      <c r="N441" s="30" t="s">
        <v>268</v>
      </c>
      <c r="O441" s="31" t="s">
        <v>755</v>
      </c>
      <c r="P441" s="30" t="s">
        <v>164</v>
      </c>
      <c r="Q441" s="30" t="s">
        <v>727</v>
      </c>
      <c r="R441" s="41" t="s">
        <v>712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1005</v>
      </c>
      <c r="BD441" s="30" t="s">
        <v>180</v>
      </c>
      <c r="BF441" s="30">
        <v>15.4</v>
      </c>
      <c r="BG441" s="30" t="s">
        <v>190</v>
      </c>
      <c r="BK441" s="30" t="s">
        <v>1212</v>
      </c>
      <c r="BL441" s="30" t="s">
        <v>348</v>
      </c>
      <c r="BM441" s="39" t="s">
        <v>1228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customHeight="1" x14ac:dyDescent="0.2">
      <c r="A442" s="30">
        <v>2660</v>
      </c>
      <c r="B442" s="30" t="s">
        <v>26</v>
      </c>
      <c r="C442" s="30" t="s">
        <v>262</v>
      </c>
      <c r="D442" s="30" t="s">
        <v>144</v>
      </c>
      <c r="E442" s="30" t="s">
        <v>1271</v>
      </c>
      <c r="F442" s="36" t="str">
        <f>IF(ISBLANK(Table2[[#This Row],[unique_id]]), "", PROPER(SUBSTITUTE(Table2[[#This Row],[unique_id]], "_", " ")))</f>
        <v>Parents Homepod</v>
      </c>
      <c r="G442" s="30" t="s">
        <v>1272</v>
      </c>
      <c r="H442" s="30" t="s">
        <v>712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1273</v>
      </c>
      <c r="BC442" s="30" t="s">
        <v>1008</v>
      </c>
      <c r="BD442" s="30" t="s">
        <v>262</v>
      </c>
      <c r="BF442" s="30" t="s">
        <v>379</v>
      </c>
      <c r="BG442" s="30" t="s">
        <v>190</v>
      </c>
      <c r="BK442" s="30" t="s">
        <v>1212</v>
      </c>
      <c r="BL442" s="41" t="s">
        <v>382</v>
      </c>
      <c r="BM442" s="39" t="s">
        <v>1229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customHeight="1" x14ac:dyDescent="0.2">
      <c r="A443" s="30">
        <v>2700</v>
      </c>
      <c r="B443" s="30" t="s">
        <v>26</v>
      </c>
      <c r="C443" s="30" t="s">
        <v>149</v>
      </c>
      <c r="D443" s="30" t="s">
        <v>292</v>
      </c>
      <c r="E443" s="30" t="s">
        <v>635</v>
      </c>
      <c r="F443" s="36" t="str">
        <f>IF(ISBLANK(Table2[[#This Row],[unique_id]]), "", PROPER(SUBSTITUTE(Table2[[#This Row],[unique_id]], "_", " ")))</f>
        <v>Back Door Lock Security</v>
      </c>
      <c r="G443" s="30" t="s">
        <v>631</v>
      </c>
      <c r="H443" s="30" t="s">
        <v>613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646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648</v>
      </c>
      <c r="F444" s="36" t="str">
        <f>IF(ISBLANK(Table2[[#This Row],[unique_id]]), "", PROPER(SUBSTITUTE(Table2[[#This Row],[unique_id]], "_", " ")))</f>
        <v>Template Back Door State</v>
      </c>
      <c r="G444" s="30" t="s">
        <v>272</v>
      </c>
      <c r="H444" s="30" t="s">
        <v>613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2702</v>
      </c>
      <c r="B445" s="30" t="s">
        <v>26</v>
      </c>
      <c r="C445" s="30" t="s">
        <v>604</v>
      </c>
      <c r="D445" s="30" t="s">
        <v>607</v>
      </c>
      <c r="E445" s="30" t="s">
        <v>608</v>
      </c>
      <c r="F445" s="36" t="str">
        <f>IF(ISBLANK(Table2[[#This Row],[unique_id]]), "", PROPER(SUBSTITUTE(Table2[[#This Row],[unique_id]], "_", " ")))</f>
        <v>Back Door Lock</v>
      </c>
      <c r="G445" s="30" t="s">
        <v>650</v>
      </c>
      <c r="H445" s="30" t="s">
        <v>613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723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998</v>
      </c>
      <c r="BC445" s="30" t="s">
        <v>605</v>
      </c>
      <c r="BD445" s="30" t="s">
        <v>604</v>
      </c>
      <c r="BF445" s="30" t="s">
        <v>606</v>
      </c>
      <c r="BG445" s="30" t="s">
        <v>613</v>
      </c>
      <c r="BL445" s="30" t="s">
        <v>603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customHeight="1" x14ac:dyDescent="0.2">
      <c r="A446" s="30">
        <v>2703</v>
      </c>
      <c r="B446" s="30" t="s">
        <v>26</v>
      </c>
      <c r="C446" s="30" t="s">
        <v>316</v>
      </c>
      <c r="D446" s="30" t="s">
        <v>147</v>
      </c>
      <c r="E446" s="30" t="s">
        <v>641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649</v>
      </c>
      <c r="H446" s="30" t="s">
        <v>613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723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1002</v>
      </c>
      <c r="BC446" s="37" t="s">
        <v>624</v>
      </c>
      <c r="BD446" s="30" t="s">
        <v>1076</v>
      </c>
      <c r="BF446" s="30" t="s">
        <v>606</v>
      </c>
      <c r="BG446" s="30" t="s">
        <v>613</v>
      </c>
      <c r="BL446" s="30" t="s">
        <v>626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customHeight="1" x14ac:dyDescent="0.2">
      <c r="A447" s="30">
        <v>2704</v>
      </c>
      <c r="B447" s="30" t="s">
        <v>561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613</v>
      </c>
      <c r="H447" s="30" t="s">
        <v>621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2705</v>
      </c>
      <c r="B448" s="30" t="s">
        <v>26</v>
      </c>
      <c r="C448" s="30" t="s">
        <v>149</v>
      </c>
      <c r="D448" s="30" t="s">
        <v>292</v>
      </c>
      <c r="E448" s="30" t="s">
        <v>636</v>
      </c>
      <c r="F448" s="36" t="str">
        <f>IF(ISBLANK(Table2[[#This Row],[unique_id]]), "", PROPER(SUBSTITUTE(Table2[[#This Row],[unique_id]], "_", " ")))</f>
        <v>Front Door Lock Security</v>
      </c>
      <c r="G448" s="30" t="s">
        <v>631</v>
      </c>
      <c r="H448" s="30" t="s">
        <v>612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646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647</v>
      </c>
      <c r="F449" s="36" t="str">
        <f>IF(ISBLANK(Table2[[#This Row],[unique_id]]), "", PROPER(SUBSTITUTE(Table2[[#This Row],[unique_id]], "_", " ")))</f>
        <v>Template Front Door State</v>
      </c>
      <c r="G449" s="30" t="s">
        <v>272</v>
      </c>
      <c r="H449" s="30" t="s">
        <v>612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2707</v>
      </c>
      <c r="B450" s="30" t="s">
        <v>26</v>
      </c>
      <c r="C450" s="30" t="s">
        <v>604</v>
      </c>
      <c r="D450" s="30" t="s">
        <v>607</v>
      </c>
      <c r="E450" s="30" t="s">
        <v>609</v>
      </c>
      <c r="F450" s="36" t="str">
        <f>IF(ISBLANK(Table2[[#This Row],[unique_id]]), "", PROPER(SUBSTITUTE(Table2[[#This Row],[unique_id]], "_", " ")))</f>
        <v>Front Door Lock</v>
      </c>
      <c r="G450" s="30" t="s">
        <v>650</v>
      </c>
      <c r="H450" s="30" t="s">
        <v>612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723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998</v>
      </c>
      <c r="BC450" s="30" t="s">
        <v>605</v>
      </c>
      <c r="BD450" s="30" t="s">
        <v>604</v>
      </c>
      <c r="BF450" s="30" t="s">
        <v>606</v>
      </c>
      <c r="BG450" s="30" t="s">
        <v>612</v>
      </c>
      <c r="BL450" s="30" t="s">
        <v>610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customHeight="1" x14ac:dyDescent="0.2">
      <c r="A451" s="30">
        <v>2708</v>
      </c>
      <c r="B451" s="30" t="s">
        <v>26</v>
      </c>
      <c r="C451" s="30" t="s">
        <v>316</v>
      </c>
      <c r="D451" s="30" t="s">
        <v>147</v>
      </c>
      <c r="E451" s="30" t="s">
        <v>640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649</v>
      </c>
      <c r="H451" s="30" t="s">
        <v>612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723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1002</v>
      </c>
      <c r="BC451" s="37" t="s">
        <v>624</v>
      </c>
      <c r="BD451" s="30" t="s">
        <v>1076</v>
      </c>
      <c r="BF451" s="30" t="s">
        <v>606</v>
      </c>
      <c r="BG451" s="30" t="s">
        <v>612</v>
      </c>
      <c r="BL451" s="30" t="s">
        <v>625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customHeight="1" x14ac:dyDescent="0.2">
      <c r="A452" s="30">
        <v>2709</v>
      </c>
      <c r="B452" s="30" t="s">
        <v>561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612</v>
      </c>
      <c r="H452" s="30" t="s">
        <v>620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618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618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583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618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584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618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585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618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586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618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2716</v>
      </c>
      <c r="B459" s="30" t="s">
        <v>26</v>
      </c>
      <c r="C459" s="30" t="s">
        <v>422</v>
      </c>
      <c r="D459" s="30" t="s">
        <v>315</v>
      </c>
      <c r="E459" s="30" t="s">
        <v>314</v>
      </c>
      <c r="F459" s="36" t="str">
        <f>IF(ISBLANK(Table2[[#This Row],[unique_id]]), "", PROPER(SUBSTITUTE(Table2[[#This Row],[unique_id]], "_", " ")))</f>
        <v>Column Break</v>
      </c>
      <c r="G459" s="30" t="s">
        <v>311</v>
      </c>
      <c r="H459" s="30" t="s">
        <v>615</v>
      </c>
      <c r="I459" s="30" t="s">
        <v>207</v>
      </c>
      <c r="M459" s="30" t="s">
        <v>312</v>
      </c>
      <c r="N459" s="30" t="s">
        <v>313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611</v>
      </c>
      <c r="H460" s="30" t="s">
        <v>615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617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1384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367</v>
      </c>
      <c r="BD461" s="30" t="s">
        <v>232</v>
      </c>
      <c r="BF461" s="30" t="s">
        <v>368</v>
      </c>
      <c r="BG461" s="30" t="s">
        <v>129</v>
      </c>
      <c r="BK461" s="30" t="s">
        <v>1213</v>
      </c>
      <c r="BL461" s="30" t="s">
        <v>365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611</v>
      </c>
      <c r="H462" s="30" t="s">
        <v>614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1285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616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367</v>
      </c>
      <c r="BD463" s="30" t="s">
        <v>232</v>
      </c>
      <c r="BF463" s="30" t="s">
        <v>368</v>
      </c>
      <c r="BG463" s="30" t="s">
        <v>126</v>
      </c>
      <c r="BK463" s="30" t="s">
        <v>1213</v>
      </c>
      <c r="BL463" s="30" t="s">
        <v>366</v>
      </c>
      <c r="BM463" s="30" t="s">
        <v>1269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customHeight="1" x14ac:dyDescent="0.2">
      <c r="A464" s="30">
        <v>2721</v>
      </c>
      <c r="B464" s="30" t="s">
        <v>26</v>
      </c>
      <c r="C464" s="30" t="s">
        <v>422</v>
      </c>
      <c r="D464" s="30" t="s">
        <v>315</v>
      </c>
      <c r="E464" s="30" t="s">
        <v>314</v>
      </c>
      <c r="F464" s="36" t="str">
        <f>IF(ISBLANK(Table2[[#This Row],[unique_id]]), "", PROPER(SUBSTITUTE(Table2[[#This Row],[unique_id]], "_", " ")))</f>
        <v>Column Break</v>
      </c>
      <c r="G464" s="30" t="s">
        <v>311</v>
      </c>
      <c r="H464" s="30" t="s">
        <v>616</v>
      </c>
      <c r="I464" s="30" t="s">
        <v>207</v>
      </c>
      <c r="M464" s="30" t="s">
        <v>312</v>
      </c>
      <c r="N464" s="30" t="s">
        <v>313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Rack</v>
      </c>
      <c r="BC465" s="30" t="s">
        <v>994</v>
      </c>
      <c r="BD465" s="30" t="s">
        <v>232</v>
      </c>
      <c r="BF465" s="30" t="s">
        <v>384</v>
      </c>
      <c r="BG465" s="30" t="s">
        <v>28</v>
      </c>
      <c r="BK465" s="30" t="s">
        <v>1206</v>
      </c>
      <c r="BL465" s="30" t="s">
        <v>387</v>
      </c>
      <c r="BM465" s="30" t="s">
        <v>1207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1386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991</v>
      </c>
      <c r="BD466" s="30" t="s">
        <v>232</v>
      </c>
      <c r="BF466" s="30" t="s">
        <v>592</v>
      </c>
      <c r="BG466" s="30" t="s">
        <v>28</v>
      </c>
      <c r="BK466" s="30" t="s">
        <v>1206</v>
      </c>
      <c r="BL466" s="30" t="s">
        <v>593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992</v>
      </c>
      <c r="BD467" s="30" t="s">
        <v>232</v>
      </c>
      <c r="BF467" s="30" t="s">
        <v>1032</v>
      </c>
      <c r="BG467" s="30" t="s">
        <v>210</v>
      </c>
      <c r="BK467" s="30" t="s">
        <v>1206</v>
      </c>
      <c r="BL467" s="30" t="s">
        <v>388</v>
      </c>
      <c r="BM467" s="30" t="s">
        <v>1422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1421</v>
      </c>
      <c r="BD468" s="30" t="s">
        <v>232</v>
      </c>
      <c r="BF468" s="30" t="s">
        <v>1032</v>
      </c>
      <c r="BG468" s="30" t="s">
        <v>385</v>
      </c>
      <c r="BK468" s="30" t="s">
        <v>1206</v>
      </c>
      <c r="BL468" s="30" t="s">
        <v>1423</v>
      </c>
      <c r="BM468" s="30" t="s">
        <v>1209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1387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1329</v>
      </c>
      <c r="BD469" s="30" t="s">
        <v>232</v>
      </c>
      <c r="BF469" s="30" t="s">
        <v>1031</v>
      </c>
      <c r="BG469" s="30" t="s">
        <v>386</v>
      </c>
      <c r="BK469" s="30" t="s">
        <v>1206</v>
      </c>
      <c r="BL469" s="30" t="s">
        <v>1328</v>
      </c>
      <c r="BM469" s="30" t="s">
        <v>1210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1387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993</v>
      </c>
      <c r="BD470" s="30" t="s">
        <v>232</v>
      </c>
      <c r="BF470" s="30" t="s">
        <v>1031</v>
      </c>
      <c r="BG470" s="30" t="s">
        <v>1380</v>
      </c>
      <c r="BK470" s="30" t="s">
        <v>1206</v>
      </c>
      <c r="BL470" s="30" t="s">
        <v>1382</v>
      </c>
      <c r="BM470" s="30" t="s">
        <v>1211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1387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993</v>
      </c>
      <c r="BD471" s="30" t="s">
        <v>232</v>
      </c>
      <c r="BF471" s="30" t="s">
        <v>1031</v>
      </c>
      <c r="BG471" s="30" t="s">
        <v>1379</v>
      </c>
      <c r="BK471" s="30" t="s">
        <v>1206</v>
      </c>
      <c r="BL471" s="30" t="s">
        <v>389</v>
      </c>
      <c r="BM471" s="30" t="s">
        <v>1381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customHeight="1" x14ac:dyDescent="0.2">
      <c r="A472" s="30">
        <v>5007</v>
      </c>
      <c r="B472" s="39" t="s">
        <v>561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1314</v>
      </c>
      <c r="BA472" s="30" t="str">
        <f>IF(ISBLANK(Table2[[#This Row],[device_model]]), "", Table2[[#This Row],[device_suggested_area]])</f>
        <v>Rack</v>
      </c>
      <c r="BB472" s="30" t="s">
        <v>1325</v>
      </c>
      <c r="BC472" s="30" t="s">
        <v>1316</v>
      </c>
      <c r="BD472" s="30" t="s">
        <v>1314</v>
      </c>
      <c r="BF472" s="30" t="s">
        <v>1322</v>
      </c>
      <c r="BG472" s="30" t="s">
        <v>28</v>
      </c>
      <c r="BL472" s="41"/>
      <c r="BM472" s="30" t="s">
        <v>1324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customHeight="1" x14ac:dyDescent="0.2">
      <c r="A473" s="30">
        <v>5008</v>
      </c>
      <c r="B473" s="39" t="s">
        <v>561</v>
      </c>
      <c r="C473" s="39" t="s">
        <v>1314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1315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1314</v>
      </c>
      <c r="BA473" s="30" t="str">
        <f>IF(ISBLANK(Table2[[#This Row],[device_model]]), "", Table2[[#This Row],[device_suggested_area]])</f>
        <v>Rack</v>
      </c>
      <c r="BB473" s="30" t="s">
        <v>990</v>
      </c>
      <c r="BC473" s="30" t="s">
        <v>1316</v>
      </c>
      <c r="BD473" s="30" t="s">
        <v>1314</v>
      </c>
      <c r="BF473" s="30" t="s">
        <v>1322</v>
      </c>
      <c r="BG473" s="30" t="s">
        <v>28</v>
      </c>
      <c r="BL473" s="41"/>
      <c r="BM473" s="30" t="s">
        <v>1317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customHeight="1" x14ac:dyDescent="0.2">
      <c r="A474" s="30">
        <v>5009</v>
      </c>
      <c r="B474" s="39" t="s">
        <v>561</v>
      </c>
      <c r="C474" s="39" t="s">
        <v>1318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1319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1318</v>
      </c>
      <c r="BA474" s="30" t="str">
        <f>IF(ISBLANK(Table2[[#This Row],[device_model]]), "", Table2[[#This Row],[device_suggested_area]])</f>
        <v>Rack</v>
      </c>
      <c r="BB474" s="30" t="s">
        <v>1320</v>
      </c>
      <c r="BC474" s="30" t="s">
        <v>1321</v>
      </c>
      <c r="BD474" s="30" t="s">
        <v>1318</v>
      </c>
      <c r="BF474" s="30" t="s">
        <v>1322</v>
      </c>
      <c r="BG474" s="30" t="s">
        <v>28</v>
      </c>
      <c r="BL474" s="41"/>
      <c r="BM474" s="30" t="s">
        <v>1323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customHeight="1" x14ac:dyDescent="0.2">
      <c r="A475" s="30">
        <v>5010</v>
      </c>
      <c r="B475" s="39" t="s">
        <v>561</v>
      </c>
      <c r="C475" s="39" t="s">
        <v>369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995</v>
      </c>
      <c r="BA475" s="30" t="str">
        <f>IF(ISBLANK(Table2[[#This Row],[device_model]]), "", Table2[[#This Row],[device_suggested_area]])</f>
        <v>Rack</v>
      </c>
      <c r="BB475" s="30" t="s">
        <v>369</v>
      </c>
      <c r="BC475" s="30" t="s">
        <v>370</v>
      </c>
      <c r="BD475" s="30" t="s">
        <v>372</v>
      </c>
      <c r="BF475" s="30" t="s">
        <v>371</v>
      </c>
      <c r="BG475" s="30" t="s">
        <v>28</v>
      </c>
      <c r="BK475" s="30" t="s">
        <v>1212</v>
      </c>
      <c r="BL475" s="41" t="s">
        <v>414</v>
      </c>
      <c r="BM475" s="30" t="s">
        <v>1230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customHeight="1" x14ac:dyDescent="0.2">
      <c r="A476" s="30">
        <v>5011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1022</v>
      </c>
      <c r="BA476" s="30" t="str">
        <f>IF(ISBLANK(Table2[[#This Row],[device_model]]), "", Table2[[#This Row],[device_suggested_area]])</f>
        <v>Wardrobe</v>
      </c>
      <c r="BB476" s="30" t="s">
        <v>1405</v>
      </c>
      <c r="BC476" s="30" t="s">
        <v>1001</v>
      </c>
      <c r="BD476" s="30" t="s">
        <v>536</v>
      </c>
      <c r="BF476" s="62" t="s">
        <v>1409</v>
      </c>
      <c r="BG476" s="30" t="s">
        <v>477</v>
      </c>
      <c r="BK476" s="30" t="s">
        <v>383</v>
      </c>
      <c r="BL476" s="30" t="s">
        <v>535</v>
      </c>
      <c r="BM476" s="30" t="s">
        <v>1205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customHeight="1" x14ac:dyDescent="0.2">
      <c r="A477" s="30">
        <v>5012</v>
      </c>
      <c r="B477" s="39" t="s">
        <v>561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1022</v>
      </c>
      <c r="BA477" s="30" t="str">
        <f>IF(ISBLANK(Table2[[#This Row],[device_model]]), "", Table2[[#This Row],[device_suggested_area]])</f>
        <v>Guildford</v>
      </c>
      <c r="BB477" s="30" t="s">
        <v>1407</v>
      </c>
      <c r="BC477" s="30" t="s">
        <v>1408</v>
      </c>
      <c r="BD477" s="30" t="s">
        <v>536</v>
      </c>
      <c r="BF477" s="62" t="s">
        <v>1409</v>
      </c>
      <c r="BG477" s="30" t="s">
        <v>1406</v>
      </c>
      <c r="BL477" s="30" t="s">
        <v>1413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customHeight="1" x14ac:dyDescent="0.2">
      <c r="A478" s="30">
        <v>5013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Rack</v>
      </c>
      <c r="BB478" s="30" t="s">
        <v>1410</v>
      </c>
      <c r="BC478" s="30" t="s">
        <v>1411</v>
      </c>
      <c r="BD478" s="30" t="s">
        <v>262</v>
      </c>
      <c r="BF478" s="62" t="s">
        <v>1415</v>
      </c>
      <c r="BG478" s="30" t="s">
        <v>28</v>
      </c>
      <c r="BK478" s="30" t="s">
        <v>383</v>
      </c>
      <c r="BL478" s="41" t="s">
        <v>1414</v>
      </c>
      <c r="BM478" s="30" t="s">
        <v>1201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customHeight="1" x14ac:dyDescent="0.2">
      <c r="A479" s="30">
        <v>5014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1021</v>
      </c>
      <c r="BA479" s="30" t="str">
        <f>IF(ISBLANK(Table2[[#This Row],[device_model]]), "", Table2[[#This Row],[device_suggested_area]])</f>
        <v>Rack</v>
      </c>
      <c r="BB479" s="30" t="s">
        <v>1412</v>
      </c>
      <c r="BC479" s="30" t="s">
        <v>999</v>
      </c>
      <c r="BD479" s="30" t="s">
        <v>262</v>
      </c>
      <c r="BF479" s="62" t="s">
        <v>1419</v>
      </c>
      <c r="BG479" s="30" t="s">
        <v>28</v>
      </c>
      <c r="BK479" s="30" t="s">
        <v>383</v>
      </c>
      <c r="BL479" s="46" t="s">
        <v>1420</v>
      </c>
      <c r="BM479" s="30" t="s">
        <v>1202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customHeight="1" x14ac:dyDescent="0.2">
      <c r="A480" s="30">
        <v>5015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1021</v>
      </c>
      <c r="BA480" s="30" t="str">
        <f>IF(ISBLANK(Table2[[#This Row],[device_model]]), "", Table2[[#This Row],[device_suggested_area]])</f>
        <v>Rack</v>
      </c>
      <c r="BB480" s="30" t="s">
        <v>1394</v>
      </c>
      <c r="BC480" s="30" t="s">
        <v>999</v>
      </c>
      <c r="BD480" s="30" t="s">
        <v>262</v>
      </c>
      <c r="BF480" s="62" t="s">
        <v>1409</v>
      </c>
      <c r="BG480" s="30" t="s">
        <v>28</v>
      </c>
      <c r="BK480" s="30" t="s">
        <v>383</v>
      </c>
      <c r="BL480" s="46" t="s">
        <v>1280</v>
      </c>
      <c r="BM480" s="30" t="s">
        <v>1203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customHeight="1" x14ac:dyDescent="0.2">
      <c r="A481" s="30">
        <v>5016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1021</v>
      </c>
      <c r="BA481" s="30" t="str">
        <f>IF(ISBLANK(Table2[[#This Row],[device_model]]), "", Table2[[#This Row],[device_suggested_area]])</f>
        <v>Rack</v>
      </c>
      <c r="BB481" s="30" t="s">
        <v>1000</v>
      </c>
      <c r="BC481" s="30" t="s">
        <v>999</v>
      </c>
      <c r="BD481" s="30" t="s">
        <v>262</v>
      </c>
      <c r="BF481" s="62" t="s">
        <v>1409</v>
      </c>
      <c r="BG481" s="30" t="s">
        <v>28</v>
      </c>
      <c r="BK481" s="30" t="s">
        <v>383</v>
      </c>
      <c r="BL481" s="30" t="s">
        <v>569</v>
      </c>
      <c r="BM481" s="30" t="s">
        <v>1204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customHeight="1" x14ac:dyDescent="0.2">
      <c r="A482" s="30">
        <v>5017</v>
      </c>
      <c r="B482" s="30" t="s">
        <v>26</v>
      </c>
      <c r="C482" s="30" t="s">
        <v>364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362</v>
      </c>
      <c r="BA482" s="30" t="str">
        <f>IF(ISBLANK(Table2[[#This Row],[device_model]]), "", Table2[[#This Row],[device_suggested_area]])</f>
        <v>Rack</v>
      </c>
      <c r="BB482" s="30" t="s">
        <v>364</v>
      </c>
      <c r="BC482" s="30" t="s">
        <v>363</v>
      </c>
      <c r="BD482" s="30" t="s">
        <v>362</v>
      </c>
      <c r="BF482" s="30" t="s">
        <v>743</v>
      </c>
      <c r="BG482" s="30" t="s">
        <v>28</v>
      </c>
      <c r="BK482" s="30" t="s">
        <v>1213</v>
      </c>
      <c r="BL482" s="30" t="s">
        <v>361</v>
      </c>
      <c r="BM482" s="30" t="s">
        <v>1270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customHeight="1" x14ac:dyDescent="0.2">
      <c r="A483" s="30">
        <v>5018</v>
      </c>
      <c r="B483" s="30" t="s">
        <v>26</v>
      </c>
      <c r="C483" s="30" t="s">
        <v>439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471</v>
      </c>
      <c r="X483" s="31"/>
      <c r="Y483" s="42" t="s">
        <v>723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997</v>
      </c>
      <c r="BC483" s="37" t="s">
        <v>463</v>
      </c>
      <c r="BD483" s="30" t="s">
        <v>439</v>
      </c>
      <c r="BF483" s="37" t="s">
        <v>464</v>
      </c>
      <c r="BG483" s="30" t="s">
        <v>164</v>
      </c>
      <c r="BL483" s="30" t="s">
        <v>462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2026-07-30T05:26:27Z</dcterms:modified>
</cp:coreProperties>
</file>