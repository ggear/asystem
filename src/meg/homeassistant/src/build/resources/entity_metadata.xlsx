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69D42C1-B27C-1147-9DD9-6E7BC2EBCA65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7" i="1" l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/>
  <c r="AV285" i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/>
  <c r="AV284" i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8" i="1"/>
  <c r="BA288" i="1"/>
  <c r="AW288" i="1"/>
  <c r="AX288" i="1" s="1"/>
  <c r="AV288" i="1"/>
  <c r="F288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BN330" i="1"/>
  <c r="BA330" i="1"/>
  <c r="AW330" i="1"/>
  <c r="AX330" i="1" s="1"/>
  <c r="AV330" i="1"/>
  <c r="F330" i="1"/>
  <c r="BN289" i="1"/>
  <c r="BA289" i="1"/>
  <c r="AW289" i="1"/>
  <c r="AV289" i="1"/>
  <c r="F289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298" i="1"/>
  <c r="BA298" i="1"/>
  <c r="AW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V294" i="1" s="1"/>
  <c r="AM294" i="1"/>
  <c r="AK294" i="1"/>
  <c r="F294" i="1"/>
  <c r="BN293" i="1"/>
  <c r="BA293" i="1"/>
  <c r="AW293" i="1" s="1"/>
  <c r="AM293" i="1"/>
  <c r="AK293" i="1"/>
  <c r="F293" i="1"/>
  <c r="BN292" i="1"/>
  <c r="BA292" i="1"/>
  <c r="AW292" i="1" s="1"/>
  <c r="AV292" i="1" s="1"/>
  <c r="AM292" i="1"/>
  <c r="AK292" i="1"/>
  <c r="F292" i="1"/>
  <c r="BN291" i="1"/>
  <c r="BA291" i="1"/>
  <c r="AW291" i="1" s="1"/>
  <c r="AV291" i="1" s="1"/>
  <c r="AM291" i="1"/>
  <c r="AK291" i="1"/>
  <c r="F291" i="1"/>
  <c r="AK290" i="1"/>
  <c r="BA290" i="1"/>
  <c r="AW290" i="1" s="1"/>
  <c r="AV290" i="1" s="1"/>
  <c r="AM290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0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0" i="1"/>
  <c r="AR77" i="1"/>
  <c r="AR76" i="1"/>
  <c r="AR75" i="1"/>
  <c r="AR74" i="1"/>
  <c r="AR73" i="1"/>
  <c r="AR72" i="1"/>
  <c r="AY283" i="1" l="1"/>
  <c r="AX284" i="1"/>
  <c r="AY287" i="1"/>
  <c r="G287" i="1"/>
  <c r="AX287" i="1"/>
  <c r="AX285" i="1"/>
  <c r="AY285" i="1"/>
  <c r="AX286" i="1"/>
  <c r="AX283" i="1"/>
  <c r="AY286" i="1"/>
  <c r="AY284" i="1"/>
  <c r="G283" i="1"/>
  <c r="AY288" i="1"/>
  <c r="AY282" i="1"/>
  <c r="G282" i="1"/>
  <c r="AX282" i="1"/>
  <c r="AX320" i="1"/>
  <c r="AX318" i="1"/>
  <c r="AY330" i="1"/>
  <c r="AY312" i="1"/>
  <c r="AY289" i="1"/>
  <c r="AX289" i="1"/>
  <c r="AX303" i="1"/>
  <c r="AX306" i="1"/>
  <c r="AX295" i="1"/>
  <c r="AX300" i="1"/>
  <c r="AX310" i="1"/>
  <c r="AY302" i="1"/>
  <c r="AX293" i="1"/>
  <c r="AX296" i="1"/>
  <c r="AX305" i="1"/>
  <c r="AY295" i="1"/>
  <c r="AY305" i="1"/>
  <c r="AY293" i="1"/>
  <c r="AY297" i="1"/>
  <c r="AY307" i="1"/>
  <c r="AX298" i="1"/>
  <c r="AY300" i="1"/>
  <c r="AX308" i="1"/>
  <c r="AY310" i="1"/>
  <c r="AY292" i="1"/>
  <c r="AY303" i="1"/>
  <c r="AY296" i="1"/>
  <c r="AV293" i="1"/>
  <c r="AX292" i="1"/>
  <c r="AY298" i="1"/>
  <c r="AY308" i="1"/>
  <c r="AY294" i="1"/>
  <c r="AX299" i="1"/>
  <c r="AY301" i="1"/>
  <c r="AX309" i="1"/>
  <c r="AY311" i="1"/>
  <c r="AX291" i="1"/>
  <c r="AX302" i="1"/>
  <c r="AY304" i="1"/>
  <c r="AX301" i="1"/>
  <c r="AX311" i="1"/>
  <c r="AX294" i="1"/>
  <c r="AX304" i="1"/>
  <c r="AY306" i="1"/>
  <c r="AY291" i="1"/>
  <c r="AX297" i="1"/>
  <c r="AY299" i="1"/>
  <c r="AX307" i="1"/>
  <c r="AY309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20" i="1"/>
  <c r="AY318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79" i="1"/>
  <c r="AV479" i="1"/>
  <c r="AV478" i="1"/>
  <c r="AY478" i="1"/>
  <c r="AY41" i="1"/>
  <c r="AY43" i="1"/>
  <c r="AX328" i="1"/>
  <c r="AX324" i="1"/>
  <c r="AX314" i="1"/>
  <c r="AX290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0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7" i="1"/>
  <c r="AY226" i="1"/>
  <c r="AV381" i="1"/>
  <c r="AV168" i="1"/>
  <c r="AY47" i="1"/>
  <c r="AV120" i="1"/>
  <c r="AY332" i="1"/>
  <c r="AY215" i="1"/>
  <c r="AY216" i="1"/>
  <c r="AY95" i="1"/>
  <c r="AY101" i="1"/>
  <c r="AY333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5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4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1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7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<sst xmlns="http://schemas.openxmlformats.org/spreadsheetml/2006/main" count="7738" uniqueCount="1523">
  <si>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</si>
  <si>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</si>
  <si>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</si>
  <si>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</si>
  <si>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</si>
  <si>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</si>
  <si>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</si>
  <si>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</si>
  <si>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</si>
  <si>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</si>
  <si>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</si>
  <si>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</si>
  <si>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</si>
  <si>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</si>
  <si>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</si>
  <si>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</si>
  <si>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</si>
  <si>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</si>
  <si>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</si>
  <si>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</si>
  <si>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</si>
  <si>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</si>
  <si>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</si>
  <si>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</si>
  <si>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</si>
  <si>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</si>
  <si>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</si>
  <si>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</si>
  <si>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</si>
  <si>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</si>
  <si>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</si>
  <si>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</si>
  <si>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</si>
  <si>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</si>
  <si>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</si>
  <si>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</si>
  <si>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</si>
  <si>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</si>
  <si>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</si>
  <si>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</si>
  <si>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</si>
  <si>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</si>
  <si>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</si>
  <si>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</si>
  <si>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</si>
  <si>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</si>
  <si>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</si>
  <si>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</si>
  <si>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</si>
  <si>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</si>
  <si>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</si>
  <si>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</si>
  <si>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</si>
  <si>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</si>
  <si>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</si>
  <si>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</si>
  <si>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</si>
  <si>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</si>
  <si>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</si>
  <si>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</si>
  <si>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</si>
  <si>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</si>
  <si>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</si>
  <si>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</si>
  <si>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</si>
  <si>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</si>
  <si>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</si>
  <si>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</si>
  <si>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</si>
  <si>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</si>
  <si>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</si>
  <si>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</si>
  <si>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</si>
  <si>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</si>
  <si>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</si>
  <si>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</si>
  <si>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</si>
  <si>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</si>
  <si>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</si>
  <si>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</si>
  <si>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</si>
  <si>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</si>
  <si>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</si>
  <si>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</si>
  <si>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</si>
  <si>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</si>
  <si>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</si>
  <si>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</si>
  <si>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</si>
  <si>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</si>
  <si>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</si>
  <si>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</si>
  <si>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</si>
  <si>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</si>
  <si>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</si>
  <si>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</si>
  <si>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</si>
  <si>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</si>
  <si>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</si>
  <si>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</si>
  <si>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</si>
  <si>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</si>
  <si>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</si>
  <si>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</si>
  <si>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</si>
  <si>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</si>
  <si>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</si>
  <si>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</si>
  <si>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</si>
  <si>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</si>
  <si>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</si>
  <si>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</si>
  <si>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</si>
  <si>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</si>
  <si>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</si>
  <si>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</si>
  <si>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</si>
  <si>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</si>
  <si>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</si>
  <si>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</si>
  <si>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</si>
  <si>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</si>
  <si>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</si>
  <si>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</si>
  <si>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</si>
  <si>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</si>
  <si>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</si>
  <si>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</si>
  <si>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</si>
  <si>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</si>
  <si>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</si>
  <si>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</si>
  <si>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</si>
  <si>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</si>
  <si>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</si>
  <si>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</si>
  <si>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</si>
  <si>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</si>
  <si>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</si>
  <si>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</si>
  <si>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</si>
  <si>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</si>
  <si>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</si>
  <si>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</si>
  <si>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</si>
  <si>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</si>
  <si>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</si>
  <si>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</si>
  <si>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</si>
  <si>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</si>
  <si>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</si>
  <si>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</si>
  <si>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</si>
  <si>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</si>
  <si>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</si>
  <si>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</si>
  <si>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</si>
  <si>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</si>
  <si>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</si>
  <si>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</si>
  <si>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</si>
  <si>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</si>
  <si>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</si>
  <si>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</si>
  <si>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</si>
  <si>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</si>
  <si>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</si>
  <si>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</si>
  <si>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</si>
  <si>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</si>
  <si>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</si>
  <si>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</si>
  <si>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</si>
  <si>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</si>
  <si>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</si>
  <si>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</si>
  <si>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</si>
  <si>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</si>
  <si>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</si>
  <si>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</si>
  <si>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</si>
  <si>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</si>
  <si>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</si>
  <si>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</si>
  <si>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</si>
  <si>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</si>
  <si>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</si>
  <si>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</si>
  <si>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</si>
  <si>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</si>
  <si>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</si>
  <si>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</si>
  <si>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</si>
  <si>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</si>
  <si>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</si>
  <si>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</si>
  <si>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</si>
  <si>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</si>
  <si>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</si>
  <si>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</si>
  <si>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</si>
  <si>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</si>
  <si>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</si>
  <si>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</si>
  <si>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</si>
  <si>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</si>
  <si>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</si>
  <si>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</si>
  <si>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</si>
  <si>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</si>
  <si>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</si>
  <si>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</si>
  <si>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</si>
  <si>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</si>
  <si>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</si>
  <si>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</si>
  <si>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</si>
  <si>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</si>
  <si>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</si>
  <si>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</si>
  <si>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</si>
  <si>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</si>
  <si>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</si>
  <si>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</si>
  <si>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</si>
  <si>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</si>
  <si>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</si>
  <si>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</si>
  <si>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</si>
  <si>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</si>
  <si>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</si>
  <si>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</si>
  <si>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</si>
  <si>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</si>
  <si>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</si>
  <si>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</si>
  <si>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</si>
  <si>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</si>
  <si>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</si>
  <si>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</si>
  <si>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</si>
  <si>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</si>
  <si>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</si>
  <si>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</si>
  <si>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</si>
  <si>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</si>
  <si>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</si>
  <si>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</si>
  <si>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</si>
  <si>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</si>
  <si>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</si>
  <si>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</si>
  <si>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</si>
  <si>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</si>
  <si>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</si>
  <si>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</si>
  <si>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</si>
  <si>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</si>
  <si>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</si>
  <si>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</si>
  <si>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</si>
  <si>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</si>
  <si>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</si>
  <si>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</si>
  <si>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</si>
  <si>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</si>
  <si>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</si>
  <si>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</si>
  <si>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</si>
  <si>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</si>
  <si>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</si>
  <si>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</si>
  <si>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</si>
  <si>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</si>
  <si>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</si>
  <si>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</si>
  <si>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</si>
  <si>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</si>
  <si>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</si>
  <si>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</si>
  <si>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</si>
  <si>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</si>
  <si>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</si>
  <si>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</si>
  <si>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</si>
  <si>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</si>
  <si>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</si>
  <si>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</si>
  <si>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</si>
  <si>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</si>
  <si>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</si>
  <si>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</si>
  <si>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</si>
  <si>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</si>
  <si>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</si>
  <si>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</si>
  <si>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</si>
  <si>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</si>
  <si>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</si>
  <si>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</si>
  <si>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</si>
  <si>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</si>
  <si>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</si>
  <si>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</si>
  <si>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</si>
  <si>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</si>
  <si>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</si>
  <si>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</si>
  <si>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</si>
  <si>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</si>
  <si>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</si>
  <si>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</si>
  <si>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</si>
  <si>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</si>
  <si>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</si>
  <si>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</si>
  <si>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</si>
  <si>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</si>
  <si>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</si>
  <si>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</si>
  <si>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</si>
  <si>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</si>
  <si>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</si>
  <si>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</si>
  <si>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</si>
  <si>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</si>
  <si>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</si>
  <si>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</si>
  <si>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</si>
  <si>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</si>
  <si>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</si>
  <si>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</si>
  <si>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</si>
  <si>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</si>
  <si>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</si>
  <si>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</si>
  <si>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</si>
  <si>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</si>
  <si>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</si>
  <si>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</si>
  <si>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</si>
  <si>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</si>
  <si>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</si>
  <si>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</si>
  <si>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</si>
  <si>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</si>
  <si>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</si>
  <si>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</si>
  <si>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</si>
  <si>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</si>
  <si>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</si>
  <si>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</si>
  <si>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</si>
  <si>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</si>
  <si>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</si>
  <si>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</si>
  <si>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</si>
  <si>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</si>
  <si>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</si>
  <si>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</si>
  <si>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</si>
  <si>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</si>
  <si>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</si>
  <si>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</si>
  <si>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</si>
  <si>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</si>
  <si>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</si>
  <si>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</si>
  <si>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</si>
  <si>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</si>
  <si>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</si>
  <si>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</si>
  <si>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</si>
  <si>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</si>
  <si>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</si>
  <si>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</si>
  <si>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</si>
  <si>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</si>
  <si>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</si>
  <si>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</si>
  <si>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</si>
  <si>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</si>
  <si>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</si>
  <si>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</si>
  <si>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</si>
  <si>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</si>
  <si>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</si>
  <si>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</si>
  <si>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</si>
  <si>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</si>
  <si>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</si>
  <si>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</si>
  <si>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</si>
  <si>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</si>
  <si>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</si>
  <si>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</si>
  <si>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</si>
  <si>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</si>
  <si>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</si>
  <si>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</si>
  <si>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</si>
  <si>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</si>
  <si>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</si>
  <si>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</si>
  <si>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</si>
  <si>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</si>
  <si>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</si>
  <si>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</si>
  <si>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</si>
  <si>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</si>
  <si>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</si>
  <si>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</si>
  <si>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</si>
  <si>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</si>
  <si>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</si>
  <si>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</si>
  <si>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</si>
  <si>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</si>
  <si>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</si>
  <si>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</si>
  <si>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</si>
  <si>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</si>
  <si>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</si>
  <si>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</si>
  <si>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</si>
  <si>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</si>
  <si>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</si>
  <si>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</si>
  <si>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</si>
  <si>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</si>
  <si>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</si>
  <si>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</si>
  <si>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</si>
  <si>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</si>
  <si>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</si>
  <si>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</si>
  <si>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</si>
  <si>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</si>
  <si>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</si>
  <si>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</si>
  <si>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</si>
  <si>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</si>
  <si>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</si>
  <si>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</si>
  <si>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</si>
  <si>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</si>
  <si>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</si>
  <si>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</si>
  <si>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</si>
  <si>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</si>
  <si>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</si>
  <si>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</si>
  <si>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</si>
  <si>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</si>
  <si>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</si>
  <si>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</si>
  <si>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</si>
  <si>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</si>
  <si>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</si>
  <si>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</si>
  <si>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</si>
  <si>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</si>
  <si>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</si>
  <si>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</si>
  <si>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</si>
  <si>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</si>
  <si>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</si>
  <si>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</si>
  <si>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</si>
  <si>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</si>
  <si>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</si>
  <si>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</si>
  <si>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</si>
  <si>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</si>
  <si>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</si>
  <si>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</si>
  <si>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</si>
  <si>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</si>
  <si>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</si>
  <si>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</si>
  <si>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</si>
  <si>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</si>
  <si>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</si>
  <si>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</si>
  <si>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</si>
  <si>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</si>
  <si>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</si>
  <si>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</si>
  <si>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</si>
  <si>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</si>
  <si>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</si>
  <si>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</si>
  <si>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</si>
  <si>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</si>
  <si>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</si>
  <si>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</si>
  <si>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</si>
  <si>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</si>
  <si>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</si>
  <si>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</si>
  <si>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</si>
  <si>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</si>
  <si>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</si>
  <si>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</si>
  <si>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</si>
  <si>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</si>
  <si>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</si>
  <si>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</si>
  <si>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</si>
  <si>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</si>
  <si>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</si>
  <si>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</si>
  <si>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</si>
  <si>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</si>
  <si>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</si>
  <si>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</si>
  <si>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</si>
  <si>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</si>
  <si>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</si>
  <si>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</si>
  <si>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</si>
  <si>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</si>
  <si>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</si>
  <si>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</si>
  <si>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</si>
  <si>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</si>
  <si>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</si>
  <si>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</si>
  <si>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</si>
  <si>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</si>
  <si>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</si>
  <si>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</si>
  <si>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</si>
  <si>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</si>
  <si>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</si>
  <si>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</si>
  <si>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</si>
  <si>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</si>
  <si>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</si>
  <si>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</si>
  <si>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</si>
  <si>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</si>
  <si>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</si>
  <si>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</si>
  <si>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</si>
  <si>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</si>
  <si>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</si>
  <si>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</si>
  <si>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</si>
  <si>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</si>
  <si>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</si>
  <si>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</si>
  <si>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</si>
  <si>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</si>
  <si>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</si>
  <si>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</si>
  <si>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</si>
  <si>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</si>
  <si>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</si>
  <si>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</si>
  <si>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</si>
  <si>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</si>
  <si>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</si>
  <si>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</si>
  <si>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</si>
  <si>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</si>
  <si>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</si>
  <si>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</si>
  <si>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</si>
  <si>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</si>
  <si>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</si>
  <si>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</si>
  <si>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</si>
  <si>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</si>
  <si>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</si>
  <si>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</si>
  <si>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</si>
  <si>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</si>
  <si>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</si>
  <si>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</si>
  <si>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</si>
  <si>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</si>
  <si>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</si>
  <si>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</si>
  <si>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</si>
  <si>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</si>
  <si>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</si>
  <si>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</si>
  <si>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</si>
  <si>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</si>
  <si>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</si>
  <si>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</si>
  <si>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</si>
  <si>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</si>
  <si>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</si>
  <si>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</si>
  <si>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</si>
  <si>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</si>
  <si>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</si>
  <si>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</si>
  <si>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</si>
  <si>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</si>
  <si>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</si>
  <si>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</si>
  <si>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</si>
  <si>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</si>
  <si>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</si>
  <si>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</si>
  <si>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</si>
  <si>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</si>
  <si>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</si>
  <si>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</si>
  <si>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</si>
  <si>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</si>
  <si>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</si>
  <si>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</si>
  <si>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</si>
  <si>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</si>
  <si>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</si>
  <si>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</si>
  <si>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</si>
  <si>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</si>
  <si>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</si>
  <si>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</si>
  <si>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</si>
  <si>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</si>
  <si>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</si>
  <si>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</si>
  <si>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</si>
  <si>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</si>
  <si>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</si>
  <si>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</si>
  <si>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</si>
  <si>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</si>
  <si>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</si>
  <si>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</si>
  <si>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</si>
  <si>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</si>
  <si>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</si>
  <si>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</si>
  <si>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</si>
  <si>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</si>
  <si>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</si>
  <si>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</si>
  <si>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</si>
  <si>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</si>
  <si>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</si>
  <si>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</si>
  <si>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</si>
  <si>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</si>
  <si>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</si>
  <si>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</si>
  <si>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</si>
  <si>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</si>
  <si>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</si>
  <si>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</si>
  <si>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</si>
  <si>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</si>
  <si>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</si>
  <si>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</si>
  <si>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</si>
  <si>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</si>
  <si>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</si>
  <si>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</si>
  <si>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</si>
  <si>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</si>
  <si>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</si>
  <si>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</si>
  <si>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</si>
  <si>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</si>
  <si>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</si>
  <si>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</si>
  <si>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</si>
  <si>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</si>
  <si>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</si>
  <si>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</si>
  <si>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</si>
  <si>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</si>
  <si>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</si>
  <si>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</si>
  <si>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</si>
  <si>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</si>
  <si>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</si>
  <si>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</si>
  <si>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</si>
  <si>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</si>
  <si>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</si>
  <si>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</si>
  <si>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</si>
  <si>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</si>
  <si>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</si>
  <si>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</si>
  <si>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</si>
  <si>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</si>
  <si>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</si>
  <si>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</si>
  <si>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</si>
  <si>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</si>
  <si>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</si>
  <si>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</si>
  <si>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</si>
  <si>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</si>
  <si>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</si>
  <si>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</si>
  <si>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</si>
  <si>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</si>
  <si>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</si>
  <si>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</si>
  <si>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</si>
  <si>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</si>
  <si>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</si>
  <si>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</si>
  <si>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</si>
  <si>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</si>
  <si>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</si>
  <si>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</si>
  <si>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</si>
  <si>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</si>
  <si>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</si>
  <si>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</si>
  <si>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</si>
  <si>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</si>
  <si>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</si>
  <si>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</si>
  <si>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</si>
  <si>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</si>
  <si>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</si>
  <si>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</si>
  <si>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</si>
  <si>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</si>
  <si>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</si>
  <si>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</si>
  <si>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</si>
  <si>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</si>
  <si>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</si>
  <si>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</si>
  <si>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</si>
  <si>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</si>
  <si>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</si>
  <si>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</si>
  <si>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</si>
  <si>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</si>
  <si>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</si>
  <si>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</si>
  <si>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</si>
  <si>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</si>
  <si>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</si>
  <si>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</si>
  <si>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</si>
  <si>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</si>
  <si>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</si>
  <si>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</si>
  <si>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</si>
  <si>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</si>
  <si>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</si>
  <si>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</si>
  <si>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</si>
  <si>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</si>
  <si>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</si>
  <si>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</si>
  <si>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</si>
  <si>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</si>
  <si>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</si>
  <si>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</si>
  <si>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</si>
  <si>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</si>
  <si>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</si>
  <si>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</si>
  <si>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</si>
  <si>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</si>
  <si>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</si>
  <si>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</si>
  <si>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</si>
  <si>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</si>
  <si>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</si>
  <si>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</si>
  <si>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</si>
  <si>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</si>
  <si>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</si>
  <si>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</si>
  <si>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</si>
  <si>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</si>
  <si>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</si>
  <si>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</si>
  <si>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</si>
  <si>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</si>
  <si>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</si>
  <si>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</si>
  <si>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</si>
  <si>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</si>
  <si>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</si>
  <si>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</si>
  <si>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</si>
  <si>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</si>
  <si>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</si>
  <si>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</si>
  <si>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</si>
  <si>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</si>
  <si>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</si>
  <si>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</si>
  <si>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</si>
  <si>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</si>
  <si>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</si>
  <si>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</si>
  <si>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</si>
  <si>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</si>
  <si>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</si>
  <si>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</si>
  <si>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</si>
  <si>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</si>
  <si>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</si>
  <si>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</si>
  <si>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</si>
  <si>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</si>
  <si>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</si>
  <si>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</si>
  <si>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</si>
  <si>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</si>
  <si>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</si>
  <si>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</si>
  <si>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</si>
  <si>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</si>
  <si>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</si>
  <si>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</si>
  <si>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</si>
  <si>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</si>
  <si>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</si>
  <si>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</si>
  <si>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</si>
  <si>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</si>
  <si>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</si>
  <si>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</si>
  <si>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</si>
  <si>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</si>
  <si>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</si>
  <si>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</si>
  <si>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</si>
  <si>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</si>
  <si>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</si>
  <si>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</si>
  <si>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</si>
  <si>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</si>
  <si>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</si>
  <si>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</si>
  <si>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</si>
  <si>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</si>
  <si>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</si>
  <si>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</si>
  <si>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</si>
  <si>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</si>
  <si>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</si>
  <si>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</si>
  <si>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</si>
  <si>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</si>
  <si>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</si>
  <si>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</si>
  <si>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</si>
  <si>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</si>
  <si>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</si>
  <si>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</si>
  <si>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</si>
  <si>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</si>
  <si>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</si>
  <si>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</si>
  <si>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</si>
  <si>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</si>
  <si>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</si>
  <si>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</si>
  <si>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</si>
  <si>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</si>
  <si>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</si>
  <si>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</si>
  <si>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</si>
  <si>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</si>
  <si>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</si>
  <si>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</si>
  <si>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</si>
  <si>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</si>
  <si>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</si>
  <si>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</si>
  <si>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</si>
  <si>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</si>
  <si>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</si>
  <si>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</si>
  <si>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</si>
  <si>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</si>
  <si>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</si>
  <si>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</si>
  <si>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</si>
  <si>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</si>
  <si>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</si>
  <si>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</si>
  <si>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</si>
  <si>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</si>
  <si>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</si>
  <si>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</si>
  <si>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</si>
  <si>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</si>
  <si>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</si>
  <si>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</si>
  <si>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</si>
  <si>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</si>
  <si>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</si>
  <si>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</si>
  <si>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</si>
  <si>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</si>
  <si>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</si>
  <si>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</si>
  <si>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</si>
  <si>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</si>
  <si>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</si>
  <si>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</si>
  <si>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</si>
  <si>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</si>
  <si>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</si>
  <si>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</si>
  <si>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</si>
  <si>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</si>
  <si>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</si>
  <si>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</si>
  <si>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</si>
  <si>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</si>
  <si>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</si>
  <si>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</si>
  <si>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</si>
  <si>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</si>
  <si>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</si>
  <si>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</si>
  <si>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</si>
  <si>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</si>
  <si>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</si>
  <si>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</si>
  <si>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</si>
  <si>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</si>
  <si>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</si>
  <si>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</si>
  <si>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</si>
  <si>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</si>
  <si>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</si>
  <si>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</si>
  <si>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</si>
  <si>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</si>
  <si>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</si>
  <si>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</si>
  <si>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</si>
  <si>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</si>
  <si>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</si>
  <si>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</si>
  <si>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</si>
  <si>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</si>
  <si>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</si>
  <si>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</si>
  <si>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</si>
  <si>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</si>
  <si>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</si>
  <si>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</si>
  <si>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</si>
  <si>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</si>
  <si>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</si>
  <si>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</si>
  <si>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</si>
  <si>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</si>
  <si>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</si>
  <si>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</si>
  <si>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</si>
  <si>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</si>
  <si>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</si>
  <si>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</si>
  <si>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</si>
  <si>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</si>
  <si>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</si>
  <si>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</si>
  <si>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</si>
  <si>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</si>
  <si>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</si>
  <si>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</si>
  <si>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</si>
  <si>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</si>
  <si>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</si>
  <si>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</si>
  <si>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</si>
  <si>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</si>
  <si>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</si>
  <si>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</si>
  <si>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</si>
  <si>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</si>
  <si>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</si>
  <si>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</si>
  <si>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</si>
  <si>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</si>
  <si>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</si>
  <si>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</si>
  <si>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</si>
  <si>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</si>
  <si>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</si>
  <si>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</si>
  <si>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</si>
  <si>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</si>
  <si>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</si>
  <si>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</si>
  <si>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</si>
  <si>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</si>
  <si>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</si>
  <si>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</si>
  <si>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</si>
  <si>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</si>
  <si>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</si>
  <si>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</si>
  <si>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</si>
  <si>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</si>
  <si>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</si>
  <si>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</si>
  <si>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</si>
  <si>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</si>
  <si>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</si>
  <si>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</si>
  <si>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</si>
  <si>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</si>
  <si>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</si>
  <si>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</si>
  <si>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</si>
  <si>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</si>
  <si>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</si>
  <si>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</si>
  <si>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</si>
  <si>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</si>
  <si>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</si>
  <si>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</si>
  <si>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</si>
  <si>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</si>
  <si>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</si>
  <si>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</si>
  <si>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</si>
  <si>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</si>
  <si>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</si>
  <si>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</si>
  <si>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</si>
  <si>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</si>
  <si>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</si>
  <si>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</si>
  <si>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</si>
  <si>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</si>
  <si>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</si>
  <si>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</si>
  <si>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</si>
  <si>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</si>
  <si>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</si>
  <si>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</si>
  <si>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</si>
  <si>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</si>
  <si>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</si>
  <si>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</si>
  <si>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</si>
  <si>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</si>
  <si>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</si>
  <si>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</si>
  <si>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</si>
  <si>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</si>
  <si>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</si>
  <si>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</si>
  <si>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</si>
  <si>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</si>
  <si>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</si>
  <si>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</si>
  <si>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</si>
  <si>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</si>
  <si>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</si>
  <si>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</si>
  <si>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</si>
  <si>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</si>
  <si>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</si>
  <si>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</si>
  <si>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</si>
  <si>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</si>
  <si>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</si>
  <si>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</si>
  <si>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</si>
  <si>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</si>
  <si>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</si>
  <si>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</si>
  <si>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</si>
  <si>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</si>
  <si>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</si>
  <si>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</si>
  <si>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</si>
  <si>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</si>
  <si>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</si>
  <si>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</si>
  <si>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</si>
  <si>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</si>
  <si>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</si>
  <si>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</si>
  <si>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</si>
  <si>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</si>
  <si>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</si>
  <si>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</si>
  <si>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</si>
  <si>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</si>
  <si>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</si>
  <si>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</si>
  <si>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</si>
  <si>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</si>
  <si>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</si>
  <si>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</si>
  <si>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</si>
  <si>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</si>
  <si>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</si>
  <si>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</si>
  <si>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</si>
  <si>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</si>
  <si>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</si>
  <si>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</si>
  <si>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</si>
  <si>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</si>
  <si>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</si>
  <si>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</si>
  <si>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</si>
  <si>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</si>
  <si>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</si>
  <si>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</si>
  <si>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</si>
  <si>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</si>
  <si>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</si>
  <si>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</si>
  <si>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</si>
  <si>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</si>
  <si>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</si>
  <si>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</si>
  <si>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</si>
  <si>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</si>
  <si>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</si>
  <si>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</si>
  <si>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</si>
  <si>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</si>
  <si>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</si>
  <si>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</si>
  <si>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</si>
  <si>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</si>
  <si>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</si>
  <si>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</si>
  <si>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</si>
  <si>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</si>
  <si>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</si>
  <si>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</si>
  <si>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</si>
  <si>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</si>
  <si>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</si>
  <si>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</si>
  <si>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</si>
  <si>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</si>
  <si>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</si>
  <si>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</si>
  <si>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</si>
  <si>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</si>
  <si>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</si>
  <si>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</si>
  <si>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</si>
  <si>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</si>
  <si>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</si>
  <si>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</si>
  <si>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</si>
  <si>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</si>
  <si>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</si>
  <si>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</si>
  <si>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</si>
  <si>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</si>
  <si>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</si>
  <si>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</si>
  <si>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</si>
  <si>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</si>
  <si>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</si>
  <si>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</si>
  <si>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</si>
  <si>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</si>
  <si>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</si>
  <si>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</si>
  <si>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</si>
  <si>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</si>
  <si>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</si>
  <si>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</si>
  <si>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</si>
  <si>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</si>
  <si>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</si>
  <si>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</si>
  <si>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</si>
  <si>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</si>
  <si>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</si>
  <si>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</si>
  <si>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</si>
  <si>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</si>
  <si>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</si>
  <si>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</si>
  <si>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</si>
  <si>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</si>
  <si>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</si>
  <si>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</si>
  <si>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</si>
  <si>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</si>
  <si>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</si>
  <si>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</si>
  <si>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</si>
  <si>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</si>
  <si>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</si>
  <si>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</si>
  <si>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</si>
  <si>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</si>
  <si>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</si>
  <si>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</si>
  <si>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</si>
  <si>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</si>
  <si>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</si>
  <si>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</si>
  <si>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</si>
  <si>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</si>
  <si>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</si>
  <si>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</si>
  <si>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</si>
  <si>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</si>
  <si>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</si>
  <si>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</si>
  <si>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</si>
  <si>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</si>
  <si>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</si>
  <si>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</si>
  <si>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</si>
  <si>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</si>
  <si>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</si>
  <si>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</si>
  <si>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</si>
  <si>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</si>
  <si>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</si>
  <si>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</si>
  <si>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</si>
  <si>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</si>
  <si>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</si>
  <si>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</si>
  <si>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</si>
  <si>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</si>
  <si>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</si>
  <si>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</si>
  <si>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</si>
  <si>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</si>
  <si>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</si>
  <si>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</si>
  <si>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</si>
  <si>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</si>
  <si>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</si>
  <si>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</si>
  <si>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</si>
  <si>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</si>
  <si>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</si>
  <si>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</si>
  <si>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</si>
  <si>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</si>
  <si>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</si>
  <si>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</si>
  <si>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</si>
  <si>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</si>
  <si>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</si>
  <si>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</si>
  <si>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</si>
  <si>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</si>
  <si>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</si>
  <si>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</si>
  <si>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</si>
  <si>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</si>
  <si>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</si>
  <si>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</si>
  <si>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</si>
  <si>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</si>
  <si>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</si>
  <si>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</si>
  <si>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</si>
  <si>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</si>
  <si>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</si>
  <si>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</si>
  <si>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</si>
  <si>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</si>
  <si>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</si>
  <si>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</si>
  <si>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</si>
  <si>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</si>
  <si>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</si>
  <si>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</si>
  <si>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</si>
  <si>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</si>
  <si>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</si>
  <si>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</si>
  <si>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</si>
  <si>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</si>
  <si>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</si>
  <si>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</si>
  <si>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</si>
  <si>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</si>
  <si>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</si>
  <si>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</si>
  <si>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</si>
  <si>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</si>
  <si>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</si>
  <si>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</si>
  <si>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</si>
  <si>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</si>
  <si>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</si>
  <si>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</si>
  <si>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</si>
  <si>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</si>
  <si>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</si>
  <si>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</si>
  <si>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</si>
  <si>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</si>
  <si>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</si>
  <si>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</si>
  <si>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</si>
  <si>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</si>
  <si>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</si>
  <si>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</si>
  <si>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</si>
  <si>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</si>
  <si>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</si>
  <si>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</si>
  <si>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</si>
  <si>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</si>
  <si>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</si>
  <si>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</si>
  <si>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</si>
  <si>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</si>
  <si>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</si>
  <si>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</si>
  <si>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</si>
  <si>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</si>
  <si>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</si>
  <si>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</si>
  <si>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</si>
  <si>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</si>
  <si>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</si>
  <si>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</si>
  <si>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</si>
  <si>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</si>
  <si>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</si>
  <si>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</si>
  <si>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</si>
  <si>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</si>
  <si>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</si>
  <si>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</si>
  <si>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</si>
  <si>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</si>
  <si>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</si>
  <si>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</si>
  <si>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</si>
  <si>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</si>
  <si>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</si>
  <si>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</si>
  <si>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</si>
  <si>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</si>
  <si>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</si>
  <si>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</si>
  <si>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</si>
  <si>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</si>
  <si>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</si>
  <si>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</si>
  <si>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</si>
  <si>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</si>
  <si>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</si>
  <si>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</si>
  <si>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</si>
  <si>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</si>
  <si>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</si>
  <si>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</si>
  <si>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</si>
  <si>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</si>
  <si>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</si>
  <si>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</si>
  <si>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</si>
  <si>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</si>
  <si>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</si>
  <si>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</si>
  <si>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</si>
  <si>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</si>
  <si>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</si>
  <si>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</si>
  <si>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</si>
  <si>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</si>
  <si>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</si>
  <si>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</si>
  <si>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</si>
  <si>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</si>
  <si>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</si>
  <si>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</si>
  <si>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</si>
  <si>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</si>
  <si>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</si>
  <si>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</si>
  <si>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</si>
  <si>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</si>
  <si>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</si>
  <si>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</si>
  <si>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</si>
  <si>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</si>
  <si>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</si>
  <si>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</si>
  <si>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</si>
  <si>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</si>
  <si>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</si>
  <si>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</si>
  <si>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</si>
  <si>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</si>
  <si>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</si>
  <si>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</si>
  <si>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</si>
  <si>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</si>
  <si>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</si>
  <si>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</si>
  <si>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</si>
  <si>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</si>
  <si>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</si>
  <si>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</si>
  <si>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</si>
  <si>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</si>
  <si>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</si>
  <si>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</si>
  <si>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</si>
  <si>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</si>
  <si>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</si>
  <si>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</si>
  <si>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</si>
  <si>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</si>
  <si>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</si>
  <si>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</si>
  <si>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</si>
  <si>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</si>
  <si>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</si>
  <si>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</si>
  <si>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</si>
  <si>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</si>
  <si>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</si>
  <si>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</si>
  <si>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</si>
  <si>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</si>
  <si>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</si>
  <si>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</si>
  <si>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</si>
  <si>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</si>
  <si>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</si>
  <si>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</si>
  <si>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</si>
  <si>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</si>
  <si>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</si>
  <si>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</si>
  <si>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</si>
  <si>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</si>
  <si>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</si>
  <si>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</si>
  <si>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</si>
  <si>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</si>
  <si>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</si>
  <si>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</si>
  <si>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</si>
  <si>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</si>
  <si>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</si>
  <si>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</si>
  <si>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</si>
  <si>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</si>
  <si>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</si>
  <si>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</si>
  <si>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</si>
  <si>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</si>
  <si>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</si>
  <si>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</si>
  <si>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</si>
  <si>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</si>
  <si>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</si>
  <si>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</si>
  <si>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</si>
  <si>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</si>
  <si>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</si>
  <si>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</si>
  <si>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</si>
  <si>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</si>
  <si>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</si>
  <si>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</si>
  <si>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</si>
  <si>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</si>
  <si>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</si>
  <si>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</si>
  <si>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</si>
  <si>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</si>
  <si>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</si>
  <si>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</si>
  <si>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</si>
  <si>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</si>
  <si>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</si>
  <si>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</si>
  <si>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</si>
  <si>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</si>
  <si>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</si>
  <si>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</si>
  <si>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</si>
  <si>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</si>
  <si>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</si>
  <si>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</si>
  <si>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</si>
  <si>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</si>
  <si>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</si>
  <si>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</si>
  <si>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</si>
  <si>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</si>
  <si>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</si>
  <si>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</si>
  <si>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</si>
  <si>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</si>
  <si>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</si>
  <si>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</si>
  <si>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</si>
  <si>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</si>
  <si>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</si>
  <si>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</si>
  <si>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</si>
  <si>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</si>
  <si>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network_certificates</t>
  </si>
  <si>
    <t>service_networks</t>
  </si>
  <si>
    <t>mdi:certificate</t>
  </si>
  <si>
    <t>mdi:credit-card-wireless</t>
  </si>
  <si>
    <t>mdi:turbine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</si>
</sst>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AB329" zoomScale="121" zoomScaleNormal="120" workbookViewId="0">
      <selection activeCell="AE350" sqref="AE35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1499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1501</v>
      </c>
      <c r="BD26" s="30" t="s">
        <v>1502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1499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1500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1500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1500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1500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1500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1500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1500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1500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1500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1500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1500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1500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1500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1500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1504</v>
      </c>
      <c r="D282" s="30" t="s">
        <v>133</v>
      </c>
      <c r="E282" s="30" t="s">
        <v>1505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1506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1508</v>
      </c>
      <c r="AF282" s="30">
        <f t="shared" ref="AF282:AF287" si="0">15*60</f>
        <v>900</v>
      </c>
      <c r="AG282" s="31" t="s">
        <v>34</v>
      </c>
      <c r="AH282" s="31"/>
      <c r="AI282" s="30" t="s">
        <v>1509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1510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1504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1504</v>
      </c>
      <c r="D283" s="30" t="s">
        <v>133</v>
      </c>
      <c r="E283" s="30" t="s">
        <v>1512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1506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1515</v>
      </c>
      <c r="AF283" s="30">
        <f t="shared" si="0"/>
        <v>900</v>
      </c>
      <c r="AG283" s="31" t="s">
        <v>34</v>
      </c>
      <c r="AH283" s="31"/>
      <c r="AI283" s="30" t="s">
        <v>1509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1510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1504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1504</v>
      </c>
      <c r="D284" s="30" t="s">
        <v>133</v>
      </c>
      <c r="E284" s="30" t="s">
        <v>1513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1506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1521</v>
      </c>
      <c r="AF284" s="30">
        <f t="shared" si="0"/>
        <v>900</v>
      </c>
      <c r="AG284" s="31" t="s">
        <v>34</v>
      </c>
      <c r="AH284" s="31"/>
      <c r="AI284" s="30" t="s">
        <v>1509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1510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1504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1504</v>
      </c>
      <c r="D285" s="30" t="s">
        <v>133</v>
      </c>
      <c r="E285" s="30" t="s">
        <v>1514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1506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1516</v>
      </c>
      <c r="AF285" s="30">
        <f t="shared" si="0"/>
        <v>900</v>
      </c>
      <c r="AG285" s="31" t="s">
        <v>34</v>
      </c>
      <c r="AH285" s="31"/>
      <c r="AI285" s="30" t="s">
        <v>1509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1510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1504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1504</v>
      </c>
      <c r="D286" s="30" t="s">
        <v>133</v>
      </c>
      <c r="E286" s="30" t="s">
        <v>1511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1506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1517</v>
      </c>
      <c r="AF286" s="30">
        <f t="shared" si="0"/>
        <v>900</v>
      </c>
      <c r="AG286" s="31" t="s">
        <v>34</v>
      </c>
      <c r="AH286" s="31"/>
      <c r="AI286" s="30" t="s">
        <v>1509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1510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1504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1504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Certificates</v>
      </c>
      <c r="G287" s="30" t="str">
        <f>TRIM(RIGHT(SUBSTITUTE(TRIM(F287)," ",REPT(" ",100)),100))</f>
        <v>Certificates</v>
      </c>
      <c r="H287" s="30" t="s">
        <v>1506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1520</v>
      </c>
      <c r="AF287" s="30">
        <f t="shared" si="0"/>
        <v>900</v>
      </c>
      <c r="AG287" s="31" t="s">
        <v>34</v>
      </c>
      <c r="AH287" s="31"/>
      <c r="AI287" s="30" t="s">
        <v>1509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30" t="str">
        <f>IF(ISBLANK(Table2[[#This Row],[index]]),  "", _xlfn.CONCAT(LOWER(Table2[[#This Row],[device_via_device]]), "/status"))</f>
        <v>networks/status</v>
      </c>
      <c r="AR287" s="30" t="s">
        <v>1510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1504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149</v>
      </c>
      <c r="D288" s="30" t="s">
        <v>587</v>
      </c>
      <c r="E288" s="30" t="s">
        <v>1278</v>
      </c>
      <c r="F288" s="36" t="str">
        <f>IF(ISBLANK(Table2[[#This Row],[unique_id]]), "", PROPER(SUBSTITUTE(Table2[[#This Row],[unique_id]], "_", " ")))</f>
        <v>Google Assistant Synchronize Devices</v>
      </c>
      <c r="G288" s="30" t="s">
        <v>1150</v>
      </c>
      <c r="H288" s="30" t="s">
        <v>588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422</v>
      </c>
      <c r="D289" s="30" t="s">
        <v>315</v>
      </c>
      <c r="E289" s="30" t="s">
        <v>314</v>
      </c>
      <c r="F289" s="36" t="str">
        <f>IF(ISBLANK(Table2[[#This Row],[unique_id]]), "", PROPER(SUBSTITUTE(Table2[[#This Row],[unique_id]], "_", " ")))</f>
        <v>Column Break</v>
      </c>
      <c r="G289" s="30" t="s">
        <v>311</v>
      </c>
      <c r="H289" s="30" t="s">
        <v>588</v>
      </c>
      <c r="I289" s="30" t="s">
        <v>273</v>
      </c>
      <c r="M289" s="30" t="s">
        <v>312</v>
      </c>
      <c r="N289" s="30" t="s">
        <v>313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1151</v>
      </c>
      <c r="D290" s="30" t="s">
        <v>133</v>
      </c>
      <c r="E290" s="30" t="s">
        <v>1466</v>
      </c>
      <c r="F290" s="30" t="str">
        <f>IF(ISBLANK(Table2[[#This Row],[unique_id]]), "", PROPER(SUBSTITUTE(Table2[[#This Row],[unique_id]], "_", " ")))</f>
        <v>Service Plex</v>
      </c>
      <c r="G290" s="30" t="s">
        <v>1152</v>
      </c>
      <c r="H290" s="30" t="s">
        <v>1507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1498</v>
      </c>
      <c r="AF290" s="30">
        <v>6</v>
      </c>
      <c r="AG290" s="31" t="s">
        <v>34</v>
      </c>
      <c r="AH290" s="31"/>
      <c r="AI290" s="30" t="s">
        <v>1429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1497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1151</v>
      </c>
      <c r="BC290" s="30" t="s">
        <v>1464</v>
      </c>
      <c r="BD290" s="30" t="s">
        <v>1083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1467</v>
      </c>
      <c r="F291" s="30" t="str">
        <f>IF(ISBLANK(Table2[[#This Row],[unique_id]]), "", PROPER(SUBSTITUTE(Table2[[#This Row],[unique_id]], "_", " ")))</f>
        <v>Service Sabnzbd</v>
      </c>
      <c r="G291" s="30" t="s">
        <v>1489</v>
      </c>
      <c r="H291" s="30" t="s">
        <v>1507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1498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1497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1468</v>
      </c>
      <c r="F292" s="30" t="str">
        <f>IF(ISBLANK(Table2[[#This Row],[unique_id]]), "", PROPER(SUBSTITUTE(Table2[[#This Row],[unique_id]], "_", " ")))</f>
        <v>Service Influxdb3</v>
      </c>
      <c r="G292" s="30" t="s">
        <v>1488</v>
      </c>
      <c r="H292" s="30" t="s">
        <v>1507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1498</v>
      </c>
      <c r="AF292" s="30">
        <v>6</v>
      </c>
      <c r="AG292" s="31" t="s">
        <v>34</v>
      </c>
      <c r="AH292" s="31"/>
      <c r="AI292" s="30" t="s">
        <v>1430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2" s="30" t="str">
        <f>IF(ISBLANK(Table2[[#This Row],[index]]),  "", _xlfn.CONCAT("supervisor/", Table2[[#This Row],[unique_id_device]], "/status"))</f>
        <v>supervisor/macmini-max/status</v>
      </c>
      <c r="AR292" s="30" t="s">
        <v>1497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1469</v>
      </c>
      <c r="F293" s="30" t="str">
        <f>IF(ISBLANK(Table2[[#This Row],[unique_id]]), "", PROPER(SUBSTITUTE(Table2[[#This Row],[unique_id]], "_", " ")))</f>
        <v>Service Mlflow</v>
      </c>
      <c r="G293" s="30" t="s">
        <v>1490</v>
      </c>
      <c r="H293" s="30" t="s">
        <v>1507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1498</v>
      </c>
      <c r="AF293" s="30">
        <v>6</v>
      </c>
      <c r="AG293" s="31" t="s">
        <v>34</v>
      </c>
      <c r="AH293" s="31"/>
      <c r="AI293" s="30" t="s">
        <v>1430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3" s="30" t="str">
        <f>IF(ISBLANK(Table2[[#This Row],[index]]),  "", _xlfn.CONCAT("supervisor/", Table2[[#This Row],[unique_id_device]], "/status"))</f>
        <v>supervisor/macmini-max/status</v>
      </c>
      <c r="AR293" s="30" t="s">
        <v>1497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1470</v>
      </c>
      <c r="F294" s="30" t="str">
        <f>IF(ISBLANK(Table2[[#This Row],[unique_id]]), "", PROPER(SUBSTITUTE(Table2[[#This Row],[unique_id]], "_", " ")))</f>
        <v>Service Mlserver</v>
      </c>
      <c r="G294" s="30" t="s">
        <v>1491</v>
      </c>
      <c r="H294" s="30" t="s">
        <v>1507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1498</v>
      </c>
      <c r="AF294" s="30">
        <v>6</v>
      </c>
      <c r="AG294" s="31" t="s">
        <v>34</v>
      </c>
      <c r="AH294" s="31"/>
      <c r="AI294" s="30" t="s">
        <v>1430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4" s="30" t="str">
        <f>IF(ISBLANK(Table2[[#This Row],[index]]),  "", _xlfn.CONCAT("supervisor/", Table2[[#This Row],[unique_id_device]], "/status"))</f>
        <v>supervisor/macmini-max/status</v>
      </c>
      <c r="AR294" s="30" t="s">
        <v>1497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1471</v>
      </c>
      <c r="F295" s="30" t="str">
        <f>IF(ISBLANK(Table2[[#This Row],[unique_id]]), "", PROPER(SUBSTITUTE(Table2[[#This Row],[unique_id]], "_", " ")))</f>
        <v>Service Openra</v>
      </c>
      <c r="G295" s="30" t="s">
        <v>1492</v>
      </c>
      <c r="H295" s="30" t="s">
        <v>1507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1498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1497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561</v>
      </c>
      <c r="C296" s="30" t="s">
        <v>1151</v>
      </c>
      <c r="D296" s="30" t="s">
        <v>133</v>
      </c>
      <c r="E296" s="30" t="s">
        <v>1472</v>
      </c>
      <c r="F296" s="30" t="str">
        <f>IF(ISBLANK(Table2[[#This Row],[unique_id]]), "", PROPER(SUBSTITUTE(Table2[[#This Row],[unique_id]], "_", " ")))</f>
        <v>Service Rhasspy</v>
      </c>
      <c r="G296" s="30" t="s">
        <v>1485</v>
      </c>
      <c r="H296" s="30" t="s">
        <v>1507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1498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1497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1503</v>
      </c>
      <c r="F297" s="30" t="str">
        <f>IF(ISBLANK(Table2[[#This Row],[unique_id]]), "", PROPER(SUBSTITUTE(Table2[[#This Row],[unique_id]], "_", " ")))</f>
        <v>Service Tempstat</v>
      </c>
      <c r="G297" s="30" t="s">
        <v>1499</v>
      </c>
      <c r="H297" s="30" t="s">
        <v>1507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1498</v>
      </c>
      <c r="AF297" s="30">
        <v>6</v>
      </c>
      <c r="AG297" s="31" t="s">
        <v>34</v>
      </c>
      <c r="AH297" s="31"/>
      <c r="AI297" s="30" t="s">
        <v>1394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297" s="30" t="str">
        <f>IF(ISBLANK(Table2[[#This Row],[index]]),  "", _xlfn.CONCAT("supervisor/", Table2[[#This Row],[unique_id_device]], "/status"))</f>
        <v>supervisor/macmini-may/status</v>
      </c>
      <c r="AR297" s="30" t="s">
        <v>1497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1473</v>
      </c>
      <c r="F298" s="30" t="str">
        <f>IF(ISBLANK(Table2[[#This Row],[unique_id]]), "", PROPER(SUBSTITUTE(Table2[[#This Row],[unique_id]], "_", " ")))</f>
        <v>Service Grafana</v>
      </c>
      <c r="G298" s="30" t="s">
        <v>1153</v>
      </c>
      <c r="H298" s="30" t="s">
        <v>1507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1498</v>
      </c>
      <c r="AF298" s="30">
        <v>6</v>
      </c>
      <c r="AG298" s="31" t="s">
        <v>34</v>
      </c>
      <c r="AH298" s="31"/>
      <c r="AI298" s="30" t="s">
        <v>1394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8" s="30" t="str">
        <f>IF(ISBLANK(Table2[[#This Row],[index]]),  "", _xlfn.CONCAT("supervisor/", Table2[[#This Row],[unique_id_device]], "/status"))</f>
        <v>supervisor/macmini-may/status</v>
      </c>
      <c r="AR298" s="30" t="s">
        <v>1497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1474</v>
      </c>
      <c r="F299" s="30" t="str">
        <f>IF(ISBLANK(Table2[[#This Row],[unique_id]]), "", PROPER(SUBSTITUTE(Table2[[#This Row],[unique_id]], "_", " ")))</f>
        <v>Service Influxdb</v>
      </c>
      <c r="G299" s="30" t="s">
        <v>1488</v>
      </c>
      <c r="H299" s="30" t="s">
        <v>1507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1498</v>
      </c>
      <c r="AF299" s="30">
        <v>6</v>
      </c>
      <c r="AG299" s="31" t="s">
        <v>34</v>
      </c>
      <c r="AH299" s="31"/>
      <c r="AI299" s="30" t="s">
        <v>1394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299" s="30" t="str">
        <f>IF(ISBLANK(Table2[[#This Row],[index]]),  "", _xlfn.CONCAT("supervisor/", Table2[[#This Row],[unique_id_device]], "/status"))</f>
        <v>supervisor/macmini-may/status</v>
      </c>
      <c r="AR299" s="30" t="s">
        <v>1497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1475</v>
      </c>
      <c r="F300" s="30" t="str">
        <f>IF(ISBLANK(Table2[[#This Row],[unique_id]]), "", PROPER(SUBSTITUTE(Table2[[#This Row],[unique_id]], "_", " ")))</f>
        <v>Service Letsencrypt</v>
      </c>
      <c r="G300" s="30" t="s">
        <v>1493</v>
      </c>
      <c r="H300" s="30" t="s">
        <v>1507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1498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1497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1476</v>
      </c>
      <c r="F301" s="30" t="str">
        <f>IF(ISBLANK(Table2[[#This Row],[unique_id]]), "", PROPER(SUBSTITUTE(Table2[[#This Row],[unique_id]], "_", " ")))</f>
        <v>Service Sonarr</v>
      </c>
      <c r="G301" s="30" t="s">
        <v>1486</v>
      </c>
      <c r="H301" s="30" t="s">
        <v>1507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1498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1497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1477</v>
      </c>
      <c r="F302" s="30" t="str">
        <f>IF(ISBLANK(Table2[[#This Row],[unique_id]]), "", PROPER(SUBSTITUTE(Table2[[#This Row],[unique_id]], "_", " ")))</f>
        <v>Service Unpoller</v>
      </c>
      <c r="G302" s="30" t="s">
        <v>1487</v>
      </c>
      <c r="H302" s="30" t="s">
        <v>1507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1498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1497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1478</v>
      </c>
      <c r="F303" s="30" t="str">
        <f>IF(ISBLANK(Table2[[#This Row],[unique_id]]), "", PROPER(SUBSTITUTE(Table2[[#This Row],[unique_id]], "_", " ")))</f>
        <v>Service Wrangle</v>
      </c>
      <c r="G303" s="30" t="s">
        <v>1154</v>
      </c>
      <c r="H303" s="30" t="s">
        <v>1507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1498</v>
      </c>
      <c r="AF303" s="30">
        <v>6</v>
      </c>
      <c r="AG303" s="31" t="s">
        <v>34</v>
      </c>
      <c r="AH303" s="31"/>
      <c r="AI303" s="30" t="s">
        <v>1429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3" s="30" t="str">
        <f>IF(ISBLANK(Table2[[#This Row],[index]]),  "", _xlfn.CONCAT("supervisor/", Table2[[#This Row],[unique_id_device]], "/status"))</f>
        <v>supervisor/macmini-mad/status</v>
      </c>
      <c r="AR303" s="30" t="s">
        <v>1497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1507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1498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1497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1519</v>
      </c>
      <c r="F305" s="30" t="str">
        <f>IF(ISBLANK(Table2[[#This Row],[unique_id]]), "", PROPER(SUBSTITUTE(Table2[[#This Row],[unique_id]], "_", " ")))</f>
        <v>Service Networks</v>
      </c>
      <c r="G305" s="30" t="s">
        <v>1504</v>
      </c>
      <c r="H305" s="30" t="s">
        <v>1507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1498</v>
      </c>
      <c r="AF305" s="30">
        <v>6</v>
      </c>
      <c r="AG305" s="31" t="s">
        <v>34</v>
      </c>
      <c r="AH305" s="31"/>
      <c r="AI305" s="30" t="s">
        <v>1430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1497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1479</v>
      </c>
      <c r="F306" s="30" t="str">
        <f>IF(ISBLANK(Table2[[#This Row],[unique_id]]), "", PROPER(SUBSTITUTE(Table2[[#This Row],[unique_id]], "_", " ")))</f>
        <v>Service Mariadb</v>
      </c>
      <c r="G306" s="30" t="s">
        <v>1494</v>
      </c>
      <c r="H306" s="30" t="s">
        <v>1507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1498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1497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1480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1507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1498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1497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1481</v>
      </c>
      <c r="F308" s="30" t="str">
        <f>IF(ISBLANK(Table2[[#This Row],[unique_id]]), "", PROPER(SUBSTITUTE(Table2[[#This Row],[unique_id]], "_", " ")))</f>
        <v>Service Postgres</v>
      </c>
      <c r="G308" s="30" t="s">
        <v>1156</v>
      </c>
      <c r="H308" s="30" t="s">
        <v>1507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1498</v>
      </c>
      <c r="AF308" s="30">
        <v>6</v>
      </c>
      <c r="AG308" s="31" t="s">
        <v>34</v>
      </c>
      <c r="AH308" s="31"/>
      <c r="AI308" s="30" t="s">
        <v>1429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08" s="30" t="str">
        <f>IF(ISBLANK(Table2[[#This Row],[index]]),  "", _xlfn.CONCAT("supervisor/", Table2[[#This Row],[unique_id_device]], "/status"))</f>
        <v>supervisor/macmini-mad/status</v>
      </c>
      <c r="AR308" s="30" t="s">
        <v>1497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1482</v>
      </c>
      <c r="F309" s="30" t="str">
        <f>IF(ISBLANK(Table2[[#This Row],[unique_id]]), "", PROPER(SUBSTITUTE(Table2[[#This Row],[unique_id]], "_", " ")))</f>
        <v>Service Vernemq</v>
      </c>
      <c r="G309" s="30" t="s">
        <v>1495</v>
      </c>
      <c r="H309" s="30" t="s">
        <v>1507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1498</v>
      </c>
      <c r="AF309" s="30">
        <v>6</v>
      </c>
      <c r="AG309" s="31" t="s">
        <v>34</v>
      </c>
      <c r="AH309" s="31"/>
      <c r="AI309" s="30" t="s">
        <v>1102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1497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1483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1507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1498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1497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1151</v>
      </c>
      <c r="D311" s="30" t="s">
        <v>133</v>
      </c>
      <c r="E311" s="30" t="s">
        <v>1484</v>
      </c>
      <c r="F311" s="30" t="str">
        <f>IF(ISBLANK(Table2[[#This Row],[unique_id]]), "", PROPER(SUBSTITUTE(Table2[[#This Row],[unique_id]], "_", " ")))</f>
        <v>Service Zigbee2Mqtt</v>
      </c>
      <c r="G311" s="30" t="s">
        <v>1496</v>
      </c>
      <c r="H311" s="30" t="s">
        <v>1507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1498</v>
      </c>
      <c r="AF311" s="30">
        <v>6</v>
      </c>
      <c r="AG311" s="31" t="s">
        <v>34</v>
      </c>
      <c r="AH311" s="31"/>
      <c r="AI311" s="30" t="s">
        <v>1397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1497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1151</v>
      </c>
      <c r="BC311" s="30" t="s">
        <v>1464</v>
      </c>
      <c r="BD311" s="30" t="s">
        <v>1083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1507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1162</v>
      </c>
      <c r="D313" s="30" t="s">
        <v>27</v>
      </c>
      <c r="E313" s="30" t="s">
        <v>1168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1163</v>
      </c>
      <c r="H313" s="30" t="s">
        <v>1165</v>
      </c>
      <c r="I313" s="30" t="s">
        <v>273</v>
      </c>
      <c r="K313" s="30" t="s">
        <v>1133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1499</v>
      </c>
      <c r="D314" s="30" t="s">
        <v>27</v>
      </c>
      <c r="E314" s="30" t="s">
        <v>1080</v>
      </c>
      <c r="F314" s="36" t="str">
        <f>IF(ISBLANK(Table2[[#This Row],[unique_id]]), "", PROPER(SUBSTITUTE(Table2[[#This Row],[unique_id]], "_", " ")))</f>
        <v>Rack Top Temperature</v>
      </c>
      <c r="G314" s="30" t="s">
        <v>1082</v>
      </c>
      <c r="H314" s="30" t="s">
        <v>1165</v>
      </c>
      <c r="I314" s="30" t="s">
        <v>273</v>
      </c>
      <c r="K314" s="30" t="s">
        <v>1125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1501</v>
      </c>
      <c r="BD314" s="30" t="s">
        <v>1502</v>
      </c>
      <c r="BF314" s="30" t="s">
        <v>955</v>
      </c>
      <c r="BG314" s="30" t="s">
        <v>28</v>
      </c>
      <c r="BL314" s="30" t="s">
        <v>1101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1499</v>
      </c>
      <c r="D315" s="30" t="s">
        <v>27</v>
      </c>
      <c r="E315" s="30" t="s">
        <v>1125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1082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1499</v>
      </c>
      <c r="D316" s="30" t="s">
        <v>27</v>
      </c>
      <c r="E316" s="30" t="s">
        <v>1081</v>
      </c>
      <c r="F316" s="36" t="str">
        <f>IF(ISBLANK(Table2[[#This Row],[unique_id]]), "", PROPER(SUBSTITUTE(Table2[[#This Row],[unique_id]], "_", " ")))</f>
        <v>Rack Bottom Temperature</v>
      </c>
      <c r="G316" s="30" t="s">
        <v>1084</v>
      </c>
      <c r="H316" s="30" t="s">
        <v>1165</v>
      </c>
      <c r="I316" s="30" t="s">
        <v>273</v>
      </c>
      <c r="K316" s="30" t="s">
        <v>1126</v>
      </c>
      <c r="O316" s="31"/>
      <c r="P316" s="30"/>
      <c r="T316" s="37"/>
      <c r="U316" s="30"/>
      <c r="V316" s="31" t="s">
        <v>1145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1501</v>
      </c>
      <c r="BD316" s="30" t="s">
        <v>1502</v>
      </c>
      <c r="BF316" s="30" t="s">
        <v>955</v>
      </c>
      <c r="BG316" s="30" t="s">
        <v>28</v>
      </c>
      <c r="BL316" s="30" t="s">
        <v>1100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1499</v>
      </c>
      <c r="D317" s="30" t="s">
        <v>27</v>
      </c>
      <c r="E317" s="30" t="s">
        <v>1126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1084</v>
      </c>
      <c r="H317" s="30" t="s">
        <v>1165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1423</v>
      </c>
      <c r="F318" s="30" t="str">
        <f>IF(ISBLANK(Table2[[#This Row],[unique_id]]), "", PROPER(SUBSTITUTE(Table2[[#This Row],[unique_id]], "_", " ")))</f>
        <v>Host Mad Temperature</v>
      </c>
      <c r="G318" s="30" t="s">
        <v>1427</v>
      </c>
      <c r="H318" s="30" t="s">
        <v>1165</v>
      </c>
      <c r="I318" s="30" t="s">
        <v>273</v>
      </c>
      <c r="K318" s="30" t="s">
        <v>1424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1429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1424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1427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1425</v>
      </c>
      <c r="F320" s="30" t="str">
        <f>IF(ISBLANK(Table2[[#This Row],[unique_id]]), "", PROPER(SUBSTITUTE(Table2[[#This Row],[unique_id]], "_", " ")))</f>
        <v>Host Max Temperature</v>
      </c>
      <c r="G320" s="30" t="s">
        <v>1428</v>
      </c>
      <c r="H320" s="30" t="s">
        <v>1165</v>
      </c>
      <c r="I320" s="30" t="s">
        <v>273</v>
      </c>
      <c r="K320" s="30" t="s">
        <v>1426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1430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1426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1428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1388</v>
      </c>
      <c r="F322" s="30" t="str">
        <f>IF(ISBLANK(Table2[[#This Row],[unique_id]]), "", PROPER(SUBSTITUTE(Table2[[#This Row],[unique_id]], "_", " ")))</f>
        <v>Host May Temperature</v>
      </c>
      <c r="G322" s="30" t="s">
        <v>1387</v>
      </c>
      <c r="H322" s="30" t="s">
        <v>1165</v>
      </c>
      <c r="I322" s="30" t="s">
        <v>273</v>
      </c>
      <c r="K322" s="30" t="s">
        <v>1389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1394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1389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1387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1158</v>
      </c>
      <c r="F324" s="30" t="str">
        <f>IF(ISBLANK(Table2[[#This Row],[unique_id]]), "", PROPER(SUBSTITUTE(Table2[[#This Row],[unique_id]], "_", " ")))</f>
        <v>Host Meg Temperature</v>
      </c>
      <c r="G324" s="30" t="s">
        <v>1161</v>
      </c>
      <c r="H324" s="30" t="s">
        <v>1165</v>
      </c>
      <c r="I324" s="30" t="s">
        <v>273</v>
      </c>
      <c r="K324" s="30" t="s">
        <v>1160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1102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1151</v>
      </c>
      <c r="BC324" s="30" t="s">
        <v>1464</v>
      </c>
      <c r="BD324" s="30" t="s">
        <v>1083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1151</v>
      </c>
      <c r="D325" s="30" t="s">
        <v>27</v>
      </c>
      <c r="E325" s="30" t="s">
        <v>1160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1161</v>
      </c>
      <c r="H325" s="30" t="s">
        <v>1165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1170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1167</v>
      </c>
      <c r="H326" s="30" t="s">
        <v>1166</v>
      </c>
      <c r="I326" s="30" t="s">
        <v>273</v>
      </c>
      <c r="K326" s="30" t="s">
        <v>1124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1162</v>
      </c>
      <c r="D327" s="30" t="s">
        <v>27</v>
      </c>
      <c r="E327" s="30" t="s">
        <v>1169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1373</v>
      </c>
      <c r="H327" s="30" t="s">
        <v>1164</v>
      </c>
      <c r="I327" s="30" t="s">
        <v>273</v>
      </c>
      <c r="K327" s="30" t="s">
        <v>1130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1400</v>
      </c>
      <c r="F328" s="30" t="str">
        <f>IF(ISBLANK(Table2[[#This Row],[unique_id]]), "", PROPER(SUBSTITUTE(Table2[[#This Row],[unique_id]], "_", " ")))</f>
        <v>Host Jen Temperature</v>
      </c>
      <c r="G328" s="30" t="s">
        <v>1401</v>
      </c>
      <c r="H328" s="30" t="s">
        <v>1164</v>
      </c>
      <c r="I328" s="30" t="s">
        <v>273</v>
      </c>
      <c r="K328" s="30" t="s">
        <v>1396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1397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1151</v>
      </c>
      <c r="BC328" s="30" t="s">
        <v>1464</v>
      </c>
      <c r="BD328" s="30" t="s">
        <v>1083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1151</v>
      </c>
      <c r="D329" s="30" t="s">
        <v>27</v>
      </c>
      <c r="E329" s="30" t="s">
        <v>1396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1401</v>
      </c>
      <c r="H329" s="30" t="s">
        <v>1164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1164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1149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1149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1149</v>
      </c>
      <c r="I337" s="48" t="s">
        <v>273</v>
      </c>
      <c r="O337" s="50"/>
      <c r="T337" s="51"/>
      <c r="V337" s="50" t="s">
        <v>1178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1147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1177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1306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1307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1308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1309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702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701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1149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743</v>
      </c>
      <c r="D345" s="30" t="s">
        <v>27</v>
      </c>
      <c r="E345" s="30" t="s">
        <v>794</v>
      </c>
      <c r="F345" s="36" t="str">
        <f>IF(ISBLANK(Table2[[#This Row],[unique_id]]), "", PROPER(SUBSTITUTE(Table2[[#This Row],[unique_id]], "_", " ")))</f>
        <v>All Standby</v>
      </c>
      <c r="G345" s="30" t="s">
        <v>795</v>
      </c>
      <c r="H345" s="30" t="s">
        <v>508</v>
      </c>
      <c r="I345" s="30" t="s">
        <v>273</v>
      </c>
      <c r="O345" s="31" t="s">
        <v>754</v>
      </c>
      <c r="P345" s="30"/>
      <c r="R345" s="41"/>
      <c r="T345" s="37" t="s">
        <v>793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1431</v>
      </c>
      <c r="F346" s="36" t="str">
        <f>IF(ISBLANK(Table2[[#This Row],[unique_id]]), "", PROPER(SUBSTITUTE(Table2[[#This Row],[unique_id]], "_", " ")))</f>
        <v>Rack Printer Plug</v>
      </c>
      <c r="G346" s="30" t="s">
        <v>1446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1432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1451</v>
      </c>
      <c r="BM346" s="30" t="s">
        <v>1447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1441</v>
      </c>
      <c r="F347" s="36" t="str">
        <f>IF(ISBLANK(Table2[[#This Row],[unique_id]]), "", PROPER(SUBSTITUTE(Table2[[#This Row],[unique_id]], "_", " ")))</f>
        <v>Rack Screen Plug</v>
      </c>
      <c r="G347" s="30" t="s">
        <v>1434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1435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1438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1443</v>
      </c>
      <c r="BM347" s="30" t="s">
        <v>1439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1415</v>
      </c>
      <c r="F348" s="36" t="str">
        <f>IF(ISBLANK(Table2[[#This Row],[unique_id]]), "", PROPER(SUBSTITUTE(Table2[[#This Row],[unique_id]], "_", " ")))</f>
        <v>Rack Backup Plug</v>
      </c>
      <c r="G348" s="30" t="s">
        <v>1433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1436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1437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1442</v>
      </c>
      <c r="BM348" s="30" t="s">
        <v>1440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854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1522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571</v>
      </c>
      <c r="BM349" s="30" t="s">
        <v>1266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774</v>
      </c>
      <c r="D350" s="30" t="s">
        <v>147</v>
      </c>
      <c r="E350" s="37" t="s">
        <v>1036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">
        <v>1033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1035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943</v>
      </c>
      <c r="BK351" s="30" t="s">
        <v>1212</v>
      </c>
      <c r="BL351" s="30" t="s">
        <v>331</v>
      </c>
      <c r="BM351" s="30" t="s">
        <v>1246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1349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758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">
        <v>1033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1350</v>
      </c>
      <c r="F353" s="56" t="str">
        <f>IF(ISBLANK(Table2[[#This Row],[unique_id]]), "", PROPER(SUBSTITUTE(Table2[[#This Row],[unique_id]], "_", " ")))</f>
        <v>Broken Lounge Sub Plug</v>
      </c>
      <c r="G353" s="54" t="s">
        <v>758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759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942</v>
      </c>
      <c r="BK353" s="54" t="s">
        <v>1212</v>
      </c>
      <c r="BL353" s="54" t="s">
        <v>322</v>
      </c>
      <c r="BM353" s="54" t="s">
        <v>1247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1351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1352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942</v>
      </c>
      <c r="BK355" s="54" t="s">
        <v>1212</v>
      </c>
      <c r="BL355" s="54" t="s">
        <v>333</v>
      </c>
      <c r="BM355" s="54" t="s">
        <v>1248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1353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1354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943</v>
      </c>
      <c r="BK357" s="54" t="s">
        <v>1212</v>
      </c>
      <c r="BL357" s="54" t="s">
        <v>334</v>
      </c>
      <c r="BM357" s="54" t="s">
        <v>1249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1355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">
        <v>1032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1356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943</v>
      </c>
      <c r="BK359" s="54" t="s">
        <v>1212</v>
      </c>
      <c r="BL359" s="54" t="s">
        <v>325</v>
      </c>
      <c r="BM359" s="54" t="s">
        <v>1250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774</v>
      </c>
      <c r="D360" s="30" t="s">
        <v>147</v>
      </c>
      <c r="E360" s="37" t="s">
        <v>930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801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943</v>
      </c>
      <c r="BK361" s="30" t="s">
        <v>1212</v>
      </c>
      <c r="BL361" s="30" t="s">
        <v>337</v>
      </c>
      <c r="BM361" s="30" t="s">
        <v>1261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1357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1358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326</v>
      </c>
      <c r="BM363" s="54" t="s">
        <v>1251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1359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1360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942</v>
      </c>
      <c r="BK365" s="54" t="s">
        <v>1212</v>
      </c>
      <c r="BL365" s="54" t="s">
        <v>327</v>
      </c>
      <c r="BM365" s="54" t="s">
        <v>1252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1445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1444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62" t="s">
        <v>1212</v>
      </c>
      <c r="BL367" s="62" t="s">
        <v>1416</v>
      </c>
      <c r="BM367" s="62" t="s">
        <v>1417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932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">
        <v>1033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803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943</v>
      </c>
      <c r="BK369" s="30" t="s">
        <v>1212</v>
      </c>
      <c r="BL369" s="30" t="s">
        <v>329</v>
      </c>
      <c r="BM369" s="30" t="s">
        <v>1254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774</v>
      </c>
      <c r="D370" s="30" t="s">
        <v>147</v>
      </c>
      <c r="E370" s="37" t="s">
        <v>1341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1342</v>
      </c>
      <c r="H370" s="30" t="s">
        <v>508</v>
      </c>
      <c r="I370" s="30" t="s">
        <v>273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1340</v>
      </c>
      <c r="F371" s="36" t="str">
        <f>IF(ISBLANK(Table2[[#This Row],[unique_id]]), "", PROPER(SUBSTITUTE(Table2[[#This Row],[unique_id]], "_", " ")))</f>
        <v>Garden Sewerage Blower Plug</v>
      </c>
      <c r="G371" s="30" t="s">
        <v>1342</v>
      </c>
      <c r="H371" s="30" t="s">
        <v>508</v>
      </c>
      <c r="I371" s="30" t="s">
        <v>273</v>
      </c>
      <c r="M371" s="30" t="s">
        <v>255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943</v>
      </c>
      <c r="BK371" s="30" t="s">
        <v>1212</v>
      </c>
      <c r="BL371" s="36" t="s">
        <v>345</v>
      </c>
      <c r="BM371" s="36" t="s">
        <v>1233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1361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1362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942</v>
      </c>
      <c r="BK373" s="54" t="s">
        <v>1212</v>
      </c>
      <c r="BL373" s="54" t="s">
        <v>323</v>
      </c>
      <c r="BM373" s="54" t="s">
        <v>1255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1363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1364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943</v>
      </c>
      <c r="BK375" s="54" t="s">
        <v>1212</v>
      </c>
      <c r="BL375" s="54" t="s">
        <v>324</v>
      </c>
      <c r="BM375" s="54" t="s">
        <v>1256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774</v>
      </c>
      <c r="D376" s="54" t="s">
        <v>147</v>
      </c>
      <c r="E376" s="55" t="s">
        <v>1365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787</v>
      </c>
      <c r="H376" s="54" t="s">
        <v>508</v>
      </c>
      <c r="I376" s="54" t="s">
        <v>273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">
        <v>1032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1366</v>
      </c>
      <c r="F377" s="56" t="str">
        <f>IF(ISBLANK(Table2[[#This Row],[unique_id]]), "", PROPER(SUBSTITUTE(Table2[[#This Row],[unique_id]], "_", " ")))</f>
        <v>Broken Ada Tablet Plug</v>
      </c>
      <c r="G377" s="54" t="s">
        <v>787</v>
      </c>
      <c r="H377" s="54" t="s">
        <v>508</v>
      </c>
      <c r="I377" s="54" t="s">
        <v>273</v>
      </c>
      <c r="M377" s="54" t="s">
        <v>255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788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942</v>
      </c>
      <c r="BK377" s="54" t="s">
        <v>1212</v>
      </c>
      <c r="BL377" s="54" t="s">
        <v>766</v>
      </c>
      <c r="BM377" s="54" t="s">
        <v>1257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593</v>
      </c>
      <c r="F378" s="36" t="str">
        <f>IF(ISBLANK(Table2[[#This Row],[unique_id]]), "", PROPER(SUBSTITUTE(Table2[[#This Row],[unique_id]], "_", " ")))</f>
        <v>Deck Fans Outlet</v>
      </c>
      <c r="G378" s="30" t="s">
        <v>596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980</v>
      </c>
      <c r="BC378" s="37" t="s">
        <v>598</v>
      </c>
      <c r="BD378" s="30" t="s">
        <v>359</v>
      </c>
      <c r="BF378" s="37" t="s">
        <v>599</v>
      </c>
      <c r="BG378" s="30" t="s">
        <v>339</v>
      </c>
      <c r="BL378" s="30" t="s">
        <v>600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594</v>
      </c>
      <c r="F379" s="36" t="str">
        <f>IF(ISBLANK(Table2[[#This Row],[unique_id]]), "", PROPER(SUBSTITUTE(Table2[[#This Row],[unique_id]], "_", " ")))</f>
        <v>Kitchen Fan Outlet</v>
      </c>
      <c r="G379" s="30" t="s">
        <v>595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981</v>
      </c>
      <c r="BC379" s="37" t="s">
        <v>598</v>
      </c>
      <c r="BD379" s="30" t="s">
        <v>359</v>
      </c>
      <c r="BF379" s="37" t="s">
        <v>599</v>
      </c>
      <c r="BG379" s="30" t="s">
        <v>204</v>
      </c>
      <c r="BL379" s="30" t="s">
        <v>601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1461</v>
      </c>
      <c r="F380" s="36" t="str">
        <f>IF(ISBLANK(Table2[[#This Row],[unique_id]]), "", PROPER(SUBSTITUTE(Table2[[#This Row],[unique_id]], "_", " ")))</f>
        <v>Ada Desk Outlet</v>
      </c>
      <c r="G380" s="30" t="s">
        <v>1460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129</v>
      </c>
      <c r="BL380" s="30" t="s">
        <v>1462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1449</v>
      </c>
      <c r="F381" s="36" t="str">
        <f>IF(ISBLANK(Table2[[#This Row],[unique_id]]), "", PROPER(SUBSTITUTE(Table2[[#This Row],[unique_id]], "_", " ")))</f>
        <v>Edwin Desk Outlet</v>
      </c>
      <c r="G381" s="30" t="s">
        <v>1448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126</v>
      </c>
      <c r="BL381" s="30" t="s">
        <v>597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1390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1392</v>
      </c>
      <c r="F383" s="56" t="str">
        <f>IF(ISBLANK(Table2[[#This Row],[unique_id]]), "", PROPER(SUBSTITUTE(Table2[[#This Row],[unique_id]], "_", " ")))</f>
        <v>Broken Server May Plug</v>
      </c>
      <c r="G383" s="54" t="s">
        <v>1391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770</v>
      </c>
      <c r="BM383" s="54" t="s">
        <v>1258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774</v>
      </c>
      <c r="D384" s="54" t="s">
        <v>147</v>
      </c>
      <c r="E384" s="55" t="s">
        <v>1367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771</v>
      </c>
      <c r="H384" s="54" t="s">
        <v>508</v>
      </c>
      <c r="I384" s="54" t="s">
        <v>273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">
        <v>1032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1368</v>
      </c>
      <c r="F385" s="56" t="str">
        <f>IF(ISBLANK(Table2[[#This Row],[unique_id]]), "", PROPER(SUBSTITUTE(Table2[[#This Row],[unique_id]], "_", " ")))</f>
        <v>Broken Server Meg Plug</v>
      </c>
      <c r="G385" s="59" t="s">
        <v>771</v>
      </c>
      <c r="H385" s="54" t="s">
        <v>508</v>
      </c>
      <c r="I385" s="54" t="s">
        <v>273</v>
      </c>
      <c r="M385" s="54" t="s">
        <v>255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943</v>
      </c>
      <c r="BK385" s="54" t="s">
        <v>1212</v>
      </c>
      <c r="BL385" s="54" t="s">
        <v>769</v>
      </c>
      <c r="BM385" s="54" t="s">
        <v>1259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1398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1402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1399</v>
      </c>
      <c r="F387" s="36" t="str">
        <f>IF(ISBLANK(Table2[[#This Row],[unique_id]]), "", PROPER(SUBSTITUTE(Table2[[#This Row],[unique_id]], "_", " ")))</f>
        <v>Server Jen Plug</v>
      </c>
      <c r="G387" s="30" t="s">
        <v>1402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943</v>
      </c>
      <c r="BK387" s="30" t="s">
        <v>1212</v>
      </c>
      <c r="BL387" s="30" t="s">
        <v>330</v>
      </c>
      <c r="BM387" s="30" t="s">
        <v>1260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774</v>
      </c>
      <c r="D388" s="30" t="s">
        <v>147</v>
      </c>
      <c r="E388" s="37" t="s">
        <v>933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">
        <v>1034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133</v>
      </c>
      <c r="E389" s="30" t="s">
        <v>804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1073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936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K389" s="30" t="s">
        <v>1212</v>
      </c>
      <c r="BL389" s="30" t="s">
        <v>880</v>
      </c>
      <c r="BM389" s="30" t="s">
        <v>1262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934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864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1069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935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865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1070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1059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1382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">
        <v>1034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133</v>
      </c>
      <c r="E393" s="30" t="s">
        <v>1060</v>
      </c>
      <c r="F393" s="36" t="str">
        <f>IF(ISBLANK(Table2[[#This Row],[unique_id]]), "", PROPER(SUBSTITUTE(Table2[[#This Row],[unique_id]], "_", " ")))</f>
        <v>Ceiling Network Switch Plug</v>
      </c>
      <c r="G393" s="30" t="s">
        <v>1382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1073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936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K393" s="30" t="s">
        <v>1212</v>
      </c>
      <c r="BL393" s="41" t="s">
        <v>945</v>
      </c>
      <c r="BM393" s="30" t="s">
        <v>1264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1061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864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1069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1062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865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1070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774</v>
      </c>
      <c r="D396" s="54" t="s">
        <v>147</v>
      </c>
      <c r="E396" s="55" t="s">
        <v>1369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">
        <v>1032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1370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942</v>
      </c>
      <c r="BK397" s="54" t="s">
        <v>1212</v>
      </c>
      <c r="BL397" s="54" t="s">
        <v>336</v>
      </c>
      <c r="BM397" s="54" t="s">
        <v>1265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780</v>
      </c>
      <c r="F398" s="36" t="str">
        <f>IF(ISBLANK(Table2[[#This Row],[unique_id]]), "", PROPER(SUBSTITUTE(Table2[[#This Row],[unique_id]], "_", " ")))</f>
        <v>Garden Repeater Linkquality</v>
      </c>
      <c r="G398" s="30" t="s">
        <v>680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558</v>
      </c>
      <c r="BL398" s="30" t="s">
        <v>679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781</v>
      </c>
      <c r="F399" s="36" t="str">
        <f>IF(ISBLANK(Table2[[#This Row],[unique_id]]), "", PROPER(SUBSTITUTE(Table2[[#This Row],[unique_id]], "_", " ")))</f>
        <v>Landing Repeater Linkquality</v>
      </c>
      <c r="G399" s="30" t="s">
        <v>682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541</v>
      </c>
      <c r="BL399" s="30" t="s">
        <v>684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782</v>
      </c>
      <c r="F400" s="36" t="str">
        <f>IF(ISBLANK(Table2[[#This Row],[unique_id]]), "", PROPER(SUBSTITUTE(Table2[[#This Row],[unique_id]], "_", " ")))</f>
        <v>Driveway Repeater Linkquality</v>
      </c>
      <c r="G400" s="30" t="s">
        <v>681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683</v>
      </c>
      <c r="BL400" s="30" t="s">
        <v>685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852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756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836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821</v>
      </c>
      <c r="H406" s="30" t="s">
        <v>526</v>
      </c>
      <c r="I406" s="30" t="s">
        <v>273</v>
      </c>
      <c r="J406" s="30" t="s">
        <v>837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1454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838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830</v>
      </c>
      <c r="H412" s="30" t="s">
        <v>526</v>
      </c>
      <c r="I412" s="30" t="s">
        <v>273</v>
      </c>
      <c r="J412" s="30" t="s">
        <v>840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839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831</v>
      </c>
      <c r="H413" s="30" t="s">
        <v>526</v>
      </c>
      <c r="I413" s="30" t="s">
        <v>273</v>
      </c>
      <c r="J413" s="30" t="s">
        <v>841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842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843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827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844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810</v>
      </c>
      <c r="H422" s="30" t="s">
        <v>526</v>
      </c>
      <c r="I422" s="30" t="s">
        <v>273</v>
      </c>
      <c r="J422" s="30" t="s">
        <v>837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129</v>
      </c>
      <c r="BK424" s="30" t="s">
        <v>1211</v>
      </c>
      <c r="BL424" s="41" t="s">
        <v>402</v>
      </c>
      <c r="BM424" s="39" t="s">
        <v>1213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2643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126</v>
      </c>
      <c r="BK425" s="30" t="s">
        <v>1211</v>
      </c>
      <c r="BL425" s="41" t="s">
        <v>401</v>
      </c>
      <c r="BM425" s="39" t="s">
        <v>1214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2644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Parents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190</v>
      </c>
      <c r="BK426" s="30" t="s">
        <v>1211</v>
      </c>
      <c r="BL426" s="41" t="s">
        <v>618</v>
      </c>
      <c r="BM426" s="39" t="s">
        <v>1215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2645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Kitchen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204</v>
      </c>
      <c r="BK427" s="30" t="s">
        <v>1211</v>
      </c>
      <c r="BL427" s="41" t="s">
        <v>696</v>
      </c>
      <c r="BM427" s="39" t="s">
        <v>1216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2646</v>
      </c>
      <c r="B428" s="30" t="s">
        <v>26</v>
      </c>
      <c r="C428" s="30" t="s">
        <v>233</v>
      </c>
      <c r="D428" s="30" t="s">
        <v>144</v>
      </c>
      <c r="E428" s="30" t="s">
        <v>589</v>
      </c>
      <c r="F428" s="36" t="str">
        <f>IF(ISBLANK(Table2[[#This Row],[unique_id]]), "", PROPER(SUBSTITUTE(Table2[[#This Row],[unique_id]], "_", " ")))</f>
        <v>Office Home</v>
      </c>
      <c r="G428" s="30" t="s">
        <v>590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210</v>
      </c>
      <c r="BK428" s="30" t="s">
        <v>1211</v>
      </c>
      <c r="BL428" s="41" t="s">
        <v>399</v>
      </c>
      <c r="BM428" s="39" t="s">
        <v>1217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2647</v>
      </c>
      <c r="B429" s="30" t="s">
        <v>26</v>
      </c>
      <c r="C429" s="30" t="s">
        <v>233</v>
      </c>
      <c r="D429" s="30" t="s">
        <v>144</v>
      </c>
      <c r="E429" s="30" t="s">
        <v>621</v>
      </c>
      <c r="F429" s="36" t="str">
        <f>IF(ISBLANK(Table2[[#This Row],[unique_id]]), "", PROPER(SUBSTITUTE(Table2[[#This Row],[unique_id]], "_", " ")))</f>
        <v>Lounge Home</v>
      </c>
      <c r="G429" s="30" t="s">
        <v>622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192</v>
      </c>
      <c r="BK429" s="30" t="s">
        <v>1211</v>
      </c>
      <c r="BL429" s="41" t="s">
        <v>400</v>
      </c>
      <c r="BM429" s="39" t="s">
        <v>1218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2648</v>
      </c>
      <c r="B430" s="30" t="s">
        <v>26</v>
      </c>
      <c r="C430" s="30" t="s">
        <v>233</v>
      </c>
      <c r="D430" s="30" t="s">
        <v>144</v>
      </c>
      <c r="E430" s="30" t="s">
        <v>786</v>
      </c>
      <c r="F430" s="36" t="str">
        <f>IF(ISBLANK(Table2[[#This Row],[unique_id]]), "", PROPER(SUBSTITUTE(Table2[[#This Row],[unique_id]], "_", " ")))</f>
        <v>Ada Tablet</v>
      </c>
      <c r="G430" s="30" t="s">
        <v>787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787</v>
      </c>
      <c r="BC430" s="30" t="s">
        <v>1010</v>
      </c>
      <c r="BD430" s="30" t="s">
        <v>233</v>
      </c>
      <c r="BF430" s="30" t="s">
        <v>789</v>
      </c>
      <c r="BG430" s="30" t="s">
        <v>192</v>
      </c>
      <c r="BK430" s="30" t="s">
        <v>1211</v>
      </c>
      <c r="BL430" s="41" t="s">
        <v>1190</v>
      </c>
      <c r="BM430" s="39" t="s">
        <v>1219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2649</v>
      </c>
      <c r="B431" s="30" t="s">
        <v>26</v>
      </c>
      <c r="C431" s="30" t="s">
        <v>233</v>
      </c>
      <c r="D431" s="30" t="s">
        <v>144</v>
      </c>
      <c r="E431" s="30" t="s">
        <v>790</v>
      </c>
      <c r="F431" s="36" t="str">
        <f>IF(ISBLANK(Table2[[#This Row],[unique_id]]), "", PROPER(SUBSTITUTE(Table2[[#This Row],[unique_id]], "_", " ")))</f>
        <v>Edwin Tablet</v>
      </c>
      <c r="G431" s="30" t="s">
        <v>791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791</v>
      </c>
      <c r="BC431" s="30" t="s">
        <v>1010</v>
      </c>
      <c r="BD431" s="30" t="s">
        <v>233</v>
      </c>
      <c r="BF431" s="30" t="s">
        <v>789</v>
      </c>
      <c r="BG431" s="30" t="s">
        <v>204</v>
      </c>
      <c r="BK431" s="30" t="s">
        <v>1211</v>
      </c>
      <c r="BL431" s="41" t="s">
        <v>1191</v>
      </c>
      <c r="BM431" s="39" t="s">
        <v>1222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2650</v>
      </c>
      <c r="B432" s="30" t="s">
        <v>26</v>
      </c>
      <c r="C432" s="30" t="s">
        <v>562</v>
      </c>
      <c r="D432" s="30" t="s">
        <v>144</v>
      </c>
      <c r="E432" s="30" t="s">
        <v>586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946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1211</v>
      </c>
      <c r="BL432" s="41" t="s">
        <v>563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2651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946</v>
      </c>
      <c r="BC433" s="30" t="s">
        <v>1003</v>
      </c>
      <c r="BD433" s="30" t="s">
        <v>262</v>
      </c>
      <c r="BF433" s="30" t="s">
        <v>379</v>
      </c>
      <c r="BG433" s="30" t="s">
        <v>190</v>
      </c>
      <c r="BK433" s="30" t="s">
        <v>1211</v>
      </c>
      <c r="BL433" s="41" t="s">
        <v>381</v>
      </c>
      <c r="BM433" s="39" t="s">
        <v>1221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2652</v>
      </c>
      <c r="B434" s="30" t="s">
        <v>561</v>
      </c>
      <c r="C434" s="30" t="s">
        <v>233</v>
      </c>
      <c r="D434" s="30" t="s">
        <v>144</v>
      </c>
      <c r="E434" s="30" t="s">
        <v>666</v>
      </c>
      <c r="F434" s="36" t="str">
        <f>IF(ISBLANK(Table2[[#This Row],[unique_id]]), "", PROPER(SUBSTITUTE(Table2[[#This Row],[unique_id]], "_", " ")))</f>
        <v>Office Tv</v>
      </c>
      <c r="G434" s="30" t="s">
        <v>667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946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1211</v>
      </c>
      <c r="BL434" s="41" t="s">
        <v>403</v>
      </c>
      <c r="BM434" s="39" t="s">
        <v>1223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2653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711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2654</v>
      </c>
      <c r="B436" s="30" t="s">
        <v>26</v>
      </c>
      <c r="C436" s="30" t="s">
        <v>180</v>
      </c>
      <c r="D436" s="30" t="s">
        <v>144</v>
      </c>
      <c r="E436" s="30" t="s">
        <v>700</v>
      </c>
      <c r="F436" s="36" t="str">
        <f>IF(ISBLANK(Table2[[#This Row],[unique_id]]), "", PROPER(SUBSTITUTE(Table2[[#This Row],[unique_id]], "_", " ")))</f>
        <v>Lounge Arc</v>
      </c>
      <c r="G436" s="30" t="s">
        <v>703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1006</v>
      </c>
      <c r="BD436" s="30" t="s">
        <v>180</v>
      </c>
      <c r="BF436" s="30">
        <v>15.4</v>
      </c>
      <c r="BG436" s="30" t="s">
        <v>192</v>
      </c>
      <c r="BK436" s="30" t="s">
        <v>1211</v>
      </c>
      <c r="BL436" s="30" t="s">
        <v>567</v>
      </c>
      <c r="BM436" s="39" t="s">
        <v>1224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2655</v>
      </c>
      <c r="B437" s="30" t="s">
        <v>561</v>
      </c>
      <c r="C437" s="30" t="s">
        <v>774</v>
      </c>
      <c r="D437" s="30" t="s">
        <v>147</v>
      </c>
      <c r="E437" s="30" t="s">
        <v>776</v>
      </c>
      <c r="F437" s="36" t="str">
        <f>IF(ISBLANK(Table2[[#This Row],[unique_id]]), "", PROPER(SUBSTITUTE(Table2[[#This Row],[unique_id]], "_", " ")))</f>
        <v>Template Kitchen Move Proxy</v>
      </c>
      <c r="G437" s="30" t="s">
        <v>704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2656</v>
      </c>
      <c r="B438" s="30" t="s">
        <v>26</v>
      </c>
      <c r="C438" s="30" t="s">
        <v>180</v>
      </c>
      <c r="D438" s="30" t="s">
        <v>144</v>
      </c>
      <c r="E438" s="30" t="s">
        <v>699</v>
      </c>
      <c r="F438" s="36" t="str">
        <f>IF(ISBLANK(Table2[[#This Row],[unique_id]]), "", PROPER(SUBSTITUTE(Table2[[#This Row],[unique_id]], "_", " ")))</f>
        <v>Kitchen Move</v>
      </c>
      <c r="G438" s="30" t="s">
        <v>704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0" t="s">
        <v>350</v>
      </c>
      <c r="BM438" s="39" t="s">
        <v>1225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2657</v>
      </c>
      <c r="B439" s="30" t="s">
        <v>26</v>
      </c>
      <c r="C439" s="30" t="s">
        <v>180</v>
      </c>
      <c r="D439" s="30" t="s">
        <v>144</v>
      </c>
      <c r="E439" s="30" t="s">
        <v>698</v>
      </c>
      <c r="F439" s="36" t="str">
        <f>IF(ISBLANK(Table2[[#This Row],[unique_id]]), "", PROPER(SUBSTITUTE(Table2[[#This Row],[unique_id]], "_", " ")))</f>
        <v>Kitchen Five</v>
      </c>
      <c r="G439" s="30" t="s">
        <v>705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778</v>
      </c>
      <c r="BC439" s="30" t="s">
        <v>1005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7" t="s">
        <v>349</v>
      </c>
      <c r="BM439" s="39" t="s">
        <v>1226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2658</v>
      </c>
      <c r="B440" s="30" t="s">
        <v>561</v>
      </c>
      <c r="C440" s="30" t="s">
        <v>774</v>
      </c>
      <c r="D440" s="30" t="s">
        <v>147</v>
      </c>
      <c r="E440" s="30" t="s">
        <v>777</v>
      </c>
      <c r="F440" s="36" t="str">
        <f>IF(ISBLANK(Table2[[#This Row],[unique_id]]), "", PROPER(SUBSTITUTE(Table2[[#This Row],[unique_id]], "_", " ")))</f>
        <v>Template Parents Move Proxy</v>
      </c>
      <c r="G440" s="30" t="s">
        <v>706</v>
      </c>
      <c r="H440" s="30" t="s">
        <v>711</v>
      </c>
      <c r="I440" s="30" t="s">
        <v>143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 t="s">
        <v>779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2659</v>
      </c>
      <c r="B441" s="30" t="s">
        <v>26</v>
      </c>
      <c r="C441" s="30" t="s">
        <v>180</v>
      </c>
      <c r="D441" s="30" t="s">
        <v>144</v>
      </c>
      <c r="E441" s="30" t="s">
        <v>697</v>
      </c>
      <c r="F441" s="36" t="str">
        <f>IF(ISBLANK(Table2[[#This Row],[unique_id]]), "", PROPER(SUBSTITUTE(Table2[[#This Row],[unique_id]], "_", " ")))</f>
        <v>Parents Move</v>
      </c>
      <c r="G441" s="30" t="s">
        <v>706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K441" s="30" t="s">
        <v>1211</v>
      </c>
      <c r="BL441" s="30" t="s">
        <v>348</v>
      </c>
      <c r="BM441" s="39" t="s">
        <v>1227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2660</v>
      </c>
      <c r="B442" s="30" t="s">
        <v>26</v>
      </c>
      <c r="C442" s="30" t="s">
        <v>262</v>
      </c>
      <c r="D442" s="30" t="s">
        <v>144</v>
      </c>
      <c r="E442" s="30" t="s">
        <v>1270</v>
      </c>
      <c r="F442" s="36" t="str">
        <f>IF(ISBLANK(Table2[[#This Row],[unique_id]]), "", PROPER(SUBSTITUTE(Table2[[#This Row],[unique_id]], "_", " ")))</f>
        <v>Parents Homepod</v>
      </c>
      <c r="G442" s="30" t="s">
        <v>1271</v>
      </c>
      <c r="H442" s="30" t="s">
        <v>711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1272</v>
      </c>
      <c r="BC442" s="30" t="s">
        <v>1007</v>
      </c>
      <c r="BD442" s="30" t="s">
        <v>262</v>
      </c>
      <c r="BF442" s="30" t="s">
        <v>379</v>
      </c>
      <c r="BG442" s="30" t="s">
        <v>190</v>
      </c>
      <c r="BK442" s="30" t="s">
        <v>1211</v>
      </c>
      <c r="BL442" s="41" t="s">
        <v>382</v>
      </c>
      <c r="BM442" s="39" t="s">
        <v>1228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634</v>
      </c>
      <c r="F443" s="36" t="str">
        <f>IF(ISBLANK(Table2[[#This Row],[unique_id]]), "", PROPER(SUBSTITUTE(Table2[[#This Row],[unique_id]], "_", " ")))</f>
        <v>Back Door Lock Security</v>
      </c>
      <c r="G443" s="30" t="s">
        <v>630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645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647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612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603</v>
      </c>
      <c r="D445" s="30" t="s">
        <v>606</v>
      </c>
      <c r="E445" s="30" t="s">
        <v>607</v>
      </c>
      <c r="F445" s="36" t="str">
        <f>IF(ISBLANK(Table2[[#This Row],[unique_id]]), "", PROPER(SUBSTITUTE(Table2[[#This Row],[unique_id]], "_", " ")))</f>
        <v>Back Door Lock</v>
      </c>
      <c r="G445" s="30" t="s">
        <v>649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997</v>
      </c>
      <c r="BC445" s="30" t="s">
        <v>604</v>
      </c>
      <c r="BD445" s="30" t="s">
        <v>603</v>
      </c>
      <c r="BF445" s="30" t="s">
        <v>605</v>
      </c>
      <c r="BG445" s="30" t="s">
        <v>612</v>
      </c>
      <c r="BL445" s="30" t="s">
        <v>602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640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648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1001</v>
      </c>
      <c r="BC446" s="37" t="s">
        <v>623</v>
      </c>
      <c r="BD446" s="30" t="s">
        <v>1075</v>
      </c>
      <c r="BF446" s="30" t="s">
        <v>605</v>
      </c>
      <c r="BG446" s="30" t="s">
        <v>612</v>
      </c>
      <c r="BL446" s="30" t="s">
        <v>625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612</v>
      </c>
      <c r="H447" s="30" t="s">
        <v>620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635</v>
      </c>
      <c r="F448" s="36" t="str">
        <f>IF(ISBLANK(Table2[[#This Row],[unique_id]]), "", PROPER(SUBSTITUTE(Table2[[#This Row],[unique_id]], "_", " ")))</f>
        <v>Front Door Lock Security</v>
      </c>
      <c r="G448" s="30" t="s">
        <v>630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645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646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611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603</v>
      </c>
      <c r="D450" s="30" t="s">
        <v>606</v>
      </c>
      <c r="E450" s="30" t="s">
        <v>608</v>
      </c>
      <c r="F450" s="36" t="str">
        <f>IF(ISBLANK(Table2[[#This Row],[unique_id]]), "", PROPER(SUBSTITUTE(Table2[[#This Row],[unique_id]], "_", " ")))</f>
        <v>Front Door Lock</v>
      </c>
      <c r="G450" s="30" t="s">
        <v>649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997</v>
      </c>
      <c r="BC450" s="30" t="s">
        <v>604</v>
      </c>
      <c r="BD450" s="30" t="s">
        <v>603</v>
      </c>
      <c r="BF450" s="30" t="s">
        <v>605</v>
      </c>
      <c r="BG450" s="30" t="s">
        <v>611</v>
      </c>
      <c r="BL450" s="30" t="s">
        <v>609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639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648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1001</v>
      </c>
      <c r="BC451" s="37" t="s">
        <v>623</v>
      </c>
      <c r="BD451" s="30" t="s">
        <v>1075</v>
      </c>
      <c r="BF451" s="30" t="s">
        <v>605</v>
      </c>
      <c r="BG451" s="30" t="s">
        <v>611</v>
      </c>
      <c r="BL451" s="30" t="s">
        <v>624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611</v>
      </c>
      <c r="H452" s="30" t="s">
        <v>619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581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580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582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583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584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585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614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610</v>
      </c>
      <c r="H460" s="30" t="s">
        <v>614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1283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616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1212</v>
      </c>
      <c r="BL461" s="30" t="s">
        <v>365</v>
      </c>
      <c r="BM461" s="30" t="s">
        <v>1267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610</v>
      </c>
      <c r="H462" s="30" t="s">
        <v>613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1284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615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1383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1212</v>
      </c>
      <c r="BL463" s="30" t="s">
        <v>366</v>
      </c>
      <c r="BM463" s="30" t="s">
        <v>1268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615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1384</v>
      </c>
      <c r="BA465" s="30" t="str">
        <f>IF(ISBLANK(Table2[[#This Row],[device_model]]), "", Table2[[#This Row],[device_suggested_area]])</f>
        <v>Rack</v>
      </c>
      <c r="BC465" s="30" t="s">
        <v>993</v>
      </c>
      <c r="BD465" s="30" t="s">
        <v>232</v>
      </c>
      <c r="BF465" s="30" t="s">
        <v>384</v>
      </c>
      <c r="BG465" s="30" t="s">
        <v>28</v>
      </c>
      <c r="BK465" s="30" t="s">
        <v>1205</v>
      </c>
      <c r="BL465" s="30" t="s">
        <v>387</v>
      </c>
      <c r="BM465" s="30" t="s">
        <v>1206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990</v>
      </c>
      <c r="BD466" s="30" t="s">
        <v>232</v>
      </c>
      <c r="BF466" s="30" t="s">
        <v>591</v>
      </c>
      <c r="BG466" s="30" t="s">
        <v>28</v>
      </c>
      <c r="BK466" s="30" t="s">
        <v>1205</v>
      </c>
      <c r="BL466" s="30" t="s">
        <v>592</v>
      </c>
      <c r="BM466" s="30" t="s">
        <v>1207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991</v>
      </c>
      <c r="BD467" s="30" t="s">
        <v>232</v>
      </c>
      <c r="BF467" s="30" t="s">
        <v>1031</v>
      </c>
      <c r="BG467" s="30" t="s">
        <v>210</v>
      </c>
      <c r="BK467" s="30" t="s">
        <v>1205</v>
      </c>
      <c r="BL467" s="30" t="s">
        <v>388</v>
      </c>
      <c r="BM467" s="30" t="s">
        <v>1421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1420</v>
      </c>
      <c r="BD468" s="30" t="s">
        <v>232</v>
      </c>
      <c r="BF468" s="30" t="s">
        <v>1031</v>
      </c>
      <c r="BG468" s="30" t="s">
        <v>385</v>
      </c>
      <c r="BK468" s="30" t="s">
        <v>1205</v>
      </c>
      <c r="BL468" s="30" t="s">
        <v>1422</v>
      </c>
      <c r="BM468" s="30" t="s">
        <v>1208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1328</v>
      </c>
      <c r="BD469" s="30" t="s">
        <v>232</v>
      </c>
      <c r="BF469" s="30" t="s">
        <v>1030</v>
      </c>
      <c r="BG469" s="30" t="s">
        <v>386</v>
      </c>
      <c r="BK469" s="30" t="s">
        <v>1205</v>
      </c>
      <c r="BL469" s="30" t="s">
        <v>1327</v>
      </c>
      <c r="BM469" s="30" t="s">
        <v>1209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992</v>
      </c>
      <c r="BD470" s="30" t="s">
        <v>232</v>
      </c>
      <c r="BF470" s="30" t="s">
        <v>1030</v>
      </c>
      <c r="BG470" s="30" t="s">
        <v>1379</v>
      </c>
      <c r="BK470" s="30" t="s">
        <v>1205</v>
      </c>
      <c r="BL470" s="30" t="s">
        <v>1381</v>
      </c>
      <c r="BM470" s="30" t="s">
        <v>1210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992</v>
      </c>
      <c r="BD471" s="30" t="s">
        <v>232</v>
      </c>
      <c r="BF471" s="30" t="s">
        <v>1030</v>
      </c>
      <c r="BG471" s="30" t="s">
        <v>1378</v>
      </c>
      <c r="BK471" s="30" t="s">
        <v>1205</v>
      </c>
      <c r="BL471" s="30" t="s">
        <v>389</v>
      </c>
      <c r="BM471" s="30" t="s">
        <v>1380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1324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1313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1314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989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1316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1317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1318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1317</v>
      </c>
      <c r="BA474" s="30" t="str">
        <f>IF(ISBLANK(Table2[[#This Row],[device_model]]), "", Table2[[#This Row],[device_suggested_area]])</f>
        <v>Rack</v>
      </c>
      <c r="BB474" s="30" t="s">
        <v>1319</v>
      </c>
      <c r="BC474" s="30" t="s">
        <v>1320</v>
      </c>
      <c r="BD474" s="30" t="s">
        <v>1317</v>
      </c>
      <c r="BF474" s="30" t="s">
        <v>1321</v>
      </c>
      <c r="BG474" s="30" t="s">
        <v>28</v>
      </c>
      <c r="BL474" s="41"/>
      <c r="BM474" s="30" t="s">
        <v>1322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994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1211</v>
      </c>
      <c r="BL475" s="41" t="s">
        <v>414</v>
      </c>
      <c r="BM475" s="30" t="s">
        <v>1229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ref="AJ476:AJ481" si="1">IF(ISBLANK(AI476),  "", _xlfn.CONCAT("haas/entity/sensor/", LOWER(C476), "/", E476, "/config"))</f>
        <v/>
      </c>
      <c r="AK476" s="30" t="str">
        <f t="shared" ref="AK476:AK481" si="2"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Wardrobe</v>
      </c>
      <c r="BB476" s="30" t="s">
        <v>1404</v>
      </c>
      <c r="BC476" s="30" t="s">
        <v>1000</v>
      </c>
      <c r="BD476" s="30" t="s">
        <v>536</v>
      </c>
      <c r="BF476" s="62" t="s">
        <v>1408</v>
      </c>
      <c r="BG476" s="30" t="s">
        <v>477</v>
      </c>
      <c r="BK476" s="30" t="s">
        <v>383</v>
      </c>
      <c r="BL476" s="30" t="s">
        <v>535</v>
      </c>
      <c r="BM476" s="30" t="s">
        <v>1204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Guildford</v>
      </c>
      <c r="BB477" s="30" t="s">
        <v>1406</v>
      </c>
      <c r="BC477" s="30" t="s">
        <v>1407</v>
      </c>
      <c r="BD477" s="30" t="s">
        <v>536</v>
      </c>
      <c r="BF477" s="62" t="s">
        <v>1408</v>
      </c>
      <c r="BG477" s="30" t="s">
        <v>1405</v>
      </c>
      <c r="BL477" s="30" t="s">
        <v>1412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1409</v>
      </c>
      <c r="BC478" s="30" t="s">
        <v>1410</v>
      </c>
      <c r="BD478" s="30" t="s">
        <v>262</v>
      </c>
      <c r="BF478" s="62" t="s">
        <v>1414</v>
      </c>
      <c r="BG478" s="30" t="s">
        <v>28</v>
      </c>
      <c r="BK478" s="30" t="s">
        <v>383</v>
      </c>
      <c r="BL478" s="41" t="s">
        <v>1413</v>
      </c>
      <c r="BM478" s="30" t="s">
        <v>1200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1411</v>
      </c>
      <c r="BC479" s="30" t="s">
        <v>998</v>
      </c>
      <c r="BD479" s="30" t="s">
        <v>262</v>
      </c>
      <c r="BF479" s="62" t="s">
        <v>1418</v>
      </c>
      <c r="BG479" s="30" t="s">
        <v>28</v>
      </c>
      <c r="BK479" s="30" t="s">
        <v>383</v>
      </c>
      <c r="BL479" s="46" t="s">
        <v>1419</v>
      </c>
      <c r="BM479" s="30" t="s">
        <v>1201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1393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46" t="s">
        <v>1279</v>
      </c>
      <c r="BM480" s="30" t="s">
        <v>1202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999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30" t="s">
        <v>569</v>
      </c>
      <c r="BM481" s="30" t="s">
        <v>1203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742</v>
      </c>
      <c r="BG482" s="30" t="s">
        <v>28</v>
      </c>
      <c r="BK482" s="30" t="s">
        <v>1212</v>
      </c>
      <c r="BL482" s="30" t="s">
        <v>361</v>
      </c>
      <c r="BM482" s="30" t="s">
        <v>1269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722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996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2026-07-30T05:41:47Z</dcterms:modified>
</cp:coreProperties>
</file>