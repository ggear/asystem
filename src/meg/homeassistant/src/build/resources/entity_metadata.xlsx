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58C9F2FC-6615-7D49-8D31-983397128591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27" i="1" l="1"/>
  <c r="AM325" i="1"/>
  <c r="AM26" i="1"/>
  <c r="AK26" i="1"/>
  <c r="AK325" i="1"/>
  <c r="AK327" i="1"/>
  <c r="AL327" i="1"/>
  <c r="AL325" i="1"/>
  <c r="AL26" i="1"/>
  <c r="AR327" i="1"/>
  <c r="AR325" i="1"/>
  <c r="AR26" i="1"/>
  <c r="AM339" i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BN326" i="1"/>
  <c r="BA326" i="1"/>
  <c r="AK326" i="1"/>
  <c r="AJ326" i="1"/>
  <c r="BN325" i="1"/>
  <c r="BA325" i="1"/>
  <c r="AW325" i="1" s="1"/>
  <c r="AV325" i="1" s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<sst xmlns="http://schemas.openxmlformats.org/spreadsheetml/2006/main" count="7862" uniqueCount="1556">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</sst>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C-0000-FFFF-FFFF00000000}">
    <filterColumn colId="2">
      <filters>
        <filter val="Internet"/>
      </filters>
    </filterColumn>
  </autoFilter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zoomScale="121" zoomScaleNormal="120" workbookViewId="0">
      <selection activeCell="C283" sqref="C283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1139</v>
      </c>
      <c r="L1" s="2" t="s">
        <v>1139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1121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1218</v>
      </c>
      <c r="AY1" s="6" t="s">
        <v>1218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1122</v>
      </c>
      <c r="E2" s="11" t="s">
        <v>1123</v>
      </c>
      <c r="F2" s="11" t="s">
        <v>1124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1125</v>
      </c>
      <c r="L2" s="11" t="s">
        <v>1126</v>
      </c>
      <c r="M2" s="11" t="s">
        <v>1127</v>
      </c>
      <c r="N2" s="11" t="s">
        <v>1128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1374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1129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1130</v>
      </c>
      <c r="AK2" s="16" t="s">
        <v>1131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982</v>
      </c>
      <c r="AV2" s="16" t="s">
        <v>339</v>
      </c>
      <c r="AW2" s="16" t="s">
        <v>160</v>
      </c>
      <c r="AX2" s="16" t="s">
        <v>1219</v>
      </c>
      <c r="AY2" s="16" t="s">
        <v>1215</v>
      </c>
      <c r="AZ2" s="16" t="s">
        <v>1060</v>
      </c>
      <c r="BA2" s="16" t="s">
        <v>1061</v>
      </c>
      <c r="BB2" s="16" t="s">
        <v>1062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1132</v>
      </c>
      <c r="BH2" s="16" t="s">
        <v>1158</v>
      </c>
      <c r="BI2" s="16" t="s">
        <v>1157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1133</v>
      </c>
      <c r="N3" s="21" t="s">
        <v>1134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981</v>
      </c>
      <c r="AV3" s="27" t="s">
        <v>20</v>
      </c>
      <c r="AW3" s="27" t="s">
        <v>18</v>
      </c>
      <c r="AX3" s="27" t="s">
        <v>1216</v>
      </c>
      <c r="AY3" s="27" t="s">
        <v>1217</v>
      </c>
      <c r="AZ3" s="27" t="s">
        <v>1056</v>
      </c>
      <c r="BA3" s="27" t="s">
        <v>1057</v>
      </c>
      <c r="BB3" s="27" t="s">
        <v>1058</v>
      </c>
      <c r="BC3" s="27" t="s">
        <v>21</v>
      </c>
      <c r="BD3" s="27" t="s">
        <v>22</v>
      </c>
      <c r="BE3" s="27" t="s">
        <v>1419</v>
      </c>
      <c r="BF3" s="28" t="s">
        <v>19</v>
      </c>
      <c r="BG3" s="27" t="s">
        <v>23</v>
      </c>
      <c r="BH3" s="27" t="s">
        <v>1159</v>
      </c>
      <c r="BI3" s="27" t="s">
        <v>1156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1183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1063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1171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992</v>
      </c>
      <c r="BC6" s="30" t="s">
        <v>990</v>
      </c>
      <c r="BD6" s="30" t="s">
        <v>128</v>
      </c>
      <c r="BF6" s="30" t="s">
        <v>423</v>
      </c>
      <c r="BG6" s="30" t="s">
        <v>130</v>
      </c>
      <c r="BK6" s="38" t="s">
        <v>1259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1177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992</v>
      </c>
      <c r="BC8" s="30" t="s">
        <v>990</v>
      </c>
      <c r="BD8" s="30" t="s">
        <v>128</v>
      </c>
      <c r="BF8" s="30" t="s">
        <v>423</v>
      </c>
      <c r="BG8" s="30" t="s">
        <v>127</v>
      </c>
      <c r="BK8" s="38" t="s">
        <v>1259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1333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1334</v>
      </c>
      <c r="O10" s="31"/>
      <c r="P10" s="30"/>
      <c r="T10" s="37"/>
      <c r="U10" s="30"/>
      <c r="V10" s="31" t="s">
        <v>1173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991</v>
      </c>
      <c r="BC10" s="30" t="s">
        <v>993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1334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1180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992</v>
      </c>
      <c r="BC12" s="30" t="s">
        <v>990</v>
      </c>
      <c r="BD12" s="30" t="s">
        <v>128</v>
      </c>
      <c r="BF12" s="30" t="s">
        <v>423</v>
      </c>
      <c r="BG12" s="30" t="s">
        <v>192</v>
      </c>
      <c r="BK12" s="38" t="s">
        <v>1259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1244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1245</v>
      </c>
      <c r="O14" s="31"/>
      <c r="P14" s="30"/>
      <c r="T14" s="37"/>
      <c r="U14" s="30"/>
      <c r="V14" s="31" t="s">
        <v>1175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992</v>
      </c>
      <c r="BC14" s="30" t="s">
        <v>993</v>
      </c>
      <c r="BD14" s="30" t="s">
        <v>128</v>
      </c>
      <c r="BF14" s="30" t="s">
        <v>424</v>
      </c>
      <c r="BG14" s="30" t="s">
        <v>212</v>
      </c>
      <c r="BK14" s="38" t="s">
        <v>1259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1245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1246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1247</v>
      </c>
      <c r="O16" s="31"/>
      <c r="P16" s="30"/>
      <c r="T16" s="37"/>
      <c r="U16" s="30"/>
      <c r="V16" s="31" t="s">
        <v>1172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992</v>
      </c>
      <c r="BC16" s="30" t="s">
        <v>993</v>
      </c>
      <c r="BD16" s="30" t="s">
        <v>128</v>
      </c>
      <c r="BF16" s="30" t="s">
        <v>424</v>
      </c>
      <c r="BG16" s="30" t="s">
        <v>206</v>
      </c>
      <c r="BK16" s="30" t="s">
        <v>1259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1247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1335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1336</v>
      </c>
      <c r="O18" s="31"/>
      <c r="P18" s="30"/>
      <c r="T18" s="37"/>
      <c r="U18" s="30"/>
      <c r="V18" s="31" t="s">
        <v>1174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991</v>
      </c>
      <c r="BC18" s="30" t="s">
        <v>993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1336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1337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1338</v>
      </c>
      <c r="O20" s="31"/>
      <c r="P20" s="30"/>
      <c r="T20" s="37"/>
      <c r="U20" s="30"/>
      <c r="V20" s="31" t="s">
        <v>1173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991</v>
      </c>
      <c r="BC20" s="30" t="s">
        <v>993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1338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1179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992</v>
      </c>
      <c r="BC22" s="30" t="s">
        <v>990</v>
      </c>
      <c r="BD22" s="30" t="s">
        <v>128</v>
      </c>
      <c r="BF22" s="30" t="s">
        <v>423</v>
      </c>
      <c r="BG22" s="30" t="s">
        <v>213</v>
      </c>
      <c r="BK22" s="30" t="s">
        <v>1259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1165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1166</v>
      </c>
      <c r="O24" s="31"/>
      <c r="P24" s="30"/>
      <c r="T24" s="37"/>
      <c r="U24" s="30"/>
      <c r="V24" s="31" t="s">
        <v>1182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1183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1220</v>
      </c>
      <c r="BC24" s="30" t="s">
        <v>36</v>
      </c>
      <c r="BD24" s="30" t="s">
        <v>37</v>
      </c>
      <c r="BF24" s="30" t="s">
        <v>1063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1166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1550</v>
      </c>
      <c r="D26" s="30" t="s">
        <v>27</v>
      </c>
      <c r="E26" s="30" t="s">
        <v>1168</v>
      </c>
      <c r="F26" s="36" t="str">
        <f>IF(ISBLANK(Table2[[#This Row],[unique_id]]), "", PROPER(SUBSTITUTE(Table2[[#This Row],[unique_id]], "_", " ")))</f>
        <v>Utility Temperature</v>
      </c>
      <c r="G26" s="30" t="s">
        <v>1167</v>
      </c>
      <c r="H26" s="30" t="s">
        <v>87</v>
      </c>
      <c r="I26" s="30" t="s">
        <v>30</v>
      </c>
      <c r="K26" s="30" t="s">
        <v>1169</v>
      </c>
      <c r="O26" s="31"/>
      <c r="P26" s="30"/>
      <c r="T26" s="37"/>
      <c r="U26" s="30"/>
      <c r="V26" s="31" t="s">
        <v>1181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1552</v>
      </c>
      <c r="BD26" s="30" t="s">
        <v>1553</v>
      </c>
      <c r="BF26" s="30" t="s">
        <v>989</v>
      </c>
      <c r="BG26" s="30" t="s">
        <v>28</v>
      </c>
      <c r="BL26" s="30" t="s">
        <v>1135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1550</v>
      </c>
      <c r="D27" s="30" t="s">
        <v>27</v>
      </c>
      <c r="E27" s="30" t="s">
        <v>1169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1167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1046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1160</v>
      </c>
      <c r="O28" s="31"/>
      <c r="P28" s="30"/>
      <c r="T28" s="37"/>
      <c r="U28" s="30" t="s">
        <v>436</v>
      </c>
      <c r="V28" s="31" t="s">
        <v>1176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1113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1110</v>
      </c>
      <c r="BD28" s="30" t="s">
        <v>1109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1160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1339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1340</v>
      </c>
      <c r="O30" s="31"/>
      <c r="P30" s="30"/>
      <c r="T30" s="37"/>
      <c r="U30" s="30"/>
      <c r="V30" s="31" t="s">
        <v>1173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991</v>
      </c>
      <c r="BC30" s="30" t="s">
        <v>993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1340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1140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1183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1063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1141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1183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1063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1142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1183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1063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1143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1183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1063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1144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1183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1220</v>
      </c>
      <c r="BC36" s="30" t="s">
        <v>36</v>
      </c>
      <c r="BD36" s="30" t="s">
        <v>37</v>
      </c>
      <c r="BF36" s="30" t="s">
        <v>1063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1145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1183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1063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1237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1236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1422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1146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1063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1147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992</v>
      </c>
      <c r="BC45" s="30" t="s">
        <v>990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1148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992</v>
      </c>
      <c r="BC46" s="30" t="s">
        <v>990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1341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991</v>
      </c>
      <c r="BC47" s="30" t="s">
        <v>993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1149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992</v>
      </c>
      <c r="BC48" s="30" t="s">
        <v>990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1243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991</v>
      </c>
      <c r="BC49" s="30" t="s">
        <v>993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1242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991</v>
      </c>
      <c r="BC50" s="30" t="s">
        <v>993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1342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991</v>
      </c>
      <c r="BC51" s="30" t="s">
        <v>993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1343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991</v>
      </c>
      <c r="BC52" s="30" t="s">
        <v>993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1150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992</v>
      </c>
      <c r="BC53" s="30" t="s">
        <v>990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1170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1220</v>
      </c>
      <c r="BC54" s="30" t="s">
        <v>36</v>
      </c>
      <c r="BD54" s="30" t="s">
        <v>37</v>
      </c>
      <c r="BF54" s="30" t="s">
        <v>1063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1344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991</v>
      </c>
      <c r="BC55" s="30" t="s">
        <v>993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1345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1373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992</v>
      </c>
      <c r="BC57" s="30" t="s">
        <v>990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1346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1373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992</v>
      </c>
      <c r="BC58" s="30" t="s">
        <v>990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1347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1373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992</v>
      </c>
      <c r="BC59" s="30" t="s">
        <v>990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1348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1373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991</v>
      </c>
      <c r="BC60" s="30" t="s">
        <v>993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1349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1373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991</v>
      </c>
      <c r="BC61" s="30" t="s">
        <v>993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1350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1373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991</v>
      </c>
      <c r="BC62" s="30" t="s">
        <v>993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1351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1373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991</v>
      </c>
      <c r="BC63" s="30" t="s">
        <v>993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1352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1373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991</v>
      </c>
      <c r="BC64" s="30" t="s">
        <v>993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1353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1373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992</v>
      </c>
      <c r="BC65" s="30" t="s">
        <v>990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1151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992</v>
      </c>
      <c r="BC66" s="30" t="s">
        <v>990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1152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992</v>
      </c>
      <c r="BC67" s="30" t="s">
        <v>990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1153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992</v>
      </c>
      <c r="BC68" s="30" t="s">
        <v>990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1241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991</v>
      </c>
      <c r="BC69" s="30" t="s">
        <v>993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1240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991</v>
      </c>
      <c r="BC70" s="30" t="s">
        <v>993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1154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992</v>
      </c>
      <c r="BC71" s="30" t="s">
        <v>990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1063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1063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1063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1063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1063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1063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1183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1063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1183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1063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1184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1063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1183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1063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1183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1063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1063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1063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1063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1063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1063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1063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1063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1063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1385</v>
      </c>
      <c r="F94" s="36" t="str">
        <f>IF(ISBLANK(Table2[[#This Row],[unique_id]]), "", PROPER(SUBSTITUTE(Table2[[#This Row],[unique_id]], "_", " ")))</f>
        <v>Home Started</v>
      </c>
      <c r="G94" s="30" t="s">
        <v>1386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1358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1359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1379</v>
      </c>
      <c r="F103" s="36" t="str">
        <f>IF(ISBLANK(Table2[[#This Row],[unique_id]]), "", PROPER(SUBSTITUTE(Table2[[#This Row],[unique_id]], "_", " ")))</f>
        <v>Edwin Wakeup</v>
      </c>
      <c r="G103" s="30" t="s">
        <v>1377</v>
      </c>
      <c r="H103" s="30" t="s">
        <v>311</v>
      </c>
      <c r="I103" s="30" t="s">
        <v>132</v>
      </c>
      <c r="J103" s="30" t="s">
        <v>1382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1380</v>
      </c>
      <c r="F104" s="36" t="str">
        <f>IF(ISBLANK(Table2[[#This Row],[unique_id]]), "", PROPER(SUBSTITUTE(Table2[[#This Row],[unique_id]], "_", " ")))</f>
        <v>Edwin Playtime</v>
      </c>
      <c r="G104" s="30" t="s">
        <v>1387</v>
      </c>
      <c r="H104" s="30" t="s">
        <v>311</v>
      </c>
      <c r="I104" s="30" t="s">
        <v>132</v>
      </c>
      <c r="J104" s="30" t="s">
        <v>1383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1381</v>
      </c>
      <c r="F105" s="36" t="str">
        <f>IF(ISBLANK(Table2[[#This Row],[unique_id]]), "", PROPER(SUBSTITUTE(Table2[[#This Row],[unique_id]], "_", " ")))</f>
        <v>Edwin Goodnight</v>
      </c>
      <c r="G105" s="30" t="s">
        <v>1378</v>
      </c>
      <c r="H105" s="30" t="s">
        <v>311</v>
      </c>
      <c r="I105" s="30" t="s">
        <v>132</v>
      </c>
      <c r="J105" s="30" t="s">
        <v>1384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1391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1330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1066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1392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1330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977</v>
      </c>
      <c r="BK107" s="55" t="s">
        <v>1260</v>
      </c>
      <c r="BL107" s="55" t="s">
        <v>346</v>
      </c>
      <c r="BM107" s="55" t="s">
        <v>1301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1330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1330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977</v>
      </c>
      <c r="BK109" s="30" t="s">
        <v>1260</v>
      </c>
      <c r="BL109" s="30" t="s">
        <v>353</v>
      </c>
      <c r="BM109" s="30" t="s">
        <v>1311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1260</v>
      </c>
      <c r="BL110" s="30" t="s">
        <v>371</v>
      </c>
      <c r="BM110" s="30" t="s">
        <v>1278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1260</v>
      </c>
      <c r="BL111" s="30" t="s">
        <v>372</v>
      </c>
      <c r="BM111" s="30" t="s">
        <v>1279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1260</v>
      </c>
      <c r="BL112" s="30" t="s">
        <v>375</v>
      </c>
      <c r="BM112" s="30" t="s">
        <v>1280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1068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1109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1106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1109</v>
      </c>
      <c r="BF114" s="30" t="s">
        <v>887</v>
      </c>
      <c r="BG114" s="30" t="s">
        <v>206</v>
      </c>
      <c r="BK114" s="30" t="s">
        <v>1260</v>
      </c>
      <c r="BL114" s="30" t="s">
        <v>921</v>
      </c>
      <c r="BM114" s="30" t="s">
        <v>1282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1103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1109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1104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1109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1260</v>
      </c>
      <c r="BL117" s="30" t="s">
        <v>376</v>
      </c>
      <c r="BM117" s="30" t="s">
        <v>1283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1016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1260</v>
      </c>
      <c r="BL119" s="30" t="s">
        <v>373</v>
      </c>
      <c r="BM119" s="30" t="s">
        <v>1284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1017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1260</v>
      </c>
      <c r="BL120" s="30" t="s">
        <v>374</v>
      </c>
      <c r="BM120" s="39" t="s">
        <v>1285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1233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1234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1328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1232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1231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1425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1423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1424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1235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1321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1321</v>
      </c>
      <c r="BA131" s="30" t="str">
        <f>IF(ISBLANK(Table2[[#This Row],[device_model]]), "", Table2[[#This Row],[device_suggested_area]])</f>
        <v>Home</v>
      </c>
      <c r="BB131" s="30" t="s">
        <v>1325</v>
      </c>
      <c r="BC131" s="30" t="s">
        <v>1322</v>
      </c>
      <c r="BD131" s="30" t="s">
        <v>1321</v>
      </c>
      <c r="BF131" s="30" t="s">
        <v>1323</v>
      </c>
      <c r="BG131" s="30" t="s">
        <v>165</v>
      </c>
      <c r="BK131" s="30" t="s">
        <v>1259</v>
      </c>
      <c r="BL131" s="46" t="s">
        <v>1324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1420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994</v>
      </c>
      <c r="BC135" s="30" t="s">
        <v>565</v>
      </c>
      <c r="BD135" s="30" t="s">
        <v>377</v>
      </c>
      <c r="BE135" s="30" t="s">
        <v>1420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1420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994</v>
      </c>
      <c r="BC137" s="30" t="s">
        <v>565</v>
      </c>
      <c r="BD137" s="30" t="s">
        <v>377</v>
      </c>
      <c r="BE137" s="30" t="s">
        <v>1420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1360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1420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1360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995</v>
      </c>
      <c r="BC140" s="30" t="s">
        <v>487</v>
      </c>
      <c r="BD140" s="30" t="s">
        <v>377</v>
      </c>
      <c r="BE140" s="30" t="s">
        <v>1420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996</v>
      </c>
      <c r="BC141" s="30" t="s">
        <v>487</v>
      </c>
      <c r="BD141" s="30" t="s">
        <v>377</v>
      </c>
      <c r="BE141" s="30" t="s">
        <v>1420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997</v>
      </c>
      <c r="BC142" s="30" t="s">
        <v>487</v>
      </c>
      <c r="BD142" s="30" t="s">
        <v>377</v>
      </c>
      <c r="BE142" s="30" t="s">
        <v>1420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998</v>
      </c>
      <c r="BC143" s="30" t="s">
        <v>487</v>
      </c>
      <c r="BD143" s="30" t="s">
        <v>377</v>
      </c>
      <c r="BE143" s="30" t="s">
        <v>1420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999</v>
      </c>
      <c r="BC144" s="30" t="s">
        <v>487</v>
      </c>
      <c r="BD144" s="30" t="s">
        <v>377</v>
      </c>
      <c r="BE144" s="30" t="s">
        <v>1420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1000</v>
      </c>
      <c r="BC145" s="30" t="s">
        <v>487</v>
      </c>
      <c r="BD145" s="30" t="s">
        <v>377</v>
      </c>
      <c r="BE145" s="30" t="s">
        <v>1420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1551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1551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983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1214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1551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984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996</v>
      </c>
      <c r="BC149" s="30" t="s">
        <v>487</v>
      </c>
      <c r="BD149" s="30" t="s">
        <v>377</v>
      </c>
      <c r="BE149" s="30" t="s">
        <v>1420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997</v>
      </c>
      <c r="BC150" s="30" t="s">
        <v>487</v>
      </c>
      <c r="BD150" s="30" t="s">
        <v>377</v>
      </c>
      <c r="BE150" s="30" t="s">
        <v>1420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998</v>
      </c>
      <c r="BC151" s="30" t="s">
        <v>487</v>
      </c>
      <c r="BD151" s="30" t="s">
        <v>377</v>
      </c>
      <c r="BE151" s="30" t="s">
        <v>1420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999</v>
      </c>
      <c r="BC152" s="30" t="s">
        <v>487</v>
      </c>
      <c r="BD152" s="30" t="s">
        <v>377</v>
      </c>
      <c r="BE152" s="30" t="s">
        <v>1420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1000</v>
      </c>
      <c r="BC153" s="30" t="s">
        <v>487</v>
      </c>
      <c r="BD153" s="30" t="s">
        <v>377</v>
      </c>
      <c r="BE153" s="30" t="s">
        <v>1420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1001</v>
      </c>
      <c r="BC154" s="30" t="s">
        <v>487</v>
      </c>
      <c r="BD154" s="30" t="s">
        <v>377</v>
      </c>
      <c r="BE154" s="30" t="s">
        <v>1420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1002</v>
      </c>
      <c r="BC155" s="30" t="s">
        <v>487</v>
      </c>
      <c r="BD155" s="30" t="s">
        <v>377</v>
      </c>
      <c r="BE155" s="30" t="s">
        <v>1420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996</v>
      </c>
      <c r="BC156" s="30" t="s">
        <v>487</v>
      </c>
      <c r="BD156" s="30" t="s">
        <v>377</v>
      </c>
      <c r="BE156" s="30" t="s">
        <v>1420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997</v>
      </c>
      <c r="BC157" s="30" t="s">
        <v>487</v>
      </c>
      <c r="BD157" s="30" t="s">
        <v>377</v>
      </c>
      <c r="BE157" s="30" t="s">
        <v>1420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998</v>
      </c>
      <c r="BC158" s="30" t="s">
        <v>487</v>
      </c>
      <c r="BD158" s="30" t="s">
        <v>377</v>
      </c>
      <c r="BE158" s="30" t="s">
        <v>1420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999</v>
      </c>
      <c r="BC159" s="30" t="s">
        <v>487</v>
      </c>
      <c r="BD159" s="30" t="s">
        <v>377</v>
      </c>
      <c r="BE159" s="30" t="s">
        <v>1420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1507</v>
      </c>
      <c r="BD161" s="30" t="s">
        <v>377</v>
      </c>
      <c r="BE161" s="30" t="s">
        <v>1420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1360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994</v>
      </c>
      <c r="BC162" s="30" t="s">
        <v>1507</v>
      </c>
      <c r="BD162" s="30" t="s">
        <v>377</v>
      </c>
      <c r="BE162" s="30" t="s">
        <v>1420</v>
      </c>
      <c r="BF162" s="30" t="s">
        <v>488</v>
      </c>
      <c r="BG162" s="30" t="s">
        <v>194</v>
      </c>
      <c r="BI162" s="30" t="s">
        <v>687</v>
      </c>
      <c r="BL162" s="30" t="s">
        <v>1505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1500</v>
      </c>
      <c r="F163" s="36" t="str">
        <f>IF(ISBLANK(Table2[[#This Row],[unique_id]]), "", PROPER(SUBSTITUTE(Table2[[#This Row],[unique_id]], "_", " ")))</f>
        <v>Lounge Reading</v>
      </c>
      <c r="G163" s="30" t="s">
        <v>1513</v>
      </c>
      <c r="H163" s="30" t="s">
        <v>139</v>
      </c>
      <c r="I163" s="30" t="s">
        <v>132</v>
      </c>
      <c r="J163" s="30" t="s">
        <v>1503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1503</v>
      </c>
      <c r="BC163" s="30" t="s">
        <v>1506</v>
      </c>
      <c r="BD163" s="30" t="s">
        <v>377</v>
      </c>
      <c r="BE163" s="30" t="s">
        <v>1420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1501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1360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1504</v>
      </c>
      <c r="BC164" s="30" t="s">
        <v>1506</v>
      </c>
      <c r="BD164" s="30" t="s">
        <v>377</v>
      </c>
      <c r="BE164" s="30" t="s">
        <v>1420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996</v>
      </c>
      <c r="BC165" s="30" t="s">
        <v>487</v>
      </c>
      <c r="BD165" s="30" t="s">
        <v>377</v>
      </c>
      <c r="BE165" s="30" t="s">
        <v>1420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997</v>
      </c>
      <c r="BC166" s="30" t="s">
        <v>487</v>
      </c>
      <c r="BD166" s="30" t="s">
        <v>377</v>
      </c>
      <c r="BE166" s="30" t="s">
        <v>1420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998</v>
      </c>
      <c r="BC167" s="30" t="s">
        <v>487</v>
      </c>
      <c r="BD167" s="30" t="s">
        <v>377</v>
      </c>
      <c r="BE167" s="30" t="s">
        <v>1420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999</v>
      </c>
      <c r="BC168" s="30" t="s">
        <v>487</v>
      </c>
      <c r="BD168" s="30" t="s">
        <v>377</v>
      </c>
      <c r="BE168" s="30" t="s">
        <v>1420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1551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1551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985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1551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1551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986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1420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994</v>
      </c>
      <c r="BC174" s="30" t="s">
        <v>487</v>
      </c>
      <c r="BD174" s="30" t="s">
        <v>377</v>
      </c>
      <c r="BE174" s="30" t="s">
        <v>1420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996</v>
      </c>
      <c r="BC175" s="30" t="s">
        <v>565</v>
      </c>
      <c r="BD175" s="30" t="s">
        <v>377</v>
      </c>
      <c r="BE175" s="30" t="s">
        <v>1420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997</v>
      </c>
      <c r="BC176" s="30" t="s">
        <v>565</v>
      </c>
      <c r="BD176" s="30" t="s">
        <v>377</v>
      </c>
      <c r="BE176" s="30" t="s">
        <v>1420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998</v>
      </c>
      <c r="BC177" s="30" t="s">
        <v>565</v>
      </c>
      <c r="BD177" s="30" t="s">
        <v>377</v>
      </c>
      <c r="BE177" s="30" t="s">
        <v>1420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999</v>
      </c>
      <c r="BC178" s="30" t="s">
        <v>565</v>
      </c>
      <c r="BD178" s="30" t="s">
        <v>377</v>
      </c>
      <c r="BE178" s="30" t="s">
        <v>1420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1000</v>
      </c>
      <c r="BC179" s="30" t="s">
        <v>565</v>
      </c>
      <c r="BD179" s="30" t="s">
        <v>377</v>
      </c>
      <c r="BE179" s="30" t="s">
        <v>1420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1227</v>
      </c>
      <c r="F180" s="36" t="str">
        <f>IF(ISBLANK(Table2[[#This Row],[unique_id]]), "", PROPER(SUBSTITUTE(Table2[[#This Row],[unique_id]], "_", " ")))</f>
        <v>Kitchen Bench Lights Plug</v>
      </c>
      <c r="G180" s="30" t="s">
        <v>1228</v>
      </c>
      <c r="H180" s="30" t="s">
        <v>139</v>
      </c>
      <c r="I180" s="30" t="s">
        <v>132</v>
      </c>
      <c r="J180" s="30" t="s">
        <v>1230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978</v>
      </c>
      <c r="U180" s="30"/>
      <c r="V180" s="31"/>
      <c r="W180" s="31"/>
      <c r="X180" s="31"/>
      <c r="Y180" s="31"/>
      <c r="Z180" s="31"/>
      <c r="AA180" s="31" t="s">
        <v>1105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1229</v>
      </c>
      <c r="BC180" s="30" t="s">
        <v>767</v>
      </c>
      <c r="BD180" s="30" t="s">
        <v>1109</v>
      </c>
      <c r="BF180" s="30" t="s">
        <v>887</v>
      </c>
      <c r="BG180" s="30" t="s">
        <v>206</v>
      </c>
      <c r="BK180" s="30" t="s">
        <v>1260</v>
      </c>
      <c r="BL180" s="30" t="s">
        <v>919</v>
      </c>
      <c r="BM180" s="30" t="s">
        <v>1286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996</v>
      </c>
      <c r="BC181" s="30" t="s">
        <v>487</v>
      </c>
      <c r="BD181" s="30" t="s">
        <v>377</v>
      </c>
      <c r="BE181" s="30" t="s">
        <v>1420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997</v>
      </c>
      <c r="BC182" s="30" t="s">
        <v>487</v>
      </c>
      <c r="BD182" s="30" t="s">
        <v>377</v>
      </c>
      <c r="BE182" s="30" t="s">
        <v>1420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996</v>
      </c>
      <c r="BC183" s="30" t="s">
        <v>487</v>
      </c>
      <c r="BD183" s="30" t="s">
        <v>377</v>
      </c>
      <c r="BE183" s="30" t="s">
        <v>1420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997</v>
      </c>
      <c r="BC184" s="30" t="s">
        <v>487</v>
      </c>
      <c r="BD184" s="30" t="s">
        <v>377</v>
      </c>
      <c r="BE184" s="30" t="s">
        <v>1420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996</v>
      </c>
      <c r="BC185" s="30" t="s">
        <v>565</v>
      </c>
      <c r="BD185" s="30" t="s">
        <v>377</v>
      </c>
      <c r="BE185" s="30" t="s">
        <v>1420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997</v>
      </c>
      <c r="BC186" s="30" t="s">
        <v>565</v>
      </c>
      <c r="BD186" s="30" t="s">
        <v>377</v>
      </c>
      <c r="BE186" s="30" t="s">
        <v>1420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996</v>
      </c>
      <c r="BC187" s="30" t="s">
        <v>487</v>
      </c>
      <c r="BD187" s="30" t="s">
        <v>377</v>
      </c>
      <c r="BE187" s="30" t="s">
        <v>1420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997</v>
      </c>
      <c r="BC188" s="30" t="s">
        <v>487</v>
      </c>
      <c r="BD188" s="30" t="s">
        <v>377</v>
      </c>
      <c r="BE188" s="30" t="s">
        <v>1420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1551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1551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983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1551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984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996</v>
      </c>
      <c r="BC192" s="30" t="s">
        <v>565</v>
      </c>
      <c r="BD192" s="30" t="s">
        <v>377</v>
      </c>
      <c r="BE192" s="30" t="s">
        <v>1420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997</v>
      </c>
      <c r="BC193" s="30" t="s">
        <v>565</v>
      </c>
      <c r="BD193" s="30" t="s">
        <v>377</v>
      </c>
      <c r="BE193" s="30" t="s">
        <v>1420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1551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1551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983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1551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984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1551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987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996</v>
      </c>
      <c r="BC198" s="30" t="s">
        <v>565</v>
      </c>
      <c r="BD198" s="30" t="s">
        <v>377</v>
      </c>
      <c r="BE198" s="30" t="s">
        <v>1420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997</v>
      </c>
      <c r="BC199" s="30" t="s">
        <v>565</v>
      </c>
      <c r="BD199" s="30" t="s">
        <v>377</v>
      </c>
      <c r="BE199" s="30" t="s">
        <v>1420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1393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1394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976</v>
      </c>
      <c r="BK201" s="55" t="s">
        <v>1260</v>
      </c>
      <c r="BL201" s="55" t="s">
        <v>561</v>
      </c>
      <c r="BM201" s="55" t="s">
        <v>1287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1068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1110</v>
      </c>
      <c r="BD202" s="30" t="s">
        <v>1109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1050</v>
      </c>
      <c r="U203" s="30"/>
      <c r="V203" s="31"/>
      <c r="W203" s="31"/>
      <c r="X203" s="31"/>
      <c r="Y203" s="31"/>
      <c r="Z203" s="31"/>
      <c r="AA203" s="42" t="s">
        <v>1102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1110</v>
      </c>
      <c r="BD203" s="30" t="s">
        <v>1109</v>
      </c>
      <c r="BF203" s="30" t="s">
        <v>887</v>
      </c>
      <c r="BG203" s="30" t="s">
        <v>357</v>
      </c>
      <c r="BK203" s="30" t="s">
        <v>1260</v>
      </c>
      <c r="BL203" s="30" t="s">
        <v>1052</v>
      </c>
      <c r="BM203" s="30" t="s">
        <v>1288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1047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1202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1110</v>
      </c>
      <c r="BD204" s="30" t="s">
        <v>1109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1395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1396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976</v>
      </c>
      <c r="BK206" s="55" t="s">
        <v>1260</v>
      </c>
      <c r="BL206" s="55" t="s">
        <v>560</v>
      </c>
      <c r="BM206" s="55" t="s">
        <v>1289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1068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1111</v>
      </c>
      <c r="BD207" s="30" t="s">
        <v>1109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1049</v>
      </c>
      <c r="U208" s="30"/>
      <c r="V208" s="31"/>
      <c r="W208" s="31"/>
      <c r="X208" s="31"/>
      <c r="Y208" s="31"/>
      <c r="Z208" s="31"/>
      <c r="AA208" s="42" t="s">
        <v>1102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1111</v>
      </c>
      <c r="BD208" s="30" t="s">
        <v>1109</v>
      </c>
      <c r="BF208" s="30" t="s">
        <v>887</v>
      </c>
      <c r="BG208" s="30" t="s">
        <v>559</v>
      </c>
      <c r="BK208" s="30" t="s">
        <v>1260</v>
      </c>
      <c r="BL208" s="30" t="s">
        <v>1051</v>
      </c>
      <c r="BM208" s="30" t="s">
        <v>1290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1420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1003</v>
      </c>
      <c r="BC210" s="30" t="s">
        <v>566</v>
      </c>
      <c r="BD210" s="30" t="s">
        <v>377</v>
      </c>
      <c r="BE210" s="30" t="s">
        <v>1420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1004</v>
      </c>
      <c r="BC211" s="30" t="s">
        <v>566</v>
      </c>
      <c r="BD211" s="30" t="s">
        <v>377</v>
      </c>
      <c r="BE211" s="30" t="s">
        <v>1420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1005</v>
      </c>
      <c r="BC212" s="30" t="s">
        <v>566</v>
      </c>
      <c r="BD212" s="30" t="s">
        <v>377</v>
      </c>
      <c r="BE212" s="30" t="s">
        <v>1420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1006</v>
      </c>
      <c r="BC213" s="30" t="s">
        <v>566</v>
      </c>
      <c r="BD213" s="30" t="s">
        <v>377</v>
      </c>
      <c r="BE213" s="30" t="s">
        <v>1420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975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1007</v>
      </c>
      <c r="BC214" s="30" t="s">
        <v>566</v>
      </c>
      <c r="BD214" s="30" t="s">
        <v>377</v>
      </c>
      <c r="BE214" s="30" t="s">
        <v>1420</v>
      </c>
      <c r="BF214" s="30" t="s">
        <v>564</v>
      </c>
      <c r="BG214" s="30" t="s">
        <v>576</v>
      </c>
      <c r="BL214" s="30" t="s">
        <v>1053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975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1008</v>
      </c>
      <c r="BC215" s="30" t="s">
        <v>566</v>
      </c>
      <c r="BD215" s="30" t="s">
        <v>377</v>
      </c>
      <c r="BE215" s="30" t="s">
        <v>1420</v>
      </c>
      <c r="BF215" s="30" t="s">
        <v>564</v>
      </c>
      <c r="BG215" s="30" t="s">
        <v>576</v>
      </c>
      <c r="BL215" s="30" t="s">
        <v>1053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975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1009</v>
      </c>
      <c r="BC216" s="30" t="s">
        <v>566</v>
      </c>
      <c r="BD216" s="30" t="s">
        <v>377</v>
      </c>
      <c r="BE216" s="30" t="s">
        <v>1420</v>
      </c>
      <c r="BF216" s="30" t="s">
        <v>564</v>
      </c>
      <c r="BG216" s="30" t="s">
        <v>576</v>
      </c>
      <c r="BL216" s="30" t="s">
        <v>1053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975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1010</v>
      </c>
      <c r="BC217" s="30" t="s">
        <v>566</v>
      </c>
      <c r="BD217" s="30" t="s">
        <v>377</v>
      </c>
      <c r="BE217" s="30" t="s">
        <v>1420</v>
      </c>
      <c r="BF217" s="30" t="s">
        <v>564</v>
      </c>
      <c r="BG217" s="30" t="s">
        <v>576</v>
      </c>
      <c r="BL217" s="30" t="s">
        <v>1053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1420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1011</v>
      </c>
      <c r="BC219" s="30" t="s">
        <v>572</v>
      </c>
      <c r="BD219" s="30" t="s">
        <v>377</v>
      </c>
      <c r="BE219" s="30" t="s">
        <v>1420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1012</v>
      </c>
      <c r="BC220" s="30" t="s">
        <v>572</v>
      </c>
      <c r="BD220" s="30" t="s">
        <v>377</v>
      </c>
      <c r="BE220" s="30" t="s">
        <v>1420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975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1013</v>
      </c>
      <c r="BC221" s="30" t="s">
        <v>572</v>
      </c>
      <c r="BD221" s="30" t="s">
        <v>377</v>
      </c>
      <c r="BE221" s="30" t="s">
        <v>1420</v>
      </c>
      <c r="BF221" s="30" t="s">
        <v>564</v>
      </c>
      <c r="BG221" s="30" t="s">
        <v>571</v>
      </c>
      <c r="BL221" s="30" t="s">
        <v>1053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1067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1019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1019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977</v>
      </c>
      <c r="BK224" s="30" t="s">
        <v>1260</v>
      </c>
      <c r="BL224" s="30" t="s">
        <v>350</v>
      </c>
      <c r="BM224" s="30" t="s">
        <v>1291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1089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1164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1067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1109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1090</v>
      </c>
      <c r="F226" s="36" t="str">
        <f>IF(ISBLANK(Table2[[#This Row],[unique_id]]), "", PROPER(SUBSTITUTE(Table2[[#This Row],[unique_id]], "_", " ")))</f>
        <v>Ceiling Water Booster Plug</v>
      </c>
      <c r="G226" s="30" t="s">
        <v>1164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1106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1109</v>
      </c>
      <c r="BF226" s="30" t="s">
        <v>887</v>
      </c>
      <c r="BG226" s="30" t="s">
        <v>403</v>
      </c>
      <c r="BK226" s="30" t="s">
        <v>1260</v>
      </c>
      <c r="BL226" s="30" t="s">
        <v>442</v>
      </c>
      <c r="BM226" s="30" t="s">
        <v>1292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1091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1103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1109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1092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1104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1109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1097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1067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1109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1098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1106</v>
      </c>
      <c r="AB230" s="30"/>
      <c r="AC230" s="30"/>
      <c r="AE230" s="30" t="s">
        <v>1101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1109</v>
      </c>
      <c r="BF230" s="30" t="s">
        <v>887</v>
      </c>
      <c r="BG230" s="30" t="s">
        <v>576</v>
      </c>
      <c r="BK230" s="30" t="s">
        <v>1260</v>
      </c>
      <c r="BL230" s="30" t="s">
        <v>1045</v>
      </c>
      <c r="BM230" s="30" t="s">
        <v>1293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1099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1103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1109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1100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1104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1109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1048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1155</v>
      </c>
      <c r="H233" s="30" t="s">
        <v>1329</v>
      </c>
      <c r="I233" s="30" t="s">
        <v>132</v>
      </c>
      <c r="K233" s="30" t="s">
        <v>1163</v>
      </c>
      <c r="O233" s="31"/>
      <c r="P233" s="30"/>
      <c r="T233" s="37"/>
      <c r="U233" s="30" t="s">
        <v>436</v>
      </c>
      <c r="V233" s="31" t="s">
        <v>1178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1112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1111</v>
      </c>
      <c r="BD233" s="30" t="s">
        <v>1109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1163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1155</v>
      </c>
      <c r="H234" s="30" t="s">
        <v>1329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1071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1072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1073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1074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1075</v>
      </c>
      <c r="F246" s="36" t="str">
        <f>IF(ISBLANK(Table2[[#This Row],[unique_id]]), "", PROPER(SUBSTITUTE(Table2[[#This Row],[unique_id]], "_", " ")))</f>
        <v>Water Booster Power</v>
      </c>
      <c r="G246" s="30" t="s">
        <v>1164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1076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1077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1078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1079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1080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1081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1082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1083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1084</v>
      </c>
      <c r="F269" s="36" t="str">
        <f>IF(ISBLANK(Table2[[#This Row],[unique_id]]), "", PROPER(SUBSTITUTE(Table2[[#This Row],[unique_id]], "_", " ")))</f>
        <v>Water Booster Energy Daily</v>
      </c>
      <c r="G269" s="30" t="s">
        <v>1164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1085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1086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1087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1088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1029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1259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1326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1186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1555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1138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homeassistant/sensor/networks/network_internet_uptime/config</v>
      </c>
      <c r="AK283" s="30" t="str">
        <f>IF(ISBLANK(Table2[[#This Row],[index]]),  "", _xlfn.CONCAT("telegraf/macmini-meg/", LOWER(Table2[[#This Row],[device_via_device]])))</f>
        <v>telegraf/macmini-meg/networks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1117</v>
      </c>
      <c r="BC283" s="30" t="s">
        <v>1119</v>
      </c>
      <c r="BD283" s="30" t="s">
        <v>1118</v>
      </c>
      <c r="BF283" s="30" t="s">
        <v>989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1555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1138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homeassistant/sensor/networks/network_internet_ping/config</v>
      </c>
      <c r="AK284" s="30" t="str">
        <f>IF(ISBLANK(Table2[[#This Row],[index]]),  "", _xlfn.CONCAT("telegraf/macmini-meg/", LOWER(Table2[[#This Row],[device_via_device]])))</f>
        <v>telegraf/macmini-meg/networks</v>
      </c>
      <c r="AR284" s="48" t="s">
        <v>1223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1117</v>
      </c>
      <c r="BC284" s="30" t="s">
        <v>1119</v>
      </c>
      <c r="BD284" s="30" t="s">
        <v>1118</v>
      </c>
      <c r="BF284" s="30" t="s">
        <v>989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1555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1138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homeassistant/sensor/networks/network_internet_upload/config</v>
      </c>
      <c r="AK285" s="30" t="str">
        <f>IF(ISBLANK(Table2[[#This Row],[index]]),  "", _xlfn.CONCAT("telegraf/macmini-meg/", LOWER(Table2[[#This Row],[device_via_device]])))</f>
        <v>telegraf/macmini-meg/networks</v>
      </c>
      <c r="AR285" s="48" t="s">
        <v>1224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1117</v>
      </c>
      <c r="BC285" s="30" t="s">
        <v>1119</v>
      </c>
      <c r="BD285" s="30" t="s">
        <v>1118</v>
      </c>
      <c r="BF285" s="30" t="s">
        <v>989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1555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1138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homeassistant/sensor/networks/network_internet_download/config</v>
      </c>
      <c r="AK286" s="30" t="str">
        <f>IF(ISBLANK(Table2[[#This Row],[index]]),  "", _xlfn.CONCAT("telegraf/macmini-meg/", LOWER(Table2[[#This Row],[device_via_device]])))</f>
        <v>telegraf/macmini-meg/networks</v>
      </c>
      <c r="AR286" s="48" t="s">
        <v>1225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1117</v>
      </c>
      <c r="BC286" s="30" t="s">
        <v>1119</v>
      </c>
      <c r="BD286" s="30" t="s">
        <v>1118</v>
      </c>
      <c r="BF286" s="30" t="s">
        <v>989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1555</v>
      </c>
      <c r="D287" s="30" t="s">
        <v>27</v>
      </c>
      <c r="E287" s="30" t="s">
        <v>1221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1138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homeassistant/sensor/networks/network_certificate_expiry/config</v>
      </c>
      <c r="AK287" s="30" t="str">
        <f>IF(ISBLANK(Table2[[#This Row],[index]]),  "", _xlfn.CONCAT("telegraf/macmini-meg/", LOWER(Table2[[#This Row],[device_via_device]])))</f>
        <v>telegraf/macmini-meg/networks</v>
      </c>
      <c r="AR287" s="48" t="s">
        <v>1226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1117</v>
      </c>
      <c r="BC287" s="30" t="s">
        <v>1119</v>
      </c>
      <c r="BD287" s="30" t="s">
        <v>1118</v>
      </c>
      <c r="BF287" s="30" t="s">
        <v>989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1555</v>
      </c>
      <c r="D288" s="30" t="s">
        <v>27</v>
      </c>
      <c r="E288" s="30" t="s">
        <v>1196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1199</v>
      </c>
      <c r="H288" s="30" t="s">
        <v>1195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1198</v>
      </c>
      <c r="AF288" s="30">
        <v>200</v>
      </c>
      <c r="AG288" s="31" t="s">
        <v>34</v>
      </c>
      <c r="AH288" s="31"/>
      <c r="AI288" s="30" t="s">
        <v>1138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homeassistant/sensor/networks/deck_wifi_access_point_experience/config</v>
      </c>
      <c r="AK288" s="30" t="str">
        <f>IF(ISBLANK(Table2[[#This Row],[index]]),  "", _xlfn.CONCAT("telegraf/macmini-meg/", LOWER(Table2[[#This Row],[device_via_device]])))</f>
        <v>telegraf/macmini-meg/networks</v>
      </c>
      <c r="AR288" s="48" t="s">
        <v>1183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1117</v>
      </c>
      <c r="BC288" s="30" t="s">
        <v>1119</v>
      </c>
      <c r="BD288" s="30" t="s">
        <v>1118</v>
      </c>
      <c r="BF288" s="30" t="s">
        <v>989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1555</v>
      </c>
      <c r="D289" s="30" t="s">
        <v>27</v>
      </c>
      <c r="E289" s="30" t="s">
        <v>1197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1200</v>
      </c>
      <c r="H289" s="30" t="s">
        <v>1195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1198</v>
      </c>
      <c r="AF289" s="30">
        <v>200</v>
      </c>
      <c r="AG289" s="31" t="s">
        <v>34</v>
      </c>
      <c r="AH289" s="31"/>
      <c r="AI289" s="30" t="s">
        <v>1138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homeassistant/sensor/networks/hallway_wifi_access_point_experience/config</v>
      </c>
      <c r="AK289" s="30" t="str">
        <f>IF(ISBLANK(Table2[[#This Row],[index]]),  "", _xlfn.CONCAT("telegraf/macmini-meg/", LOWER(Table2[[#This Row],[device_via_device]])))</f>
        <v>telegraf/macmini-meg/networks</v>
      </c>
      <c r="AR289" s="48" t="s">
        <v>1183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1117</v>
      </c>
      <c r="BC289" s="30" t="s">
        <v>1119</v>
      </c>
      <c r="BD289" s="30" t="s">
        <v>1118</v>
      </c>
      <c r="BF289" s="30" t="s">
        <v>989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1508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1510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1509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1496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1220</v>
      </c>
      <c r="BC298" s="30" t="s">
        <v>36</v>
      </c>
      <c r="BD298" s="30" t="s">
        <v>37</v>
      </c>
      <c r="BF298" s="30" t="s">
        <v>1063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hidden="1" customHeight="1" x14ac:dyDescent="0.2">
      <c r="A301" s="30">
        <v>2519</v>
      </c>
      <c r="B301" s="30" t="s">
        <v>26</v>
      </c>
      <c r="C301" s="30" t="s">
        <v>1188</v>
      </c>
      <c r="D301" s="30" t="s">
        <v>134</v>
      </c>
      <c r="E301" s="30" t="s">
        <v>1516</v>
      </c>
      <c r="F301" s="30" t="str">
        <f>IF(ISBLANK(Table2[[#This Row],[unique_id]]), "", PROPER(SUBSTITUTE(Table2[[#This Row],[unique_id]], "_", " ")))</f>
        <v>Service Plex</v>
      </c>
      <c r="G301" s="30" t="s">
        <v>1189</v>
      </c>
      <c r="H301" s="30" t="s">
        <v>1187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1549</v>
      </c>
      <c r="AF301" s="30">
        <v>6</v>
      </c>
      <c r="AG301" s="31" t="s">
        <v>34</v>
      </c>
      <c r="AH301" s="31"/>
      <c r="AI301" s="30" t="s">
        <v>1477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1548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1188</v>
      </c>
      <c r="BC301" s="30" t="s">
        <v>1514</v>
      </c>
      <c r="BD301" s="30" t="s">
        <v>1118</v>
      </c>
      <c r="BF301" s="30" t="s">
        <v>989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hidden="1" customHeight="1" x14ac:dyDescent="0.2">
      <c r="A302" s="30">
        <v>2520</v>
      </c>
      <c r="B302" s="30" t="s">
        <v>26</v>
      </c>
      <c r="C302" s="30" t="s">
        <v>1188</v>
      </c>
      <c r="D302" s="30" t="s">
        <v>134</v>
      </c>
      <c r="E302" s="30" t="s">
        <v>1517</v>
      </c>
      <c r="F302" s="30" t="str">
        <f>IF(ISBLANK(Table2[[#This Row],[unique_id]]), "", PROPER(SUBSTITUTE(Table2[[#This Row],[unique_id]], "_", " ")))</f>
        <v>Service Sabnzbd</v>
      </c>
      <c r="G302" s="30" t="s">
        <v>1540</v>
      </c>
      <c r="H302" s="30" t="s">
        <v>1187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1549</v>
      </c>
      <c r="AF302" s="30">
        <v>6</v>
      </c>
      <c r="AG302" s="31" t="s">
        <v>34</v>
      </c>
      <c r="AH302" s="31"/>
      <c r="AI302" s="30" t="s">
        <v>1477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1548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1188</v>
      </c>
      <c r="BC302" s="30" t="s">
        <v>1514</v>
      </c>
      <c r="BD302" s="30" t="s">
        <v>1118</v>
      </c>
      <c r="BF302" s="30" t="s">
        <v>989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hidden="1" customHeight="1" x14ac:dyDescent="0.2">
      <c r="A303" s="30">
        <v>2521</v>
      </c>
      <c r="B303" s="30" t="s">
        <v>26</v>
      </c>
      <c r="C303" s="30" t="s">
        <v>1188</v>
      </c>
      <c r="D303" s="30" t="s">
        <v>134</v>
      </c>
      <c r="E303" s="30" t="s">
        <v>1518</v>
      </c>
      <c r="F303" s="30" t="str">
        <f>IF(ISBLANK(Table2[[#This Row],[unique_id]]), "", PROPER(SUBSTITUTE(Table2[[#This Row],[unique_id]], "_", " ")))</f>
        <v>Service Influxdb3</v>
      </c>
      <c r="G303" s="30" t="s">
        <v>1539</v>
      </c>
      <c r="H303" s="30" t="s">
        <v>1187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1549</v>
      </c>
      <c r="AF303" s="30">
        <v>6</v>
      </c>
      <c r="AG303" s="31" t="s">
        <v>34</v>
      </c>
      <c r="AH303" s="31"/>
      <c r="AI303" s="30" t="s">
        <v>1478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1548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1188</v>
      </c>
      <c r="BC303" s="30" t="s">
        <v>1514</v>
      </c>
      <c r="BD303" s="30" t="s">
        <v>1118</v>
      </c>
      <c r="BF303" s="30" t="s">
        <v>989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hidden="1" customHeight="1" x14ac:dyDescent="0.2">
      <c r="A304" s="30">
        <v>2522</v>
      </c>
      <c r="B304" s="30" t="s">
        <v>26</v>
      </c>
      <c r="C304" s="30" t="s">
        <v>1188</v>
      </c>
      <c r="D304" s="30" t="s">
        <v>134</v>
      </c>
      <c r="E304" s="30" t="s">
        <v>1519</v>
      </c>
      <c r="F304" s="30" t="str">
        <f>IF(ISBLANK(Table2[[#This Row],[unique_id]]), "", PROPER(SUBSTITUTE(Table2[[#This Row],[unique_id]], "_", " ")))</f>
        <v>Service Mlflow</v>
      </c>
      <c r="G304" s="30" t="s">
        <v>1541</v>
      </c>
      <c r="H304" s="30" t="s">
        <v>1187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1549</v>
      </c>
      <c r="AF304" s="30">
        <v>6</v>
      </c>
      <c r="AG304" s="31" t="s">
        <v>34</v>
      </c>
      <c r="AH304" s="31"/>
      <c r="AI304" s="30" t="s">
        <v>1478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1548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1188</v>
      </c>
      <c r="BC304" s="30" t="s">
        <v>1514</v>
      </c>
      <c r="BD304" s="30" t="s">
        <v>1118</v>
      </c>
      <c r="BF304" s="30" t="s">
        <v>989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hidden="1" customHeight="1" x14ac:dyDescent="0.2">
      <c r="A305" s="30">
        <v>2523</v>
      </c>
      <c r="B305" s="30" t="s">
        <v>26</v>
      </c>
      <c r="C305" s="30" t="s">
        <v>1188</v>
      </c>
      <c r="D305" s="30" t="s">
        <v>134</v>
      </c>
      <c r="E305" s="30" t="s">
        <v>1520</v>
      </c>
      <c r="F305" s="30" t="str">
        <f>IF(ISBLANK(Table2[[#This Row],[unique_id]]), "", PROPER(SUBSTITUTE(Table2[[#This Row],[unique_id]], "_", " ")))</f>
        <v>Service Mlserver</v>
      </c>
      <c r="G305" s="30" t="s">
        <v>1542</v>
      </c>
      <c r="H305" s="30" t="s">
        <v>1187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1549</v>
      </c>
      <c r="AF305" s="30">
        <v>6</v>
      </c>
      <c r="AG305" s="31" t="s">
        <v>34</v>
      </c>
      <c r="AH305" s="31"/>
      <c r="AI305" s="30" t="s">
        <v>1478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1548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1188</v>
      </c>
      <c r="BC305" s="30" t="s">
        <v>1514</v>
      </c>
      <c r="BD305" s="30" t="s">
        <v>1118</v>
      </c>
      <c r="BF305" s="30" t="s">
        <v>989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hidden="1" customHeight="1" x14ac:dyDescent="0.2">
      <c r="A306" s="30">
        <v>2524</v>
      </c>
      <c r="B306" s="30" t="s">
        <v>26</v>
      </c>
      <c r="C306" s="30" t="s">
        <v>1188</v>
      </c>
      <c r="D306" s="30" t="s">
        <v>134</v>
      </c>
      <c r="E306" s="30" t="s">
        <v>1521</v>
      </c>
      <c r="F306" s="30" t="str">
        <f>IF(ISBLANK(Table2[[#This Row],[unique_id]]), "", PROPER(SUBSTITUTE(Table2[[#This Row],[unique_id]], "_", " ")))</f>
        <v>Service Openra</v>
      </c>
      <c r="G306" s="30" t="s">
        <v>1543</v>
      </c>
      <c r="H306" s="30" t="s">
        <v>1187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1549</v>
      </c>
      <c r="AF306" s="30">
        <v>6</v>
      </c>
      <c r="AG306" s="31" t="s">
        <v>34</v>
      </c>
      <c r="AH306" s="31"/>
      <c r="AI306" s="30" t="s">
        <v>1478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1548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1188</v>
      </c>
      <c r="BC306" s="30" t="s">
        <v>1514</v>
      </c>
      <c r="BD306" s="30" t="s">
        <v>1118</v>
      </c>
      <c r="BF306" s="30" t="s">
        <v>989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hidden="1" customHeight="1" x14ac:dyDescent="0.2">
      <c r="A307" s="30">
        <v>2525</v>
      </c>
      <c r="B307" s="30" t="s">
        <v>579</v>
      </c>
      <c r="C307" s="30" t="s">
        <v>1188</v>
      </c>
      <c r="D307" s="30" t="s">
        <v>134</v>
      </c>
      <c r="E307" s="30" t="s">
        <v>1522</v>
      </c>
      <c r="F307" s="30" t="str">
        <f>IF(ISBLANK(Table2[[#This Row],[unique_id]]), "", PROPER(SUBSTITUTE(Table2[[#This Row],[unique_id]], "_", " ")))</f>
        <v>Service Rhasspy</v>
      </c>
      <c r="G307" s="30" t="s">
        <v>1536</v>
      </c>
      <c r="H307" s="30" t="s">
        <v>1187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1549</v>
      </c>
      <c r="AF307" s="30">
        <v>6</v>
      </c>
      <c r="AG307" s="31" t="s">
        <v>34</v>
      </c>
      <c r="AH307" s="31"/>
      <c r="AI307" s="30" t="s">
        <v>1478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1548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1188</v>
      </c>
      <c r="BC307" s="30" t="s">
        <v>1514</v>
      </c>
      <c r="BD307" s="30" t="s">
        <v>1118</v>
      </c>
      <c r="BF307" s="30" t="s">
        <v>989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hidden="1" customHeight="1" x14ac:dyDescent="0.2">
      <c r="A308" s="30">
        <v>2526</v>
      </c>
      <c r="B308" s="30" t="s">
        <v>26</v>
      </c>
      <c r="C308" s="30" t="s">
        <v>1188</v>
      </c>
      <c r="D308" s="30" t="s">
        <v>134</v>
      </c>
      <c r="E308" s="30" t="s">
        <v>1554</v>
      </c>
      <c r="F308" s="30" t="str">
        <f>IF(ISBLANK(Table2[[#This Row],[unique_id]]), "", PROPER(SUBSTITUTE(Table2[[#This Row],[unique_id]], "_", " ")))</f>
        <v>Service Tempstat</v>
      </c>
      <c r="G308" s="30" t="s">
        <v>1550</v>
      </c>
      <c r="H308" s="30" t="s">
        <v>1187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1549</v>
      </c>
      <c r="AF308" s="30">
        <v>6</v>
      </c>
      <c r="AG308" s="31" t="s">
        <v>34</v>
      </c>
      <c r="AH308" s="31"/>
      <c r="AI308" s="30" t="s">
        <v>1442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1548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1188</v>
      </c>
      <c r="BC308" s="30" t="s">
        <v>1514</v>
      </c>
      <c r="BD308" s="30" t="s">
        <v>1118</v>
      </c>
      <c r="BF308" s="30" t="s">
        <v>989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hidden="1" customHeight="1" x14ac:dyDescent="0.2">
      <c r="A309" s="30">
        <v>2527</v>
      </c>
      <c r="B309" s="30" t="s">
        <v>26</v>
      </c>
      <c r="C309" s="30" t="s">
        <v>1188</v>
      </c>
      <c r="D309" s="30" t="s">
        <v>134</v>
      </c>
      <c r="E309" s="30" t="s">
        <v>1523</v>
      </c>
      <c r="F309" s="30" t="str">
        <f>IF(ISBLANK(Table2[[#This Row],[unique_id]]), "", PROPER(SUBSTITUTE(Table2[[#This Row],[unique_id]], "_", " ")))</f>
        <v>Service Grafana</v>
      </c>
      <c r="G309" s="30" t="s">
        <v>1190</v>
      </c>
      <c r="H309" s="30" t="s">
        <v>1187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1549</v>
      </c>
      <c r="AF309" s="30">
        <v>6</v>
      </c>
      <c r="AG309" s="31" t="s">
        <v>34</v>
      </c>
      <c r="AH309" s="31"/>
      <c r="AI309" s="30" t="s">
        <v>1442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1548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1188</v>
      </c>
      <c r="BC309" s="30" t="s">
        <v>1514</v>
      </c>
      <c r="BD309" s="30" t="s">
        <v>1118</v>
      </c>
      <c r="BF309" s="30" t="s">
        <v>989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hidden="1" customHeight="1" x14ac:dyDescent="0.2">
      <c r="A310" s="30">
        <v>2528</v>
      </c>
      <c r="B310" s="30" t="s">
        <v>26</v>
      </c>
      <c r="C310" s="30" t="s">
        <v>1188</v>
      </c>
      <c r="D310" s="30" t="s">
        <v>134</v>
      </c>
      <c r="E310" s="30" t="s">
        <v>1524</v>
      </c>
      <c r="F310" s="30" t="str">
        <f>IF(ISBLANK(Table2[[#This Row],[unique_id]]), "", PROPER(SUBSTITUTE(Table2[[#This Row],[unique_id]], "_", " ")))</f>
        <v>Service Influxdb</v>
      </c>
      <c r="G310" s="30" t="s">
        <v>1539</v>
      </c>
      <c r="H310" s="30" t="s">
        <v>1187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1549</v>
      </c>
      <c r="AF310" s="30">
        <v>6</v>
      </c>
      <c r="AG310" s="31" t="s">
        <v>34</v>
      </c>
      <c r="AH310" s="31"/>
      <c r="AI310" s="30" t="s">
        <v>1442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1548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1188</v>
      </c>
      <c r="BC310" s="30" t="s">
        <v>1514</v>
      </c>
      <c r="BD310" s="30" t="s">
        <v>1118</v>
      </c>
      <c r="BF310" s="30" t="s">
        <v>989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hidden="1" customHeight="1" x14ac:dyDescent="0.2">
      <c r="A311" s="30">
        <v>2529</v>
      </c>
      <c r="B311" s="30" t="s">
        <v>26</v>
      </c>
      <c r="C311" s="30" t="s">
        <v>1188</v>
      </c>
      <c r="D311" s="30" t="s">
        <v>134</v>
      </c>
      <c r="E311" s="30" t="s">
        <v>1525</v>
      </c>
      <c r="F311" s="30" t="str">
        <f>IF(ISBLANK(Table2[[#This Row],[unique_id]]), "", PROPER(SUBSTITUTE(Table2[[#This Row],[unique_id]], "_", " ")))</f>
        <v>Service Letsencrypt</v>
      </c>
      <c r="G311" s="30" t="s">
        <v>1544</v>
      </c>
      <c r="H311" s="30" t="s">
        <v>1187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1549</v>
      </c>
      <c r="AF311" s="30">
        <v>6</v>
      </c>
      <c r="AG311" s="31" t="s">
        <v>34</v>
      </c>
      <c r="AH311" s="31"/>
      <c r="AI311" s="30" t="s">
        <v>1442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1548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1188</v>
      </c>
      <c r="BC311" s="30" t="s">
        <v>1514</v>
      </c>
      <c r="BD311" s="30" t="s">
        <v>1118</v>
      </c>
      <c r="BF311" s="30" t="s">
        <v>989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hidden="1" customHeight="1" x14ac:dyDescent="0.2">
      <c r="A312" s="30">
        <v>2530</v>
      </c>
      <c r="B312" s="30" t="s">
        <v>26</v>
      </c>
      <c r="C312" s="30" t="s">
        <v>1188</v>
      </c>
      <c r="D312" s="30" t="s">
        <v>134</v>
      </c>
      <c r="E312" s="30" t="s">
        <v>1526</v>
      </c>
      <c r="F312" s="30" t="str">
        <f>IF(ISBLANK(Table2[[#This Row],[unique_id]]), "", PROPER(SUBSTITUTE(Table2[[#This Row],[unique_id]], "_", " ")))</f>
        <v>Service Sonarr</v>
      </c>
      <c r="G312" s="30" t="s">
        <v>1537</v>
      </c>
      <c r="H312" s="30" t="s">
        <v>1187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1549</v>
      </c>
      <c r="AF312" s="30">
        <v>6</v>
      </c>
      <c r="AG312" s="31" t="s">
        <v>34</v>
      </c>
      <c r="AH312" s="31"/>
      <c r="AI312" s="30" t="s">
        <v>1442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1548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1188</v>
      </c>
      <c r="BC312" s="30" t="s">
        <v>1514</v>
      </c>
      <c r="BD312" s="30" t="s">
        <v>1118</v>
      </c>
      <c r="BF312" s="30" t="s">
        <v>989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hidden="1" customHeight="1" x14ac:dyDescent="0.2">
      <c r="A313" s="30">
        <v>2531</v>
      </c>
      <c r="B313" s="30" t="s">
        <v>26</v>
      </c>
      <c r="C313" s="30" t="s">
        <v>1188</v>
      </c>
      <c r="D313" s="30" t="s">
        <v>134</v>
      </c>
      <c r="E313" s="30" t="s">
        <v>1527</v>
      </c>
      <c r="F313" s="30" t="str">
        <f>IF(ISBLANK(Table2[[#This Row],[unique_id]]), "", PROPER(SUBSTITUTE(Table2[[#This Row],[unique_id]], "_", " ")))</f>
        <v>Service Unpoller</v>
      </c>
      <c r="G313" s="30" t="s">
        <v>1538</v>
      </c>
      <c r="H313" s="30" t="s">
        <v>1187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1549</v>
      </c>
      <c r="AF313" s="30">
        <v>6</v>
      </c>
      <c r="AG313" s="31" t="s">
        <v>34</v>
      </c>
      <c r="AH313" s="31"/>
      <c r="AI313" s="30" t="s">
        <v>1442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1548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1188</v>
      </c>
      <c r="BC313" s="30" t="s">
        <v>1514</v>
      </c>
      <c r="BD313" s="30" t="s">
        <v>1118</v>
      </c>
      <c r="BF313" s="30" t="s">
        <v>989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hidden="1" customHeight="1" x14ac:dyDescent="0.2">
      <c r="A314" s="30">
        <v>2532</v>
      </c>
      <c r="B314" s="30" t="s">
        <v>26</v>
      </c>
      <c r="C314" s="30" t="s">
        <v>1188</v>
      </c>
      <c r="D314" s="30" t="s">
        <v>134</v>
      </c>
      <c r="E314" s="30" t="s">
        <v>1528</v>
      </c>
      <c r="F314" s="30" t="str">
        <f>IF(ISBLANK(Table2[[#This Row],[unique_id]]), "", PROPER(SUBSTITUTE(Table2[[#This Row],[unique_id]], "_", " ")))</f>
        <v>Service Wrangle</v>
      </c>
      <c r="G314" s="30" t="s">
        <v>1191</v>
      </c>
      <c r="H314" s="30" t="s">
        <v>1187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1549</v>
      </c>
      <c r="AF314" s="30">
        <v>6</v>
      </c>
      <c r="AG314" s="31" t="s">
        <v>34</v>
      </c>
      <c r="AH314" s="31"/>
      <c r="AI314" s="30" t="s">
        <v>1477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1548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1188</v>
      </c>
      <c r="BC314" s="30" t="s">
        <v>1514</v>
      </c>
      <c r="BD314" s="30" t="s">
        <v>1118</v>
      </c>
      <c r="BF314" s="30" t="s">
        <v>989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2533</v>
      </c>
      <c r="B315" s="30" t="s">
        <v>26</v>
      </c>
      <c r="C315" s="30" t="s">
        <v>1188</v>
      </c>
      <c r="D315" s="30" t="s">
        <v>134</v>
      </c>
      <c r="E315" s="30" t="s">
        <v>1515</v>
      </c>
      <c r="F315" s="30" t="str">
        <f>IF(ISBLANK(Table2[[#This Row],[unique_id]]), "", PROPER(SUBSTITUTE(Table2[[#This Row],[unique_id]], "_", " ")))</f>
        <v>Service Homeassistant</v>
      </c>
      <c r="G315" s="30" t="s">
        <v>1194</v>
      </c>
      <c r="H315" s="30" t="s">
        <v>1187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1549</v>
      </c>
      <c r="AF315" s="30">
        <v>6</v>
      </c>
      <c r="AG315" s="31" t="s">
        <v>34</v>
      </c>
      <c r="AH315" s="31"/>
      <c r="AI315" s="30" t="s">
        <v>1138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1548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1188</v>
      </c>
      <c r="BC315" s="30" t="s">
        <v>1514</v>
      </c>
      <c r="BD315" s="30" t="s">
        <v>1118</v>
      </c>
      <c r="BF315" s="30" t="s">
        <v>989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2534</v>
      </c>
      <c r="B316" s="30" t="s">
        <v>26</v>
      </c>
      <c r="C316" s="30" t="s">
        <v>1188</v>
      </c>
      <c r="D316" s="30" t="s">
        <v>134</v>
      </c>
      <c r="E316" s="30" t="s">
        <v>1529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1187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1549</v>
      </c>
      <c r="AF316" s="30">
        <v>6</v>
      </c>
      <c r="AG316" s="31" t="s">
        <v>34</v>
      </c>
      <c r="AH316" s="31"/>
      <c r="AI316" s="30" t="s">
        <v>1138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1548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1188</v>
      </c>
      <c r="BC316" s="30" t="s">
        <v>1514</v>
      </c>
      <c r="BD316" s="30" t="s">
        <v>1118</v>
      </c>
      <c r="BF316" s="30" t="s">
        <v>989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2535</v>
      </c>
      <c r="B317" s="30" t="s">
        <v>26</v>
      </c>
      <c r="C317" s="30" t="s">
        <v>1188</v>
      </c>
      <c r="D317" s="30" t="s">
        <v>134</v>
      </c>
      <c r="E317" s="30" t="s">
        <v>1530</v>
      </c>
      <c r="F317" s="30" t="str">
        <f>IF(ISBLANK(Table2[[#This Row],[unique_id]]), "", PROPER(SUBSTITUTE(Table2[[#This Row],[unique_id]], "_", " ")))</f>
        <v>Service Mariadb</v>
      </c>
      <c r="G317" s="30" t="s">
        <v>1545</v>
      </c>
      <c r="H317" s="30" t="s">
        <v>1187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1549</v>
      </c>
      <c r="AF317" s="30">
        <v>6</v>
      </c>
      <c r="AG317" s="31" t="s">
        <v>34</v>
      </c>
      <c r="AH317" s="31"/>
      <c r="AI317" s="30" t="s">
        <v>1138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1548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1188</v>
      </c>
      <c r="BC317" s="30" t="s">
        <v>1514</v>
      </c>
      <c r="BD317" s="30" t="s">
        <v>1118</v>
      </c>
      <c r="BF317" s="30" t="s">
        <v>989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2536</v>
      </c>
      <c r="B318" s="30" t="s">
        <v>26</v>
      </c>
      <c r="C318" s="30" t="s">
        <v>1188</v>
      </c>
      <c r="D318" s="30" t="s">
        <v>134</v>
      </c>
      <c r="E318" s="30" t="s">
        <v>1531</v>
      </c>
      <c r="F318" s="30" t="str">
        <f>IF(ISBLANK(Table2[[#This Row],[unique_id]]), "", PROPER(SUBSTITUTE(Table2[[#This Row],[unique_id]], "_", " ")))</f>
        <v>Service Nginx</v>
      </c>
      <c r="G318" s="30" t="s">
        <v>1192</v>
      </c>
      <c r="H318" s="30" t="s">
        <v>1187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1549</v>
      </c>
      <c r="AF318" s="30">
        <v>6</v>
      </c>
      <c r="AG318" s="31" t="s">
        <v>34</v>
      </c>
      <c r="AH318" s="31"/>
      <c r="AI318" s="30" t="s">
        <v>1138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1548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1188</v>
      </c>
      <c r="BC318" s="30" t="s">
        <v>1514</v>
      </c>
      <c r="BD318" s="30" t="s">
        <v>1118</v>
      </c>
      <c r="BF318" s="30" t="s">
        <v>989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hidden="1" customHeight="1" x14ac:dyDescent="0.2">
      <c r="A319" s="30">
        <v>2537</v>
      </c>
      <c r="B319" s="30" t="s">
        <v>26</v>
      </c>
      <c r="C319" s="30" t="s">
        <v>1188</v>
      </c>
      <c r="D319" s="30" t="s">
        <v>134</v>
      </c>
      <c r="E319" s="30" t="s">
        <v>1532</v>
      </c>
      <c r="F319" s="30" t="str">
        <f>IF(ISBLANK(Table2[[#This Row],[unique_id]]), "", PROPER(SUBSTITUTE(Table2[[#This Row],[unique_id]], "_", " ")))</f>
        <v>Service Postgres</v>
      </c>
      <c r="G319" s="30" t="s">
        <v>1193</v>
      </c>
      <c r="H319" s="30" t="s">
        <v>1187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1549</v>
      </c>
      <c r="AF319" s="30">
        <v>6</v>
      </c>
      <c r="AG319" s="31" t="s">
        <v>34</v>
      </c>
      <c r="AH319" s="31"/>
      <c r="AI319" s="30" t="s">
        <v>1477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1548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1188</v>
      </c>
      <c r="BC319" s="30" t="s">
        <v>1514</v>
      </c>
      <c r="BD319" s="30" t="s">
        <v>1118</v>
      </c>
      <c r="BF319" s="30" t="s">
        <v>989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2538</v>
      </c>
      <c r="B320" s="30" t="s">
        <v>26</v>
      </c>
      <c r="C320" s="30" t="s">
        <v>1188</v>
      </c>
      <c r="D320" s="30" t="s">
        <v>134</v>
      </c>
      <c r="E320" s="30" t="s">
        <v>1533</v>
      </c>
      <c r="F320" s="30" t="str">
        <f>IF(ISBLANK(Table2[[#This Row],[unique_id]]), "", PROPER(SUBSTITUTE(Table2[[#This Row],[unique_id]], "_", " ")))</f>
        <v>Service Vernemq</v>
      </c>
      <c r="G320" s="30" t="s">
        <v>1546</v>
      </c>
      <c r="H320" s="30" t="s">
        <v>1187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1549</v>
      </c>
      <c r="AF320" s="30">
        <v>6</v>
      </c>
      <c r="AG320" s="31" t="s">
        <v>34</v>
      </c>
      <c r="AH320" s="31"/>
      <c r="AI320" s="30" t="s">
        <v>1138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1548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1188</v>
      </c>
      <c r="BC320" s="30" t="s">
        <v>1514</v>
      </c>
      <c r="BD320" s="30" t="s">
        <v>1118</v>
      </c>
      <c r="BF320" s="30" t="s">
        <v>989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hidden="1" customHeight="1" x14ac:dyDescent="0.2">
      <c r="A321" s="30">
        <v>2539</v>
      </c>
      <c r="B321" s="30" t="s">
        <v>26</v>
      </c>
      <c r="C321" s="30" t="s">
        <v>1188</v>
      </c>
      <c r="D321" s="30" t="s">
        <v>134</v>
      </c>
      <c r="E321" s="30" t="s">
        <v>1534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1187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1549</v>
      </c>
      <c r="AF321" s="30">
        <v>6</v>
      </c>
      <c r="AG321" s="31" t="s">
        <v>34</v>
      </c>
      <c r="AH321" s="31"/>
      <c r="AI321" s="30" t="s">
        <v>1445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1548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1188</v>
      </c>
      <c r="BC321" s="30" t="s">
        <v>1514</v>
      </c>
      <c r="BD321" s="30" t="s">
        <v>1118</v>
      </c>
      <c r="BF321" s="30" t="s">
        <v>989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2540</v>
      </c>
      <c r="B322" s="30" t="s">
        <v>26</v>
      </c>
      <c r="C322" s="30" t="s">
        <v>1188</v>
      </c>
      <c r="D322" s="30" t="s">
        <v>134</v>
      </c>
      <c r="E322" s="30" t="s">
        <v>1535</v>
      </c>
      <c r="F322" s="30" t="str">
        <f>IF(ISBLANK(Table2[[#This Row],[unique_id]]), "", PROPER(SUBSTITUTE(Table2[[#This Row],[unique_id]], "_", " ")))</f>
        <v>Service Zigbee2Mqtt</v>
      </c>
      <c r="G322" s="30" t="s">
        <v>1547</v>
      </c>
      <c r="H322" s="30" t="s">
        <v>1187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1549</v>
      </c>
      <c r="AF322" s="30">
        <v>6</v>
      </c>
      <c r="AG322" s="31" t="s">
        <v>34</v>
      </c>
      <c r="AH322" s="31"/>
      <c r="AI322" s="30" t="s">
        <v>1445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1548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1188</v>
      </c>
      <c r="BC322" s="30" t="s">
        <v>1514</v>
      </c>
      <c r="BD322" s="30" t="s">
        <v>1118</v>
      </c>
      <c r="BF322" s="30" t="s">
        <v>989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1187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1205</v>
      </c>
      <c r="D324" s="30" t="s">
        <v>27</v>
      </c>
      <c r="E324" s="30" t="s">
        <v>1211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1206</v>
      </c>
      <c r="H324" s="30" t="s">
        <v>1208</v>
      </c>
      <c r="I324" s="30" t="s">
        <v>291</v>
      </c>
      <c r="K324" s="30" t="s">
        <v>1169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2543</v>
      </c>
      <c r="B325" s="30" t="s">
        <v>26</v>
      </c>
      <c r="C325" s="30" t="s">
        <v>1550</v>
      </c>
      <c r="D325" s="30" t="s">
        <v>27</v>
      </c>
      <c r="E325" s="30" t="s">
        <v>1114</v>
      </c>
      <c r="F325" s="36" t="str">
        <f>IF(ISBLANK(Table2[[#This Row],[unique_id]]), "", PROPER(SUBSTITUTE(Table2[[#This Row],[unique_id]], "_", " ")))</f>
        <v>Rack Top Temperature</v>
      </c>
      <c r="G325" s="30" t="s">
        <v>1116</v>
      </c>
      <c r="H325" s="30" t="s">
        <v>1208</v>
      </c>
      <c r="I325" s="30" t="s">
        <v>291</v>
      </c>
      <c r="K325" s="30" t="s">
        <v>1161</v>
      </c>
      <c r="O325" s="31"/>
      <c r="P325" s="30"/>
      <c r="T325" s="37"/>
      <c r="U325" s="30"/>
      <c r="V325" s="31" t="s">
        <v>1181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1442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25" s="30" t="str">
        <f>IF(ISBLANK(Table2[[#This Row],[index]]),  "", _xlfn.CONCAT(LOWER(Table2[[#This Row],[device_via_device]]), "/data"))</f>
        <v>tempstat/data</v>
      </c>
      <c r="AL325" s="30" t="str">
        <f>IF(ISBLANK(Table2[[#This Row],[index]]), "", _xlfn.CONCAT(LOWER(Table2[[#This Row],[device_via_device]]), "/command"))</f>
        <v>tempstat/command</v>
      </c>
      <c r="AM325" s="30" t="str">
        <f>IF(ISBLANK(Table2[[#This Row],[index]]), "", _xlfn.CONCAT(LOWER(Table2[[#This Row],[device_via_device]]), "/status"))</f>
        <v>tempstat/status</v>
      </c>
      <c r="AR325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1552</v>
      </c>
      <c r="BD325" s="30" t="s">
        <v>1553</v>
      </c>
      <c r="BF325" s="30" t="s">
        <v>989</v>
      </c>
      <c r="BG325" s="30" t="s">
        <v>28</v>
      </c>
      <c r="BL325" s="30" t="s">
        <v>1137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hidden="1" customHeight="1" x14ac:dyDescent="0.2">
      <c r="A326" s="30">
        <v>2544</v>
      </c>
      <c r="B326" s="30" t="s">
        <v>26</v>
      </c>
      <c r="C326" s="30" t="s">
        <v>1550</v>
      </c>
      <c r="D326" s="30" t="s">
        <v>27</v>
      </c>
      <c r="E326" s="30" t="s">
        <v>1161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1116</v>
      </c>
      <c r="H326" s="30" t="s">
        <v>1208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2545</v>
      </c>
      <c r="B327" s="30" t="s">
        <v>26</v>
      </c>
      <c r="C327" s="30" t="s">
        <v>1550</v>
      </c>
      <c r="D327" s="30" t="s">
        <v>27</v>
      </c>
      <c r="E327" s="30" t="s">
        <v>1115</v>
      </c>
      <c r="F327" s="36" t="str">
        <f>IF(ISBLANK(Table2[[#This Row],[unique_id]]), "", PROPER(SUBSTITUTE(Table2[[#This Row],[unique_id]], "_", " ")))</f>
        <v>Rack Bottom Temperature</v>
      </c>
      <c r="G327" s="30" t="s">
        <v>1120</v>
      </c>
      <c r="H327" s="30" t="s">
        <v>1208</v>
      </c>
      <c r="I327" s="30" t="s">
        <v>291</v>
      </c>
      <c r="K327" s="30" t="s">
        <v>1162</v>
      </c>
      <c r="O327" s="31"/>
      <c r="P327" s="30"/>
      <c r="T327" s="37"/>
      <c r="U327" s="30"/>
      <c r="V327" s="31" t="s">
        <v>1181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1442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7" s="30" t="str">
        <f>IF(ISBLANK(Table2[[#This Row],[index]]),  "", _xlfn.CONCAT(LOWER(Table2[[#This Row],[device_via_device]]), "/data"))</f>
        <v>tempstat/data</v>
      </c>
      <c r="AL327" s="30" t="str">
        <f>IF(ISBLANK(Table2[[#This Row],[index]]), "", _xlfn.CONCAT(LOWER(Table2[[#This Row],[device_via_device]]), "/command"))</f>
        <v>tempstat/command</v>
      </c>
      <c r="AM327" s="30" t="str">
        <f>IF(ISBLANK(Table2[[#This Row],[index]]), "", _xlfn.CONCAT(LOWER(Table2[[#This Row],[device_via_device]]), "/status"))</f>
        <v>tempstat/status</v>
      </c>
      <c r="AR327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1552</v>
      </c>
      <c r="BD327" s="30" t="s">
        <v>1553</v>
      </c>
      <c r="BF327" s="30" t="s">
        <v>989</v>
      </c>
      <c r="BG327" s="30" t="s">
        <v>28</v>
      </c>
      <c r="BL327" s="30" t="s">
        <v>1136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hidden="1" customHeight="1" x14ac:dyDescent="0.2">
      <c r="A328" s="30">
        <v>2546</v>
      </c>
      <c r="B328" s="30" t="s">
        <v>26</v>
      </c>
      <c r="C328" s="30" t="s">
        <v>1550</v>
      </c>
      <c r="D328" s="30" t="s">
        <v>27</v>
      </c>
      <c r="E328" s="30" t="s">
        <v>1162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1120</v>
      </c>
      <c r="H328" s="30" t="s">
        <v>1208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2547</v>
      </c>
      <c r="B329" s="30" t="s">
        <v>26</v>
      </c>
      <c r="C329" s="30" t="s">
        <v>1188</v>
      </c>
      <c r="D329" s="30" t="s">
        <v>27</v>
      </c>
      <c r="E329" s="30" t="s">
        <v>1471</v>
      </c>
      <c r="F329" s="30" t="str">
        <f>IF(ISBLANK(Table2[[#This Row],[unique_id]]), "", PROPER(SUBSTITUTE(Table2[[#This Row],[unique_id]], "_", " ")))</f>
        <v>Host Mad Temperature</v>
      </c>
      <c r="G329" s="30" t="s">
        <v>1475</v>
      </c>
      <c r="H329" s="30" t="s">
        <v>1208</v>
      </c>
      <c r="I329" s="30" t="s">
        <v>291</v>
      </c>
      <c r="K329" s="30" t="s">
        <v>1472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1477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1188</v>
      </c>
      <c r="BC329" s="30" t="s">
        <v>1514</v>
      </c>
      <c r="BD329" s="30" t="s">
        <v>1118</v>
      </c>
      <c r="BF329" s="30" t="s">
        <v>989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2548</v>
      </c>
      <c r="B330" s="30" t="s">
        <v>26</v>
      </c>
      <c r="C330" s="30" t="s">
        <v>1188</v>
      </c>
      <c r="D330" s="30" t="s">
        <v>27</v>
      </c>
      <c r="E330" s="30" t="s">
        <v>1472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1475</v>
      </c>
      <c r="H330" s="30" t="s">
        <v>1208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2549</v>
      </c>
      <c r="B331" s="30" t="s">
        <v>26</v>
      </c>
      <c r="C331" s="30" t="s">
        <v>1188</v>
      </c>
      <c r="D331" s="30" t="s">
        <v>27</v>
      </c>
      <c r="E331" s="30" t="s">
        <v>1473</v>
      </c>
      <c r="F331" s="30" t="str">
        <f>IF(ISBLANK(Table2[[#This Row],[unique_id]]), "", PROPER(SUBSTITUTE(Table2[[#This Row],[unique_id]], "_", " ")))</f>
        <v>Host Max Temperature</v>
      </c>
      <c r="G331" s="30" t="s">
        <v>1476</v>
      </c>
      <c r="H331" s="30" t="s">
        <v>1208</v>
      </c>
      <c r="I331" s="30" t="s">
        <v>291</v>
      </c>
      <c r="K331" s="30" t="s">
        <v>1474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1478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1188</v>
      </c>
      <c r="BC331" s="30" t="s">
        <v>1514</v>
      </c>
      <c r="BD331" s="30" t="s">
        <v>1118</v>
      </c>
      <c r="BF331" s="30" t="s">
        <v>989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2550</v>
      </c>
      <c r="B332" s="30" t="s">
        <v>26</v>
      </c>
      <c r="C332" s="30" t="s">
        <v>1188</v>
      </c>
      <c r="D332" s="30" t="s">
        <v>27</v>
      </c>
      <c r="E332" s="30" t="s">
        <v>1474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1476</v>
      </c>
      <c r="H332" s="30" t="s">
        <v>1208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2551</v>
      </c>
      <c r="B333" s="30" t="s">
        <v>26</v>
      </c>
      <c r="C333" s="30" t="s">
        <v>1188</v>
      </c>
      <c r="D333" s="30" t="s">
        <v>27</v>
      </c>
      <c r="E333" s="30" t="s">
        <v>1436</v>
      </c>
      <c r="F333" s="30" t="str">
        <f>IF(ISBLANK(Table2[[#This Row],[unique_id]]), "", PROPER(SUBSTITUTE(Table2[[#This Row],[unique_id]], "_", " ")))</f>
        <v>Host May Temperature</v>
      </c>
      <c r="G333" s="30" t="s">
        <v>1435</v>
      </c>
      <c r="H333" s="30" t="s">
        <v>1208</v>
      </c>
      <c r="I333" s="30" t="s">
        <v>291</v>
      </c>
      <c r="K333" s="30" t="s">
        <v>1437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1442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1188</v>
      </c>
      <c r="BC333" s="30" t="s">
        <v>1514</v>
      </c>
      <c r="BD333" s="30" t="s">
        <v>1118</v>
      </c>
      <c r="BF333" s="30" t="s">
        <v>989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2552</v>
      </c>
      <c r="B334" s="30" t="s">
        <v>26</v>
      </c>
      <c r="C334" s="30" t="s">
        <v>1188</v>
      </c>
      <c r="D334" s="30" t="s">
        <v>27</v>
      </c>
      <c r="E334" s="30" t="s">
        <v>1437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1435</v>
      </c>
      <c r="H334" s="30" t="s">
        <v>1208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2553</v>
      </c>
      <c r="B335" s="30" t="s">
        <v>26</v>
      </c>
      <c r="C335" s="30" t="s">
        <v>1188</v>
      </c>
      <c r="D335" s="30" t="s">
        <v>27</v>
      </c>
      <c r="E335" s="30" t="s">
        <v>1201</v>
      </c>
      <c r="F335" s="30" t="str">
        <f>IF(ISBLANK(Table2[[#This Row],[unique_id]]), "", PROPER(SUBSTITUTE(Table2[[#This Row],[unique_id]], "_", " ")))</f>
        <v>Host Meg Temperature</v>
      </c>
      <c r="G335" s="30" t="s">
        <v>1204</v>
      </c>
      <c r="H335" s="30" t="s">
        <v>1208</v>
      </c>
      <c r="I335" s="30" t="s">
        <v>291</v>
      </c>
      <c r="K335" s="30" t="s">
        <v>1203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1138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1188</v>
      </c>
      <c r="BC335" s="30" t="s">
        <v>1514</v>
      </c>
      <c r="BD335" s="30" t="s">
        <v>1118</v>
      </c>
      <c r="BF335" s="30" t="s">
        <v>989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2554</v>
      </c>
      <c r="B336" s="30" t="s">
        <v>26</v>
      </c>
      <c r="C336" s="30" t="s">
        <v>1188</v>
      </c>
      <c r="D336" s="30" t="s">
        <v>27</v>
      </c>
      <c r="E336" s="30" t="s">
        <v>1203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1204</v>
      </c>
      <c r="H336" s="30" t="s">
        <v>1208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1205</v>
      </c>
      <c r="D337" s="30" t="s">
        <v>27</v>
      </c>
      <c r="E337" s="30" t="s">
        <v>1213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1210</v>
      </c>
      <c r="H337" s="30" t="s">
        <v>1209</v>
      </c>
      <c r="I337" s="30" t="s">
        <v>291</v>
      </c>
      <c r="K337" s="30" t="s">
        <v>1160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1205</v>
      </c>
      <c r="D338" s="30" t="s">
        <v>27</v>
      </c>
      <c r="E338" s="30" t="s">
        <v>1212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1421</v>
      </c>
      <c r="H338" s="30" t="s">
        <v>1207</v>
      </c>
      <c r="I338" s="30" t="s">
        <v>291</v>
      </c>
      <c r="K338" s="30" t="s">
        <v>1166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hidden="1" customHeight="1" x14ac:dyDescent="0.2">
      <c r="A339" s="30">
        <v>2557</v>
      </c>
      <c r="B339" s="30" t="s">
        <v>26</v>
      </c>
      <c r="C339" s="30" t="s">
        <v>1188</v>
      </c>
      <c r="D339" s="30" t="s">
        <v>27</v>
      </c>
      <c r="E339" s="30" t="s">
        <v>1448</v>
      </c>
      <c r="F339" s="30" t="str">
        <f>IF(ISBLANK(Table2[[#This Row],[unique_id]]), "", PROPER(SUBSTITUTE(Table2[[#This Row],[unique_id]], "_", " ")))</f>
        <v>Host Jen Temperature</v>
      </c>
      <c r="G339" s="30" t="s">
        <v>1449</v>
      </c>
      <c r="H339" s="30" t="s">
        <v>1207</v>
      </c>
      <c r="I339" s="30" t="s">
        <v>291</v>
      </c>
      <c r="K339" s="30" t="s">
        <v>1444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1445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1188</v>
      </c>
      <c r="BC339" s="30" t="s">
        <v>1514</v>
      </c>
      <c r="BD339" s="30" t="s">
        <v>1118</v>
      </c>
      <c r="BF339" s="30" t="s">
        <v>989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hidden="1" customHeight="1" x14ac:dyDescent="0.2">
      <c r="A340" s="30">
        <v>2558</v>
      </c>
      <c r="B340" s="30" t="s">
        <v>26</v>
      </c>
      <c r="C340" s="30" t="s">
        <v>1188</v>
      </c>
      <c r="D340" s="30" t="s">
        <v>27</v>
      </c>
      <c r="E340" s="30" t="s">
        <v>1444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1449</v>
      </c>
      <c r="H340" s="30" t="s">
        <v>1207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1207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1185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1185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1185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1185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1185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hidden="1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1185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hidden="1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1185</v>
      </c>
      <c r="I348" s="49" t="s">
        <v>291</v>
      </c>
      <c r="O348" s="51"/>
      <c r="T348" s="52"/>
      <c r="V348" s="51" t="s">
        <v>1222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1183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1220</v>
      </c>
      <c r="BC348" s="49" t="s">
        <v>36</v>
      </c>
      <c r="BD348" s="49" t="s">
        <v>37</v>
      </c>
      <c r="BF348" s="49" t="s">
        <v>1063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1354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1185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991</v>
      </c>
      <c r="BC349" s="30" t="s">
        <v>993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1355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1185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991</v>
      </c>
      <c r="BC350" s="30" t="s">
        <v>993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1356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1185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991</v>
      </c>
      <c r="BC351" s="30" t="s">
        <v>993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1357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1185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991</v>
      </c>
      <c r="BC352" s="30" t="s">
        <v>993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1185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1185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hidden="1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1185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hidden="1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hidden="1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1479</v>
      </c>
      <c r="F357" s="36" t="str">
        <f>IF(ISBLANK(Table2[[#This Row],[unique_id]]), "", PROPER(SUBSTITUTE(Table2[[#This Row],[unique_id]], "_", " ")))</f>
        <v>Rack Printer Plug</v>
      </c>
      <c r="G357" s="30" t="s">
        <v>1494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1108</v>
      </c>
      <c r="AB357" s="30"/>
      <c r="AC357" s="30"/>
      <c r="AE357" s="30" t="s">
        <v>1480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1109</v>
      </c>
      <c r="BF357" s="30" t="s">
        <v>887</v>
      </c>
      <c r="BG357" s="30" t="s">
        <v>28</v>
      </c>
      <c r="BK357" s="30" t="s">
        <v>1260</v>
      </c>
      <c r="BL357" s="30" t="s">
        <v>1499</v>
      </c>
      <c r="BM357" s="30" t="s">
        <v>1495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hidden="1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1489</v>
      </c>
      <c r="F358" s="36" t="str">
        <f>IF(ISBLANK(Table2[[#This Row],[unique_id]]), "", PROPER(SUBSTITUTE(Table2[[#This Row],[unique_id]], "_", " ")))</f>
        <v>Rack Screen Plug</v>
      </c>
      <c r="G358" s="30" t="s">
        <v>1482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1108</v>
      </c>
      <c r="AB358" s="30"/>
      <c r="AC358" s="30"/>
      <c r="AE358" s="30" t="s">
        <v>1483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1486</v>
      </c>
      <c r="BC358" s="39" t="s">
        <v>767</v>
      </c>
      <c r="BD358" s="30" t="s">
        <v>1109</v>
      </c>
      <c r="BF358" s="30" t="s">
        <v>887</v>
      </c>
      <c r="BG358" s="30" t="s">
        <v>28</v>
      </c>
      <c r="BK358" s="30" t="s">
        <v>1260</v>
      </c>
      <c r="BL358" s="30" t="s">
        <v>1491</v>
      </c>
      <c r="BM358" s="30" t="s">
        <v>1487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hidden="1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1463</v>
      </c>
      <c r="F359" s="36" t="str">
        <f>IF(ISBLANK(Table2[[#This Row],[unique_id]]), "", PROPER(SUBSTITUTE(Table2[[#This Row],[unique_id]], "_", " ")))</f>
        <v>Rack Backup Plug</v>
      </c>
      <c r="G359" s="30" t="s">
        <v>1481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1108</v>
      </c>
      <c r="AB359" s="30"/>
      <c r="AC359" s="30"/>
      <c r="AE359" s="30" t="s">
        <v>1484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1485</v>
      </c>
      <c r="BC359" s="39" t="s">
        <v>767</v>
      </c>
      <c r="BD359" s="30" t="s">
        <v>1109</v>
      </c>
      <c r="BF359" s="30" t="s">
        <v>887</v>
      </c>
      <c r="BG359" s="30" t="s">
        <v>28</v>
      </c>
      <c r="BK359" s="30" t="s">
        <v>1260</v>
      </c>
      <c r="BL359" s="30" t="s">
        <v>1490</v>
      </c>
      <c r="BM359" s="30" t="s">
        <v>1488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hidden="1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1108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1109</v>
      </c>
      <c r="BF360" s="30" t="s">
        <v>887</v>
      </c>
      <c r="BG360" s="30" t="s">
        <v>28</v>
      </c>
      <c r="BK360" s="30" t="s">
        <v>1260</v>
      </c>
      <c r="BL360" s="30" t="s">
        <v>589</v>
      </c>
      <c r="BM360" s="30" t="s">
        <v>1314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hidden="1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1070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1067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980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hidden="1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1069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980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977</v>
      </c>
      <c r="BK362" s="30" t="s">
        <v>1260</v>
      </c>
      <c r="BL362" s="30" t="s">
        <v>349</v>
      </c>
      <c r="BM362" s="30" t="s">
        <v>1294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1397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1067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1020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hidden="1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1398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1020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976</v>
      </c>
      <c r="BK364" s="55" t="s">
        <v>1260</v>
      </c>
      <c r="BL364" s="55" t="s">
        <v>340</v>
      </c>
      <c r="BM364" s="55" t="s">
        <v>1295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1399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1066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1018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1400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1018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976</v>
      </c>
      <c r="BK366" s="55" t="s">
        <v>1260</v>
      </c>
      <c r="BL366" s="55" t="s">
        <v>351</v>
      </c>
      <c r="BM366" s="55" t="s">
        <v>1296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1401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1066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1018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1402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1018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977</v>
      </c>
      <c r="BK368" s="55" t="s">
        <v>1260</v>
      </c>
      <c r="BL368" s="55" t="s">
        <v>352</v>
      </c>
      <c r="BM368" s="55" t="s">
        <v>1297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hidden="1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1403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1066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hidden="1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1404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977</v>
      </c>
      <c r="BK370" s="55" t="s">
        <v>1260</v>
      </c>
      <c r="BL370" s="55" t="s">
        <v>343</v>
      </c>
      <c r="BM370" s="55" t="s">
        <v>1298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hidden="1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977</v>
      </c>
      <c r="BK372" s="30" t="s">
        <v>1260</v>
      </c>
      <c r="BL372" s="30" t="s">
        <v>355</v>
      </c>
      <c r="BM372" s="30" t="s">
        <v>1309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1405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1066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hidden="1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1406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976</v>
      </c>
      <c r="BK374" s="55" t="s">
        <v>1260</v>
      </c>
      <c r="BL374" s="55" t="s">
        <v>344</v>
      </c>
      <c r="BM374" s="55" t="s">
        <v>1299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hidden="1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1407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1066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1408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976</v>
      </c>
      <c r="BK376" s="55" t="s">
        <v>1260</v>
      </c>
      <c r="BL376" s="55" t="s">
        <v>345</v>
      </c>
      <c r="BM376" s="55" t="s">
        <v>1300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hidden="1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1493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1067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1021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hidden="1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1492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1021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977</v>
      </c>
      <c r="BK378" s="63" t="s">
        <v>1260</v>
      </c>
      <c r="BL378" s="63" t="s">
        <v>1464</v>
      </c>
      <c r="BM378" s="63" t="s">
        <v>1465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1067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1022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hidden="1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1022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977</v>
      </c>
      <c r="BK380" s="30" t="s">
        <v>1260</v>
      </c>
      <c r="BL380" s="30" t="s">
        <v>347</v>
      </c>
      <c r="BM380" s="30" t="s">
        <v>1302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hidden="1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1389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1390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1390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hidden="1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1388</v>
      </c>
      <c r="F382" s="36" t="str">
        <f>IF(ISBLANK(Table2[[#This Row],[unique_id]]), "", PROPER(SUBSTITUTE(Table2[[#This Row],[unique_id]], "_", " ")))</f>
        <v>Garden Sewerage Blower Plug</v>
      </c>
      <c r="G382" s="30" t="s">
        <v>1390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1390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977</v>
      </c>
      <c r="BK382" s="30" t="s">
        <v>1260</v>
      </c>
      <c r="BL382" s="36" t="s">
        <v>363</v>
      </c>
      <c r="BM382" s="36" t="s">
        <v>1281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1409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1066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hidden="1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1410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976</v>
      </c>
      <c r="BK384" s="55" t="s">
        <v>1260</v>
      </c>
      <c r="BL384" s="55" t="s">
        <v>341</v>
      </c>
      <c r="BM384" s="55" t="s">
        <v>1303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1411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1066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1412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977</v>
      </c>
      <c r="BK386" s="55" t="s">
        <v>1260</v>
      </c>
      <c r="BL386" s="55" t="s">
        <v>342</v>
      </c>
      <c r="BM386" s="55" t="s">
        <v>1304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hidden="1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1413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1066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1414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976</v>
      </c>
      <c r="BK388" s="55" t="s">
        <v>1260</v>
      </c>
      <c r="BL388" s="55" t="s">
        <v>800</v>
      </c>
      <c r="BM388" s="55" t="s">
        <v>1305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hidden="1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1014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hidden="1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1015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hidden="1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1511</v>
      </c>
      <c r="F391" s="36" t="str">
        <f>IF(ISBLANK(Table2[[#This Row],[unique_id]]), "", PROPER(SUBSTITUTE(Table2[[#This Row],[unique_id]], "_", " ")))</f>
        <v>Ada Desk Outlet</v>
      </c>
      <c r="G391" s="30" t="s">
        <v>1510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1498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1512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hidden="1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1497</v>
      </c>
      <c r="F392" s="36" t="str">
        <f>IF(ISBLANK(Table2[[#This Row],[unique_id]]), "", PROPER(SUBSTITUTE(Table2[[#This Row],[unique_id]], "_", " ")))</f>
        <v>Edwin Desk Outlet</v>
      </c>
      <c r="G392" s="30" t="s">
        <v>1496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1498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1438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1439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1066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1443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hidden="1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1440</v>
      </c>
      <c r="F394" s="57" t="str">
        <f>IF(ISBLANK(Table2[[#This Row],[unique_id]]), "", PROPER(SUBSTITUTE(Table2[[#This Row],[unique_id]], "_", " ")))</f>
        <v>Broken Server May Plug</v>
      </c>
      <c r="G394" s="55" t="s">
        <v>1439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1443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977</v>
      </c>
      <c r="BK394" s="55" t="s">
        <v>1260</v>
      </c>
      <c r="BL394" s="55" t="s">
        <v>804</v>
      </c>
      <c r="BM394" s="55" t="s">
        <v>1306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hidden="1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1415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1066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1059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hidden="1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1416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1059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977</v>
      </c>
      <c r="BK396" s="55" t="s">
        <v>1260</v>
      </c>
      <c r="BL396" s="55" t="s">
        <v>803</v>
      </c>
      <c r="BM396" s="55" t="s">
        <v>1307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hidden="1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1446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1450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1451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1447</v>
      </c>
      <c r="F398" s="36" t="str">
        <f>IF(ISBLANK(Table2[[#This Row],[unique_id]]), "", PROPER(SUBSTITUTE(Table2[[#This Row],[unique_id]], "_", " ")))</f>
        <v>Server Jen Plug</v>
      </c>
      <c r="G398" s="30" t="s">
        <v>1450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1451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977</v>
      </c>
      <c r="BK398" s="30" t="s">
        <v>1260</v>
      </c>
      <c r="BL398" s="30" t="s">
        <v>348</v>
      </c>
      <c r="BM398" s="30" t="s">
        <v>1308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1068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1018</v>
      </c>
      <c r="BC399" s="30" t="s">
        <v>915</v>
      </c>
      <c r="BD399" s="30" t="s">
        <v>1109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1107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1018</v>
      </c>
      <c r="BC400" s="30" t="s">
        <v>915</v>
      </c>
      <c r="BD400" s="30" t="s">
        <v>1109</v>
      </c>
      <c r="BF400" s="30" t="s">
        <v>887</v>
      </c>
      <c r="BG400" s="30" t="s">
        <v>28</v>
      </c>
      <c r="BK400" s="30" t="s">
        <v>1260</v>
      </c>
      <c r="BL400" s="30" t="s">
        <v>914</v>
      </c>
      <c r="BM400" s="30" t="s">
        <v>1310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hidden="1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1103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1018</v>
      </c>
      <c r="BC401" s="30" t="s">
        <v>915</v>
      </c>
      <c r="BD401" s="30" t="s">
        <v>1109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hidden="1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1018</v>
      </c>
      <c r="BC402" s="30" t="s">
        <v>915</v>
      </c>
      <c r="BD402" s="30" t="s">
        <v>1109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1093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1430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1068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1109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1094</v>
      </c>
      <c r="F404" s="36" t="str">
        <f>IF(ISBLANK(Table2[[#This Row],[unique_id]]), "", PROPER(SUBSTITUTE(Table2[[#This Row],[unique_id]], "_", " ")))</f>
        <v>Ceiling Network Switch Plug</v>
      </c>
      <c r="G404" s="30" t="s">
        <v>1430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1107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1109</v>
      </c>
      <c r="BF404" s="30" t="s">
        <v>887</v>
      </c>
      <c r="BG404" s="30" t="s">
        <v>403</v>
      </c>
      <c r="BK404" s="30" t="s">
        <v>1260</v>
      </c>
      <c r="BL404" s="41" t="s">
        <v>979</v>
      </c>
      <c r="BM404" s="30" t="s">
        <v>1312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hidden="1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1095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1430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1103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1109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1096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1430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1104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1109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hidden="1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1417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1066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1023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hidden="1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1418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1023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976</v>
      </c>
      <c r="BK408" s="55" t="s">
        <v>1260</v>
      </c>
      <c r="BL408" s="55" t="s">
        <v>354</v>
      </c>
      <c r="BM408" s="55" t="s">
        <v>1313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988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hidden="1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988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hidden="1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988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1502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hidden="1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hidden="1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hidden="1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1042</v>
      </c>
      <c r="BG435" s="30" t="s">
        <v>130</v>
      </c>
      <c r="BK435" s="30" t="s">
        <v>1259</v>
      </c>
      <c r="BL435" s="41" t="s">
        <v>420</v>
      </c>
      <c r="BM435" s="39" t="s">
        <v>1261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hidden="1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1042</v>
      </c>
      <c r="BG436" s="30" t="s">
        <v>127</v>
      </c>
      <c r="BK436" s="30" t="s">
        <v>1259</v>
      </c>
      <c r="BL436" s="41" t="s">
        <v>419</v>
      </c>
      <c r="BM436" s="39" t="s">
        <v>1262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hidden="1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1036</v>
      </c>
      <c r="BD437" s="30" t="s">
        <v>235</v>
      </c>
      <c r="BF437" s="30" t="s">
        <v>1043</v>
      </c>
      <c r="BG437" s="30" t="s">
        <v>192</v>
      </c>
      <c r="BK437" s="30" t="s">
        <v>1259</v>
      </c>
      <c r="BL437" s="41" t="s">
        <v>637</v>
      </c>
      <c r="BM437" s="39" t="s">
        <v>1263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hidden="1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1036</v>
      </c>
      <c r="BD438" s="30" t="s">
        <v>235</v>
      </c>
      <c r="BF438" s="30" t="s">
        <v>1043</v>
      </c>
      <c r="BG438" s="30" t="s">
        <v>206</v>
      </c>
      <c r="BK438" s="30" t="s">
        <v>1259</v>
      </c>
      <c r="BL438" s="41" t="s">
        <v>730</v>
      </c>
      <c r="BM438" s="39" t="s">
        <v>1264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hidden="1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1042</v>
      </c>
      <c r="BG439" s="30" t="s">
        <v>212</v>
      </c>
      <c r="BK439" s="30" t="s">
        <v>1259</v>
      </c>
      <c r="BL439" s="41" t="s">
        <v>417</v>
      </c>
      <c r="BM439" s="39" t="s">
        <v>1265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hidden="1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1042</v>
      </c>
      <c r="BG440" s="30" t="s">
        <v>194</v>
      </c>
      <c r="BK440" s="30" t="s">
        <v>1259</v>
      </c>
      <c r="BL440" s="41" t="s">
        <v>418</v>
      </c>
      <c r="BM440" s="39" t="s">
        <v>1266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hidden="1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1044</v>
      </c>
      <c r="BD441" s="30" t="s">
        <v>235</v>
      </c>
      <c r="BF441" s="30" t="s">
        <v>823</v>
      </c>
      <c r="BG441" s="30" t="s">
        <v>194</v>
      </c>
      <c r="BK441" s="30" t="s">
        <v>1259</v>
      </c>
      <c r="BL441" s="41" t="s">
        <v>1238</v>
      </c>
      <c r="BM441" s="39" t="s">
        <v>1267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hidden="1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1044</v>
      </c>
      <c r="BD442" s="30" t="s">
        <v>235</v>
      </c>
      <c r="BF442" s="30" t="s">
        <v>823</v>
      </c>
      <c r="BG442" s="30" t="s">
        <v>206</v>
      </c>
      <c r="BK442" s="30" t="s">
        <v>1259</v>
      </c>
      <c r="BL442" s="41" t="s">
        <v>1239</v>
      </c>
      <c r="BM442" s="39" t="s">
        <v>1270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hidden="1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980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1259</v>
      </c>
      <c r="BL443" s="41" t="s">
        <v>581</v>
      </c>
      <c r="BM443" s="39" t="s">
        <v>1268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hidden="1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980</v>
      </c>
      <c r="BC444" s="30" t="s">
        <v>1037</v>
      </c>
      <c r="BD444" s="30" t="s">
        <v>264</v>
      </c>
      <c r="BF444" s="30" t="s">
        <v>397</v>
      </c>
      <c r="BG444" s="30" t="s">
        <v>192</v>
      </c>
      <c r="BK444" s="30" t="s">
        <v>1259</v>
      </c>
      <c r="BL444" s="41" t="s">
        <v>399</v>
      </c>
      <c r="BM444" s="39" t="s">
        <v>1269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hidden="1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980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1259</v>
      </c>
      <c r="BL445" s="41" t="s">
        <v>421</v>
      </c>
      <c r="BM445" s="39" t="s">
        <v>1271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hidden="1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1040</v>
      </c>
      <c r="BD447" s="30" t="s">
        <v>182</v>
      </c>
      <c r="BF447" s="30">
        <v>15.4</v>
      </c>
      <c r="BG447" s="30" t="s">
        <v>194</v>
      </c>
      <c r="BK447" s="30" t="s">
        <v>1259</v>
      </c>
      <c r="BL447" s="30" t="s">
        <v>585</v>
      </c>
      <c r="BM447" s="39" t="s">
        <v>1272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hidden="1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1038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1038</v>
      </c>
      <c r="BD449" s="30" t="s">
        <v>182</v>
      </c>
      <c r="BF449" s="30">
        <v>15.4</v>
      </c>
      <c r="BG449" s="30" t="s">
        <v>206</v>
      </c>
      <c r="BK449" s="30" t="s">
        <v>1259</v>
      </c>
      <c r="BL449" s="30" t="s">
        <v>368</v>
      </c>
      <c r="BM449" s="39" t="s">
        <v>1273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hidden="1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1039</v>
      </c>
      <c r="BD450" s="30" t="s">
        <v>182</v>
      </c>
      <c r="BF450" s="30">
        <v>15.4</v>
      </c>
      <c r="BG450" s="30" t="s">
        <v>206</v>
      </c>
      <c r="BK450" s="30" t="s">
        <v>1259</v>
      </c>
      <c r="BL450" s="37" t="s">
        <v>367</v>
      </c>
      <c r="BM450" s="39" t="s">
        <v>1274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hidden="1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1038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1038</v>
      </c>
      <c r="BD452" s="30" t="s">
        <v>182</v>
      </c>
      <c r="BF452" s="30">
        <v>15.4</v>
      </c>
      <c r="BG452" s="30" t="s">
        <v>192</v>
      </c>
      <c r="BK452" s="30" t="s">
        <v>1259</v>
      </c>
      <c r="BL452" s="30" t="s">
        <v>366</v>
      </c>
      <c r="BM452" s="39" t="s">
        <v>1275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hidden="1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1318</v>
      </c>
      <c r="F453" s="36" t="str">
        <f>IF(ISBLANK(Table2[[#This Row],[unique_id]]), "", PROPER(SUBSTITUTE(Table2[[#This Row],[unique_id]], "_", " ")))</f>
        <v>Parents Homepod</v>
      </c>
      <c r="G453" s="30" t="s">
        <v>1319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1320</v>
      </c>
      <c r="BC453" s="30" t="s">
        <v>1041</v>
      </c>
      <c r="BD453" s="30" t="s">
        <v>264</v>
      </c>
      <c r="BF453" s="30" t="s">
        <v>397</v>
      </c>
      <c r="BG453" s="30" t="s">
        <v>192</v>
      </c>
      <c r="BK453" s="30" t="s">
        <v>1259</v>
      </c>
      <c r="BL453" s="41" t="s">
        <v>400</v>
      </c>
      <c r="BM453" s="39" t="s">
        <v>1276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hidden="1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hidden="1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1031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hidden="1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1035</v>
      </c>
      <c r="BC457" s="37" t="s">
        <v>642</v>
      </c>
      <c r="BD457" s="30" t="s">
        <v>1109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hidden="1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1031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hidden="1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1035</v>
      </c>
      <c r="BC462" s="37" t="s">
        <v>642</v>
      </c>
      <c r="BD462" s="30" t="s">
        <v>1109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hidden="1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hidden="1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hidden="1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hidden="1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1331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1431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1260</v>
      </c>
      <c r="BL472" s="30" t="s">
        <v>383</v>
      </c>
      <c r="BM472" s="30" t="s">
        <v>1315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hidden="1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hidden="1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1332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1431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1260</v>
      </c>
      <c r="BL474" s="30" t="s">
        <v>384</v>
      </c>
      <c r="BM474" s="30" t="s">
        <v>1316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hidden="1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hidden="1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1432</v>
      </c>
      <c r="BA476" s="30" t="str">
        <f>IF(ISBLANK(Table2[[#This Row],[device_model]]), "", Table2[[#This Row],[device_suggested_area]])</f>
        <v>Rack</v>
      </c>
      <c r="BC476" s="30" t="s">
        <v>1027</v>
      </c>
      <c r="BD476" s="30" t="s">
        <v>234</v>
      </c>
      <c r="BF476" s="30" t="s">
        <v>402</v>
      </c>
      <c r="BG476" s="30" t="s">
        <v>28</v>
      </c>
      <c r="BK476" s="30" t="s">
        <v>1253</v>
      </c>
      <c r="BL476" s="30" t="s">
        <v>405</v>
      </c>
      <c r="BM476" s="30" t="s">
        <v>1254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hidden="1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1433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1024</v>
      </c>
      <c r="BD477" s="30" t="s">
        <v>234</v>
      </c>
      <c r="BF477" s="30" t="s">
        <v>610</v>
      </c>
      <c r="BG477" s="30" t="s">
        <v>28</v>
      </c>
      <c r="BK477" s="30" t="s">
        <v>1253</v>
      </c>
      <c r="BL477" s="30" t="s">
        <v>611</v>
      </c>
      <c r="BM477" s="30" t="s">
        <v>1255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hidden="1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1433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1025</v>
      </c>
      <c r="BD478" s="30" t="s">
        <v>234</v>
      </c>
      <c r="BF478" s="30" t="s">
        <v>1065</v>
      </c>
      <c r="BG478" s="30" t="s">
        <v>212</v>
      </c>
      <c r="BK478" s="30" t="s">
        <v>1253</v>
      </c>
      <c r="BL478" s="30" t="s">
        <v>406</v>
      </c>
      <c r="BM478" s="30" t="s">
        <v>1469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hidden="1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1433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1468</v>
      </c>
      <c r="BD479" s="30" t="s">
        <v>234</v>
      </c>
      <c r="BF479" s="30" t="s">
        <v>1065</v>
      </c>
      <c r="BG479" s="30" t="s">
        <v>403</v>
      </c>
      <c r="BK479" s="30" t="s">
        <v>1253</v>
      </c>
      <c r="BL479" s="30" t="s">
        <v>1470</v>
      </c>
      <c r="BM479" s="30" t="s">
        <v>1256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hidden="1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1434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1376</v>
      </c>
      <c r="BD480" s="30" t="s">
        <v>234</v>
      </c>
      <c r="BF480" s="30" t="s">
        <v>1064</v>
      </c>
      <c r="BG480" s="30" t="s">
        <v>404</v>
      </c>
      <c r="BK480" s="30" t="s">
        <v>1253</v>
      </c>
      <c r="BL480" s="30" t="s">
        <v>1375</v>
      </c>
      <c r="BM480" s="30" t="s">
        <v>1257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hidden="1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1434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1026</v>
      </c>
      <c r="BD481" s="30" t="s">
        <v>234</v>
      </c>
      <c r="BF481" s="30" t="s">
        <v>1064</v>
      </c>
      <c r="BG481" s="30" t="s">
        <v>1427</v>
      </c>
      <c r="BK481" s="30" t="s">
        <v>1253</v>
      </c>
      <c r="BL481" s="30" t="s">
        <v>1429</v>
      </c>
      <c r="BM481" s="30" t="s">
        <v>1258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hidden="1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1434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1026</v>
      </c>
      <c r="BD482" s="30" t="s">
        <v>234</v>
      </c>
      <c r="BF482" s="30" t="s">
        <v>1064</v>
      </c>
      <c r="BG482" s="30" t="s">
        <v>1426</v>
      </c>
      <c r="BK482" s="30" t="s">
        <v>1253</v>
      </c>
      <c r="BL482" s="30" t="s">
        <v>407</v>
      </c>
      <c r="BM482" s="30" t="s">
        <v>1428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hidden="1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1361</v>
      </c>
      <c r="BA483" s="30" t="str">
        <f>IF(ISBLANK(Table2[[#This Row],[device_model]]), "", Table2[[#This Row],[device_suggested_area]])</f>
        <v>Rack</v>
      </c>
      <c r="BB483" s="30" t="s">
        <v>1372</v>
      </c>
      <c r="BC483" s="30" t="s">
        <v>1363</v>
      </c>
      <c r="BD483" s="30" t="s">
        <v>1361</v>
      </c>
      <c r="BF483" s="30" t="s">
        <v>1369</v>
      </c>
      <c r="BG483" s="30" t="s">
        <v>28</v>
      </c>
      <c r="BL483" s="41"/>
      <c r="BM483" s="30" t="s">
        <v>1371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hidden="1" customHeight="1" x14ac:dyDescent="0.2">
      <c r="A484" s="30">
        <v>5008</v>
      </c>
      <c r="B484" s="39" t="s">
        <v>579</v>
      </c>
      <c r="C484" s="39" t="s">
        <v>1361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1362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1361</v>
      </c>
      <c r="BA484" s="30" t="str">
        <f>IF(ISBLANK(Table2[[#This Row],[device_model]]), "", Table2[[#This Row],[device_suggested_area]])</f>
        <v>Rack</v>
      </c>
      <c r="BB484" s="30" t="s">
        <v>1023</v>
      </c>
      <c r="BC484" s="30" t="s">
        <v>1363</v>
      </c>
      <c r="BD484" s="30" t="s">
        <v>1361</v>
      </c>
      <c r="BF484" s="30" t="s">
        <v>1369</v>
      </c>
      <c r="BG484" s="30" t="s">
        <v>28</v>
      </c>
      <c r="BL484" s="41"/>
      <c r="BM484" s="30" t="s">
        <v>1364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hidden="1" customHeight="1" x14ac:dyDescent="0.2">
      <c r="A485" s="30">
        <v>5009</v>
      </c>
      <c r="B485" s="39" t="s">
        <v>579</v>
      </c>
      <c r="C485" s="39" t="s">
        <v>1365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1366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1365</v>
      </c>
      <c r="BA485" s="30" t="str">
        <f>IF(ISBLANK(Table2[[#This Row],[device_model]]), "", Table2[[#This Row],[device_suggested_area]])</f>
        <v>Rack</v>
      </c>
      <c r="BB485" s="30" t="s">
        <v>1367</v>
      </c>
      <c r="BC485" s="30" t="s">
        <v>1368</v>
      </c>
      <c r="BD485" s="30" t="s">
        <v>1365</v>
      </c>
      <c r="BF485" s="30" t="s">
        <v>1369</v>
      </c>
      <c r="BG485" s="30" t="s">
        <v>28</v>
      </c>
      <c r="BL485" s="41"/>
      <c r="BM485" s="30" t="s">
        <v>1370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hidden="1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1028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1259</v>
      </c>
      <c r="BL486" s="41" t="s">
        <v>432</v>
      </c>
      <c r="BM486" s="30" t="s">
        <v>1277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hidden="1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Wardrobe</v>
      </c>
      <c r="BB487" s="30" t="s">
        <v>1452</v>
      </c>
      <c r="BC487" s="30" t="s">
        <v>1034</v>
      </c>
      <c r="BD487" s="30" t="s">
        <v>554</v>
      </c>
      <c r="BF487" s="63" t="s">
        <v>1456</v>
      </c>
      <c r="BG487" s="30" t="s">
        <v>495</v>
      </c>
      <c r="BK487" s="30" t="s">
        <v>401</v>
      </c>
      <c r="BL487" s="30" t="s">
        <v>553</v>
      </c>
      <c r="BM487" s="30" t="s">
        <v>1252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hidden="1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Guildford</v>
      </c>
      <c r="BB488" s="30" t="s">
        <v>1454</v>
      </c>
      <c r="BC488" s="30" t="s">
        <v>1455</v>
      </c>
      <c r="BD488" s="30" t="s">
        <v>554</v>
      </c>
      <c r="BF488" s="63" t="s">
        <v>1456</v>
      </c>
      <c r="BG488" s="30" t="s">
        <v>1453</v>
      </c>
      <c r="BL488" s="30" t="s">
        <v>1460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hidden="1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1054</v>
      </c>
      <c r="BA489" s="30" t="str">
        <f>IF(ISBLANK(Table2[[#This Row],[device_model]]), "", Table2[[#This Row],[device_suggested_area]])</f>
        <v>Rack</v>
      </c>
      <c r="BB489" s="30" t="s">
        <v>1457</v>
      </c>
      <c r="BC489" s="30" t="s">
        <v>1458</v>
      </c>
      <c r="BD489" s="30" t="s">
        <v>264</v>
      </c>
      <c r="BF489" s="63" t="s">
        <v>1462</v>
      </c>
      <c r="BG489" s="30" t="s">
        <v>28</v>
      </c>
      <c r="BK489" s="30" t="s">
        <v>401</v>
      </c>
      <c r="BL489" s="41" t="s">
        <v>1461</v>
      </c>
      <c r="BM489" s="30" t="s">
        <v>1248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hidden="1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1054</v>
      </c>
      <c r="BA490" s="30" t="str">
        <f>IF(ISBLANK(Table2[[#This Row],[device_model]]), "", Table2[[#This Row],[device_suggested_area]])</f>
        <v>Rack</v>
      </c>
      <c r="BB490" s="30" t="s">
        <v>1459</v>
      </c>
      <c r="BC490" s="30" t="s">
        <v>1032</v>
      </c>
      <c r="BD490" s="30" t="s">
        <v>264</v>
      </c>
      <c r="BF490" s="63" t="s">
        <v>1466</v>
      </c>
      <c r="BG490" s="30" t="s">
        <v>28</v>
      </c>
      <c r="BK490" s="30" t="s">
        <v>401</v>
      </c>
      <c r="BL490" s="46" t="s">
        <v>1467</v>
      </c>
      <c r="BM490" s="30" t="s">
        <v>1249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hidden="1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1054</v>
      </c>
      <c r="BA491" s="30" t="str">
        <f>IF(ISBLANK(Table2[[#This Row],[device_model]]), "", Table2[[#This Row],[device_suggested_area]])</f>
        <v>Rack</v>
      </c>
      <c r="BB491" s="30" t="s">
        <v>1441</v>
      </c>
      <c r="BC491" s="30" t="s">
        <v>1032</v>
      </c>
      <c r="BD491" s="30" t="s">
        <v>264</v>
      </c>
      <c r="BF491" s="63" t="s">
        <v>1456</v>
      </c>
      <c r="BG491" s="30" t="s">
        <v>28</v>
      </c>
      <c r="BK491" s="30" t="s">
        <v>401</v>
      </c>
      <c r="BL491" s="46" t="s">
        <v>1327</v>
      </c>
      <c r="BM491" s="30" t="s">
        <v>1250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hidden="1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1054</v>
      </c>
      <c r="BA492" s="30" t="str">
        <f>IF(ISBLANK(Table2[[#This Row],[device_model]]), "", Table2[[#This Row],[device_suggested_area]])</f>
        <v>Rack</v>
      </c>
      <c r="BB492" s="30" t="s">
        <v>1033</v>
      </c>
      <c r="BC492" s="30" t="s">
        <v>1032</v>
      </c>
      <c r="BD492" s="30" t="s">
        <v>264</v>
      </c>
      <c r="BF492" s="63" t="s">
        <v>1456</v>
      </c>
      <c r="BG492" s="30" t="s">
        <v>28</v>
      </c>
      <c r="BK492" s="30" t="s">
        <v>401</v>
      </c>
      <c r="BL492" s="30" t="s">
        <v>587</v>
      </c>
      <c r="BM492" s="30" t="s">
        <v>1251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hidden="1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1260</v>
      </c>
      <c r="BL493" s="30" t="s">
        <v>379</v>
      </c>
      <c r="BM493" s="30" t="s">
        <v>1317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hidden="1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1030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2026-07-23T02:20:25Z</dcterms:modified>
</cp:coreProperties>
</file>