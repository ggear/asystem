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68BAA0BD-F91E-024F-B64A-A35D4337EEA4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<sst xmlns="http://schemas.openxmlformats.org/spreadsheetml/2006/main" count="7859" uniqueCount="1563">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</sst>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Font="1" applyFill="1"/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1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 wrapText="1"/>
    </xf>
    <xf numFmtId="0" fontId="8" fillId="0" borderId="0" xfId="0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A137" zoomScale="121" zoomScaleNormal="120" workbookViewId="0">
      <selection activeCell="D145" sqref="D145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s="64" customFormat="1" ht="16" customHeight="1" x14ac:dyDescent="0.2">
      <c r="A160" s="64">
        <v>1627</v>
      </c>
      <c r="B160" s="64" t="s">
        <v>26</v>
      </c>
      <c r="C160" s="64" t="s">
        <v>133</v>
      </c>
      <c r="D160" s="64" t="s">
        <v>137</v>
      </c>
      <c r="E160" s="64" t="s">
        <v>413</v>
      </c>
      <c r="F160" s="65" t="str">
        <f>IF(ISBLANK(Table2[[#This Row],[unique_id]]), "", PROPER(SUBSTITUTE(Table2[[#This Row],[unique_id]], "_", " ")))</f>
        <v>Lounge Fan</v>
      </c>
      <c r="G160" s="64" t="s">
        <v>191</v>
      </c>
      <c r="H160" s="64" t="s">
        <v>139</v>
      </c>
      <c r="I160" s="64" t="s">
        <v>132</v>
      </c>
      <c r="J160" s="64" t="s">
        <v>725</v>
      </c>
      <c r="M160" s="64" t="s">
        <v>136</v>
      </c>
      <c r="O160" s="66" t="s">
        <v>788</v>
      </c>
      <c r="P160" s="64" t="s">
        <v>165</v>
      </c>
      <c r="Q160" s="64" t="s">
        <v>760</v>
      </c>
      <c r="R160" s="64" t="str">
        <f>Table2[[#This Row],[entity_domain]]</f>
        <v>Lights</v>
      </c>
      <c r="S160" s="64" t="str">
        <f>_xlfn.CONCAT( Table2[[#This Row],[device_suggested_area]], " ",Table2[[#This Row],[powercalc_group_3]])</f>
        <v>Lounge Lights</v>
      </c>
      <c r="T160" s="67" t="s">
        <v>775</v>
      </c>
      <c r="V160" s="66"/>
      <c r="W160" s="66"/>
      <c r="X160" s="66"/>
      <c r="Y160" s="66"/>
      <c r="Z160" s="66"/>
      <c r="AA160" s="66"/>
      <c r="AE160" s="64" t="s">
        <v>292</v>
      </c>
      <c r="AG160" s="66"/>
      <c r="AH160" s="66"/>
      <c r="AT160" s="68"/>
      <c r="AU160" s="66"/>
      <c r="AV160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64" t="str">
        <f>IF(ISBLANK(Table2[[#This Row],[device_model]]), "", Table2[[#This Row],[device_suggested_area]])</f>
        <v/>
      </c>
      <c r="BF160" s="66"/>
      <c r="BG160" s="64" t="s">
        <v>194</v>
      </c>
      <c r="BI160" s="64" t="s">
        <v>687</v>
      </c>
      <c r="BN160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5" t="str">
        <f>IF(ISBLANK(Table2[[#This Row],[unique_id]]), "", PROPER(SUBSTITUTE(Table2[[#This Row],[unique_id]], "_", " ")))</f>
        <v>Lounge Lamp</v>
      </c>
      <c r="G161" s="64" t="s">
        <v>556</v>
      </c>
      <c r="H161" s="64" t="s">
        <v>139</v>
      </c>
      <c r="I161" s="64" t="s">
        <v>132</v>
      </c>
      <c r="J161" s="64" t="s">
        <v>523</v>
      </c>
      <c r="K161" s="64" t="s">
        <v>885</v>
      </c>
      <c r="M161" s="64" t="s">
        <v>136</v>
      </c>
      <c r="O161" s="66"/>
      <c r="T161" s="67"/>
      <c r="V161" s="66"/>
      <c r="W161" s="66" t="s">
        <v>490</v>
      </c>
      <c r="X161" s="69">
        <v>123</v>
      </c>
      <c r="Y161" s="70" t="s">
        <v>758</v>
      </c>
      <c r="Z161" s="70" t="s">
        <v>972</v>
      </c>
      <c r="AA161" s="70"/>
      <c r="AE161" s="64" t="s">
        <v>292</v>
      </c>
      <c r="AG161" s="66"/>
      <c r="AH161" s="66"/>
      <c r="AT161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1557</v>
      </c>
      <c r="BD161" s="64" t="s">
        <v>377</v>
      </c>
      <c r="BE161" s="64" t="s">
        <v>1457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940</v>
      </c>
      <c r="F162" s="65" t="str">
        <f>IF(ISBLANK(Table2[[#This Row],[unique_id]]), "", PROPER(SUBSTITUTE(Table2[[#This Row],[unique_id]], "_", " ")))</f>
        <v>Lounge Lamp Bulb 1</v>
      </c>
      <c r="H162" s="64" t="s">
        <v>139</v>
      </c>
      <c r="O162" s="66" t="s">
        <v>788</v>
      </c>
      <c r="P162" s="64" t="s">
        <v>165</v>
      </c>
      <c r="Q162" s="64" t="s">
        <v>760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7"/>
      <c r="V162" s="66"/>
      <c r="W162" s="66" t="s">
        <v>489</v>
      </c>
      <c r="X162" s="69">
        <v>123</v>
      </c>
      <c r="Y162" s="70" t="s">
        <v>756</v>
      </c>
      <c r="Z162" s="70" t="s">
        <v>1397</v>
      </c>
      <c r="AA162" s="70"/>
      <c r="AG162" s="66"/>
      <c r="AH162" s="66"/>
      <c r="AT162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995</v>
      </c>
      <c r="BC162" s="64" t="s">
        <v>1557</v>
      </c>
      <c r="BD162" s="64" t="s">
        <v>377</v>
      </c>
      <c r="BE162" s="64" t="s">
        <v>1457</v>
      </c>
      <c r="BF162" s="64" t="s">
        <v>488</v>
      </c>
      <c r="BG162" s="64" t="s">
        <v>194</v>
      </c>
      <c r="BI162" s="64" t="s">
        <v>687</v>
      </c>
      <c r="BL162" s="64" t="s">
        <v>1555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1549</v>
      </c>
      <c r="F163" s="65" t="str">
        <f>IF(ISBLANK(Table2[[#This Row],[unique_id]]), "", PROPER(SUBSTITUTE(Table2[[#This Row],[unique_id]], "_", " ")))</f>
        <v>Lounge Reading</v>
      </c>
      <c r="G163" s="64" t="s">
        <v>1551</v>
      </c>
      <c r="H163" s="64" t="s">
        <v>139</v>
      </c>
      <c r="I163" s="64" t="s">
        <v>132</v>
      </c>
      <c r="J163" s="64" t="s">
        <v>523</v>
      </c>
      <c r="K163" s="64" t="s">
        <v>885</v>
      </c>
      <c r="M163" s="64" t="s">
        <v>136</v>
      </c>
      <c r="O163" s="66"/>
      <c r="T163" s="67"/>
      <c r="V163" s="66"/>
      <c r="W163" s="66" t="s">
        <v>490</v>
      </c>
      <c r="X163" s="69">
        <v>114</v>
      </c>
      <c r="Y163" s="70" t="s">
        <v>758</v>
      </c>
      <c r="Z163" s="70" t="s">
        <v>972</v>
      </c>
      <c r="AA163" s="70"/>
      <c r="AE163" s="64" t="s">
        <v>292</v>
      </c>
      <c r="AG163" s="66"/>
      <c r="AH163" s="66"/>
      <c r="AT163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1553</v>
      </c>
      <c r="BC163" s="64" t="s">
        <v>1556</v>
      </c>
      <c r="BD163" s="64" t="s">
        <v>377</v>
      </c>
      <c r="BE163" s="64" t="s">
        <v>1457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1550</v>
      </c>
      <c r="F164" s="65" t="str">
        <f>IF(ISBLANK(Table2[[#This Row],[unique_id]]), "", PROPER(SUBSTITUTE(Table2[[#This Row],[unique_id]], "_", " ")))</f>
        <v>Lounge Reading Bulb 1</v>
      </c>
      <c r="H164" s="64" t="s">
        <v>139</v>
      </c>
      <c r="O164" s="66" t="s">
        <v>788</v>
      </c>
      <c r="P164" s="64" t="s">
        <v>165</v>
      </c>
      <c r="Q164" s="64" t="s">
        <v>760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7"/>
      <c r="V164" s="66"/>
      <c r="W164" s="66" t="s">
        <v>489</v>
      </c>
      <c r="X164" s="69">
        <v>114</v>
      </c>
      <c r="Y164" s="70" t="s">
        <v>756</v>
      </c>
      <c r="Z164" s="70" t="s">
        <v>1397</v>
      </c>
      <c r="AA164" s="70"/>
      <c r="AG164" s="66"/>
      <c r="AH164" s="66"/>
      <c r="AT164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1554</v>
      </c>
      <c r="BC164" s="64" t="s">
        <v>1556</v>
      </c>
      <c r="BD164" s="64" t="s">
        <v>377</v>
      </c>
      <c r="BE164" s="64" t="s">
        <v>1457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s="64" customFormat="1" ht="16" customHeight="1" x14ac:dyDescent="0.2">
      <c r="A165" s="64">
        <v>1632</v>
      </c>
      <c r="B165" s="64" t="s">
        <v>26</v>
      </c>
      <c r="C165" s="64" t="s">
        <v>377</v>
      </c>
      <c r="D165" s="64" t="s">
        <v>137</v>
      </c>
      <c r="E165" s="64" t="s">
        <v>299</v>
      </c>
      <c r="F165" s="65" t="str">
        <f>IF(ISBLANK(Table2[[#This Row],[unique_id]]), "", PROPER(SUBSTITUTE(Table2[[#This Row],[unique_id]], "_", " ")))</f>
        <v>Parents Main</v>
      </c>
      <c r="G165" s="64" t="s">
        <v>196</v>
      </c>
      <c r="H165" s="64" t="s">
        <v>139</v>
      </c>
      <c r="I165" s="64" t="s">
        <v>132</v>
      </c>
      <c r="J165" s="72" t="s">
        <v>724</v>
      </c>
      <c r="K165" s="64" t="s">
        <v>884</v>
      </c>
      <c r="M165" s="64" t="s">
        <v>136</v>
      </c>
      <c r="O165" s="66"/>
      <c r="T165" s="67"/>
      <c r="V165" s="66"/>
      <c r="W165" s="66" t="s">
        <v>490</v>
      </c>
      <c r="X165" s="69">
        <v>106</v>
      </c>
      <c r="Y165" s="70" t="s">
        <v>758</v>
      </c>
      <c r="Z165" s="70" t="s">
        <v>973</v>
      </c>
      <c r="AA165" s="70"/>
      <c r="AE165" s="64" t="s">
        <v>292</v>
      </c>
      <c r="AG165" s="66"/>
      <c r="AH165" s="66"/>
      <c r="AT165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V16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64" t="str">
        <f>Table2[[#This Row],[device_suggested_area]]</f>
        <v>Parents</v>
      </c>
      <c r="BA165" s="64" t="str">
        <f>IF(ISBLANK(Table2[[#This Row],[device_model]]), "", Table2[[#This Row],[device_suggested_area]])</f>
        <v>Parents</v>
      </c>
      <c r="BB165" s="64" t="s">
        <v>997</v>
      </c>
      <c r="BC165" s="64" t="s">
        <v>487</v>
      </c>
      <c r="BD165" s="64" t="s">
        <v>377</v>
      </c>
      <c r="BE165" s="64" t="s">
        <v>1457</v>
      </c>
      <c r="BF165" s="64" t="s">
        <v>488</v>
      </c>
      <c r="BG165" s="64" t="s">
        <v>192</v>
      </c>
      <c r="BN16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s="64" customFormat="1" ht="16" customHeight="1" x14ac:dyDescent="0.2">
      <c r="A166" s="64">
        <v>1633</v>
      </c>
      <c r="B166" s="64" t="s">
        <v>26</v>
      </c>
      <c r="C166" s="64" t="s">
        <v>377</v>
      </c>
      <c r="D166" s="64" t="s">
        <v>137</v>
      </c>
      <c r="E166" s="64" t="s">
        <v>941</v>
      </c>
      <c r="F166" s="65" t="str">
        <f>IF(ISBLANK(Table2[[#This Row],[unique_id]]), "", PROPER(SUBSTITUTE(Table2[[#This Row],[unique_id]], "_", " ")))</f>
        <v>Parents Main Bulb 1</v>
      </c>
      <c r="H166" s="64" t="s">
        <v>139</v>
      </c>
      <c r="O166" s="66" t="s">
        <v>788</v>
      </c>
      <c r="P166" s="64" t="s">
        <v>165</v>
      </c>
      <c r="Q166" s="64" t="s">
        <v>760</v>
      </c>
      <c r="R166" s="64" t="str">
        <f>Table2[[#This Row],[entity_domain]]</f>
        <v>Lights</v>
      </c>
      <c r="S166" s="64" t="str">
        <f>_xlfn.CONCAT( Table2[[#This Row],[device_suggested_area]], " ",Table2[[#This Row],[powercalc_group_3]])</f>
        <v>Parents Lights</v>
      </c>
      <c r="T166" s="67"/>
      <c r="V166" s="66"/>
      <c r="W166" s="66" t="s">
        <v>489</v>
      </c>
      <c r="X166" s="69">
        <v>106</v>
      </c>
      <c r="Y166" s="70" t="s">
        <v>756</v>
      </c>
      <c r="Z166" s="70" t="s">
        <v>973</v>
      </c>
      <c r="AA166" s="70"/>
      <c r="AG166" s="66"/>
      <c r="AH166" s="66"/>
      <c r="AT166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V16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64" t="str">
        <f>Table2[[#This Row],[device_suggested_area]]</f>
        <v>Parents</v>
      </c>
      <c r="BA166" s="64" t="str">
        <f>IF(ISBLANK(Table2[[#This Row],[device_model]]), "", Table2[[#This Row],[device_suggested_area]])</f>
        <v>Parents</v>
      </c>
      <c r="BB166" s="64" t="s">
        <v>998</v>
      </c>
      <c r="BC166" s="64" t="s">
        <v>487</v>
      </c>
      <c r="BD166" s="64" t="s">
        <v>377</v>
      </c>
      <c r="BE166" s="64" t="s">
        <v>1457</v>
      </c>
      <c r="BF166" s="64" t="s">
        <v>488</v>
      </c>
      <c r="BG166" s="64" t="s">
        <v>192</v>
      </c>
      <c r="BL166" s="64" t="s">
        <v>486</v>
      </c>
      <c r="BN16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s="64" customFormat="1" ht="16" customHeight="1" x14ac:dyDescent="0.2">
      <c r="A167" s="64">
        <v>1634</v>
      </c>
      <c r="B167" s="64" t="s">
        <v>26</v>
      </c>
      <c r="C167" s="64" t="s">
        <v>377</v>
      </c>
      <c r="D167" s="64" t="s">
        <v>137</v>
      </c>
      <c r="E167" s="64" t="s">
        <v>942</v>
      </c>
      <c r="F167" s="65" t="str">
        <f>IF(ISBLANK(Table2[[#This Row],[unique_id]]), "", PROPER(SUBSTITUTE(Table2[[#This Row],[unique_id]], "_", " ")))</f>
        <v>Parents Main Bulb 2</v>
      </c>
      <c r="H167" s="64" t="s">
        <v>139</v>
      </c>
      <c r="O167" s="66" t="s">
        <v>788</v>
      </c>
      <c r="P167" s="64" t="s">
        <v>165</v>
      </c>
      <c r="Q167" s="64" t="s">
        <v>760</v>
      </c>
      <c r="R167" s="64" t="str">
        <f>Table2[[#This Row],[entity_domain]]</f>
        <v>Lights</v>
      </c>
      <c r="S167" s="64" t="str">
        <f>_xlfn.CONCAT( Table2[[#This Row],[device_suggested_area]], " ",Table2[[#This Row],[powercalc_group_3]])</f>
        <v>Parents Lights</v>
      </c>
      <c r="T167" s="67"/>
      <c r="V167" s="66"/>
      <c r="W167" s="66" t="s">
        <v>489</v>
      </c>
      <c r="X167" s="69">
        <v>106</v>
      </c>
      <c r="Y167" s="70" t="s">
        <v>756</v>
      </c>
      <c r="Z167" s="70" t="s">
        <v>973</v>
      </c>
      <c r="AA167" s="70"/>
      <c r="AG167" s="66"/>
      <c r="AH167" s="66"/>
      <c r="AT167" s="71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V167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64" t="str">
        <f>Table2[[#This Row],[device_suggested_area]]</f>
        <v>Parents</v>
      </c>
      <c r="BA167" s="64" t="str">
        <f>IF(ISBLANK(Table2[[#This Row],[device_model]]), "", Table2[[#This Row],[device_suggested_area]])</f>
        <v>Parents</v>
      </c>
      <c r="BB167" s="64" t="s">
        <v>999</v>
      </c>
      <c r="BC167" s="64" t="s">
        <v>487</v>
      </c>
      <c r="BD167" s="64" t="s">
        <v>377</v>
      </c>
      <c r="BE167" s="64" t="s">
        <v>1457</v>
      </c>
      <c r="BF167" s="64" t="s">
        <v>488</v>
      </c>
      <c r="BG167" s="64" t="s">
        <v>192</v>
      </c>
      <c r="BL167" s="64" t="s">
        <v>493</v>
      </c>
      <c r="BN167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2026-02-23T02:22:32Z</dcterms:modified>
</cp:coreProperties>
</file>