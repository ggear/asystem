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80ABB8A2-99E5-C34E-8C64-DAC641A981A9}" xr6:coauthVersionLast="47" xr6:coauthVersionMax="47" xr10:uidLastSave="{00000000-0000-0000-0000-000000000000}"/>
  <bookViews>
    <workbookView xWindow="0" yWindow="660" windowWidth="47720" windowHeight="2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J302" i="1" l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AY341" i="1" s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K331" i="1"/>
  <c r="AJ331" i="1"/>
  <c r="F331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AK333" i="1"/>
  <c r="AJ333" i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339" i="1"/>
  <c r="AJ335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AK335" i="1"/>
  <c r="BA339" i="1"/>
  <c r="AW339" i="1" s="1"/>
  <c r="AK339" i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W301" i="1"/>
  <c r="AV301" i="1" s="1"/>
  <c r="AR77" i="1"/>
  <c r="AR76" i="1"/>
  <c r="AR75" i="1"/>
  <c r="AR74" i="1"/>
  <c r="AR73" i="1"/>
  <c r="AR72" i="1"/>
  <c r="AR26" i="1"/>
  <c r="AY323" i="1" l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X331" i="1"/>
  <c r="AV331" i="1"/>
  <c r="AY331" i="1"/>
  <c r="AX329" i="1"/>
  <c r="AY329" i="1"/>
  <c r="AV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V339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<sst xmlns="http://schemas.openxmlformats.org/spreadsheetml/2006/main" count="7867" uniqueCount="1568">
  <si>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</si>
  <si>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</si>
  <si>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</si>
  <si>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</si>
  <si>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</si>
  <si>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</si>
  <si>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</si>
  <si>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</si>
  <si>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</si>
  <si>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</si>
  <si>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</si>
  <si>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</si>
  <si>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</si>
  <si>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</si>
  <si>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</si>
  <si>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</si>
  <si>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</si>
  <si>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</si>
  <si>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</si>
  <si>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</si>
  <si>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</si>
  <si>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</si>
  <si>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</si>
  <si>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</si>
  <si>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</si>
  <si>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</si>
  <si>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</si>
  <si>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</si>
  <si>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</si>
  <si>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</si>
  <si>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</si>
  <si>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</si>
  <si>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</si>
  <si>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</si>
  <si>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</si>
  <si>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</si>
  <si>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</si>
  <si>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</si>
  <si>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</si>
  <si>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</si>
  <si>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</si>
  <si>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</si>
  <si>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</si>
  <si>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</si>
  <si>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</si>
  <si>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</si>
  <si>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</si>
  <si>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</si>
  <si>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</si>
  <si>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</si>
  <si>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</si>
  <si>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</si>
  <si>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</si>
  <si>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</si>
  <si>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</si>
  <si>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</si>
  <si>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</si>
  <si>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</si>
  <si>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</si>
  <si>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</si>
  <si>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</si>
  <si>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</si>
  <si>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</si>
  <si>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</si>
  <si>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</si>
  <si>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</si>
  <si>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</si>
  <si>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</si>
  <si>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</si>
  <si>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</si>
  <si>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</si>
  <si>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</si>
  <si>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</si>
  <si>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</si>
  <si>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</si>
  <si>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</si>
  <si>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</si>
  <si>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</si>
  <si>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</si>
  <si>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</si>
  <si>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</si>
  <si>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</si>
  <si>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</si>
  <si>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</si>
  <si>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</si>
  <si>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</si>
  <si>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</si>
  <si>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</si>
  <si>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</si>
  <si>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</si>
  <si>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</si>
  <si>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</si>
  <si>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</si>
  <si>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</si>
  <si>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</si>
  <si>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</si>
  <si>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</si>
  <si>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</si>
  <si>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</si>
  <si>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</si>
  <si>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</si>
  <si>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</si>
  <si>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</si>
  <si>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</si>
  <si>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</si>
  <si>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</si>
  <si>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</si>
  <si>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</si>
  <si>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</si>
  <si>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</si>
  <si>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</si>
  <si>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</si>
  <si>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</si>
  <si>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</si>
  <si>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</si>
  <si>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</si>
  <si>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</si>
  <si>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</si>
  <si>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</si>
  <si>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</si>
  <si>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</si>
  <si>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</si>
  <si>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</si>
  <si>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</si>
  <si>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</si>
  <si>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</si>
  <si>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</si>
  <si>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</si>
  <si>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</si>
  <si>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</si>
  <si>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</si>
  <si>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</si>
  <si>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</si>
  <si>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</si>
  <si>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</si>
  <si>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</si>
  <si>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</si>
  <si>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</si>
  <si>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</si>
  <si>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</si>
  <si>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</si>
  <si>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</si>
  <si>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</si>
  <si>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</si>
  <si>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</si>
  <si>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</si>
  <si>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</si>
  <si>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</si>
  <si>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</si>
  <si>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</si>
  <si>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</si>
  <si>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</si>
  <si>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</si>
  <si>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</si>
  <si>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</si>
  <si>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</si>
  <si>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</si>
  <si>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</si>
  <si>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</si>
  <si>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</si>
  <si>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</si>
  <si>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</si>
  <si>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</si>
  <si>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</si>
  <si>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</si>
  <si>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</si>
  <si>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</si>
  <si>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</si>
  <si>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</si>
  <si>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</si>
  <si>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</si>
  <si>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</si>
  <si>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</si>
  <si>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</si>
  <si>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</si>
  <si>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</si>
  <si>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</si>
  <si>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</si>
  <si>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</si>
  <si>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</si>
  <si>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</si>
  <si>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</si>
  <si>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</si>
  <si>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</si>
  <si>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</si>
  <si>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</si>
  <si>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</si>
  <si>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</si>
  <si>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</si>
  <si>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</si>
  <si>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</si>
  <si>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</si>
  <si>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</si>
  <si>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</si>
  <si>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</si>
  <si>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</si>
  <si>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</si>
  <si>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</si>
  <si>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</si>
  <si>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</si>
  <si>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</si>
  <si>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</si>
  <si>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</si>
  <si>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</si>
  <si>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</si>
  <si>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</si>
  <si>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</si>
  <si>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</si>
  <si>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</si>
  <si>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</si>
  <si>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</si>
  <si>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</si>
  <si>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</si>
  <si>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</si>
  <si>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</si>
  <si>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</si>
  <si>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</si>
  <si>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</si>
  <si>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</si>
  <si>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</si>
  <si>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</si>
  <si>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</si>
  <si>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</si>
  <si>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</si>
  <si>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</si>
  <si>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</si>
  <si>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</si>
  <si>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</si>
  <si>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</si>
  <si>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</si>
  <si>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</si>
  <si>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</si>
  <si>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</si>
  <si>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</si>
  <si>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</si>
  <si>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</si>
  <si>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</si>
  <si>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</si>
  <si>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</si>
  <si>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</si>
  <si>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</si>
  <si>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</si>
  <si>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</si>
  <si>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</si>
  <si>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</si>
  <si>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</si>
  <si>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</si>
  <si>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</si>
  <si>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</si>
  <si>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</si>
  <si>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</si>
  <si>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</si>
  <si>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</si>
  <si>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</si>
  <si>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</si>
  <si>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</si>
  <si>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</si>
  <si>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</si>
  <si>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</si>
  <si>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</si>
  <si>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</si>
  <si>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</si>
  <si>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</si>
  <si>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</si>
  <si>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</si>
  <si>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</si>
  <si>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</si>
  <si>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</si>
  <si>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</si>
  <si>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</si>
  <si>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</si>
  <si>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</si>
  <si>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</si>
  <si>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</si>
  <si>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</si>
  <si>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</si>
  <si>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</si>
  <si>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</si>
  <si>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</si>
  <si>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</si>
  <si>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</si>
  <si>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</si>
  <si>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</si>
  <si>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</si>
  <si>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</si>
  <si>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</si>
  <si>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</si>
  <si>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</si>
  <si>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</si>
  <si>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</si>
  <si>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</si>
  <si>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</si>
  <si>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</si>
  <si>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</si>
  <si>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</si>
  <si>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</si>
  <si>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</si>
  <si>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</si>
  <si>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</si>
  <si>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</si>
  <si>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</si>
  <si>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</si>
  <si>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</si>
  <si>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</si>
  <si>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</si>
  <si>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</si>
  <si>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</si>
  <si>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</si>
  <si>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</si>
  <si>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</si>
  <si>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</si>
  <si>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</si>
  <si>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</si>
  <si>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</si>
  <si>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</si>
  <si>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</si>
  <si>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</si>
  <si>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</si>
  <si>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</si>
  <si>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</si>
  <si>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</si>
  <si>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</si>
  <si>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</si>
  <si>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</si>
  <si>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</si>
  <si>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</si>
  <si>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</si>
  <si>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</si>
  <si>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</si>
  <si>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</si>
  <si>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</si>
  <si>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</si>
  <si>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</si>
  <si>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</si>
  <si>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</si>
  <si>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</si>
  <si>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</si>
  <si>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</si>
  <si>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</si>
  <si>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</si>
  <si>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</si>
  <si>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</si>
  <si>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</si>
  <si>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</si>
  <si>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</si>
  <si>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</si>
  <si>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</si>
  <si>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</si>
  <si>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</si>
  <si>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</si>
  <si>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</si>
  <si>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</si>
  <si>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</si>
  <si>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</si>
  <si>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</si>
  <si>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</si>
  <si>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</si>
  <si>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</si>
  <si>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</si>
  <si>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</si>
  <si>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</si>
  <si>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</si>
  <si>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</si>
  <si>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</si>
  <si>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</si>
  <si>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</si>
  <si>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</si>
  <si>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</si>
  <si>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</si>
  <si>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</si>
  <si>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</si>
  <si>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</si>
  <si>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</si>
  <si>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</si>
  <si>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</si>
  <si>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</si>
  <si>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</si>
  <si>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</si>
  <si>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</si>
  <si>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</si>
  <si>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</si>
  <si>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</si>
  <si>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</si>
  <si>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</si>
  <si>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</si>
  <si>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</si>
  <si>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</si>
  <si>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</si>
  <si>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</si>
  <si>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</si>
  <si>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</si>
  <si>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</si>
  <si>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</si>
  <si>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</si>
  <si>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</si>
  <si>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</si>
  <si>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</si>
  <si>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</si>
  <si>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</si>
  <si>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</si>
  <si>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</si>
  <si>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</si>
  <si>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</si>
  <si>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</si>
  <si>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</si>
  <si>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</si>
  <si>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</si>
  <si>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</si>
  <si>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</si>
  <si>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</si>
  <si>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</si>
  <si>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</si>
  <si>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</si>
  <si>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</si>
  <si>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</si>
  <si>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</si>
  <si>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</si>
  <si>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</si>
  <si>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</si>
  <si>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</si>
  <si>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</si>
  <si>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</si>
  <si>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</si>
  <si>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</si>
  <si>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</si>
  <si>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</si>
  <si>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</si>
  <si>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</si>
  <si>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</si>
  <si>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</si>
  <si>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</si>
  <si>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</si>
  <si>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</si>
  <si>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</si>
  <si>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</si>
  <si>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</si>
  <si>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</si>
  <si>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</si>
  <si>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</si>
  <si>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</si>
  <si>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</si>
  <si>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</si>
  <si>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</si>
  <si>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</si>
  <si>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</si>
  <si>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</si>
  <si>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</si>
  <si>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</si>
  <si>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</si>
  <si>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</si>
  <si>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</si>
  <si>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</si>
  <si>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</si>
  <si>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</si>
  <si>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</si>
  <si>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</si>
  <si>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</si>
  <si>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</si>
  <si>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</si>
  <si>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</si>
  <si>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</si>
  <si>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</si>
  <si>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</si>
  <si>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</si>
  <si>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</si>
  <si>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</si>
  <si>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</si>
  <si>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</si>
  <si>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</si>
  <si>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</si>
  <si>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</si>
  <si>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</si>
  <si>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</si>
  <si>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</si>
  <si>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</si>
  <si>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</si>
  <si>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</si>
  <si>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</si>
  <si>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</si>
  <si>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</si>
  <si>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</si>
  <si>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</si>
  <si>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</si>
  <si>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</si>
  <si>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</si>
  <si>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</si>
  <si>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</si>
  <si>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</si>
  <si>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</si>
  <si>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</si>
  <si>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</si>
  <si>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</si>
  <si>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</si>
  <si>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</si>
  <si>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</si>
  <si>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</si>
  <si>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</si>
  <si>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</si>
  <si>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</si>
  <si>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</si>
  <si>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</si>
  <si>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</si>
  <si>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</si>
  <si>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</si>
  <si>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</si>
  <si>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</si>
  <si>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</si>
  <si>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</si>
  <si>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</si>
  <si>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</si>
  <si>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</si>
  <si>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</si>
  <si>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</si>
  <si>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</si>
  <si>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</si>
  <si>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</si>
  <si>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</si>
  <si>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</si>
  <si>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</si>
  <si>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</si>
  <si>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</si>
  <si>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</si>
  <si>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</si>
  <si>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</si>
  <si>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</si>
  <si>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</si>
  <si>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</si>
  <si>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</si>
  <si>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</si>
  <si>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</si>
  <si>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</si>
  <si>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</si>
  <si>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</si>
  <si>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</si>
  <si>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</si>
  <si>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</si>
  <si>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</si>
  <si>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</si>
  <si>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</si>
  <si>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</si>
  <si>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</si>
  <si>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</si>
  <si>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</si>
  <si>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</si>
  <si>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</si>
  <si>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</si>
  <si>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</si>
  <si>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</si>
  <si>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</si>
  <si>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</si>
  <si>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</si>
  <si>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</si>
  <si>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</si>
  <si>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</si>
  <si>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</si>
  <si>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</si>
  <si>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</si>
  <si>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</si>
  <si>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</si>
  <si>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</si>
  <si>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</si>
  <si>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</si>
  <si>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</si>
  <si>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</si>
  <si>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</si>
  <si>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</si>
  <si>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</si>
  <si>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</si>
  <si>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</si>
  <si>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</si>
  <si>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</si>
  <si>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</si>
  <si>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</si>
  <si>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</si>
  <si>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</si>
  <si>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</si>
  <si>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</si>
  <si>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</si>
  <si>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</si>
  <si>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</si>
  <si>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</si>
  <si>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</si>
  <si>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</si>
  <si>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</si>
  <si>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</si>
  <si>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</si>
  <si>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</si>
  <si>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</si>
  <si>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</si>
  <si>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</si>
  <si>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</si>
  <si>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</si>
  <si>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</si>
  <si>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</si>
  <si>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</si>
  <si>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</si>
  <si>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</si>
  <si>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</si>
  <si>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</si>
  <si>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</si>
  <si>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</si>
  <si>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</si>
  <si>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</si>
  <si>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</si>
  <si>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</si>
  <si>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</si>
  <si>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</si>
  <si>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</si>
  <si>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</si>
  <si>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</si>
  <si>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</si>
  <si>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</si>
  <si>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</si>
  <si>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</si>
  <si>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</si>
  <si>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</si>
  <si>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</si>
  <si>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</si>
  <si>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</si>
  <si>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</si>
  <si>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</si>
  <si>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</si>
  <si>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</si>
  <si>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</si>
  <si>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</si>
  <si>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</si>
  <si>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</si>
  <si>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</si>
  <si>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</si>
  <si>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</si>
  <si>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</si>
  <si>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</si>
  <si>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</si>
  <si>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</si>
  <si>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</si>
  <si>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</si>
  <si>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</si>
  <si>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</si>
  <si>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</si>
  <si>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</si>
  <si>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</si>
  <si>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</si>
  <si>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</si>
  <si>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</si>
  <si>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</si>
  <si>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</si>
  <si>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</si>
  <si>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</si>
  <si>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</si>
  <si>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</si>
  <si>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</si>
  <si>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</si>
  <si>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</si>
  <si>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</si>
  <si>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</si>
  <si>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</si>
  <si>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</si>
  <si>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</si>
  <si>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</si>
  <si>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</si>
  <si>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</si>
  <si>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</si>
  <si>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</si>
  <si>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</si>
  <si>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</si>
  <si>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</si>
  <si>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</si>
  <si>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</si>
  <si>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</si>
  <si>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</si>
  <si>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</si>
  <si>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</si>
  <si>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</si>
  <si>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</si>
  <si>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</si>
  <si>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</si>
  <si>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</si>
  <si>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</si>
  <si>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</si>
  <si>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</si>
  <si>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</si>
  <si>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</si>
  <si>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</si>
  <si>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</si>
  <si>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</si>
  <si>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</si>
  <si>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</si>
  <si>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</si>
  <si>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</si>
  <si>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</si>
  <si>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</si>
  <si>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</si>
  <si>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</si>
  <si>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</si>
  <si>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</si>
  <si>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</si>
  <si>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</si>
  <si>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</si>
  <si>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</si>
  <si>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</si>
  <si>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</si>
  <si>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</si>
  <si>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</si>
  <si>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</si>
  <si>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</si>
  <si>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</si>
  <si>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</si>
  <si>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</si>
  <si>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</si>
  <si>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</si>
  <si>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</si>
  <si>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</si>
  <si>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</si>
  <si>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</si>
  <si>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</si>
  <si>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</si>
  <si>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</si>
  <si>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</si>
  <si>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</si>
  <si>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</si>
  <si>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</si>
  <si>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</si>
  <si>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</si>
  <si>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</si>
  <si>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</si>
  <si>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</si>
  <si>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</si>
  <si>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</si>
  <si>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</si>
  <si>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</si>
  <si>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</si>
  <si>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</si>
  <si>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</si>
  <si>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</si>
  <si>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</si>
  <si>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</si>
  <si>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</si>
  <si>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</si>
  <si>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</si>
  <si>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</si>
  <si>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</si>
  <si>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</si>
  <si>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</si>
  <si>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</si>
  <si>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</si>
  <si>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</si>
  <si>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</si>
  <si>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</si>
  <si>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</si>
  <si>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</si>
  <si>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</si>
  <si>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</si>
  <si>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</si>
  <si>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</si>
  <si>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</si>
  <si>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</si>
  <si>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</si>
  <si>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</si>
  <si>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</si>
  <si>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</si>
  <si>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</si>
  <si>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</si>
  <si>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</si>
  <si>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</si>
  <si>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</si>
  <si>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</si>
  <si>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</si>
  <si>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</si>
  <si>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</si>
  <si>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</si>
  <si>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</si>
  <si>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</si>
  <si>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</si>
  <si>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</si>
  <si>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</si>
  <si>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</si>
  <si>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</si>
  <si>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</si>
  <si>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</si>
  <si>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</si>
  <si>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</si>
  <si>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</si>
  <si>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</si>
  <si>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</si>
  <si>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</si>
  <si>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</si>
  <si>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</si>
  <si>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</si>
  <si>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</si>
  <si>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</si>
  <si>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</si>
  <si>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</si>
  <si>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</si>
  <si>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</si>
  <si>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</si>
  <si>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</si>
  <si>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</si>
  <si>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</si>
  <si>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</si>
  <si>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</si>
  <si>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</si>
  <si>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</si>
  <si>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</si>
  <si>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</si>
  <si>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</si>
  <si>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</si>
  <si>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</si>
  <si>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</si>
  <si>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</si>
  <si>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</si>
  <si>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</si>
  <si>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</si>
  <si>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</si>
  <si>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</si>
  <si>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</si>
  <si>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</si>
  <si>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</si>
  <si>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</si>
  <si>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</si>
  <si>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</si>
  <si>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</si>
  <si>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</si>
  <si>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</si>
  <si>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</si>
  <si>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</si>
  <si>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</si>
  <si>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</si>
  <si>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</si>
  <si>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</si>
  <si>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</si>
  <si>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</si>
  <si>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</si>
  <si>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</si>
  <si>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</si>
  <si>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</si>
  <si>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</si>
  <si>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</si>
  <si>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</si>
  <si>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</si>
  <si>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</si>
  <si>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</si>
  <si>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</si>
  <si>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</si>
  <si>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</si>
  <si>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</si>
  <si>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</si>
  <si>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</si>
  <si>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</si>
  <si>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</si>
  <si>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</si>
  <si>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</si>
  <si>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</si>
  <si>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</si>
  <si>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</si>
  <si>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</si>
  <si>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</si>
  <si>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</si>
  <si>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</si>
  <si>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</si>
  <si>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</si>
  <si>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</si>
  <si>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</si>
  <si>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</si>
  <si>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</si>
  <si>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</si>
  <si>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</si>
  <si>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</si>
  <si>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</si>
  <si>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</si>
  <si>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</si>
  <si>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</si>
  <si>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</si>
  <si>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</si>
  <si>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</si>
  <si>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</si>
  <si>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</si>
  <si>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</si>
  <si>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</si>
  <si>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</si>
  <si>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</si>
  <si>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</si>
  <si>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</si>
  <si>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</si>
  <si>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</si>
  <si>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</si>
  <si>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</si>
  <si>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</si>
  <si>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</si>
  <si>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</si>
  <si>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</si>
  <si>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</si>
  <si>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</si>
  <si>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</si>
  <si>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</si>
  <si>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</si>
  <si>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</si>
  <si>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</si>
  <si>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</si>
  <si>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</si>
  <si>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</si>
  <si>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</si>
  <si>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</si>
  <si>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</si>
  <si>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</si>
  <si>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</si>
  <si>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</si>
  <si>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</si>
  <si>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</si>
  <si>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</si>
  <si>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</si>
  <si>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</si>
  <si>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</si>
  <si>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</si>
  <si>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</si>
  <si>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</si>
  <si>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</si>
  <si>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</si>
  <si>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</si>
  <si>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</si>
  <si>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</si>
  <si>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</si>
  <si>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</si>
  <si>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</si>
  <si>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</si>
  <si>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</si>
  <si>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</si>
  <si>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</si>
  <si>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</si>
  <si>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</si>
  <si>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</si>
  <si>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</si>
  <si>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</si>
  <si>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</si>
  <si>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</si>
  <si>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</si>
  <si>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</si>
  <si>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</si>
  <si>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</si>
  <si>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</si>
  <si>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</si>
  <si>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</si>
  <si>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</si>
  <si>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</si>
  <si>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</si>
  <si>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</si>
  <si>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</si>
  <si>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</si>
  <si>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</si>
  <si>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</si>
  <si>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</si>
  <si>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</si>
  <si>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</si>
  <si>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</si>
  <si>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</si>
  <si>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</si>
  <si>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</si>
  <si>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</si>
  <si>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</si>
  <si>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</si>
  <si>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</si>
  <si>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</si>
  <si>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</si>
  <si>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</si>
  <si>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</si>
  <si>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</si>
  <si>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</si>
  <si>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</si>
  <si>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</si>
  <si>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</si>
  <si>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</si>
  <si>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</si>
  <si>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</si>
  <si>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</si>
  <si>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</si>
  <si>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</si>
  <si>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</si>
  <si>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</si>
  <si>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</si>
  <si>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</si>
  <si>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</si>
  <si>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</si>
  <si>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</si>
  <si>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</si>
  <si>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</si>
  <si>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</si>
  <si>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</si>
  <si>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</si>
  <si>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</si>
  <si>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</si>
  <si>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</si>
  <si>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</si>
  <si>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</si>
  <si>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</si>
  <si>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</si>
  <si>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</si>
  <si>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</si>
  <si>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</si>
  <si>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</si>
  <si>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</si>
  <si>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</si>
  <si>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</si>
  <si>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</si>
  <si>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</si>
  <si>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</si>
  <si>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</si>
  <si>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</si>
  <si>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</si>
  <si>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</si>
  <si>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</si>
  <si>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</si>
  <si>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</si>
  <si>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</si>
  <si>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</si>
  <si>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</si>
  <si>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</si>
  <si>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</si>
  <si>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</si>
  <si>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</si>
  <si>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</si>
  <si>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</si>
  <si>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</si>
  <si>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</si>
  <si>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</si>
  <si>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</si>
  <si>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</si>
  <si>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</si>
  <si>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</si>
  <si>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</si>
  <si>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</si>
  <si>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</si>
  <si>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</si>
  <si>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</si>
  <si>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</si>
  <si>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</si>
  <si>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</si>
  <si>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</si>
  <si>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</si>
  <si>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</si>
  <si>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</si>
  <si>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</si>
  <si>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</si>
  <si>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</si>
  <si>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</si>
  <si>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</si>
  <si>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</si>
  <si>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</si>
  <si>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</si>
  <si>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</si>
  <si>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</si>
  <si>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</si>
  <si>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</si>
  <si>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</si>
  <si>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</si>
  <si>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</si>
  <si>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</si>
  <si>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</si>
  <si>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</si>
  <si>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</si>
  <si>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</si>
  <si>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</si>
  <si>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</si>
  <si>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</si>
  <si>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</si>
  <si>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</si>
  <si>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</si>
  <si>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</si>
  <si>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</si>
  <si>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</si>
  <si>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</si>
  <si>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</si>
  <si>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</si>
  <si>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</si>
  <si>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</si>
  <si>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</si>
  <si>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</si>
  <si>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</si>
  <si>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</si>
  <si>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</si>
  <si>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</si>
  <si>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</si>
  <si>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</si>
  <si>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</si>
  <si>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</si>
  <si>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</si>
  <si>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</si>
  <si>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</si>
  <si>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</si>
  <si>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</si>
  <si>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</si>
  <si>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</si>
  <si>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</si>
  <si>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</si>
  <si>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</si>
  <si>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</si>
  <si>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</si>
  <si>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</si>
  <si>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</si>
  <si>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</si>
  <si>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</si>
  <si>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</si>
  <si>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</si>
  <si>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</si>
  <si>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</si>
  <si>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</si>
  <si>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</si>
  <si>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</si>
  <si>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</si>
  <si>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</si>
  <si>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</si>
  <si>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</si>
  <si>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</si>
  <si>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</si>
  <si>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</si>
  <si>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</si>
  <si>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</si>
  <si>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</si>
  <si>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</si>
  <si>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</si>
  <si>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</si>
  <si>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</si>
  <si>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</si>
  <si>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</si>
  <si>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</si>
  <si>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</si>
  <si>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</si>
  <si>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</si>
  <si>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</si>
  <si>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</si>
  <si>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</si>
  <si>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</si>
  <si>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</si>
  <si>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</si>
  <si>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</si>
  <si>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</si>
  <si>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</si>
  <si>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</si>
  <si>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</si>
  <si>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</si>
  <si>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</si>
  <si>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</si>
  <si>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</si>
  <si>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</si>
  <si>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</si>
  <si>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</si>
  <si>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</si>
  <si>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</si>
  <si>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</si>
  <si>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</si>
  <si>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</si>
  <si>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</si>
  <si>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</si>
  <si>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</si>
  <si>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</si>
  <si>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</si>
  <si>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</si>
  <si>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</si>
  <si>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</si>
  <si>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</si>
  <si>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</si>
  <si>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</si>
  <si>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</si>
  <si>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</si>
  <si>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</si>
  <si>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</si>
  <si>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</si>
  <si>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</si>
  <si>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</si>
  <si>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</si>
  <si>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</si>
  <si>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</si>
  <si>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</si>
  <si>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</si>
  <si>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</si>
  <si>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</si>
  <si>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</si>
  <si>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</si>
  <si>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</si>
  <si>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</si>
  <si>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</si>
  <si>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</si>
  <si>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</si>
  <si>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</si>
  <si>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</si>
  <si>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</si>
  <si>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</si>
  <si>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</si>
  <si>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</si>
  <si>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</si>
  <si>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</si>
  <si>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</si>
  <si>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</si>
  <si>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</si>
  <si>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</si>
  <si>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</si>
  <si>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</si>
  <si>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</si>
  <si>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</si>
  <si>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</si>
  <si>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Monitor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</si>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</sst>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G287" zoomScale="121" zoomScaleNormal="120" workbookViewId="0">
      <selection activeCell="AK301" sqref="AK301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1226</v>
      </c>
      <c r="AY1" s="6" t="s">
        <v>1226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1383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1227</v>
      </c>
      <c r="AY2" s="16" t="s">
        <v>1223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1224</v>
      </c>
      <c r="AY3" s="27" t="s">
        <v>1225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1342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1343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1343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1252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1253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1253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1344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1451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1431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1350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1251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1250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1351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1352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1353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1354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1382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1382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1382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1382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1382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1382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1360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1382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1361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1382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1362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1382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1394</v>
      </c>
      <c r="F94" s="36" t="str">
        <f>IF(ISBLANK(Table2[[#This Row],[unique_id]]), "", PROPER(SUBSTITUTE(Table2[[#This Row],[unique_id]], "_", " ")))</f>
        <v>Home Started</v>
      </c>
      <c r="G94" s="30" t="s">
        <v>1395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1388</v>
      </c>
      <c r="F103" s="36" t="str">
        <f>IF(ISBLANK(Table2[[#This Row],[unique_id]]), "", PROPER(SUBSTITUTE(Table2[[#This Row],[unique_id]], "_", " ")))</f>
        <v>Edwin Wakeup</v>
      </c>
      <c r="G103" s="30" t="s">
        <v>1386</v>
      </c>
      <c r="H103" s="30" t="s">
        <v>311</v>
      </c>
      <c r="I103" s="30" t="s">
        <v>132</v>
      </c>
      <c r="J103" s="30" t="s">
        <v>1391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1389</v>
      </c>
      <c r="F104" s="36" t="str">
        <f>IF(ISBLANK(Table2[[#This Row],[unique_id]]), "", PROPER(SUBSTITUTE(Table2[[#This Row],[unique_id]], "_", " ")))</f>
        <v>Edwin Playtime</v>
      </c>
      <c r="G104" s="30" t="s">
        <v>1396</v>
      </c>
      <c r="H104" s="30" t="s">
        <v>311</v>
      </c>
      <c r="I104" s="30" t="s">
        <v>132</v>
      </c>
      <c r="J104" s="30" t="s">
        <v>1392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1390</v>
      </c>
      <c r="F105" s="36" t="str">
        <f>IF(ISBLANK(Table2[[#This Row],[unique_id]]), "", PROPER(SUBSTITUTE(Table2[[#This Row],[unique_id]], "_", " ")))</f>
        <v>Edwin Goodnight</v>
      </c>
      <c r="G105" s="30" t="s">
        <v>1387</v>
      </c>
      <c r="H105" s="30" t="s">
        <v>311</v>
      </c>
      <c r="I105" s="30" t="s">
        <v>132</v>
      </c>
      <c r="J105" s="30" t="s">
        <v>1393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1400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1401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1268</v>
      </c>
      <c r="BL107" s="55" t="s">
        <v>346</v>
      </c>
      <c r="BM107" s="55" t="s">
        <v>1309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1268</v>
      </c>
      <c r="BL109" s="30" t="s">
        <v>353</v>
      </c>
      <c r="BM109" s="30" t="s">
        <v>1319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1268</v>
      </c>
      <c r="BL110" s="30" t="s">
        <v>371</v>
      </c>
      <c r="BM110" s="30" t="s">
        <v>1286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1268</v>
      </c>
      <c r="BL111" s="30" t="s">
        <v>372</v>
      </c>
      <c r="BM111" s="30" t="s">
        <v>1287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1268</v>
      </c>
      <c r="BL112" s="30" t="s">
        <v>375</v>
      </c>
      <c r="BM112" s="30" t="s">
        <v>1288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1268</v>
      </c>
      <c r="BL114" s="30" t="s">
        <v>921</v>
      </c>
      <c r="BM114" s="30" t="s">
        <v>1290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1268</v>
      </c>
      <c r="BL117" s="30" t="s">
        <v>376</v>
      </c>
      <c r="BM117" s="30" t="s">
        <v>1291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1268</v>
      </c>
      <c r="BL119" s="30" t="s">
        <v>373</v>
      </c>
      <c r="BM119" s="30" t="s">
        <v>1292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1268</v>
      </c>
      <c r="BL120" s="30" t="s">
        <v>374</v>
      </c>
      <c r="BM120" s="39" t="s">
        <v>1293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1241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1242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1240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1434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1432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1433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1243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1329</v>
      </c>
      <c r="BA131" s="30" t="str">
        <f>IF(ISBLANK(Table2[[#This Row],[device_model]]), "", Table2[[#This Row],[device_suggested_area]])</f>
        <v>Home</v>
      </c>
      <c r="BB131" s="30" t="s">
        <v>1333</v>
      </c>
      <c r="BC131" s="30" t="s">
        <v>1330</v>
      </c>
      <c r="BD131" s="30" t="s">
        <v>1329</v>
      </c>
      <c r="BF131" s="30" t="s">
        <v>1331</v>
      </c>
      <c r="BG131" s="30" t="s">
        <v>165</v>
      </c>
      <c r="BK131" s="30" t="s">
        <v>1267</v>
      </c>
      <c r="BL131" s="46" t="s">
        <v>1332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1222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1524</v>
      </c>
      <c r="BD161" s="30" t="s">
        <v>377</v>
      </c>
      <c r="BE161" s="30" t="s">
        <v>1429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1524</v>
      </c>
      <c r="BD162" s="30" t="s">
        <v>377</v>
      </c>
      <c r="BE162" s="30" t="s">
        <v>1429</v>
      </c>
      <c r="BF162" s="30" t="s">
        <v>488</v>
      </c>
      <c r="BG162" s="30" t="s">
        <v>194</v>
      </c>
      <c r="BI162" s="30" t="s">
        <v>687</v>
      </c>
      <c r="BL162" s="30" t="s">
        <v>1522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1517</v>
      </c>
      <c r="F163" s="36" t="str">
        <f>IF(ISBLANK(Table2[[#This Row],[unique_id]]), "", PROPER(SUBSTITUTE(Table2[[#This Row],[unique_id]], "_", " ")))</f>
        <v>Lounge Reading</v>
      </c>
      <c r="G163" s="30" t="s">
        <v>1530</v>
      </c>
      <c r="H163" s="30" t="s">
        <v>139</v>
      </c>
      <c r="I163" s="30" t="s">
        <v>132</v>
      </c>
      <c r="J163" s="30" t="s">
        <v>1520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1520</v>
      </c>
      <c r="BC163" s="30" t="s">
        <v>1523</v>
      </c>
      <c r="BD163" s="30" t="s">
        <v>377</v>
      </c>
      <c r="BE163" s="30" t="s">
        <v>1429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1518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1521</v>
      </c>
      <c r="BC164" s="30" t="s">
        <v>1523</v>
      </c>
      <c r="BD164" s="30" t="s">
        <v>377</v>
      </c>
      <c r="BE164" s="30" t="s">
        <v>1429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1235</v>
      </c>
      <c r="F180" s="36" t="str">
        <f>IF(ISBLANK(Table2[[#This Row],[unique_id]]), "", PROPER(SUBSTITUTE(Table2[[#This Row],[unique_id]], "_", " ")))</f>
        <v>Kitchen Bench Lights Plug</v>
      </c>
      <c r="G180" s="30" t="s">
        <v>1236</v>
      </c>
      <c r="H180" s="30" t="s">
        <v>139</v>
      </c>
      <c r="I180" s="30" t="s">
        <v>132</v>
      </c>
      <c r="J180" s="30" t="s">
        <v>1238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1268</v>
      </c>
      <c r="BL180" s="30" t="s">
        <v>919</v>
      </c>
      <c r="BM180" s="30" t="s">
        <v>1294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1402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1403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1268</v>
      </c>
      <c r="BL201" s="55" t="s">
        <v>561</v>
      </c>
      <c r="BM201" s="55" t="s">
        <v>1295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1268</v>
      </c>
      <c r="BL203" s="30" t="s">
        <v>1053</v>
      </c>
      <c r="BM203" s="30" t="s">
        <v>1296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1404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1268</v>
      </c>
      <c r="BL206" s="55" t="s">
        <v>560</v>
      </c>
      <c r="BM206" s="55" t="s">
        <v>1297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1268</v>
      </c>
      <c r="BL208" s="30" t="s">
        <v>1052</v>
      </c>
      <c r="BM208" s="30" t="s">
        <v>1298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1268</v>
      </c>
      <c r="BL224" s="30" t="s">
        <v>350</v>
      </c>
      <c r="BM224" s="30" t="s">
        <v>1299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1268</v>
      </c>
      <c r="BL226" s="30" t="s">
        <v>442</v>
      </c>
      <c r="BM226" s="30" t="s">
        <v>1300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1268</v>
      </c>
      <c r="BL230" s="30" t="s">
        <v>1046</v>
      </c>
      <c r="BM230" s="30" t="s">
        <v>1301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1334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1231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1232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1233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1229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1201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1204</v>
      </c>
      <c r="H288" s="30" t="s">
        <v>1200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1202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1205</v>
      </c>
      <c r="H289" s="30" t="s">
        <v>1200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1203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1525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1527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1526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1513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1228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1533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1567</v>
      </c>
      <c r="AF301" s="30">
        <v>6</v>
      </c>
      <c r="AG301" s="31" t="s">
        <v>34</v>
      </c>
      <c r="AH301" s="31"/>
      <c r="AI301" s="30" t="s">
        <v>1489</v>
      </c>
      <c r="AJ301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1566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1531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1534</v>
      </c>
      <c r="F302" s="30" t="str">
        <f>IF(ISBLANK(Table2[[#This Row],[unique_id]]), "", PROPER(SUBSTITUTE(Table2[[#This Row],[unique_id]], "_", " ")))</f>
        <v>Service Sabnzbd</v>
      </c>
      <c r="G302" s="30" t="s">
        <v>1558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1567</v>
      </c>
      <c r="AF302" s="30">
        <v>6</v>
      </c>
      <c r="AG302" s="31" t="s">
        <v>34</v>
      </c>
      <c r="AH302" s="31"/>
      <c r="AI302" s="30" t="s">
        <v>1489</v>
      </c>
      <c r="AJ302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1566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1531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1535</v>
      </c>
      <c r="F303" s="30" t="str">
        <f>IF(ISBLANK(Table2[[#This Row],[unique_id]]), "", PROPER(SUBSTITUTE(Table2[[#This Row],[unique_id]], "_", " ")))</f>
        <v>Service Influxdb3</v>
      </c>
      <c r="G303" s="30" t="s">
        <v>1557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1567</v>
      </c>
      <c r="AF303" s="30">
        <v>6</v>
      </c>
      <c r="AG303" s="31" t="s">
        <v>34</v>
      </c>
      <c r="AH303" s="31"/>
      <c r="AI303" s="30" t="s">
        <v>1490</v>
      </c>
      <c r="AJ303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1566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1531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1536</v>
      </c>
      <c r="F304" s="30" t="str">
        <f>IF(ISBLANK(Table2[[#This Row],[unique_id]]), "", PROPER(SUBSTITUTE(Table2[[#This Row],[unique_id]], "_", " ")))</f>
        <v>Service Mlflow</v>
      </c>
      <c r="G304" s="30" t="s">
        <v>1559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1567</v>
      </c>
      <c r="AF304" s="30">
        <v>6</v>
      </c>
      <c r="AG304" s="31" t="s">
        <v>34</v>
      </c>
      <c r="AH304" s="31"/>
      <c r="AI304" s="30" t="s">
        <v>1490</v>
      </c>
      <c r="AJ304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1566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1531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1537</v>
      </c>
      <c r="F305" s="30" t="str">
        <f>IF(ISBLANK(Table2[[#This Row],[unique_id]]), "", PROPER(SUBSTITUTE(Table2[[#This Row],[unique_id]], "_", " ")))</f>
        <v>Service Mlserver</v>
      </c>
      <c r="G305" s="30" t="s">
        <v>1560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1567</v>
      </c>
      <c r="AF305" s="30">
        <v>6</v>
      </c>
      <c r="AG305" s="31" t="s">
        <v>34</v>
      </c>
      <c r="AH305" s="31"/>
      <c r="AI305" s="30" t="s">
        <v>1490</v>
      </c>
      <c r="AJ305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1566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1531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1538</v>
      </c>
      <c r="F306" s="30" t="str">
        <f>IF(ISBLANK(Table2[[#This Row],[unique_id]]), "", PROPER(SUBSTITUTE(Table2[[#This Row],[unique_id]], "_", " ")))</f>
        <v>Service Openra</v>
      </c>
      <c r="G306" s="30" t="s">
        <v>1561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1567</v>
      </c>
      <c r="AF306" s="30">
        <v>6</v>
      </c>
      <c r="AG306" s="31" t="s">
        <v>34</v>
      </c>
      <c r="AH306" s="31"/>
      <c r="AI306" s="30" t="s">
        <v>1490</v>
      </c>
      <c r="AJ306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1566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1531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1539</v>
      </c>
      <c r="F307" s="30" t="str">
        <f>IF(ISBLANK(Table2[[#This Row],[unique_id]]), "", PROPER(SUBSTITUTE(Table2[[#This Row],[unique_id]], "_", " ")))</f>
        <v>Service Rhasspy</v>
      </c>
      <c r="G307" s="30" t="s">
        <v>1554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1567</v>
      </c>
      <c r="AF307" s="30">
        <v>6</v>
      </c>
      <c r="AG307" s="31" t="s">
        <v>34</v>
      </c>
      <c r="AH307" s="31"/>
      <c r="AI307" s="30" t="s">
        <v>1490</v>
      </c>
      <c r="AJ307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1566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1531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1540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1567</v>
      </c>
      <c r="AF308" s="30">
        <v>6</v>
      </c>
      <c r="AG308" s="31" t="s">
        <v>34</v>
      </c>
      <c r="AH308" s="31"/>
      <c r="AI308" s="30" t="s">
        <v>1451</v>
      </c>
      <c r="AJ308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1566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1531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1541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1567</v>
      </c>
      <c r="AF309" s="30">
        <v>6</v>
      </c>
      <c r="AG309" s="31" t="s">
        <v>34</v>
      </c>
      <c r="AH309" s="31"/>
      <c r="AI309" s="30" t="s">
        <v>1451</v>
      </c>
      <c r="AJ309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1566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1531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1542</v>
      </c>
      <c r="F310" s="30" t="str">
        <f>IF(ISBLANK(Table2[[#This Row],[unique_id]]), "", PROPER(SUBSTITUTE(Table2[[#This Row],[unique_id]], "_", " ")))</f>
        <v>Service Influxdb</v>
      </c>
      <c r="G310" s="30" t="s">
        <v>1557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1567</v>
      </c>
      <c r="AF310" s="30">
        <v>6</v>
      </c>
      <c r="AG310" s="31" t="s">
        <v>34</v>
      </c>
      <c r="AH310" s="31"/>
      <c r="AI310" s="30" t="s">
        <v>1451</v>
      </c>
      <c r="AJ310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1566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1531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1543</v>
      </c>
      <c r="F311" s="30" t="str">
        <f>IF(ISBLANK(Table2[[#This Row],[unique_id]]), "", PROPER(SUBSTITUTE(Table2[[#This Row],[unique_id]], "_", " ")))</f>
        <v>Service Letsencrypt</v>
      </c>
      <c r="G311" s="30" t="s">
        <v>1562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1567</v>
      </c>
      <c r="AF311" s="30">
        <v>6</v>
      </c>
      <c r="AG311" s="31" t="s">
        <v>34</v>
      </c>
      <c r="AH311" s="31"/>
      <c r="AI311" s="30" t="s">
        <v>1451</v>
      </c>
      <c r="AJ311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1566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1531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1544</v>
      </c>
      <c r="F312" s="30" t="str">
        <f>IF(ISBLANK(Table2[[#This Row],[unique_id]]), "", PROPER(SUBSTITUTE(Table2[[#This Row],[unique_id]], "_", " ")))</f>
        <v>Service Sonarr</v>
      </c>
      <c r="G312" s="30" t="s">
        <v>1555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1567</v>
      </c>
      <c r="AF312" s="30">
        <v>6</v>
      </c>
      <c r="AG312" s="31" t="s">
        <v>34</v>
      </c>
      <c r="AH312" s="31"/>
      <c r="AI312" s="30" t="s">
        <v>1451</v>
      </c>
      <c r="AJ312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1566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1531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1545</v>
      </c>
      <c r="F313" s="30" t="str">
        <f>IF(ISBLANK(Table2[[#This Row],[unique_id]]), "", PROPER(SUBSTITUTE(Table2[[#This Row],[unique_id]], "_", " ")))</f>
        <v>Service Unpoller</v>
      </c>
      <c r="G313" s="30" t="s">
        <v>1556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1567</v>
      </c>
      <c r="AF313" s="30">
        <v>6</v>
      </c>
      <c r="AG313" s="31" t="s">
        <v>34</v>
      </c>
      <c r="AH313" s="31"/>
      <c r="AI313" s="30" t="s">
        <v>1451</v>
      </c>
      <c r="AJ313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1566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1531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1546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1567</v>
      </c>
      <c r="AF314" s="30">
        <v>6</v>
      </c>
      <c r="AG314" s="31" t="s">
        <v>34</v>
      </c>
      <c r="AH314" s="31"/>
      <c r="AI314" s="30" t="s">
        <v>1451</v>
      </c>
      <c r="AJ314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homeassistant/switch/supervisor/macmini-may/service_wrangle/config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supervisor/macmini-may/command/service/wrangle</v>
      </c>
      <c r="AM314" s="30" t="str">
        <f>IF(ISBLANK(Table2[[#This Row],[index]]),  "", _xlfn.CONCAT("supervisor/", Table2[[#This Row],[unique_id_device]], "/status"))</f>
        <v>supervisor/macmini-may/status</v>
      </c>
      <c r="AR314" s="30" t="s">
        <v>1566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1531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1532</v>
      </c>
      <c r="F315" s="30" t="str">
        <f>IF(ISBLANK(Table2[[#This Row],[unique_id]]), "", PROPER(SUBSTITUTE(Table2[[#This Row],[unique_id]], "_", " ")))</f>
        <v>Service Homeassistant</v>
      </c>
      <c r="G315" s="30" t="s">
        <v>1199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1567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1566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1531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1547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1567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1566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1531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1548</v>
      </c>
      <c r="F317" s="30" t="str">
        <f>IF(ISBLANK(Table2[[#This Row],[unique_id]]), "", PROPER(SUBSTITUTE(Table2[[#This Row],[unique_id]], "_", " ")))</f>
        <v>Service Mariadb</v>
      </c>
      <c r="G317" s="30" t="s">
        <v>1563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1567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1566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1531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1549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1567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1566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1531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1550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1567</v>
      </c>
      <c r="AF319" s="30">
        <v>6</v>
      </c>
      <c r="AG319" s="31" t="s">
        <v>34</v>
      </c>
      <c r="AH319" s="31"/>
      <c r="AI319" s="30" t="s">
        <v>1142</v>
      </c>
      <c r="AJ319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homeassistant/switch/supervisor/macmini-meg/service_postgres/config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supervisor/macmini-meg/command/service/postgres</v>
      </c>
      <c r="AM319" s="30" t="str">
        <f>IF(ISBLANK(Table2[[#This Row],[index]]),  "", _xlfn.CONCAT("supervisor/", Table2[[#This Row],[unique_id_device]], "/status"))</f>
        <v>supervisor/macmini-meg/status</v>
      </c>
      <c r="AR319" s="30" t="s">
        <v>1566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1531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1551</v>
      </c>
      <c r="F320" s="30" t="str">
        <f>IF(ISBLANK(Table2[[#This Row],[unique_id]]), "", PROPER(SUBSTITUTE(Table2[[#This Row],[unique_id]], "_", " ")))</f>
        <v>Service Vernemq</v>
      </c>
      <c r="G320" s="30" t="s">
        <v>1564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1567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1566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1531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1552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1567</v>
      </c>
      <c r="AF321" s="30">
        <v>6</v>
      </c>
      <c r="AG321" s="31" t="s">
        <v>34</v>
      </c>
      <c r="AH321" s="31"/>
      <c r="AI321" s="30" t="s">
        <v>1455</v>
      </c>
      <c r="AJ321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1566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1531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1553</v>
      </c>
      <c r="F322" s="30" t="str">
        <f>IF(ISBLANK(Table2[[#This Row],[unique_id]]), "", PROPER(SUBSTITUTE(Table2[[#This Row],[unique_id]], "_", " ")))</f>
        <v>Service Zigbee2Mqtt</v>
      </c>
      <c r="G322" s="30" t="s">
        <v>1565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1567</v>
      </c>
      <c r="AF322" s="30">
        <v>6</v>
      </c>
      <c r="AG322" s="31" t="s">
        <v>34</v>
      </c>
      <c r="AH322" s="31"/>
      <c r="AI322" s="30" t="s">
        <v>1455</v>
      </c>
      <c r="AJ322" s="30" t="str">
        <f>IF(ISBLANK(Table2[[#This Row],[index]]),  "", _xlfn.CONCAT("homeassistant/", Table2[[#This Row],[entity_namespace]], "/", LOWER(Table2[[#This Row],[device_via_device]]), "/", Table2[[#This Row],[unique_id_device]], "/", Table2[[#This Row],[unique_id]], "/config"))</f>
        <v>homeassistant/switch/supervisor/raspbpi-jen/service_zigbee2mqtt/config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1566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1531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1213</v>
      </c>
      <c r="D324" s="30" t="s">
        <v>27</v>
      </c>
      <c r="E324" s="30" t="s">
        <v>1219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1214</v>
      </c>
      <c r="H324" s="30" t="s">
        <v>1216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1216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1451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1216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1216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1451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1216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1198</v>
      </c>
      <c r="D329" s="30" t="s">
        <v>27</v>
      </c>
      <c r="E329" s="30" t="s">
        <v>1483</v>
      </c>
      <c r="F329" s="30" t="str">
        <f>IF(ISBLANK(Table2[[#This Row],[unique_id]]), "", PROPER(SUBSTITUTE(Table2[[#This Row],[unique_id]], "_", " ")))</f>
        <v>Host Mad Temperature</v>
      </c>
      <c r="G329" s="30" t="s">
        <v>1487</v>
      </c>
      <c r="H329" s="30" t="s">
        <v>1216</v>
      </c>
      <c r="I329" s="30" t="s">
        <v>291</v>
      </c>
      <c r="K329" s="30" t="s">
        <v>1484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1489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9" s="30" t="s">
        <v>1495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1491</v>
      </c>
      <c r="BC329" s="30" t="s">
        <v>1208</v>
      </c>
      <c r="BD329" s="30" t="s">
        <v>1207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1198</v>
      </c>
      <c r="D330" s="30" t="s">
        <v>27</v>
      </c>
      <c r="E330" s="30" t="s">
        <v>1484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1487</v>
      </c>
      <c r="H330" s="30" t="s">
        <v>1216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1198</v>
      </c>
      <c r="D331" s="30" t="s">
        <v>27</v>
      </c>
      <c r="E331" s="30" t="s">
        <v>1485</v>
      </c>
      <c r="F331" s="30" t="str">
        <f>IF(ISBLANK(Table2[[#This Row],[unique_id]]), "", PROPER(SUBSTITUTE(Table2[[#This Row],[unique_id]], "_", " ")))</f>
        <v>Host Max Temperature</v>
      </c>
      <c r="G331" s="30" t="s">
        <v>1488</v>
      </c>
      <c r="H331" s="30" t="s">
        <v>1216</v>
      </c>
      <c r="I331" s="30" t="s">
        <v>291</v>
      </c>
      <c r="K331" s="30" t="s">
        <v>1486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1490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31" s="30" t="s">
        <v>1494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1492</v>
      </c>
      <c r="BC331" s="30" t="s">
        <v>1208</v>
      </c>
      <c r="BD331" s="30" t="s">
        <v>1207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1198</v>
      </c>
      <c r="D332" s="30" t="s">
        <v>27</v>
      </c>
      <c r="E332" s="30" t="s">
        <v>1486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1488</v>
      </c>
      <c r="H332" s="30" t="s">
        <v>1216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1198</v>
      </c>
      <c r="D333" s="30" t="s">
        <v>27</v>
      </c>
      <c r="E333" s="30" t="s">
        <v>1445</v>
      </c>
      <c r="F333" s="30" t="str">
        <f>IF(ISBLANK(Table2[[#This Row],[unique_id]]), "", PROPER(SUBSTITUTE(Table2[[#This Row],[unique_id]], "_", " ")))</f>
        <v>Host May Temperature</v>
      </c>
      <c r="G333" s="30" t="s">
        <v>1444</v>
      </c>
      <c r="H333" s="30" t="s">
        <v>1216</v>
      </c>
      <c r="I333" s="30" t="s">
        <v>291</v>
      </c>
      <c r="K333" s="30" t="s">
        <v>1446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1451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3" s="30" t="s">
        <v>1493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1452</v>
      </c>
      <c r="BC333" s="30" t="s">
        <v>1208</v>
      </c>
      <c r="BD333" s="30" t="s">
        <v>1207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1198</v>
      </c>
      <c r="D334" s="30" t="s">
        <v>27</v>
      </c>
      <c r="E334" s="30" t="s">
        <v>1446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1444</v>
      </c>
      <c r="H334" s="30" t="s">
        <v>1216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1198</v>
      </c>
      <c r="D335" s="30" t="s">
        <v>27</v>
      </c>
      <c r="E335" s="30" t="s">
        <v>1206</v>
      </c>
      <c r="F335" s="30" t="str">
        <f>IF(ISBLANK(Table2[[#This Row],[unique_id]]), "", PROPER(SUBSTITUTE(Table2[[#This Row],[unique_id]], "_", " ")))</f>
        <v>Host Meg Temperature</v>
      </c>
      <c r="G335" s="30" t="s">
        <v>1212</v>
      </c>
      <c r="H335" s="30" t="s">
        <v>1216</v>
      </c>
      <c r="I335" s="30" t="s">
        <v>291</v>
      </c>
      <c r="K335" s="30" t="s">
        <v>1211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5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5" s="30" t="s">
        <v>1210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1337</v>
      </c>
      <c r="BC335" s="30" t="s">
        <v>1208</v>
      </c>
      <c r="BD335" s="30" t="s">
        <v>1207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1198</v>
      </c>
      <c r="D336" s="30" t="s">
        <v>27</v>
      </c>
      <c r="E336" s="30" t="s">
        <v>1211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1212</v>
      </c>
      <c r="H336" s="30" t="s">
        <v>1216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1213</v>
      </c>
      <c r="D337" s="30" t="s">
        <v>27</v>
      </c>
      <c r="E337" s="30" t="s">
        <v>1221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1218</v>
      </c>
      <c r="H337" s="30" t="s">
        <v>1217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1213</v>
      </c>
      <c r="D338" s="30" t="s">
        <v>27</v>
      </c>
      <c r="E338" s="30" t="s">
        <v>1220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1430</v>
      </c>
      <c r="H338" s="30" t="s">
        <v>1215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1198</v>
      </c>
      <c r="D339" s="30" t="s">
        <v>27</v>
      </c>
      <c r="E339" s="30" t="s">
        <v>1459</v>
      </c>
      <c r="F339" s="30" t="str">
        <f>IF(ISBLANK(Table2[[#This Row],[unique_id]]), "", PROPER(SUBSTITUTE(Table2[[#This Row],[unique_id]], "_", " ")))</f>
        <v>Host Jen Temperature</v>
      </c>
      <c r="G339" s="30" t="s">
        <v>1460</v>
      </c>
      <c r="H339" s="30" t="s">
        <v>1215</v>
      </c>
      <c r="I339" s="30" t="s">
        <v>291</v>
      </c>
      <c r="K339" s="30" t="s">
        <v>1454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1455</v>
      </c>
      <c r="AJ33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9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9" s="30" t="s">
        <v>1456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1461</v>
      </c>
      <c r="BC339" s="30" t="s">
        <v>1208</v>
      </c>
      <c r="BD339" s="30" t="s">
        <v>1207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1198</v>
      </c>
      <c r="D340" s="30" t="s">
        <v>27</v>
      </c>
      <c r="E340" s="30" t="s">
        <v>1454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1460</v>
      </c>
      <c r="H340" s="30" t="s">
        <v>1215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1215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1230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1228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1363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1364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1365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1366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1496</v>
      </c>
      <c r="F357" s="36" t="str">
        <f>IF(ISBLANK(Table2[[#This Row],[unique_id]]), "", PROPER(SUBSTITUTE(Table2[[#This Row],[unique_id]], "_", " ")))</f>
        <v>Rack Printer Plug</v>
      </c>
      <c r="G357" s="30" t="s">
        <v>1511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1497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1268</v>
      </c>
      <c r="BL357" s="30" t="s">
        <v>1516</v>
      </c>
      <c r="BM357" s="30" t="s">
        <v>1512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1506</v>
      </c>
      <c r="F358" s="36" t="str">
        <f>IF(ISBLANK(Table2[[#This Row],[unique_id]]), "", PROPER(SUBSTITUTE(Table2[[#This Row],[unique_id]], "_", " ")))</f>
        <v>Rack Screen Plug</v>
      </c>
      <c r="G358" s="30" t="s">
        <v>1499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1500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1503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1268</v>
      </c>
      <c r="BL358" s="30" t="s">
        <v>1508</v>
      </c>
      <c r="BM358" s="30" t="s">
        <v>1504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1475</v>
      </c>
      <c r="F359" s="36" t="str">
        <f>IF(ISBLANK(Table2[[#This Row],[unique_id]]), "", PROPER(SUBSTITUTE(Table2[[#This Row],[unique_id]], "_", " ")))</f>
        <v>Rack Backup Plug</v>
      </c>
      <c r="G359" s="30" t="s">
        <v>1498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1501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1502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1268</v>
      </c>
      <c r="BL359" s="30" t="s">
        <v>1507</v>
      </c>
      <c r="BM359" s="30" t="s">
        <v>1505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1268</v>
      </c>
      <c r="BL360" s="30" t="s">
        <v>589</v>
      </c>
      <c r="BM360" s="30" t="s">
        <v>1322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1268</v>
      </c>
      <c r="BL362" s="30" t="s">
        <v>349</v>
      </c>
      <c r="BM362" s="30" t="s">
        <v>1302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1406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1407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1268</v>
      </c>
      <c r="BL364" s="55" t="s">
        <v>340</v>
      </c>
      <c r="BM364" s="55" t="s">
        <v>1303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1408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1409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1268</v>
      </c>
      <c r="BL366" s="55" t="s">
        <v>351</v>
      </c>
      <c r="BM366" s="55" t="s">
        <v>1304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1410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1411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1268</v>
      </c>
      <c r="BL368" s="55" t="s">
        <v>352</v>
      </c>
      <c r="BM368" s="55" t="s">
        <v>1305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1412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1413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1268</v>
      </c>
      <c r="BL370" s="55" t="s">
        <v>343</v>
      </c>
      <c r="BM370" s="55" t="s">
        <v>1306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1268</v>
      </c>
      <c r="BL372" s="30" t="s">
        <v>355</v>
      </c>
      <c r="BM372" s="30" t="s">
        <v>1317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1414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1415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1268</v>
      </c>
      <c r="BL374" s="55" t="s">
        <v>344</v>
      </c>
      <c r="BM374" s="55" t="s">
        <v>1307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1416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1417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1268</v>
      </c>
      <c r="BL376" s="55" t="s">
        <v>345</v>
      </c>
      <c r="BM376" s="55" t="s">
        <v>1308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1510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1509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1268</v>
      </c>
      <c r="BL378" s="63" t="s">
        <v>1476</v>
      </c>
      <c r="BM378" s="63" t="s">
        <v>1477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1268</v>
      </c>
      <c r="BL380" s="30" t="s">
        <v>347</v>
      </c>
      <c r="BM380" s="30" t="s">
        <v>1310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1398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1399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1399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1397</v>
      </c>
      <c r="F382" s="36" t="str">
        <f>IF(ISBLANK(Table2[[#This Row],[unique_id]]), "", PROPER(SUBSTITUTE(Table2[[#This Row],[unique_id]], "_", " ")))</f>
        <v>Garden Sewerage Blower Plug</v>
      </c>
      <c r="G382" s="30" t="s">
        <v>1399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1399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1268</v>
      </c>
      <c r="BL382" s="36" t="s">
        <v>363</v>
      </c>
      <c r="BM382" s="36" t="s">
        <v>1289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1418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1419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1268</v>
      </c>
      <c r="BL384" s="55" t="s">
        <v>341</v>
      </c>
      <c r="BM384" s="55" t="s">
        <v>1311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1420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1421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1268</v>
      </c>
      <c r="BL386" s="55" t="s">
        <v>342</v>
      </c>
      <c r="BM386" s="55" t="s">
        <v>1312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1422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1423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1268</v>
      </c>
      <c r="BL388" s="55" t="s">
        <v>800</v>
      </c>
      <c r="BM388" s="55" t="s">
        <v>1313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1528</v>
      </c>
      <c r="F391" s="36" t="str">
        <f>IF(ISBLANK(Table2[[#This Row],[unique_id]]), "", PROPER(SUBSTITUTE(Table2[[#This Row],[unique_id]], "_", " ")))</f>
        <v>Ada Desk Outlet</v>
      </c>
      <c r="G391" s="30" t="s">
        <v>1527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1515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1529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1514</v>
      </c>
      <c r="F392" s="36" t="str">
        <f>IF(ISBLANK(Table2[[#This Row],[unique_id]]), "", PROPER(SUBSTITUTE(Table2[[#This Row],[unique_id]], "_", " ")))</f>
        <v>Edwin Desk Outlet</v>
      </c>
      <c r="G392" s="30" t="s">
        <v>1513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1515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1447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1448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1453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1449</v>
      </c>
      <c r="F394" s="57" t="str">
        <f>IF(ISBLANK(Table2[[#This Row],[unique_id]]), "", PROPER(SUBSTITUTE(Table2[[#This Row],[unique_id]], "_", " ")))</f>
        <v>Broken Server May Plug</v>
      </c>
      <c r="G394" s="55" t="s">
        <v>1448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1453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1268</v>
      </c>
      <c r="BL394" s="55" t="s">
        <v>804</v>
      </c>
      <c r="BM394" s="55" t="s">
        <v>1314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1424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1425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1268</v>
      </c>
      <c r="BL396" s="55" t="s">
        <v>803</v>
      </c>
      <c r="BM396" s="55" t="s">
        <v>1315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1457</v>
      </c>
      <c r="F397" s="36" t="str">
        <f>IF(ISBLANK(Table2[[#This Row],[unique_id]]), "", PROPER(SUBSTITUTE(Table2[[#This Row],[unique_id]], "_", " ")))</f>
        <v>Template Server Jen Plug Proxy</v>
      </c>
      <c r="G397" s="30" t="s">
        <v>1462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1463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1458</v>
      </c>
      <c r="F398" s="36" t="str">
        <f>IF(ISBLANK(Table2[[#This Row],[unique_id]]), "", PROPER(SUBSTITUTE(Table2[[#This Row],[unique_id]], "_", " ")))</f>
        <v>Server Jen Plug</v>
      </c>
      <c r="G398" s="30" t="s">
        <v>1462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1463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1268</v>
      </c>
      <c r="BL398" s="30" t="s">
        <v>348</v>
      </c>
      <c r="BM398" s="30" t="s">
        <v>1316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1268</v>
      </c>
      <c r="BL400" s="30" t="s">
        <v>914</v>
      </c>
      <c r="BM400" s="30" t="s">
        <v>1318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1439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1439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1268</v>
      </c>
      <c r="BL404" s="41" t="s">
        <v>980</v>
      </c>
      <c r="BM404" s="30" t="s">
        <v>1320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1439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1439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1426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1427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1268</v>
      </c>
      <c r="BL408" s="55" t="s">
        <v>354</v>
      </c>
      <c r="BM408" s="55" t="s">
        <v>1321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1519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1267</v>
      </c>
      <c r="BL435" s="41" t="s">
        <v>420</v>
      </c>
      <c r="BM435" s="39" t="s">
        <v>1269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1267</v>
      </c>
      <c r="BL436" s="41" t="s">
        <v>419</v>
      </c>
      <c r="BM436" s="39" t="s">
        <v>1270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1267</v>
      </c>
      <c r="BL437" s="41" t="s">
        <v>637</v>
      </c>
      <c r="BM437" s="39" t="s">
        <v>1271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1267</v>
      </c>
      <c r="BL438" s="41" t="s">
        <v>730</v>
      </c>
      <c r="BM438" s="39" t="s">
        <v>1272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1267</v>
      </c>
      <c r="BL439" s="41" t="s">
        <v>417</v>
      </c>
      <c r="BM439" s="39" t="s">
        <v>1273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1267</v>
      </c>
      <c r="BL440" s="41" t="s">
        <v>418</v>
      </c>
      <c r="BM440" s="39" t="s">
        <v>1274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1267</v>
      </c>
      <c r="BL441" s="41" t="s">
        <v>1246</v>
      </c>
      <c r="BM441" s="39" t="s">
        <v>1275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1267</v>
      </c>
      <c r="BL442" s="41" t="s">
        <v>1247</v>
      </c>
      <c r="BM442" s="39" t="s">
        <v>1278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1267</v>
      </c>
      <c r="BL443" s="41" t="s">
        <v>581</v>
      </c>
      <c r="BM443" s="39" t="s">
        <v>1276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1267</v>
      </c>
      <c r="BL444" s="41" t="s">
        <v>399</v>
      </c>
      <c r="BM444" s="39" t="s">
        <v>1277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1267</v>
      </c>
      <c r="BL445" s="41" t="s">
        <v>421</v>
      </c>
      <c r="BM445" s="39" t="s">
        <v>1279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1267</v>
      </c>
      <c r="BL447" s="30" t="s">
        <v>585</v>
      </c>
      <c r="BM447" s="39" t="s">
        <v>1280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1267</v>
      </c>
      <c r="BL449" s="30" t="s">
        <v>368</v>
      </c>
      <c r="BM449" s="39" t="s">
        <v>1281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1267</v>
      </c>
      <c r="BL450" s="37" t="s">
        <v>367</v>
      </c>
      <c r="BM450" s="39" t="s">
        <v>1282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1267</v>
      </c>
      <c r="BL452" s="30" t="s">
        <v>366</v>
      </c>
      <c r="BM452" s="39" t="s">
        <v>1283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1326</v>
      </c>
      <c r="F453" s="36" t="str">
        <f>IF(ISBLANK(Table2[[#This Row],[unique_id]]), "", PROPER(SUBSTITUTE(Table2[[#This Row],[unique_id]], "_", " ")))</f>
        <v>Parents Homepod</v>
      </c>
      <c r="G453" s="30" t="s">
        <v>1327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1328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1267</v>
      </c>
      <c r="BL453" s="41" t="s">
        <v>400</v>
      </c>
      <c r="BM453" s="39" t="s">
        <v>1284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1340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1440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1268</v>
      </c>
      <c r="BL472" s="30" t="s">
        <v>383</v>
      </c>
      <c r="BM472" s="30" t="s">
        <v>1323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1341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1440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1268</v>
      </c>
      <c r="BL474" s="30" t="s">
        <v>384</v>
      </c>
      <c r="BM474" s="30" t="s">
        <v>1324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1441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1261</v>
      </c>
      <c r="BL476" s="30" t="s">
        <v>405</v>
      </c>
      <c r="BM476" s="30" t="s">
        <v>1262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1442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1261</v>
      </c>
      <c r="BL477" s="30" t="s">
        <v>611</v>
      </c>
      <c r="BM477" s="30" t="s">
        <v>1263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1442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1261</v>
      </c>
      <c r="BL478" s="30" t="s">
        <v>406</v>
      </c>
      <c r="BM478" s="30" t="s">
        <v>1481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1442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1480</v>
      </c>
      <c r="BD479" s="30" t="s">
        <v>234</v>
      </c>
      <c r="BF479" s="30" t="s">
        <v>1066</v>
      </c>
      <c r="BG479" s="30" t="s">
        <v>403</v>
      </c>
      <c r="BK479" s="30" t="s">
        <v>1261</v>
      </c>
      <c r="BL479" s="30" t="s">
        <v>1482</v>
      </c>
      <c r="BM479" s="30" t="s">
        <v>1264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1443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1385</v>
      </c>
      <c r="BD480" s="30" t="s">
        <v>234</v>
      </c>
      <c r="BF480" s="30" t="s">
        <v>1065</v>
      </c>
      <c r="BG480" s="30" t="s">
        <v>404</v>
      </c>
      <c r="BK480" s="30" t="s">
        <v>1261</v>
      </c>
      <c r="BL480" s="30" t="s">
        <v>1384</v>
      </c>
      <c r="BM480" s="30" t="s">
        <v>1265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1443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1436</v>
      </c>
      <c r="BK481" s="30" t="s">
        <v>1261</v>
      </c>
      <c r="BL481" s="30" t="s">
        <v>1438</v>
      </c>
      <c r="BM481" s="30" t="s">
        <v>1266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1443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1435</v>
      </c>
      <c r="BK482" s="30" t="s">
        <v>1261</v>
      </c>
      <c r="BL482" s="30" t="s">
        <v>407</v>
      </c>
      <c r="BM482" s="30" t="s">
        <v>1437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1370</v>
      </c>
      <c r="BA483" s="30" t="str">
        <f>IF(ISBLANK(Table2[[#This Row],[device_model]]), "", Table2[[#This Row],[device_suggested_area]])</f>
        <v>Rack</v>
      </c>
      <c r="BB483" s="30" t="s">
        <v>1381</v>
      </c>
      <c r="BC483" s="30" t="s">
        <v>1372</v>
      </c>
      <c r="BD483" s="30" t="s">
        <v>1370</v>
      </c>
      <c r="BF483" s="30" t="s">
        <v>1378</v>
      </c>
      <c r="BG483" s="30" t="s">
        <v>28</v>
      </c>
      <c r="BL483" s="41"/>
      <c r="BM483" s="30" t="s">
        <v>1380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1370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1371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1370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1372</v>
      </c>
      <c r="BD484" s="30" t="s">
        <v>1370</v>
      </c>
      <c r="BF484" s="30" t="s">
        <v>1378</v>
      </c>
      <c r="BG484" s="30" t="s">
        <v>28</v>
      </c>
      <c r="BL484" s="41"/>
      <c r="BM484" s="30" t="s">
        <v>1373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1374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1375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1374</v>
      </c>
      <c r="BA485" s="30" t="str">
        <f>IF(ISBLANK(Table2[[#This Row],[device_model]]), "", Table2[[#This Row],[device_suggested_area]])</f>
        <v>Rack</v>
      </c>
      <c r="BB485" s="30" t="s">
        <v>1376</v>
      </c>
      <c r="BC485" s="30" t="s">
        <v>1377</v>
      </c>
      <c r="BD485" s="30" t="s">
        <v>1374</v>
      </c>
      <c r="BF485" s="30" t="s">
        <v>1378</v>
      </c>
      <c r="BG485" s="30" t="s">
        <v>28</v>
      </c>
      <c r="BL485" s="41"/>
      <c r="BM485" s="30" t="s">
        <v>1379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1267</v>
      </c>
      <c r="BL486" s="41" t="s">
        <v>432</v>
      </c>
      <c r="BM486" s="30" t="s">
        <v>1285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1464</v>
      </c>
      <c r="BC487" s="30" t="s">
        <v>1035</v>
      </c>
      <c r="BD487" s="30" t="s">
        <v>554</v>
      </c>
      <c r="BF487" s="63" t="s">
        <v>1468</v>
      </c>
      <c r="BG487" s="30" t="s">
        <v>495</v>
      </c>
      <c r="BK487" s="30" t="s">
        <v>401</v>
      </c>
      <c r="BL487" s="30" t="s">
        <v>553</v>
      </c>
      <c r="BM487" s="30" t="s">
        <v>1260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1466</v>
      </c>
      <c r="BC488" s="30" t="s">
        <v>1467</v>
      </c>
      <c r="BD488" s="30" t="s">
        <v>554</v>
      </c>
      <c r="BF488" s="63" t="s">
        <v>1468</v>
      </c>
      <c r="BG488" s="30" t="s">
        <v>1465</v>
      </c>
      <c r="BL488" s="30" t="s">
        <v>1472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1469</v>
      </c>
      <c r="BC489" s="30" t="s">
        <v>1470</v>
      </c>
      <c r="BD489" s="30" t="s">
        <v>264</v>
      </c>
      <c r="BF489" s="63" t="s">
        <v>1474</v>
      </c>
      <c r="BG489" s="30" t="s">
        <v>28</v>
      </c>
      <c r="BK489" s="30" t="s">
        <v>401</v>
      </c>
      <c r="BL489" s="41" t="s">
        <v>1473</v>
      </c>
      <c r="BM489" s="30" t="s">
        <v>1256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1471</v>
      </c>
      <c r="BC490" s="30" t="s">
        <v>1033</v>
      </c>
      <c r="BD490" s="30" t="s">
        <v>264</v>
      </c>
      <c r="BF490" s="63" t="s">
        <v>1478</v>
      </c>
      <c r="BG490" s="30" t="s">
        <v>28</v>
      </c>
      <c r="BK490" s="30" t="s">
        <v>401</v>
      </c>
      <c r="BL490" s="46" t="s">
        <v>1479</v>
      </c>
      <c r="BM490" s="30" t="s">
        <v>1257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1450</v>
      </c>
      <c r="BC491" s="30" t="s">
        <v>1033</v>
      </c>
      <c r="BD491" s="30" t="s">
        <v>264</v>
      </c>
      <c r="BF491" s="63" t="s">
        <v>1468</v>
      </c>
      <c r="BG491" s="30" t="s">
        <v>28</v>
      </c>
      <c r="BK491" s="30" t="s">
        <v>401</v>
      </c>
      <c r="BL491" s="46" t="s">
        <v>1335</v>
      </c>
      <c r="BM491" s="30" t="s">
        <v>1258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1468</v>
      </c>
      <c r="BG492" s="30" t="s">
        <v>28</v>
      </c>
      <c r="BK492" s="30" t="s">
        <v>401</v>
      </c>
      <c r="BL492" s="30" t="s">
        <v>587</v>
      </c>
      <c r="BM492" s="30" t="s">
        <v>1259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1268</v>
      </c>
      <c r="BL493" s="30" t="s">
        <v>379</v>
      </c>
      <c r="BM493" s="30" t="s">
        <v>1325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2026-03-19T02:12:30Z</dcterms:modified>
</cp:coreProperties>
</file>