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6A800A12-EE34-004F-AEBF-85977BBC106C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10" i="1" l="1"/>
  <c r="BA310" i="1"/>
  <c r="AW310" i="1" s="1"/>
  <c r="AV310" i="1" s="1"/>
  <c r="AM310" i="1"/>
  <c r="AL310" i="1"/>
  <c r="AK310" i="1"/>
  <c r="AJ310" i="1"/>
  <c r="AF310" i="1"/>
  <c r="F310" i="1"/>
  <c r="BN309" i="1"/>
  <c r="BA309" i="1"/>
  <c r="AW309" i="1"/>
  <c r="AV309" i="1"/>
  <c r="AM309" i="1"/>
  <c r="AL309" i="1"/>
  <c r="AK309" i="1"/>
  <c r="AJ309" i="1"/>
  <c r="AF309" i="1"/>
  <c r="F309" i="1"/>
  <c r="BN308" i="1"/>
  <c r="BA308" i="1"/>
  <c r="AW308" i="1"/>
  <c r="AV308" i="1"/>
  <c r="AM308" i="1"/>
  <c r="AL308" i="1"/>
  <c r="AK308" i="1"/>
  <c r="AJ308" i="1"/>
  <c r="AF308" i="1"/>
  <c r="F308" i="1"/>
  <c r="G308" i="1" s="1"/>
  <c r="BN307" i="1"/>
  <c r="BA307" i="1"/>
  <c r="AW307" i="1"/>
  <c r="AX307" i="1" s="1"/>
  <c r="AV307" i="1"/>
  <c r="AM307" i="1"/>
  <c r="AL307" i="1"/>
  <c r="AK307" i="1"/>
  <c r="AJ307" i="1"/>
  <c r="AF307" i="1"/>
  <c r="F307" i="1"/>
  <c r="G307" i="1" s="1"/>
  <c r="BN306" i="1"/>
  <c r="BA306" i="1"/>
  <c r="AW306" i="1"/>
  <c r="AV306" i="1" s="1"/>
  <c r="AM306" i="1"/>
  <c r="AL306" i="1"/>
  <c r="AK306" i="1"/>
  <c r="AJ306" i="1"/>
  <c r="AF306" i="1"/>
  <c r="F306" i="1"/>
  <c r="AY306" i="1" s="1"/>
  <c r="AK305" i="1"/>
  <c r="AL305" i="1"/>
  <c r="AM305" i="1"/>
  <c r="AJ305" i="1"/>
  <c r="AF305" i="1"/>
  <c r="BN311" i="1"/>
  <c r="BA311" i="1"/>
  <c r="AW311" i="1"/>
  <c r="AX311" i="1" s="1"/>
  <c r="AV311" i="1"/>
  <c r="F311" i="1"/>
  <c r="BN305" i="1"/>
  <c r="BA305" i="1"/>
  <c r="AW305" i="1" s="1"/>
  <c r="AV305" i="1" s="1"/>
  <c r="F305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BN330" i="1"/>
  <c r="BA330" i="1"/>
  <c r="AW330" i="1"/>
  <c r="AX330" i="1" s="1"/>
  <c r="AV330" i="1"/>
  <c r="F330" i="1"/>
  <c r="BN312" i="1"/>
  <c r="BA312" i="1"/>
  <c r="AW312" i="1"/>
  <c r="AV312" i="1"/>
  <c r="F312" i="1"/>
  <c r="BN304" i="1"/>
  <c r="BA304" i="1"/>
  <c r="AW304" i="1"/>
  <c r="AX304" i="1" s="1"/>
  <c r="AV304" i="1"/>
  <c r="F30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298" i="1"/>
  <c r="BA298" i="1"/>
  <c r="AW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M294" i="1"/>
  <c r="AK294" i="1"/>
  <c r="F294" i="1"/>
  <c r="BN293" i="1"/>
  <c r="BA293" i="1"/>
  <c r="AW293" i="1" s="1"/>
  <c r="AM293" i="1"/>
  <c r="AK293" i="1"/>
  <c r="F293" i="1"/>
  <c r="BN292" i="1"/>
  <c r="BA292" i="1"/>
  <c r="AW292" i="1" s="1"/>
  <c r="AM292" i="1"/>
  <c r="AK292" i="1"/>
  <c r="F292" i="1"/>
  <c r="BN291" i="1"/>
  <c r="BA291" i="1"/>
  <c r="AW291" i="1" s="1"/>
  <c r="AM291" i="1"/>
  <c r="AK291" i="1"/>
  <c r="F291" i="1"/>
  <c r="BN290" i="1"/>
  <c r="BA290" i="1"/>
  <c r="AW290" i="1" s="1"/>
  <c r="AM290" i="1"/>
  <c r="AK290" i="1"/>
  <c r="F290" i="1"/>
  <c r="BN289" i="1"/>
  <c r="BA289" i="1"/>
  <c r="AW289" i="1" s="1"/>
  <c r="AM289" i="1"/>
  <c r="AK289" i="1"/>
  <c r="F289" i="1"/>
  <c r="BN288" i="1"/>
  <c r="BA288" i="1"/>
  <c r="AW288" i="1" s="1"/>
  <c r="AM288" i="1"/>
  <c r="AK288" i="1"/>
  <c r="F288" i="1"/>
  <c r="BN287" i="1"/>
  <c r="BA287" i="1"/>
  <c r="AW287" i="1" s="1"/>
  <c r="AM287" i="1"/>
  <c r="AK287" i="1"/>
  <c r="F287" i="1"/>
  <c r="BN286" i="1"/>
  <c r="BA286" i="1"/>
  <c r="AW286" i="1" s="1"/>
  <c r="AV286" i="1" s="1"/>
  <c r="AM286" i="1"/>
  <c r="AK286" i="1"/>
  <c r="F286" i="1"/>
  <c r="BN285" i="1"/>
  <c r="BA285" i="1"/>
  <c r="AW285" i="1" s="1"/>
  <c r="AM285" i="1"/>
  <c r="AK285" i="1"/>
  <c r="F285" i="1"/>
  <c r="BN284" i="1"/>
  <c r="BA284" i="1"/>
  <c r="AW284" i="1" s="1"/>
  <c r="AV284" i="1" s="1"/>
  <c r="AM284" i="1"/>
  <c r="AK284" i="1"/>
  <c r="F284" i="1"/>
  <c r="BN283" i="1"/>
  <c r="BA283" i="1"/>
  <c r="AW283" i="1" s="1"/>
  <c r="AV283" i="1" s="1"/>
  <c r="AM283" i="1"/>
  <c r="AK283" i="1"/>
  <c r="F283" i="1"/>
  <c r="AK282" i="1"/>
  <c r="BA282" i="1"/>
  <c r="AW282" i="1" s="1"/>
  <c r="AV282" i="1" s="1"/>
  <c r="AM282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82" i="1"/>
  <c r="AR77" i="1"/>
  <c r="AR76" i="1"/>
  <c r="AR75" i="1"/>
  <c r="AR74" i="1"/>
  <c r="AR73" i="1"/>
  <c r="AR72" i="1"/>
  <c r="AY310" i="1" l="1"/>
  <c r="G310" i="1"/>
  <c r="AX310" i="1"/>
  <c r="AX309" i="1"/>
  <c r="AY309" i="1"/>
  <c r="AX308" i="1"/>
  <c r="AX306" i="1"/>
  <c r="AY308" i="1"/>
  <c r="AY307" i="1"/>
  <c r="G306" i="1"/>
  <c r="AY311" i="1"/>
  <c r="AY305" i="1"/>
  <c r="G305" i="1"/>
  <c r="AX305" i="1"/>
  <c r="AX320" i="1"/>
  <c r="AX318" i="1"/>
  <c r="AY330" i="1"/>
  <c r="AY304" i="1"/>
  <c r="AY312" i="1"/>
  <c r="AX312" i="1"/>
  <c r="AX295" i="1"/>
  <c r="AX298" i="1"/>
  <c r="AX287" i="1"/>
  <c r="AX292" i="1"/>
  <c r="AX302" i="1"/>
  <c r="AY294" i="1"/>
  <c r="AX285" i="1"/>
  <c r="AX288" i="1"/>
  <c r="AX297" i="1"/>
  <c r="AY287" i="1"/>
  <c r="AY297" i="1"/>
  <c r="AY285" i="1"/>
  <c r="AY289" i="1"/>
  <c r="AY299" i="1"/>
  <c r="AX290" i="1"/>
  <c r="AY292" i="1"/>
  <c r="AX300" i="1"/>
  <c r="AY302" i="1"/>
  <c r="AY284" i="1"/>
  <c r="AY295" i="1"/>
  <c r="AY288" i="1"/>
  <c r="AV285" i="1"/>
  <c r="AX284" i="1"/>
  <c r="AY290" i="1"/>
  <c r="AY300" i="1"/>
  <c r="AY286" i="1"/>
  <c r="AX291" i="1"/>
  <c r="AY293" i="1"/>
  <c r="AX301" i="1"/>
  <c r="AY303" i="1"/>
  <c r="AX283" i="1"/>
  <c r="AX294" i="1"/>
  <c r="AY296" i="1"/>
  <c r="AX293" i="1"/>
  <c r="AX303" i="1"/>
  <c r="AX286" i="1"/>
  <c r="AX296" i="1"/>
  <c r="AY298" i="1"/>
  <c r="AY283" i="1"/>
  <c r="AX289" i="1"/>
  <c r="AY291" i="1"/>
  <c r="AX299" i="1"/>
  <c r="AY301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20" i="1"/>
  <c r="AY318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79" i="1"/>
  <c r="AV479" i="1"/>
  <c r="AV478" i="1"/>
  <c r="AY478" i="1"/>
  <c r="AY41" i="1"/>
  <c r="AY43" i="1"/>
  <c r="AX328" i="1"/>
  <c r="AX324" i="1"/>
  <c r="AX314" i="1"/>
  <c r="AX282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82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7" i="1"/>
  <c r="AY226" i="1"/>
  <c r="AV381" i="1"/>
  <c r="AV168" i="1"/>
  <c r="AY47" i="1"/>
  <c r="AV120" i="1"/>
  <c r="AY332" i="1"/>
  <c r="AY215" i="1"/>
  <c r="AY216" i="1"/>
  <c r="AY95" i="1"/>
  <c r="AY101" i="1"/>
  <c r="AY333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5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4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1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7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<sst xmlns="http://schemas.openxmlformats.org/spreadsheetml/2006/main" count="7738" uniqueCount="1525">
  <si>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</si>
  <si>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</si>
  <si>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</si>
  <si>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</si>
  <si>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</si>
  <si>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</si>
  <si>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</si>
  <si>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</si>
  <si>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</si>
  <si>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</si>
  <si>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</si>
  <si>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</si>
  <si>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</si>
  <si>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</si>
  <si>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</si>
  <si>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</si>
  <si>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</si>
  <si>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</si>
  <si>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</si>
  <si>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</si>
  <si>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</si>
  <si>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</si>
  <si>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</si>
  <si>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</si>
  <si>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</si>
  <si>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</si>
  <si>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</si>
  <si>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</si>
  <si>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</si>
  <si>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</si>
  <si>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</si>
  <si>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</si>
  <si>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</si>
  <si>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</si>
  <si>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</si>
  <si>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</si>
  <si>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</si>
  <si>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</si>
  <si>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</si>
  <si>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</si>
  <si>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</si>
  <si>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</si>
  <si>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</si>
  <si>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</si>
  <si>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</si>
  <si>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</si>
  <si>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</si>
  <si>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</si>
  <si>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</si>
  <si>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</si>
  <si>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</si>
  <si>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</si>
  <si>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</si>
  <si>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</si>
  <si>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</si>
  <si>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</si>
  <si>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</si>
  <si>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</si>
  <si>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</si>
  <si>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</si>
  <si>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</si>
  <si>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</si>
  <si>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</si>
  <si>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</si>
  <si>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</si>
  <si>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</si>
  <si>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</si>
  <si>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</si>
  <si>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</si>
  <si>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</si>
  <si>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</si>
  <si>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</si>
  <si>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</si>
  <si>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</si>
  <si>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</si>
  <si>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</si>
  <si>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</si>
  <si>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</si>
  <si>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</si>
  <si>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</si>
  <si>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</si>
  <si>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</si>
  <si>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</si>
  <si>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</si>
  <si>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</si>
  <si>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</si>
  <si>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</si>
  <si>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</si>
  <si>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</si>
  <si>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</si>
  <si>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</si>
  <si>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</si>
  <si>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</si>
  <si>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</si>
  <si>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</si>
  <si>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</si>
  <si>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</si>
  <si>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</si>
  <si>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</si>
  <si>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</si>
  <si>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</si>
  <si>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</si>
  <si>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</si>
  <si>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</si>
  <si>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</si>
  <si>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</si>
  <si>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</si>
  <si>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</si>
  <si>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</si>
  <si>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</si>
  <si>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</si>
  <si>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</si>
  <si>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</si>
  <si>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</si>
  <si>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</si>
  <si>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</si>
  <si>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</si>
  <si>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</si>
  <si>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</si>
  <si>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</si>
  <si>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</si>
  <si>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</si>
  <si>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</si>
  <si>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</si>
  <si>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</si>
  <si>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</si>
  <si>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</si>
  <si>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</si>
  <si>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</si>
  <si>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</si>
  <si>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</si>
  <si>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</si>
  <si>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</si>
  <si>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</si>
  <si>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</si>
  <si>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</si>
  <si>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</si>
  <si>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</si>
  <si>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</si>
  <si>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</si>
  <si>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</si>
  <si>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</si>
  <si>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</si>
  <si>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</si>
  <si>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</si>
  <si>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</si>
  <si>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</si>
  <si>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</si>
  <si>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</si>
  <si>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</si>
  <si>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</si>
  <si>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</si>
  <si>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</si>
  <si>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</si>
  <si>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</si>
  <si>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</si>
  <si>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</si>
  <si>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</si>
  <si>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</si>
  <si>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</si>
  <si>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</si>
  <si>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</si>
  <si>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</si>
  <si>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</si>
  <si>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</si>
  <si>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</si>
  <si>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</si>
  <si>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</si>
  <si>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</si>
  <si>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</si>
  <si>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</si>
  <si>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</si>
  <si>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</si>
  <si>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</si>
  <si>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</si>
  <si>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</si>
  <si>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</si>
  <si>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</si>
  <si>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</si>
  <si>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</si>
  <si>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</si>
  <si>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</si>
  <si>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</si>
  <si>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</si>
  <si>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</si>
  <si>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</si>
  <si>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</si>
  <si>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</si>
  <si>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</si>
  <si>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</si>
  <si>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</si>
  <si>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</si>
  <si>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</si>
  <si>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</si>
  <si>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</si>
  <si>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</si>
  <si>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</si>
  <si>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</si>
  <si>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</si>
  <si>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</si>
  <si>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</si>
  <si>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</si>
  <si>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</si>
  <si>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</si>
  <si>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</si>
  <si>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</si>
  <si>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</si>
  <si>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</si>
  <si>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</si>
  <si>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</si>
  <si>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</si>
  <si>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</si>
  <si>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</si>
  <si>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</si>
  <si>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</si>
  <si>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</si>
  <si>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</si>
  <si>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</si>
  <si>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</si>
  <si>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</si>
  <si>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</si>
  <si>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</si>
  <si>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</si>
  <si>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</si>
  <si>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</si>
  <si>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</si>
  <si>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</si>
  <si>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</si>
  <si>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</si>
  <si>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</si>
  <si>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</si>
  <si>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</si>
  <si>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</si>
  <si>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</si>
  <si>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</si>
  <si>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</si>
  <si>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</si>
  <si>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</si>
  <si>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</si>
  <si>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</si>
  <si>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</si>
  <si>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</si>
  <si>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</si>
  <si>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</si>
  <si>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</si>
  <si>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</si>
  <si>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</si>
  <si>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</si>
  <si>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</si>
  <si>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</si>
  <si>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</si>
  <si>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</si>
  <si>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</si>
  <si>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</si>
  <si>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</si>
  <si>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</si>
  <si>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</si>
  <si>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</si>
  <si>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</si>
  <si>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</si>
  <si>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</si>
  <si>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</si>
  <si>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</si>
  <si>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</si>
  <si>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</si>
  <si>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</si>
  <si>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</si>
  <si>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</si>
  <si>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</si>
  <si>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</si>
  <si>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</si>
  <si>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Internet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</si>
  <si>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</si>
  <si>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</si>
  <si>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</si>
  <si>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</si>
  <si>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</si>
  <si>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</si>
  <si>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</si>
  <si>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</si>
  <si>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</si>
  <si>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</si>
  <si>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</si>
  <si>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</si>
  <si>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</si>
  <si>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</si>
  <si>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</si>
  <si>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</si>
  <si>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</si>
  <si>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</si>
  <si>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</si>
  <si>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</si>
  <si>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</si>
  <si>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</si>
  <si>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</si>
  <si>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</si>
  <si>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</si>
  <si>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</si>
  <si>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</si>
  <si>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</si>
  <si>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</si>
  <si>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</si>
  <si>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</si>
  <si>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</si>
  <si>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</si>
  <si>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</si>
  <si>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</si>
  <si>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</si>
  <si>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</si>
  <si>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</si>
  <si>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</si>
  <si>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</si>
  <si>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</si>
  <si>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</si>
  <si>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</si>
  <si>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</si>
  <si>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</si>
  <si>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</si>
  <si>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</si>
  <si>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</si>
  <si>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</si>
  <si>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</si>
  <si>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</si>
  <si>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</si>
  <si>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</si>
  <si>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</si>
  <si>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</si>
  <si>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</si>
  <si>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</si>
  <si>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</si>
  <si>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</si>
  <si>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</si>
  <si>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</si>
  <si>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</si>
  <si>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</si>
  <si>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</si>
  <si>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</si>
  <si>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</si>
  <si>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</si>
  <si>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</si>
  <si>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</si>
  <si>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</si>
  <si>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</si>
  <si>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</si>
  <si>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</si>
  <si>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</si>
  <si>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</si>
  <si>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</si>
  <si>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</si>
  <si>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</si>
  <si>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</si>
  <si>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</si>
  <si>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</si>
  <si>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</si>
  <si>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</si>
  <si>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</si>
  <si>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</si>
  <si>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</si>
  <si>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</si>
  <si>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</si>
  <si>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</si>
  <si>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</si>
  <si>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</si>
  <si>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</si>
  <si>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</si>
  <si>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</si>
  <si>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</si>
  <si>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</si>
  <si>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</si>
  <si>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</si>
  <si>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</si>
  <si>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</si>
  <si>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</si>
  <si>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</si>
  <si>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</si>
  <si>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</si>
  <si>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</si>
  <si>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</si>
  <si>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</si>
  <si>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</si>
  <si>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</si>
  <si>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</si>
  <si>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</si>
  <si>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</si>
  <si>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</si>
  <si>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</si>
  <si>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</si>
  <si>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</si>
  <si>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</si>
  <si>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</si>
  <si>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</si>
  <si>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</si>
  <si>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</si>
  <si>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</si>
  <si>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</si>
  <si>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</si>
  <si>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</si>
  <si>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</si>
  <si>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</si>
  <si>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</si>
  <si>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</si>
  <si>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</si>
  <si>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</si>
  <si>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</si>
  <si>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</si>
  <si>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</si>
  <si>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</si>
  <si>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</si>
  <si>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</si>
  <si>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</si>
  <si>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</si>
  <si>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</si>
  <si>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</si>
  <si>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</si>
  <si>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</si>
  <si>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</si>
  <si>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</si>
  <si>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</si>
  <si>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</si>
  <si>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</si>
  <si>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</si>
  <si>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</si>
  <si>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</si>
  <si>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</si>
  <si>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</si>
  <si>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</si>
  <si>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</si>
  <si>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</si>
  <si>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</si>
  <si>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</si>
  <si>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</si>
  <si>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</si>
  <si>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</si>
  <si>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</si>
  <si>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</si>
  <si>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</si>
  <si>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</si>
  <si>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</si>
  <si>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</si>
  <si>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</si>
  <si>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</si>
  <si>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</si>
  <si>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</si>
  <si>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</si>
  <si>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</si>
  <si>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</si>
  <si>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</si>
  <si>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</si>
  <si>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</si>
  <si>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</si>
  <si>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</si>
  <si>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</si>
  <si>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</si>
  <si>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</si>
  <si>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</si>
  <si>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</si>
  <si>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</si>
  <si>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</si>
  <si>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</si>
  <si>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</si>
  <si>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</si>
  <si>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</si>
  <si>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</si>
  <si>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</si>
  <si>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</si>
  <si>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</si>
  <si>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</si>
  <si>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</si>
  <si>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</si>
  <si>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</si>
  <si>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</si>
  <si>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</si>
  <si>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</si>
  <si>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</si>
  <si>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</si>
  <si>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</si>
  <si>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</si>
  <si>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</si>
  <si>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</si>
  <si>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</si>
  <si>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</si>
  <si>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</si>
  <si>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</si>
  <si>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</si>
  <si>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</si>
  <si>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</si>
  <si>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</si>
  <si>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</si>
  <si>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</si>
  <si>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</si>
  <si>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</si>
  <si>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</si>
  <si>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</si>
  <si>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</si>
  <si>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</si>
  <si>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</si>
  <si>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</si>
  <si>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</si>
  <si>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</si>
  <si>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</si>
  <si>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</si>
  <si>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</si>
  <si>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</si>
  <si>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</si>
  <si>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</si>
  <si>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</si>
  <si>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</si>
  <si>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</si>
  <si>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</si>
  <si>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</si>
  <si>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</si>
  <si>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</si>
  <si>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</si>
  <si>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</si>
  <si>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</si>
  <si>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</si>
  <si>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</si>
  <si>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</si>
  <si>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</si>
  <si>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</si>
  <si>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</si>
  <si>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</si>
  <si>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</si>
  <si>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</si>
  <si>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</si>
  <si>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</si>
  <si>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</si>
  <si>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</si>
  <si>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</si>
  <si>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</si>
  <si>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</si>
  <si>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</si>
  <si>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</si>
  <si>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</si>
  <si>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</si>
  <si>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</si>
  <si>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</si>
  <si>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</si>
  <si>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</si>
  <si>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</si>
  <si>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</si>
  <si>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</si>
  <si>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</si>
  <si>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</si>
  <si>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</si>
  <si>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</si>
  <si>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</si>
  <si>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</si>
  <si>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</si>
  <si>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</si>
  <si>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</si>
  <si>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</si>
  <si>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</si>
  <si>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</si>
  <si>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</si>
  <si>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</si>
  <si>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</si>
  <si>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</si>
  <si>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</si>
  <si>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</si>
  <si>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</si>
  <si>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</si>
  <si>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</si>
  <si>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</si>
  <si>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</si>
  <si>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</si>
  <si>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</si>
  <si>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</si>
  <si>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</si>
  <si>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</si>
  <si>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</si>
  <si>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</si>
  <si>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</si>
  <si>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</si>
  <si>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</si>
  <si>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</si>
  <si>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</si>
  <si>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</si>
  <si>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</si>
  <si>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</si>
  <si>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</si>
  <si>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</si>
  <si>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</si>
  <si>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</si>
  <si>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</si>
  <si>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</si>
  <si>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</si>
  <si>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</si>
  <si>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</si>
  <si>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</si>
  <si>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</si>
  <si>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</si>
  <si>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</si>
  <si>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</si>
  <si>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</si>
  <si>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</si>
  <si>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</si>
  <si>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</si>
  <si>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</si>
  <si>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</si>
  <si>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</si>
  <si>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</si>
  <si>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</si>
  <si>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</si>
  <si>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</si>
  <si>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</si>
  <si>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</si>
  <si>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</si>
  <si>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</si>
  <si>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</si>
  <si>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</si>
  <si>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</si>
  <si>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</si>
  <si>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</si>
  <si>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</si>
  <si>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</si>
  <si>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</si>
  <si>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</si>
  <si>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</si>
  <si>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</si>
  <si>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</si>
  <si>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</si>
  <si>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</si>
  <si>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</si>
  <si>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</si>
  <si>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</si>
  <si>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</si>
  <si>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</si>
  <si>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</si>
  <si>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</si>
  <si>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</si>
  <si>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</si>
  <si>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</si>
  <si>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</si>
  <si>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</si>
  <si>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</si>
  <si>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</si>
  <si>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</si>
  <si>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</si>
  <si>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</si>
  <si>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</si>
  <si>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</si>
  <si>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</si>
  <si>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</si>
  <si>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</si>
  <si>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</si>
  <si>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</si>
  <si>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</si>
  <si>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</si>
  <si>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</si>
  <si>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</si>
  <si>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</si>
  <si>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</si>
  <si>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</si>
  <si>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</si>
  <si>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</si>
  <si>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</si>
  <si>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</si>
  <si>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</si>
  <si>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</si>
  <si>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</si>
  <si>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</si>
  <si>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</si>
  <si>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</si>
  <si>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</si>
  <si>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</si>
  <si>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</si>
  <si>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</si>
  <si>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</si>
  <si>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</si>
  <si>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</si>
  <si>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</si>
  <si>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</si>
  <si>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</si>
  <si>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</si>
  <si>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</si>
  <si>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</si>
  <si>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</si>
  <si>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</si>
  <si>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</si>
  <si>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</si>
  <si>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</si>
  <si>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</si>
  <si>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</si>
  <si>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</si>
  <si>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</si>
  <si>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</si>
  <si>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</si>
  <si>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</si>
  <si>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</si>
  <si>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</si>
  <si>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</si>
  <si>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</si>
  <si>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</si>
  <si>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</si>
  <si>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</si>
  <si>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</si>
  <si>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</si>
  <si>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</si>
  <si>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</si>
  <si>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</si>
  <si>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</si>
  <si>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</si>
  <si>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</si>
  <si>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</si>
  <si>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</si>
  <si>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</si>
  <si>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</si>
  <si>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</si>
  <si>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</si>
  <si>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</si>
  <si>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</si>
  <si>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</si>
  <si>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</si>
  <si>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</si>
  <si>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</si>
  <si>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</si>
  <si>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</si>
  <si>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</si>
  <si>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</si>
  <si>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</si>
  <si>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</si>
  <si>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</si>
  <si>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</si>
  <si>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</si>
  <si>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</si>
  <si>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</si>
  <si>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</si>
  <si>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</si>
  <si>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</si>
  <si>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</si>
  <si>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</si>
  <si>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</si>
  <si>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</si>
  <si>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</si>
  <si>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</si>
  <si>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</si>
  <si>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</si>
  <si>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</si>
  <si>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</si>
  <si>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</si>
  <si>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</si>
  <si>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</si>
  <si>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</si>
  <si>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</si>
  <si>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</si>
  <si>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</si>
  <si>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</si>
  <si>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</si>
  <si>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</si>
  <si>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</si>
  <si>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</si>
  <si>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</si>
  <si>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</si>
  <si>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</si>
  <si>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</si>
  <si>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</si>
  <si>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</si>
  <si>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</si>
  <si>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</si>
  <si>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</si>
  <si>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</si>
  <si>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</si>
  <si>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</si>
  <si>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</si>
  <si>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</si>
  <si>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</si>
  <si>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</si>
  <si>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</si>
  <si>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</si>
  <si>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</si>
  <si>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</si>
  <si>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</si>
  <si>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</si>
  <si>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</si>
  <si>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</si>
  <si>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</si>
  <si>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</si>
  <si>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</si>
  <si>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</si>
  <si>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</si>
  <si>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</si>
  <si>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</si>
  <si>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</si>
  <si>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</si>
  <si>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</si>
  <si>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</si>
  <si>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</si>
  <si>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</si>
  <si>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</si>
  <si>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</si>
  <si>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</si>
  <si>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</si>
  <si>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</si>
  <si>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</si>
  <si>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</si>
  <si>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</si>
  <si>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</si>
  <si>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</si>
  <si>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</si>
  <si>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</si>
  <si>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</si>
  <si>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</si>
  <si>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</si>
  <si>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</si>
  <si>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</si>
  <si>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</si>
  <si>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</si>
  <si>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</si>
  <si>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</si>
  <si>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</si>
  <si>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</si>
  <si>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</si>
  <si>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</si>
  <si>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</si>
  <si>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</si>
  <si>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</si>
  <si>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</si>
  <si>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</si>
  <si>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</si>
  <si>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</si>
  <si>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</si>
  <si>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</si>
  <si>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</si>
  <si>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</si>
  <si>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</si>
  <si>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</si>
  <si>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</si>
  <si>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</si>
  <si>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</si>
  <si>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</si>
  <si>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</si>
  <si>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</si>
  <si>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</si>
  <si>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</si>
  <si>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</si>
  <si>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</si>
  <si>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</si>
  <si>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</si>
  <si>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</si>
  <si>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</si>
  <si>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</si>
  <si>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</si>
  <si>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</si>
  <si>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</si>
  <si>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</si>
  <si>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</si>
  <si>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</si>
  <si>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</si>
  <si>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</si>
  <si>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</si>
  <si>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</si>
  <si>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</si>
  <si>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</si>
  <si>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</si>
  <si>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</si>
  <si>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</si>
  <si>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</si>
  <si>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</si>
  <si>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</si>
  <si>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</si>
  <si>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</si>
  <si>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</si>
  <si>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</si>
  <si>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</si>
  <si>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</si>
  <si>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</si>
  <si>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</si>
  <si>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</si>
  <si>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</si>
  <si>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</si>
  <si>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</si>
  <si>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</si>
  <si>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</si>
  <si>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</si>
  <si>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</si>
  <si>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</si>
  <si>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</si>
  <si>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</si>
  <si>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</si>
  <si>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</si>
  <si>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</si>
  <si>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</si>
  <si>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</si>
  <si>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</si>
  <si>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</si>
  <si>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</si>
  <si>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</si>
  <si>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</si>
  <si>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</si>
  <si>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</si>
  <si>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</si>
  <si>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</si>
  <si>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</si>
  <si>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</si>
  <si>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</si>
  <si>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</si>
  <si>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</si>
  <si>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</si>
  <si>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</si>
  <si>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</si>
  <si>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</si>
  <si>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</si>
  <si>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</si>
  <si>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</si>
  <si>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</si>
  <si>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</si>
  <si>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</si>
  <si>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</si>
  <si>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</si>
  <si>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</si>
  <si>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</si>
  <si>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</si>
  <si>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</si>
  <si>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</si>
  <si>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</si>
  <si>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</si>
  <si>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</si>
  <si>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</si>
  <si>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</si>
  <si>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</si>
  <si>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</si>
  <si>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</si>
  <si>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</si>
  <si>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</si>
  <si>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</si>
  <si>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</si>
  <si>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</si>
  <si>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</si>
  <si>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</si>
  <si>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</si>
  <si>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</si>
  <si>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</si>
  <si>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</si>
  <si>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</si>
  <si>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</si>
  <si>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</si>
  <si>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</si>
  <si>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</si>
  <si>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</si>
  <si>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</si>
  <si>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</si>
  <si>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</si>
  <si>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</si>
  <si>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</si>
  <si>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</si>
  <si>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</si>
  <si>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</si>
  <si>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</si>
  <si>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</si>
  <si>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</si>
  <si>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</si>
  <si>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</si>
  <si>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</si>
  <si>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</si>
  <si>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</si>
  <si>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</si>
  <si>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</si>
  <si>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</si>
  <si>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</si>
  <si>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</si>
  <si>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</si>
  <si>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</si>
  <si>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</si>
  <si>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</si>
  <si>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</si>
  <si>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</si>
  <si>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</si>
  <si>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</si>
  <si>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</si>
  <si>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</si>
  <si>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</si>
  <si>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</si>
  <si>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</si>
  <si>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</si>
  <si>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</si>
  <si>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</si>
  <si>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</si>
  <si>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</si>
  <si>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</si>
  <si>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</si>
  <si>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</si>
  <si>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</si>
  <si>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</si>
  <si>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</si>
  <si>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</si>
  <si>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</si>
  <si>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</si>
  <si>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</si>
  <si>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</si>
  <si>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</si>
  <si>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</si>
  <si>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</si>
  <si>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</si>
  <si>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</si>
  <si>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</si>
  <si>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</si>
  <si>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</si>
  <si>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</si>
  <si>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</si>
  <si>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</si>
  <si>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</si>
  <si>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</si>
  <si>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</si>
  <si>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</si>
  <si>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</si>
  <si>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</si>
  <si>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</si>
  <si>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</si>
  <si>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</si>
  <si>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</si>
  <si>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</si>
  <si>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</si>
  <si>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</si>
  <si>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</si>
  <si>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</si>
  <si>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</si>
  <si>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</si>
  <si>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</si>
  <si>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</si>
  <si>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</si>
  <si>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</si>
  <si>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</si>
  <si>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</si>
  <si>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</si>
  <si>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</si>
  <si>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</si>
  <si>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</si>
  <si>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</si>
  <si>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</si>
  <si>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</si>
  <si>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</si>
  <si>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</si>
  <si>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</si>
  <si>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</si>
  <si>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</si>
  <si>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</si>
  <si>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</si>
  <si>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</si>
  <si>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</si>
  <si>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</si>
  <si>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</si>
  <si>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</si>
  <si>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</si>
  <si>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</si>
  <si>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</si>
  <si>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</si>
  <si>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</si>
  <si>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</si>
  <si>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</si>
  <si>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</si>
  <si>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</si>
  <si>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</si>
  <si>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</si>
  <si>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</si>
  <si>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</si>
  <si>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</si>
  <si>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</si>
  <si>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</si>
  <si>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</si>
  <si>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</si>
  <si>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</si>
  <si>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</si>
  <si>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</si>
  <si>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</si>
  <si>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</si>
  <si>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</si>
  <si>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</si>
  <si>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</si>
  <si>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</si>
  <si>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</si>
  <si>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</si>
  <si>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</si>
  <si>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</si>
  <si>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</si>
  <si>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</si>
  <si>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</si>
  <si>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</si>
  <si>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</si>
  <si>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</si>
  <si>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</si>
  <si>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</si>
  <si>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</si>
  <si>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</si>
  <si>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</si>
  <si>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</si>
  <si>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</si>
  <si>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</si>
  <si>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</si>
  <si>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</si>
  <si>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</si>
  <si>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</si>
  <si>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</si>
  <si>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</si>
  <si>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</si>
  <si>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</si>
  <si>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</si>
  <si>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</si>
  <si>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</si>
  <si>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</si>
  <si>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</si>
  <si>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</si>
  <si>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</si>
  <si>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</si>
  <si>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</si>
  <si>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</si>
  <si>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</si>
  <si>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</si>
  <si>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</si>
  <si>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</si>
  <si>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</si>
  <si>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</si>
  <si>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</si>
  <si>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</si>
  <si>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</si>
  <si>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</si>
  <si>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</si>
  <si>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</si>
  <si>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</si>
  <si>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</si>
  <si>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</si>
  <si>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</si>
  <si>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</si>
  <si>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</si>
  <si>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</si>
  <si>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</si>
  <si>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</si>
  <si>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</si>
  <si>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</si>
  <si>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</si>
  <si>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</si>
  <si>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</si>
  <si>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</si>
  <si>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</si>
  <si>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</si>
  <si>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</si>
  <si>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</si>
  <si>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</si>
  <si>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</si>
  <si>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</si>
  <si>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</si>
  <si>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</si>
  <si>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</si>
  <si>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</si>
  <si>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</si>
  <si>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</si>
  <si>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</si>
  <si>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</si>
  <si>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</si>
  <si>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</si>
  <si>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</si>
  <si>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</si>
  <si>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</si>
  <si>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</si>
  <si>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</si>
  <si>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</si>
  <si>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</si>
  <si>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</si>
  <si>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</si>
  <si>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</si>
  <si>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</si>
  <si>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</si>
  <si>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</si>
  <si>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</si>
  <si>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</si>
  <si>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</si>
  <si>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</si>
  <si>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</si>
  <si>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</si>
  <si>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</si>
  <si>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</si>
  <si>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</si>
  <si>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</si>
  <si>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</si>
  <si>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</si>
  <si>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</si>
  <si>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</si>
  <si>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</si>
  <si>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</si>
  <si>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</si>
  <si>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</si>
  <si>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</si>
  <si>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</si>
  <si>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</si>
  <si>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</si>
  <si>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</si>
  <si>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</si>
  <si>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</si>
  <si>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</si>
  <si>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</si>
  <si>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</si>
  <si>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</si>
  <si>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</si>
  <si>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</si>
  <si>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</si>
  <si>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</si>
  <si>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</si>
  <si>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</si>
  <si>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</si>
  <si>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</si>
  <si>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</si>
  <si>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</si>
  <si>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</si>
  <si>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</si>
  <si>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</si>
  <si>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</si>
  <si>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</si>
  <si>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</si>
  <si>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</si>
  <si>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</si>
  <si>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</si>
  <si>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</si>
  <si>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</si>
  <si>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</si>
  <si>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</si>
  <si>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</si>
  <si>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</si>
  <si>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</si>
  <si>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</si>
  <si>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</si>
  <si>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</si>
  <si>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</si>
  <si>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</si>
  <si>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</si>
  <si>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</si>
  <si>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</si>
  <si>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</si>
  <si>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</si>
  <si>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</si>
  <si>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</si>
  <si>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</si>
  <si>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</si>
  <si>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</si>
  <si>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</si>
  <si>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</si>
  <si>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</si>
  <si>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</si>
  <si>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</si>
  <si>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</si>
  <si>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</si>
  <si>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</si>
  <si>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</si>
  <si>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</si>
  <si>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</si>
  <si>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</si>
  <si>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</si>
  <si>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</si>
  <si>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</si>
  <si>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</si>
  <si>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</si>
  <si>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</si>
  <si>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</si>
  <si>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</si>
  <si>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</si>
  <si>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</si>
  <si>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</si>
  <si>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</si>
  <si>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</si>
  <si>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</si>
  <si>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</si>
  <si>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</si>
  <si>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</si>
  <si>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</si>
  <si>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</si>
  <si>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</si>
  <si>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</si>
  <si>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</si>
  <si>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</si>
  <si>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</si>
  <si>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</si>
  <si>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</si>
  <si>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</si>
  <si>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</si>
  <si>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</si>
  <si>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</si>
  <si>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</si>
  <si>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</si>
  <si>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</si>
  <si>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</si>
  <si>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</si>
  <si>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</si>
  <si>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</si>
  <si>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</si>
  <si>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</si>
  <si>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</si>
  <si>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</si>
  <si>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</si>
  <si>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</si>
  <si>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</si>
  <si>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</si>
  <si>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</si>
  <si>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</si>
  <si>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</si>
  <si>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</si>
  <si>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</si>
  <si>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</si>
  <si>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</si>
  <si>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</si>
  <si>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</si>
  <si>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</si>
  <si>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</si>
  <si>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</si>
  <si>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</si>
  <si>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</si>
  <si>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</si>
  <si>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</si>
  <si>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</si>
  <si>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</si>
  <si>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</si>
  <si>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</si>
  <si>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</si>
  <si>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</si>
  <si>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</si>
  <si>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</si>
  <si>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</si>
  <si>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</si>
  <si>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</si>
  <si>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</si>
  <si>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</si>
  <si>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</si>
  <si>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</si>
  <si>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</si>
  <si>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</si>
  <si>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</si>
  <si>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</si>
  <si>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</si>
  <si>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</si>
  <si>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</si>
  <si>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</si>
  <si>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</si>
  <si>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</si>
  <si>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</si>
  <si>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</si>
  <si>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</si>
  <si>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</si>
  <si>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</si>
  <si>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</si>
  <si>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</si>
  <si>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</si>
  <si>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</si>
  <si>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</si>
  <si>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</si>
  <si>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</si>
  <si>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</si>
  <si>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</si>
  <si>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</si>
  <si>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</si>
  <si>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</si>
  <si>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</si>
  <si>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</si>
  <si>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</si>
  <si>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</si>
  <si>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</si>
  <si>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</si>
  <si>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</si>
  <si>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</si>
  <si>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</si>
  <si>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</si>
  <si>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</si>
  <si>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</si>
  <si>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</si>
  <si>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</si>
  <si>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</si>
  <si>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</si>
  <si>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</si>
  <si>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</si>
  <si>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</si>
  <si>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</si>
  <si>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</si>
  <si>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</si>
  <si>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</si>
  <si>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</si>
  <si>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</si>
  <si>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</si>
  <si>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</si>
  <si>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</si>
  <si>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</si>
  <si>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</si>
  <si>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</si>
  <si>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</si>
  <si>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</si>
  <si>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</si>
  <si>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</si>
  <si>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</si>
  <si>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</si>
  <si>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</si>
  <si>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</si>
  <si>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</si>
  <si>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</si>
  <si>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</si>
  <si>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</si>
  <si>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</si>
  <si>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</si>
  <si>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</si>
  <si>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</si>
  <si>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</si>
  <si>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</si>
  <si>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</si>
  <si>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</si>
  <si>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</si>
  <si>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</si>
  <si>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</si>
  <si>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</si>
  <si>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</si>
  <si>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</si>
  <si>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</si>
  <si>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</si>
  <si>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</si>
  <si>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</si>
  <si>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</si>
  <si>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</si>
  <si>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</si>
  <si>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</si>
  <si>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</si>
  <si>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</si>
  <si>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</si>
  <si>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</si>
  <si>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</si>
  <si>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</si>
  <si>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</si>
  <si>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</si>
  <si>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</si>
  <si>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</si>
  <si>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</si>
  <si>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</si>
  <si>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</si>
  <si>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</si>
  <si>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</si>
  <si>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</si>
  <si>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</si>
  <si>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</si>
  <si>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</si>
  <si>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</si>
  <si>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</si>
  <si>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</si>
  <si>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</si>
  <si>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</si>
  <si>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</si>
  <si>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</si>
  <si>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</si>
  <si>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</si>
  <si>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</si>
  <si>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</si>
  <si>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</si>
  <si>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</si>
  <si>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</si>
  <si>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</si>
  <si>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</si>
  <si>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</si>
  <si>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</si>
  <si>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</si>
  <si>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</si>
  <si>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</si>
  <si>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</si>
  <si>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</si>
  <si>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</si>
  <si>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</si>
  <si>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</si>
  <si>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</si>
  <si>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</si>
  <si>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</si>
  <si>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</si>
  <si>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</si>
  <si>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</si>
  <si>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</si>
  <si>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</si>
  <si>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</si>
  <si>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</si>
  <si>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</si>
  <si>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</si>
  <si>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</si>
  <si>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</si>
  <si>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</si>
  <si>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</si>
  <si>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</si>
  <si>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</si>
  <si>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</si>
  <si>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</si>
  <si>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</si>
  <si>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</si>
  <si>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</si>
  <si>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</si>
  <si>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</si>
  <si>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</si>
  <si>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</si>
  <si>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</si>
  <si>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</si>
  <si>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</si>
  <si>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</si>
  <si>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</si>
  <si>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</si>
  <si>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</si>
  <si>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</si>
  <si>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</si>
  <si>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</si>
  <si>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</si>
  <si>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</si>
  <si>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</si>
  <si>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</si>
  <si>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</si>
  <si>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</si>
  <si>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</si>
  <si>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</si>
  <si>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</si>
  <si>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</si>
  <si>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</si>
  <si>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</si>
  <si>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</si>
  <si>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</si>
  <si>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</si>
  <si>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</si>
  <si>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</si>
  <si>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</si>
  <si>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</si>
  <si>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</si>
  <si>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</si>
  <si>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</si>
  <si>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</si>
  <si>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</si>
  <si>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</si>
  <si>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mdi:wifi-plus</t>
  </si>
  <si>
    <t>mdi:access-point-network</t>
  </si>
  <si>
    <t>mdi:cable-data</t>
  </si>
  <si>
    <t>mdi:certifcate</t>
  </si>
  <si>
    <t>network_certificates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</si>
</sst>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3FF1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0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3" fillId="6" borderId="0" xfId="0" applyFont="1" applyFill="1"/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49" fontId="8" fillId="6" borderId="0" xfId="1" applyNumberFormat="1" applyFont="1" applyFill="1" applyBorder="1" applyAlignment="1">
      <alignment horizontal="left" vertical="top"/>
    </xf>
    <xf numFmtId="0" fontId="9" fillId="6" borderId="0" xfId="0" applyFont="1" applyFill="1" applyAlignment="1">
      <alignment horizontal="left" vertical="top"/>
    </xf>
    <xf numFmtId="0" fontId="11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F293" zoomScale="121" zoomScaleNormal="120" workbookViewId="0">
      <selection activeCell="H312" sqref="H312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318</v>
      </c>
      <c r="G1" s="2" t="s">
        <v>265</v>
      </c>
      <c r="H1" s="2" t="s">
        <v>265</v>
      </c>
      <c r="I1" s="2" t="s">
        <v>265</v>
      </c>
      <c r="J1" s="2" t="s">
        <v>452</v>
      </c>
      <c r="K1" s="2" t="s">
        <v>1105</v>
      </c>
      <c r="L1" s="2" t="s">
        <v>1105</v>
      </c>
      <c r="M1" s="2" t="s">
        <v>266</v>
      </c>
      <c r="N1" s="2" t="s">
        <v>267</v>
      </c>
      <c r="O1" s="3" t="s">
        <v>714</v>
      </c>
      <c r="P1" s="4" t="s">
        <v>714</v>
      </c>
      <c r="Q1" s="4" t="s">
        <v>714</v>
      </c>
      <c r="R1" s="4" t="s">
        <v>714</v>
      </c>
      <c r="S1" s="4" t="s">
        <v>714</v>
      </c>
      <c r="T1" s="5" t="s">
        <v>715</v>
      </c>
      <c r="U1" s="4" t="s">
        <v>266</v>
      </c>
      <c r="V1" s="3" t="s">
        <v>266</v>
      </c>
      <c r="W1" s="6" t="s">
        <v>466</v>
      </c>
      <c r="X1" s="6" t="s">
        <v>466</v>
      </c>
      <c r="Y1" s="6" t="s">
        <v>466</v>
      </c>
      <c r="Z1" s="6" t="s">
        <v>532</v>
      </c>
      <c r="AA1" s="6" t="s">
        <v>859</v>
      </c>
      <c r="AB1" s="6" t="s">
        <v>184</v>
      </c>
      <c r="AC1" s="6" t="s">
        <v>185</v>
      </c>
      <c r="AD1" s="7" t="s">
        <v>186</v>
      </c>
      <c r="AE1" s="7" t="s">
        <v>1087</v>
      </c>
      <c r="AF1" s="6" t="s">
        <v>184</v>
      </c>
      <c r="AG1" s="6" t="s">
        <v>184</v>
      </c>
      <c r="AH1" s="6" t="s">
        <v>860</v>
      </c>
      <c r="AI1" s="6" t="s">
        <v>184</v>
      </c>
      <c r="AJ1" s="6" t="s">
        <v>184</v>
      </c>
      <c r="AK1" s="6" t="s">
        <v>184</v>
      </c>
      <c r="AL1" s="6" t="s">
        <v>860</v>
      </c>
      <c r="AM1" s="6" t="s">
        <v>860</v>
      </c>
      <c r="AN1" s="6" t="s">
        <v>860</v>
      </c>
      <c r="AO1" s="6" t="s">
        <v>860</v>
      </c>
      <c r="AP1" s="6" t="s">
        <v>860</v>
      </c>
      <c r="AQ1" s="6" t="s">
        <v>860</v>
      </c>
      <c r="AR1" s="6" t="s">
        <v>184</v>
      </c>
      <c r="AS1" s="6" t="s">
        <v>184</v>
      </c>
      <c r="AT1" s="6" t="s">
        <v>184</v>
      </c>
      <c r="AU1" s="6" t="s">
        <v>766</v>
      </c>
      <c r="AV1" s="6" t="s">
        <v>432</v>
      </c>
      <c r="AW1" s="6" t="s">
        <v>432</v>
      </c>
      <c r="AX1" s="6" t="s">
        <v>1178</v>
      </c>
      <c r="AY1" s="6" t="s">
        <v>1178</v>
      </c>
      <c r="AZ1" s="6" t="s">
        <v>766</v>
      </c>
      <c r="BA1" s="6" t="s">
        <v>432</v>
      </c>
      <c r="BB1" s="6" t="s">
        <v>432</v>
      </c>
      <c r="BC1" s="6" t="s">
        <v>432</v>
      </c>
      <c r="BD1" s="6" t="s">
        <v>432</v>
      </c>
      <c r="BE1" s="6" t="s">
        <v>715</v>
      </c>
      <c r="BF1" s="6" t="s">
        <v>432</v>
      </c>
      <c r="BG1" s="6" t="s">
        <v>432</v>
      </c>
      <c r="BH1" s="6" t="s">
        <v>676</v>
      </c>
      <c r="BI1" s="6" t="s">
        <v>676</v>
      </c>
      <c r="BJ1" s="6" t="s">
        <v>766</v>
      </c>
      <c r="BK1" s="6" t="s">
        <v>432</v>
      </c>
      <c r="BL1" s="6" t="s">
        <v>672</v>
      </c>
      <c r="BM1" s="6" t="s">
        <v>432</v>
      </c>
      <c r="BN1" s="6" t="s">
        <v>673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1088</v>
      </c>
      <c r="E2" s="11" t="s">
        <v>1089</v>
      </c>
      <c r="F2" s="11" t="s">
        <v>1090</v>
      </c>
      <c r="G2" s="11" t="s">
        <v>181</v>
      </c>
      <c r="H2" s="11" t="s">
        <v>150</v>
      </c>
      <c r="I2" s="11" t="s">
        <v>151</v>
      </c>
      <c r="J2" s="12" t="s">
        <v>457</v>
      </c>
      <c r="K2" s="11" t="s">
        <v>1091</v>
      </c>
      <c r="L2" s="11" t="s">
        <v>1092</v>
      </c>
      <c r="M2" s="11" t="s">
        <v>1093</v>
      </c>
      <c r="N2" s="11" t="s">
        <v>1094</v>
      </c>
      <c r="O2" s="13" t="s">
        <v>755</v>
      </c>
      <c r="P2" s="12" t="s">
        <v>759</v>
      </c>
      <c r="Q2" s="12" t="s">
        <v>716</v>
      </c>
      <c r="R2" s="12" t="s">
        <v>716</v>
      </c>
      <c r="S2" s="12" t="s">
        <v>717</v>
      </c>
      <c r="T2" s="12" t="s">
        <v>718</v>
      </c>
      <c r="U2" s="12" t="s">
        <v>453</v>
      </c>
      <c r="V2" s="14" t="s">
        <v>1329</v>
      </c>
      <c r="W2" s="14" t="s">
        <v>474</v>
      </c>
      <c r="X2" s="14" t="s">
        <v>475</v>
      </c>
      <c r="Y2" s="15" t="s">
        <v>467</v>
      </c>
      <c r="Z2" s="14" t="s">
        <v>533</v>
      </c>
      <c r="AA2" s="14" t="s">
        <v>858</v>
      </c>
      <c r="AB2" s="15" t="s">
        <v>152</v>
      </c>
      <c r="AC2" s="15" t="s">
        <v>153</v>
      </c>
      <c r="AD2" s="15" t="s">
        <v>175</v>
      </c>
      <c r="AE2" s="16" t="s">
        <v>1095</v>
      </c>
      <c r="AF2" s="16" t="s">
        <v>154</v>
      </c>
      <c r="AG2" s="16" t="s">
        <v>155</v>
      </c>
      <c r="AH2" s="16" t="s">
        <v>864</v>
      </c>
      <c r="AI2" s="16" t="s">
        <v>156</v>
      </c>
      <c r="AJ2" s="17" t="s">
        <v>1096</v>
      </c>
      <c r="AK2" s="16" t="s">
        <v>1097</v>
      </c>
      <c r="AL2" s="16" t="s">
        <v>861</v>
      </c>
      <c r="AM2" s="16" t="s">
        <v>871</v>
      </c>
      <c r="AN2" s="16" t="s">
        <v>880</v>
      </c>
      <c r="AO2" s="16" t="s">
        <v>881</v>
      </c>
      <c r="AP2" s="16" t="s">
        <v>876</v>
      </c>
      <c r="AQ2" s="16" t="s">
        <v>877</v>
      </c>
      <c r="AR2" s="15" t="s">
        <v>157</v>
      </c>
      <c r="AS2" s="16" t="s">
        <v>505</v>
      </c>
      <c r="AT2" s="18" t="s">
        <v>162</v>
      </c>
      <c r="AU2" s="18" t="s">
        <v>950</v>
      </c>
      <c r="AV2" s="16" t="s">
        <v>322</v>
      </c>
      <c r="AW2" s="16" t="s">
        <v>159</v>
      </c>
      <c r="AX2" s="16" t="s">
        <v>1179</v>
      </c>
      <c r="AY2" s="16" t="s">
        <v>1175</v>
      </c>
      <c r="AZ2" s="16" t="s">
        <v>1028</v>
      </c>
      <c r="BA2" s="16" t="s">
        <v>1029</v>
      </c>
      <c r="BB2" s="16" t="s">
        <v>1030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1098</v>
      </c>
      <c r="BH2" s="16" t="s">
        <v>1124</v>
      </c>
      <c r="BI2" s="16" t="s">
        <v>1123</v>
      </c>
      <c r="BJ2" s="16" t="s">
        <v>767</v>
      </c>
      <c r="BK2" s="16" t="s">
        <v>674</v>
      </c>
      <c r="BL2" s="16" t="s">
        <v>671</v>
      </c>
      <c r="BM2" s="16" t="s">
        <v>321</v>
      </c>
      <c r="BN2" s="18" t="s">
        <v>675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454</v>
      </c>
      <c r="K3" s="21" t="s">
        <v>656</v>
      </c>
      <c r="L3" s="21" t="s">
        <v>657</v>
      </c>
      <c r="M3" s="21" t="s">
        <v>1099</v>
      </c>
      <c r="N3" s="21" t="s">
        <v>1100</v>
      </c>
      <c r="O3" s="23" t="s">
        <v>754</v>
      </c>
      <c r="P3" s="22" t="s">
        <v>719</v>
      </c>
      <c r="Q3" s="22" t="s">
        <v>720</v>
      </c>
      <c r="R3" s="24" t="s">
        <v>721</v>
      </c>
      <c r="S3" s="24" t="s">
        <v>722</v>
      </c>
      <c r="T3" s="25" t="s">
        <v>712</v>
      </c>
      <c r="U3" s="22" t="s">
        <v>451</v>
      </c>
      <c r="V3" s="26" t="s">
        <v>296</v>
      </c>
      <c r="W3" s="26" t="s">
        <v>528</v>
      </c>
      <c r="X3" s="26" t="s">
        <v>529</v>
      </c>
      <c r="Y3" s="26" t="s">
        <v>530</v>
      </c>
      <c r="Z3" s="26" t="s">
        <v>531</v>
      </c>
      <c r="AA3" s="26" t="s">
        <v>857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863</v>
      </c>
      <c r="AI3" s="27" t="s">
        <v>13</v>
      </c>
      <c r="AJ3" s="27" t="s">
        <v>14</v>
      </c>
      <c r="AK3" s="27" t="s">
        <v>15</v>
      </c>
      <c r="AL3" s="27" t="s">
        <v>862</v>
      </c>
      <c r="AM3" s="27" t="s">
        <v>870</v>
      </c>
      <c r="AN3" s="27" t="s">
        <v>878</v>
      </c>
      <c r="AO3" s="27" t="s">
        <v>879</v>
      </c>
      <c r="AP3" s="27" t="s">
        <v>872</v>
      </c>
      <c r="AQ3" s="27" t="s">
        <v>873</v>
      </c>
      <c r="AR3" s="27" t="s">
        <v>16</v>
      </c>
      <c r="AS3" s="27" t="s">
        <v>17</v>
      </c>
      <c r="AT3" s="28" t="s">
        <v>24</v>
      </c>
      <c r="AU3" s="28" t="s">
        <v>949</v>
      </c>
      <c r="AV3" s="27" t="s">
        <v>20</v>
      </c>
      <c r="AW3" s="27" t="s">
        <v>18</v>
      </c>
      <c r="AX3" s="27" t="s">
        <v>1176</v>
      </c>
      <c r="AY3" s="27" t="s">
        <v>1177</v>
      </c>
      <c r="AZ3" s="27" t="s">
        <v>1024</v>
      </c>
      <c r="BA3" s="27" t="s">
        <v>1025</v>
      </c>
      <c r="BB3" s="27" t="s">
        <v>1026</v>
      </c>
      <c r="BC3" s="27" t="s">
        <v>21</v>
      </c>
      <c r="BD3" s="27" t="s">
        <v>22</v>
      </c>
      <c r="BE3" s="27" t="s">
        <v>1374</v>
      </c>
      <c r="BF3" s="28" t="s">
        <v>19</v>
      </c>
      <c r="BG3" s="27" t="s">
        <v>23</v>
      </c>
      <c r="BH3" s="27" t="s">
        <v>1125</v>
      </c>
      <c r="BI3" s="27" t="s">
        <v>1122</v>
      </c>
      <c r="BJ3" s="27" t="s">
        <v>765</v>
      </c>
      <c r="BK3" s="27" t="s">
        <v>381</v>
      </c>
      <c r="BL3" s="27" t="s">
        <v>319</v>
      </c>
      <c r="BM3" s="27" t="s">
        <v>320</v>
      </c>
      <c r="BN3" s="28" t="s">
        <v>347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461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297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298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299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1149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405</v>
      </c>
      <c r="BC4" s="30" t="s">
        <v>36</v>
      </c>
      <c r="BD4" s="30" t="s">
        <v>37</v>
      </c>
      <c r="BE4" s="30"/>
      <c r="BF4" s="30" t="s">
        <v>1031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297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419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299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576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577</v>
      </c>
      <c r="O6" s="31"/>
      <c r="P6" s="30"/>
      <c r="T6" s="37"/>
      <c r="U6" s="30"/>
      <c r="V6" s="31" t="s">
        <v>1137</v>
      </c>
      <c r="W6" s="31"/>
      <c r="X6" s="31"/>
      <c r="Y6" s="31"/>
      <c r="Z6" s="31"/>
      <c r="AA6" s="31"/>
      <c r="AB6" s="30"/>
      <c r="AC6" s="30"/>
      <c r="AE6" s="30" t="s">
        <v>299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960</v>
      </c>
      <c r="BC6" s="30" t="s">
        <v>958</v>
      </c>
      <c r="BD6" s="30" t="s">
        <v>127</v>
      </c>
      <c r="BF6" s="30" t="s">
        <v>406</v>
      </c>
      <c r="BG6" s="30" t="s">
        <v>129</v>
      </c>
      <c r="BK6" s="38" t="s">
        <v>1214</v>
      </c>
      <c r="BL6" s="37" t="s">
        <v>413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577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697</v>
      </c>
      <c r="M7" s="30" t="s">
        <v>89</v>
      </c>
      <c r="O7" s="31"/>
      <c r="P7" s="30"/>
      <c r="T7" s="37"/>
      <c r="U7" s="30" t="s">
        <v>419</v>
      </c>
      <c r="V7" s="31"/>
      <c r="W7" s="31"/>
      <c r="X7" s="31"/>
      <c r="Y7" s="31"/>
      <c r="Z7" s="31"/>
      <c r="AA7" s="31"/>
      <c r="AB7" s="30"/>
      <c r="AC7" s="30"/>
      <c r="AE7" s="30" t="s">
        <v>299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578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579</v>
      </c>
      <c r="O8" s="31"/>
      <c r="P8" s="30"/>
      <c r="T8" s="37"/>
      <c r="U8" s="30"/>
      <c r="V8" s="31" t="s">
        <v>1143</v>
      </c>
      <c r="W8" s="31"/>
      <c r="X8" s="31"/>
      <c r="Y8" s="31"/>
      <c r="Z8" s="31"/>
      <c r="AA8" s="31"/>
      <c r="AB8" s="30"/>
      <c r="AC8" s="30"/>
      <c r="AE8" s="30" t="s">
        <v>299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960</v>
      </c>
      <c r="BC8" s="30" t="s">
        <v>958</v>
      </c>
      <c r="BD8" s="30" t="s">
        <v>127</v>
      </c>
      <c r="BF8" s="30" t="s">
        <v>406</v>
      </c>
      <c r="BG8" s="30" t="s">
        <v>126</v>
      </c>
      <c r="BK8" s="38" t="s">
        <v>1214</v>
      </c>
      <c r="BL8" s="30" t="s">
        <v>412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579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697</v>
      </c>
      <c r="M9" s="30" t="s">
        <v>89</v>
      </c>
      <c r="O9" s="31"/>
      <c r="P9" s="30"/>
      <c r="T9" s="37"/>
      <c r="U9" s="30" t="s">
        <v>419</v>
      </c>
      <c r="V9" s="31"/>
      <c r="W9" s="31"/>
      <c r="X9" s="31"/>
      <c r="Y9" s="31"/>
      <c r="Z9" s="31"/>
      <c r="AA9" s="31"/>
      <c r="AB9" s="30"/>
      <c r="AC9" s="30"/>
      <c r="AE9" s="30" t="s">
        <v>299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1288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1289</v>
      </c>
      <c r="O10" s="31"/>
      <c r="P10" s="30"/>
      <c r="T10" s="37"/>
      <c r="U10" s="30"/>
      <c r="V10" s="31" t="s">
        <v>1139</v>
      </c>
      <c r="W10" s="31"/>
      <c r="X10" s="31"/>
      <c r="Y10" s="31"/>
      <c r="Z10" s="31"/>
      <c r="AA10" s="31"/>
      <c r="AB10" s="30"/>
      <c r="AC10" s="30"/>
      <c r="AE10" s="30" t="s">
        <v>299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959</v>
      </c>
      <c r="BC10" s="30" t="s">
        <v>961</v>
      </c>
      <c r="BD10" s="30" t="s">
        <v>127</v>
      </c>
      <c r="BF10" s="30" t="s">
        <v>407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1289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419</v>
      </c>
      <c r="V11" s="31"/>
      <c r="W11" s="31"/>
      <c r="X11" s="31"/>
      <c r="Y11" s="31"/>
      <c r="Z11" s="31"/>
      <c r="AA11" s="31"/>
      <c r="AB11" s="30"/>
      <c r="AC11" s="30"/>
      <c r="AE11" s="30" t="s">
        <v>299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580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581</v>
      </c>
      <c r="O12" s="31"/>
      <c r="P12" s="30"/>
      <c r="T12" s="37"/>
      <c r="U12" s="30"/>
      <c r="V12" s="31" t="s">
        <v>1146</v>
      </c>
      <c r="W12" s="31"/>
      <c r="X12" s="31"/>
      <c r="Y12" s="31"/>
      <c r="Z12" s="31"/>
      <c r="AA12" s="31"/>
      <c r="AB12" s="30"/>
      <c r="AC12" s="30"/>
      <c r="AE12" s="30" t="s">
        <v>299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960</v>
      </c>
      <c r="BC12" s="30" t="s">
        <v>958</v>
      </c>
      <c r="BD12" s="30" t="s">
        <v>127</v>
      </c>
      <c r="BF12" s="30" t="s">
        <v>406</v>
      </c>
      <c r="BG12" s="30" t="s">
        <v>190</v>
      </c>
      <c r="BK12" s="38" t="s">
        <v>1214</v>
      </c>
      <c r="BL12" s="30" t="s">
        <v>408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581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419</v>
      </c>
      <c r="V13" s="31"/>
      <c r="W13" s="31"/>
      <c r="X13" s="31"/>
      <c r="Y13" s="31"/>
      <c r="Z13" s="31"/>
      <c r="AA13" s="31"/>
      <c r="AB13" s="30"/>
      <c r="AC13" s="30"/>
      <c r="AE13" s="30" t="s">
        <v>299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1199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1200</v>
      </c>
      <c r="O14" s="31"/>
      <c r="P14" s="30"/>
      <c r="T14" s="37"/>
      <c r="U14" s="30"/>
      <c r="V14" s="31" t="s">
        <v>1141</v>
      </c>
      <c r="W14" s="31"/>
      <c r="X14" s="31"/>
      <c r="Y14" s="31"/>
      <c r="Z14" s="31"/>
      <c r="AA14" s="31"/>
      <c r="AB14" s="30"/>
      <c r="AC14" s="30"/>
      <c r="AE14" s="30" t="s">
        <v>299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960</v>
      </c>
      <c r="BC14" s="30" t="s">
        <v>961</v>
      </c>
      <c r="BD14" s="30" t="s">
        <v>127</v>
      </c>
      <c r="BF14" s="30" t="s">
        <v>407</v>
      </c>
      <c r="BG14" s="30" t="s">
        <v>210</v>
      </c>
      <c r="BK14" s="38" t="s">
        <v>1214</v>
      </c>
      <c r="BL14" s="30" t="s">
        <v>409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1200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419</v>
      </c>
      <c r="V15" s="31"/>
      <c r="W15" s="31"/>
      <c r="X15" s="31"/>
      <c r="Y15" s="31"/>
      <c r="Z15" s="31"/>
      <c r="AA15" s="31"/>
      <c r="AB15" s="30"/>
      <c r="AC15" s="30"/>
      <c r="AE15" s="30" t="s">
        <v>299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1201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1202</v>
      </c>
      <c r="O16" s="31"/>
      <c r="P16" s="30"/>
      <c r="T16" s="37"/>
      <c r="U16" s="30"/>
      <c r="V16" s="31" t="s">
        <v>1138</v>
      </c>
      <c r="W16" s="31"/>
      <c r="X16" s="31"/>
      <c r="Y16" s="31"/>
      <c r="Z16" s="31"/>
      <c r="AA16" s="31"/>
      <c r="AB16" s="30"/>
      <c r="AC16" s="30"/>
      <c r="AE16" s="30" t="s">
        <v>299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960</v>
      </c>
      <c r="BC16" s="30" t="s">
        <v>961</v>
      </c>
      <c r="BD16" s="30" t="s">
        <v>127</v>
      </c>
      <c r="BF16" s="30" t="s">
        <v>407</v>
      </c>
      <c r="BG16" s="30" t="s">
        <v>204</v>
      </c>
      <c r="BK16" s="30" t="s">
        <v>1214</v>
      </c>
      <c r="BL16" s="30" t="s">
        <v>411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1202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419</v>
      </c>
      <c r="V17" s="31"/>
      <c r="W17" s="31"/>
      <c r="X17" s="31"/>
      <c r="Y17" s="31"/>
      <c r="Z17" s="31"/>
      <c r="AA17" s="31"/>
      <c r="AB17" s="30"/>
      <c r="AC17" s="30"/>
      <c r="AE17" s="30" t="s">
        <v>299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1290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1291</v>
      </c>
      <c r="O18" s="31"/>
      <c r="P18" s="30"/>
      <c r="T18" s="37"/>
      <c r="U18" s="30"/>
      <c r="V18" s="31" t="s">
        <v>1140</v>
      </c>
      <c r="W18" s="31"/>
      <c r="X18" s="31"/>
      <c r="Y18" s="31"/>
      <c r="Z18" s="31"/>
      <c r="AA18" s="31"/>
      <c r="AB18" s="30"/>
      <c r="AC18" s="30"/>
      <c r="AE18" s="30" t="s">
        <v>299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959</v>
      </c>
      <c r="BC18" s="30" t="s">
        <v>961</v>
      </c>
      <c r="BD18" s="30" t="s">
        <v>127</v>
      </c>
      <c r="BF18" s="30" t="s">
        <v>407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1291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419</v>
      </c>
      <c r="V19" s="31"/>
      <c r="W19" s="31"/>
      <c r="X19" s="31"/>
      <c r="Y19" s="31"/>
      <c r="Z19" s="31"/>
      <c r="AA19" s="31"/>
      <c r="AB19" s="30"/>
      <c r="AC19" s="30"/>
      <c r="AE19" s="30" t="s">
        <v>299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1292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1293</v>
      </c>
      <c r="O20" s="31"/>
      <c r="P20" s="30"/>
      <c r="T20" s="37"/>
      <c r="U20" s="30"/>
      <c r="V20" s="31" t="s">
        <v>1139</v>
      </c>
      <c r="W20" s="31"/>
      <c r="X20" s="31"/>
      <c r="Y20" s="31"/>
      <c r="Z20" s="31"/>
      <c r="AA20" s="31"/>
      <c r="AB20" s="30"/>
      <c r="AC20" s="30"/>
      <c r="AE20" s="30" t="s">
        <v>299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959</v>
      </c>
      <c r="BC20" s="30" t="s">
        <v>961</v>
      </c>
      <c r="BD20" s="30" t="s">
        <v>127</v>
      </c>
      <c r="BF20" s="30" t="s">
        <v>407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1293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419</v>
      </c>
      <c r="V21" s="31"/>
      <c r="W21" s="31"/>
      <c r="X21" s="31"/>
      <c r="Y21" s="31"/>
      <c r="Z21" s="31"/>
      <c r="AA21" s="31"/>
      <c r="AB21" s="30"/>
      <c r="AC21" s="30"/>
      <c r="AE21" s="30" t="s">
        <v>299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574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575</v>
      </c>
      <c r="O22" s="31"/>
      <c r="P22" s="30"/>
      <c r="T22" s="37"/>
      <c r="U22" s="30"/>
      <c r="V22" s="31" t="s">
        <v>1145</v>
      </c>
      <c r="W22" s="31"/>
      <c r="X22" s="31"/>
      <c r="Y22" s="31"/>
      <c r="Z22" s="31"/>
      <c r="AA22" s="31"/>
      <c r="AB22" s="30"/>
      <c r="AC22" s="30"/>
      <c r="AE22" s="30" t="s">
        <v>299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960</v>
      </c>
      <c r="BC22" s="30" t="s">
        <v>958</v>
      </c>
      <c r="BD22" s="30" t="s">
        <v>127</v>
      </c>
      <c r="BF22" s="30" t="s">
        <v>406</v>
      </c>
      <c r="BG22" s="30" t="s">
        <v>211</v>
      </c>
      <c r="BK22" s="30" t="s">
        <v>1214</v>
      </c>
      <c r="BL22" s="37" t="s">
        <v>410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575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419</v>
      </c>
      <c r="V23" s="31"/>
      <c r="W23" s="31"/>
      <c r="X23" s="31"/>
      <c r="Y23" s="31"/>
      <c r="Z23" s="31"/>
      <c r="AA23" s="31"/>
      <c r="AB23" s="30"/>
      <c r="AC23" s="30"/>
      <c r="AE23" s="30" t="s">
        <v>299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1131</v>
      </c>
      <c r="F24" s="36" t="str">
        <f>IF(ISBLANK(Table2[[#This Row],[unique_id]]), "", PROPER(SUBSTITUTE(Table2[[#This Row],[unique_id]], "_", " ")))</f>
        <v>Wardrobe Temperature</v>
      </c>
      <c r="G24" s="30" t="s">
        <v>478</v>
      </c>
      <c r="H24" s="30" t="s">
        <v>86</v>
      </c>
      <c r="I24" s="30" t="s">
        <v>30</v>
      </c>
      <c r="K24" s="30" t="s">
        <v>1132</v>
      </c>
      <c r="O24" s="31"/>
      <c r="P24" s="30"/>
      <c r="T24" s="37"/>
      <c r="U24" s="30"/>
      <c r="V24" s="31" t="s">
        <v>1148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299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1149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1180</v>
      </c>
      <c r="BC24" s="30" t="s">
        <v>36</v>
      </c>
      <c r="BD24" s="30" t="s">
        <v>37</v>
      </c>
      <c r="BF24" s="30" t="s">
        <v>1031</v>
      </c>
      <c r="BG24" s="30" t="s">
        <v>478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1132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478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419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299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478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1503</v>
      </c>
      <c r="D26" s="30" t="s">
        <v>27</v>
      </c>
      <c r="E26" s="30" t="s">
        <v>1134</v>
      </c>
      <c r="F26" s="36" t="str">
        <f>IF(ISBLANK(Table2[[#This Row],[unique_id]]), "", PROPER(SUBSTITUTE(Table2[[#This Row],[unique_id]], "_", " ")))</f>
        <v>Utility Temperature</v>
      </c>
      <c r="G26" s="30" t="s">
        <v>1133</v>
      </c>
      <c r="H26" s="30" t="s">
        <v>86</v>
      </c>
      <c r="I26" s="30" t="s">
        <v>30</v>
      </c>
      <c r="K26" s="30" t="s">
        <v>1135</v>
      </c>
      <c r="O26" s="31"/>
      <c r="P26" s="30"/>
      <c r="T26" s="37"/>
      <c r="U26" s="30"/>
      <c r="V26" s="31" t="s">
        <v>1147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299</v>
      </c>
      <c r="AF26" s="30">
        <v>300</v>
      </c>
      <c r="AG26" s="31" t="s">
        <v>34</v>
      </c>
      <c r="AH26" s="31"/>
      <c r="AI26" s="30" t="s">
        <v>1397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1505</v>
      </c>
      <c r="BD26" s="30" t="s">
        <v>1506</v>
      </c>
      <c r="BF26" s="30" t="s">
        <v>957</v>
      </c>
      <c r="BG26" s="30" t="s">
        <v>28</v>
      </c>
      <c r="BL26" s="30" t="s">
        <v>1101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1503</v>
      </c>
      <c r="D27" s="30" t="s">
        <v>27</v>
      </c>
      <c r="E27" s="30" t="s">
        <v>1135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1133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419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299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678</v>
      </c>
      <c r="D28" s="30" t="s">
        <v>27</v>
      </c>
      <c r="E28" s="30" t="s">
        <v>1014</v>
      </c>
      <c r="F28" s="36" t="str">
        <f>IF(ISBLANK(Table2[[#This Row],[unique_id]]), "", PROPER(SUBSTITUTE(Table2[[#This Row],[unique_id]], "_", " ")))</f>
        <v>Deck Festoons Plug Temperature</v>
      </c>
      <c r="G28" s="30" t="s">
        <v>386</v>
      </c>
      <c r="H28" s="30" t="s">
        <v>86</v>
      </c>
      <c r="I28" s="30" t="s">
        <v>30</v>
      </c>
      <c r="K28" s="30" t="s">
        <v>1126</v>
      </c>
      <c r="O28" s="31"/>
      <c r="P28" s="30"/>
      <c r="T28" s="37"/>
      <c r="U28" s="30" t="s">
        <v>419</v>
      </c>
      <c r="V28" s="31" t="s">
        <v>1142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299</v>
      </c>
      <c r="AF28" s="30">
        <v>10</v>
      </c>
      <c r="AG28" s="31" t="s">
        <v>34</v>
      </c>
      <c r="AH28" s="31" t="s">
        <v>865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884</v>
      </c>
      <c r="AO28" s="30" t="s">
        <v>885</v>
      </c>
      <c r="AP28" s="30" t="s">
        <v>874</v>
      </c>
      <c r="AQ28" s="30" t="s">
        <v>875</v>
      </c>
      <c r="AR28" s="30" t="s">
        <v>1081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695</v>
      </c>
      <c r="BC28" s="30" t="s">
        <v>1078</v>
      </c>
      <c r="BD28" s="30" t="s">
        <v>1077</v>
      </c>
      <c r="BF28" s="30" t="s">
        <v>855</v>
      </c>
      <c r="BG28" s="30" t="s">
        <v>340</v>
      </c>
      <c r="BH28" s="30" t="s">
        <v>386</v>
      </c>
      <c r="BI28" s="30" t="s">
        <v>386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678</v>
      </c>
      <c r="D29" s="30" t="s">
        <v>27</v>
      </c>
      <c r="E29" s="30" t="s">
        <v>1126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386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419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299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340</v>
      </c>
      <c r="BH29" s="30" t="s">
        <v>386</v>
      </c>
      <c r="BI29" s="30" t="s">
        <v>386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1294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1295</v>
      </c>
      <c r="O30" s="31"/>
      <c r="P30" s="30"/>
      <c r="T30" s="37"/>
      <c r="U30" s="30"/>
      <c r="V30" s="31" t="s">
        <v>1139</v>
      </c>
      <c r="W30" s="31"/>
      <c r="X30" s="31"/>
      <c r="Y30" s="31"/>
      <c r="Z30" s="31"/>
      <c r="AA30" s="31"/>
      <c r="AB30" s="30"/>
      <c r="AC30" s="30"/>
      <c r="AE30" s="30" t="s">
        <v>299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959</v>
      </c>
      <c r="BC30" s="30" t="s">
        <v>961</v>
      </c>
      <c r="BD30" s="30" t="s">
        <v>127</v>
      </c>
      <c r="BF30" s="30" t="s">
        <v>407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1295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419</v>
      </c>
      <c r="V31" s="31"/>
      <c r="W31" s="31"/>
      <c r="X31" s="31"/>
      <c r="Y31" s="31"/>
      <c r="Z31" s="31"/>
      <c r="AA31" s="31"/>
      <c r="AB31" s="30"/>
      <c r="AC31" s="30"/>
      <c r="AE31" s="30" t="s">
        <v>299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1106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299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1149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405</v>
      </c>
      <c r="BC32" s="30" t="s">
        <v>36</v>
      </c>
      <c r="BD32" s="30" t="s">
        <v>37</v>
      </c>
      <c r="BF32" s="30" t="s">
        <v>1031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1107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299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1149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405</v>
      </c>
      <c r="BC33" s="30" t="s">
        <v>36</v>
      </c>
      <c r="BD33" s="30" t="s">
        <v>37</v>
      </c>
      <c r="BF33" s="30" t="s">
        <v>1031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1108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299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1149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405</v>
      </c>
      <c r="BC34" s="30" t="s">
        <v>36</v>
      </c>
      <c r="BD34" s="30" t="s">
        <v>37</v>
      </c>
      <c r="BF34" s="30" t="s">
        <v>1031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1109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299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1149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405</v>
      </c>
      <c r="BC35" s="30" t="s">
        <v>36</v>
      </c>
      <c r="BD35" s="30" t="s">
        <v>37</v>
      </c>
      <c r="BF35" s="30" t="s">
        <v>1031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1110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299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1149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1180</v>
      </c>
      <c r="BC36" s="30" t="s">
        <v>36</v>
      </c>
      <c r="BD36" s="30" t="s">
        <v>37</v>
      </c>
      <c r="BF36" s="30" t="s">
        <v>1031</v>
      </c>
      <c r="BG36" s="30" t="s">
        <v>478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1111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299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1149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405</v>
      </c>
      <c r="BC37" s="30" t="s">
        <v>36</v>
      </c>
      <c r="BD37" s="30" t="s">
        <v>37</v>
      </c>
      <c r="BF37" s="30" t="s">
        <v>1031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423</v>
      </c>
      <c r="D38" s="30" t="s">
        <v>316</v>
      </c>
      <c r="E38" s="30" t="s">
        <v>315</v>
      </c>
      <c r="F38" s="36" t="str">
        <f>IF(ISBLANK(Table2[[#This Row],[unique_id]]), "", PROPER(SUBSTITUTE(Table2[[#This Row],[unique_id]], "_", " ")))</f>
        <v>Column Break</v>
      </c>
      <c r="G38" s="30" t="s">
        <v>312</v>
      </c>
      <c r="H38" s="30" t="s">
        <v>86</v>
      </c>
      <c r="I38" s="30" t="s">
        <v>30</v>
      </c>
      <c r="M38" s="30" t="s">
        <v>313</v>
      </c>
      <c r="N38" s="30" t="s">
        <v>314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433</v>
      </c>
      <c r="D39" s="30" t="s">
        <v>27</v>
      </c>
      <c r="E39" s="30" t="s">
        <v>512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436</v>
      </c>
      <c r="I39" s="30" t="s">
        <v>30</v>
      </c>
      <c r="M39" s="30" t="s">
        <v>89</v>
      </c>
      <c r="O39" s="31"/>
      <c r="P39" s="30"/>
      <c r="T39" s="37"/>
      <c r="U39" s="30" t="s">
        <v>419</v>
      </c>
      <c r="V39" s="31"/>
      <c r="W39" s="31"/>
      <c r="X39" s="31"/>
      <c r="Y39" s="31"/>
      <c r="Z39" s="31"/>
      <c r="AA39" s="31"/>
      <c r="AB39" s="30"/>
      <c r="AC39" s="30"/>
      <c r="AE39" s="30" t="s">
        <v>439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433</v>
      </c>
      <c r="D40" s="30" t="s">
        <v>27</v>
      </c>
      <c r="E40" s="30" t="s">
        <v>437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436</v>
      </c>
      <c r="I40" s="30" t="s">
        <v>30</v>
      </c>
      <c r="M40" s="30" t="s">
        <v>89</v>
      </c>
      <c r="O40" s="31"/>
      <c r="P40" s="30"/>
      <c r="T40" s="37"/>
      <c r="U40" s="30" t="s">
        <v>419</v>
      </c>
      <c r="V40" s="31"/>
      <c r="W40" s="31"/>
      <c r="X40" s="31"/>
      <c r="Y40" s="31"/>
      <c r="Z40" s="31"/>
      <c r="AA40" s="31"/>
      <c r="AB40" s="30"/>
      <c r="AC40" s="30"/>
      <c r="AE40" s="30" t="s">
        <v>439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433</v>
      </c>
      <c r="D41" s="30" t="s">
        <v>27</v>
      </c>
      <c r="E41" s="30" t="s">
        <v>1192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436</v>
      </c>
      <c r="I41" s="30" t="s">
        <v>30</v>
      </c>
      <c r="M41" s="30" t="s">
        <v>89</v>
      </c>
      <c r="O41" s="31"/>
      <c r="P41" s="30"/>
      <c r="T41" s="37"/>
      <c r="U41" s="30" t="s">
        <v>419</v>
      </c>
      <c r="V41" s="31"/>
      <c r="W41" s="31"/>
      <c r="X41" s="31"/>
      <c r="Y41" s="31"/>
      <c r="Z41" s="31"/>
      <c r="AA41" s="31"/>
      <c r="AB41" s="30"/>
      <c r="AC41" s="30"/>
      <c r="AE41" s="30" t="s">
        <v>439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433</v>
      </c>
      <c r="D42" s="30" t="s">
        <v>27</v>
      </c>
      <c r="E42" s="30" t="s">
        <v>1191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436</v>
      </c>
      <c r="I42" s="30" t="s">
        <v>30</v>
      </c>
      <c r="M42" s="30" t="s">
        <v>89</v>
      </c>
      <c r="O42" s="31"/>
      <c r="P42" s="30"/>
      <c r="T42" s="37"/>
      <c r="U42" s="30" t="s">
        <v>419</v>
      </c>
      <c r="V42" s="31"/>
      <c r="W42" s="31"/>
      <c r="X42" s="31"/>
      <c r="Y42" s="31"/>
      <c r="Z42" s="31"/>
      <c r="AA42" s="31"/>
      <c r="AB42" s="30"/>
      <c r="AC42" s="30"/>
      <c r="AE42" s="30" t="s">
        <v>439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562</v>
      </c>
      <c r="C43" s="30" t="s">
        <v>433</v>
      </c>
      <c r="D43" s="30" t="s">
        <v>27</v>
      </c>
      <c r="E43" s="30" t="s">
        <v>1377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436</v>
      </c>
      <c r="I43" s="30" t="s">
        <v>30</v>
      </c>
      <c r="M43" s="30" t="s">
        <v>89</v>
      </c>
      <c r="O43" s="31"/>
      <c r="P43" s="30"/>
      <c r="T43" s="37"/>
      <c r="U43" s="30" t="s">
        <v>419</v>
      </c>
      <c r="V43" s="31"/>
      <c r="W43" s="31"/>
      <c r="X43" s="31"/>
      <c r="Y43" s="31"/>
      <c r="Z43" s="31"/>
      <c r="AA43" s="31"/>
      <c r="AB43" s="30"/>
      <c r="AC43" s="30"/>
      <c r="AE43" s="30" t="s">
        <v>439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1112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419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301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405</v>
      </c>
      <c r="BC44" s="30" t="s">
        <v>36</v>
      </c>
      <c r="BD44" s="30" t="s">
        <v>37</v>
      </c>
      <c r="BF44" s="30" t="s">
        <v>1031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1113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419</v>
      </c>
      <c r="V45" s="31"/>
      <c r="W45" s="31"/>
      <c r="X45" s="31"/>
      <c r="Y45" s="31"/>
      <c r="Z45" s="31"/>
      <c r="AA45" s="31"/>
      <c r="AB45" s="30"/>
      <c r="AC45" s="30"/>
      <c r="AE45" s="30" t="s">
        <v>301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960</v>
      </c>
      <c r="BC45" s="30" t="s">
        <v>958</v>
      </c>
      <c r="BD45" s="30" t="s">
        <v>127</v>
      </c>
      <c r="BF45" s="30" t="s">
        <v>406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1114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419</v>
      </c>
      <c r="V46" s="31"/>
      <c r="W46" s="31"/>
      <c r="X46" s="31"/>
      <c r="Y46" s="31"/>
      <c r="Z46" s="31"/>
      <c r="AA46" s="31"/>
      <c r="AB46" s="30"/>
      <c r="AC46" s="30"/>
      <c r="AE46" s="30" t="s">
        <v>301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960</v>
      </c>
      <c r="BC46" s="30" t="s">
        <v>958</v>
      </c>
      <c r="BD46" s="30" t="s">
        <v>127</v>
      </c>
      <c r="BF46" s="30" t="s">
        <v>406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1296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419</v>
      </c>
      <c r="V47" s="31"/>
      <c r="W47" s="31"/>
      <c r="X47" s="31"/>
      <c r="Y47" s="31"/>
      <c r="Z47" s="31"/>
      <c r="AA47" s="31"/>
      <c r="AB47" s="30"/>
      <c r="AC47" s="30"/>
      <c r="AE47" s="30" t="s">
        <v>301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959</v>
      </c>
      <c r="BC47" s="30" t="s">
        <v>961</v>
      </c>
      <c r="BD47" s="30" t="s">
        <v>127</v>
      </c>
      <c r="BF47" s="30" t="s">
        <v>407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1115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419</v>
      </c>
      <c r="V48" s="31"/>
      <c r="W48" s="31"/>
      <c r="X48" s="31"/>
      <c r="Y48" s="31"/>
      <c r="Z48" s="31"/>
      <c r="AA48" s="31"/>
      <c r="AB48" s="30"/>
      <c r="AC48" s="30"/>
      <c r="AE48" s="30" t="s">
        <v>301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960</v>
      </c>
      <c r="BC48" s="30" t="s">
        <v>958</v>
      </c>
      <c r="BD48" s="30" t="s">
        <v>127</v>
      </c>
      <c r="BF48" s="30" t="s">
        <v>406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1198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419</v>
      </c>
      <c r="V49" s="31"/>
      <c r="W49" s="31"/>
      <c r="X49" s="31"/>
      <c r="Y49" s="31"/>
      <c r="Z49" s="31"/>
      <c r="AA49" s="31"/>
      <c r="AB49" s="30"/>
      <c r="AC49" s="30"/>
      <c r="AE49" s="30" t="s">
        <v>301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959</v>
      </c>
      <c r="BC49" s="30" t="s">
        <v>961</v>
      </c>
      <c r="BD49" s="30" t="s">
        <v>127</v>
      </c>
      <c r="BF49" s="30" t="s">
        <v>407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1197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419</v>
      </c>
      <c r="V50" s="31"/>
      <c r="W50" s="31"/>
      <c r="X50" s="31"/>
      <c r="Y50" s="31"/>
      <c r="Z50" s="31"/>
      <c r="AA50" s="31"/>
      <c r="AB50" s="30"/>
      <c r="AC50" s="30"/>
      <c r="AE50" s="30" t="s">
        <v>301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959</v>
      </c>
      <c r="BC50" s="30" t="s">
        <v>961</v>
      </c>
      <c r="BD50" s="30" t="s">
        <v>127</v>
      </c>
      <c r="BF50" s="30" t="s">
        <v>407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1297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419</v>
      </c>
      <c r="V51" s="31"/>
      <c r="W51" s="31"/>
      <c r="X51" s="31"/>
      <c r="Y51" s="31"/>
      <c r="Z51" s="31"/>
      <c r="AA51" s="31"/>
      <c r="AB51" s="30"/>
      <c r="AC51" s="30"/>
      <c r="AE51" s="30" t="s">
        <v>301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959</v>
      </c>
      <c r="BC51" s="30" t="s">
        <v>961</v>
      </c>
      <c r="BD51" s="30" t="s">
        <v>127</v>
      </c>
      <c r="BF51" s="30" t="s">
        <v>407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1298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419</v>
      </c>
      <c r="V52" s="31"/>
      <c r="W52" s="31"/>
      <c r="X52" s="31"/>
      <c r="Y52" s="31"/>
      <c r="Z52" s="31"/>
      <c r="AA52" s="31"/>
      <c r="AB52" s="30"/>
      <c r="AC52" s="30"/>
      <c r="AE52" s="30" t="s">
        <v>301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959</v>
      </c>
      <c r="BC52" s="30" t="s">
        <v>961</v>
      </c>
      <c r="BD52" s="30" t="s">
        <v>127</v>
      </c>
      <c r="BF52" s="30" t="s">
        <v>407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1116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419</v>
      </c>
      <c r="V53" s="31"/>
      <c r="W53" s="31"/>
      <c r="X53" s="31"/>
      <c r="Y53" s="31"/>
      <c r="Z53" s="31"/>
      <c r="AA53" s="31"/>
      <c r="AB53" s="30"/>
      <c r="AC53" s="30"/>
      <c r="AE53" s="30" t="s">
        <v>301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960</v>
      </c>
      <c r="BC53" s="30" t="s">
        <v>958</v>
      </c>
      <c r="BD53" s="30" t="s">
        <v>127</v>
      </c>
      <c r="BF53" s="30" t="s">
        <v>406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1136</v>
      </c>
      <c r="F54" s="36" t="str">
        <f>IF(ISBLANK(Table2[[#This Row],[unique_id]]), "", PROPER(SUBSTITUTE(Table2[[#This Row],[unique_id]], "_", " ")))</f>
        <v>Wardrobe Humidity</v>
      </c>
      <c r="G54" s="30" t="s">
        <v>478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419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301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1180</v>
      </c>
      <c r="BC54" s="30" t="s">
        <v>36</v>
      </c>
      <c r="BD54" s="30" t="s">
        <v>37</v>
      </c>
      <c r="BF54" s="30" t="s">
        <v>1031</v>
      </c>
      <c r="BG54" s="30" t="s">
        <v>478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1299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419</v>
      </c>
      <c r="V55" s="31"/>
      <c r="W55" s="31"/>
      <c r="X55" s="31"/>
      <c r="Y55" s="31"/>
      <c r="Z55" s="31"/>
      <c r="AA55" s="31"/>
      <c r="AB55" s="30"/>
      <c r="AC55" s="30"/>
      <c r="AE55" s="30" t="s">
        <v>301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959</v>
      </c>
      <c r="BC55" s="30" t="s">
        <v>961</v>
      </c>
      <c r="BD55" s="30" t="s">
        <v>127</v>
      </c>
      <c r="BF55" s="30" t="s">
        <v>407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423</v>
      </c>
      <c r="D56" s="30" t="s">
        <v>316</v>
      </c>
      <c r="E56" s="30" t="s">
        <v>315</v>
      </c>
      <c r="F56" s="36" t="str">
        <f>IF(ISBLANK(Table2[[#This Row],[unique_id]]), "", PROPER(SUBSTITUTE(Table2[[#This Row],[unique_id]], "_", " ")))</f>
        <v>Column Break</v>
      </c>
      <c r="G56" s="30" t="s">
        <v>312</v>
      </c>
      <c r="H56" s="30" t="s">
        <v>29</v>
      </c>
      <c r="I56" s="30" t="s">
        <v>30</v>
      </c>
      <c r="M56" s="30" t="s">
        <v>313</v>
      </c>
      <c r="N56" s="30" t="s">
        <v>314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562</v>
      </c>
      <c r="C57" s="30" t="s">
        <v>127</v>
      </c>
      <c r="D57" s="30" t="s">
        <v>27</v>
      </c>
      <c r="E57" s="30" t="s">
        <v>1300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1328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960</v>
      </c>
      <c r="BC57" s="30" t="s">
        <v>958</v>
      </c>
      <c r="BD57" s="30" t="s">
        <v>127</v>
      </c>
      <c r="BF57" s="30" t="s">
        <v>406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1301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419</v>
      </c>
      <c r="V58" s="31"/>
      <c r="W58" s="31"/>
      <c r="X58" s="31"/>
      <c r="Y58" s="31"/>
      <c r="Z58" s="31"/>
      <c r="AA58" s="31"/>
      <c r="AB58" s="30"/>
      <c r="AC58" s="30"/>
      <c r="AE58" s="30" t="s">
        <v>1328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960</v>
      </c>
      <c r="BC58" s="30" t="s">
        <v>958</v>
      </c>
      <c r="BD58" s="30" t="s">
        <v>127</v>
      </c>
      <c r="BF58" s="30" t="s">
        <v>406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562</v>
      </c>
      <c r="C59" s="30" t="s">
        <v>127</v>
      </c>
      <c r="D59" s="30" t="s">
        <v>27</v>
      </c>
      <c r="E59" s="30" t="s">
        <v>1302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1328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960</v>
      </c>
      <c r="BC59" s="30" t="s">
        <v>958</v>
      </c>
      <c r="BD59" s="30" t="s">
        <v>127</v>
      </c>
      <c r="BF59" s="30" t="s">
        <v>406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1303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419</v>
      </c>
      <c r="V60" s="31"/>
      <c r="W60" s="31"/>
      <c r="X60" s="31"/>
      <c r="Y60" s="31"/>
      <c r="Z60" s="31"/>
      <c r="AA60" s="31"/>
      <c r="AB60" s="30"/>
      <c r="AC60" s="30"/>
      <c r="AE60" s="30" t="s">
        <v>1328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959</v>
      </c>
      <c r="BC60" s="30" t="s">
        <v>961</v>
      </c>
      <c r="BD60" s="30" t="s">
        <v>127</v>
      </c>
      <c r="BF60" s="30" t="s">
        <v>407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1304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419</v>
      </c>
      <c r="V61" s="31"/>
      <c r="W61" s="31"/>
      <c r="X61" s="31"/>
      <c r="Y61" s="31"/>
      <c r="Z61" s="31"/>
      <c r="AA61" s="31"/>
      <c r="AB61" s="30"/>
      <c r="AC61" s="30"/>
      <c r="AE61" s="30" t="s">
        <v>1328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959</v>
      </c>
      <c r="BC61" s="30" t="s">
        <v>961</v>
      </c>
      <c r="BD61" s="30" t="s">
        <v>127</v>
      </c>
      <c r="BF61" s="30" t="s">
        <v>407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1305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419</v>
      </c>
      <c r="V62" s="31"/>
      <c r="W62" s="31"/>
      <c r="X62" s="31"/>
      <c r="Y62" s="31"/>
      <c r="Z62" s="31"/>
      <c r="AA62" s="31"/>
      <c r="AB62" s="30"/>
      <c r="AC62" s="30"/>
      <c r="AE62" s="30" t="s">
        <v>1328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959</v>
      </c>
      <c r="BC62" s="30" t="s">
        <v>961</v>
      </c>
      <c r="BD62" s="30" t="s">
        <v>127</v>
      </c>
      <c r="BF62" s="30" t="s">
        <v>407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1306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419</v>
      </c>
      <c r="V63" s="31"/>
      <c r="W63" s="31"/>
      <c r="X63" s="31"/>
      <c r="Y63" s="31"/>
      <c r="Z63" s="31"/>
      <c r="AA63" s="31"/>
      <c r="AB63" s="30"/>
      <c r="AC63" s="30"/>
      <c r="AE63" s="30" t="s">
        <v>1328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959</v>
      </c>
      <c r="BC63" s="30" t="s">
        <v>961</v>
      </c>
      <c r="BD63" s="30" t="s">
        <v>127</v>
      </c>
      <c r="BF63" s="30" t="s">
        <v>407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1307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419</v>
      </c>
      <c r="V64" s="31"/>
      <c r="W64" s="31"/>
      <c r="X64" s="31"/>
      <c r="Y64" s="31"/>
      <c r="Z64" s="31"/>
      <c r="AA64" s="31"/>
      <c r="AB64" s="30"/>
      <c r="AC64" s="30"/>
      <c r="AE64" s="30" t="s">
        <v>1328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959</v>
      </c>
      <c r="BC64" s="30" t="s">
        <v>961</v>
      </c>
      <c r="BD64" s="30" t="s">
        <v>127</v>
      </c>
      <c r="BF64" s="30" t="s">
        <v>407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562</v>
      </c>
      <c r="C65" s="30" t="s">
        <v>127</v>
      </c>
      <c r="D65" s="30" t="s">
        <v>27</v>
      </c>
      <c r="E65" s="30" t="s">
        <v>1308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1328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960</v>
      </c>
      <c r="BC65" s="30" t="s">
        <v>958</v>
      </c>
      <c r="BD65" s="30" t="s">
        <v>127</v>
      </c>
      <c r="BF65" s="30" t="s">
        <v>406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1117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419</v>
      </c>
      <c r="V66" s="31"/>
      <c r="W66" s="31"/>
      <c r="X66" s="31"/>
      <c r="Y66" s="31"/>
      <c r="Z66" s="31"/>
      <c r="AA66" s="31"/>
      <c r="AB66" s="30"/>
      <c r="AC66" s="30"/>
      <c r="AE66" s="30" t="s">
        <v>300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960</v>
      </c>
      <c r="BC66" s="30" t="s">
        <v>958</v>
      </c>
      <c r="BD66" s="30" t="s">
        <v>127</v>
      </c>
      <c r="BF66" s="30" t="s">
        <v>406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1118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419</v>
      </c>
      <c r="V67" s="31"/>
      <c r="W67" s="31"/>
      <c r="X67" s="31"/>
      <c r="Y67" s="31"/>
      <c r="Z67" s="31"/>
      <c r="AA67" s="31"/>
      <c r="AB67" s="30"/>
      <c r="AC67" s="30"/>
      <c r="AE67" s="30" t="s">
        <v>300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960</v>
      </c>
      <c r="BC67" s="30" t="s">
        <v>958</v>
      </c>
      <c r="BD67" s="30" t="s">
        <v>127</v>
      </c>
      <c r="BF67" s="30" t="s">
        <v>406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1119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419</v>
      </c>
      <c r="V68" s="31"/>
      <c r="W68" s="31"/>
      <c r="X68" s="31"/>
      <c r="Y68" s="31"/>
      <c r="Z68" s="31"/>
      <c r="AA68" s="31"/>
      <c r="AB68" s="30"/>
      <c r="AC68" s="30"/>
      <c r="AE68" s="30" t="s">
        <v>300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960</v>
      </c>
      <c r="BC68" s="30" t="s">
        <v>958</v>
      </c>
      <c r="BD68" s="30" t="s">
        <v>127</v>
      </c>
      <c r="BF68" s="30" t="s">
        <v>406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1196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419</v>
      </c>
      <c r="V69" s="31"/>
      <c r="W69" s="31"/>
      <c r="X69" s="31"/>
      <c r="Y69" s="31"/>
      <c r="Z69" s="31"/>
      <c r="AA69" s="31"/>
      <c r="AB69" s="30"/>
      <c r="AC69" s="30"/>
      <c r="AE69" s="30" t="s">
        <v>300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959</v>
      </c>
      <c r="BC69" s="30" t="s">
        <v>961</v>
      </c>
      <c r="BD69" s="30" t="s">
        <v>127</v>
      </c>
      <c r="BF69" s="30" t="s">
        <v>407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1195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419</v>
      </c>
      <c r="V70" s="31"/>
      <c r="W70" s="31"/>
      <c r="X70" s="31"/>
      <c r="Y70" s="31"/>
      <c r="Z70" s="31"/>
      <c r="AA70" s="31"/>
      <c r="AB70" s="30"/>
      <c r="AC70" s="30"/>
      <c r="AE70" s="30" t="s">
        <v>300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959</v>
      </c>
      <c r="BC70" s="30" t="s">
        <v>961</v>
      </c>
      <c r="BD70" s="30" t="s">
        <v>127</v>
      </c>
      <c r="BF70" s="30" t="s">
        <v>407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1120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419</v>
      </c>
      <c r="V71" s="31"/>
      <c r="W71" s="31"/>
      <c r="X71" s="31"/>
      <c r="Y71" s="31"/>
      <c r="Z71" s="31"/>
      <c r="AA71" s="31"/>
      <c r="AB71" s="30"/>
      <c r="AC71" s="30"/>
      <c r="AE71" s="30" t="s">
        <v>300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960</v>
      </c>
      <c r="BC71" s="30" t="s">
        <v>958</v>
      </c>
      <c r="BD71" s="30" t="s">
        <v>127</v>
      </c>
      <c r="BF71" s="30" t="s">
        <v>406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405</v>
      </c>
      <c r="BC72" s="30" t="s">
        <v>36</v>
      </c>
      <c r="BD72" s="30" t="s">
        <v>37</v>
      </c>
      <c r="BF72" s="30" t="s">
        <v>1031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405</v>
      </c>
      <c r="BC73" s="30" t="s">
        <v>36</v>
      </c>
      <c r="BD73" s="30" t="s">
        <v>37</v>
      </c>
      <c r="BF73" s="30" t="s">
        <v>1031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405</v>
      </c>
      <c r="BC74" s="30" t="s">
        <v>36</v>
      </c>
      <c r="BD74" s="30" t="s">
        <v>37</v>
      </c>
      <c r="BF74" s="30" t="s">
        <v>1031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405</v>
      </c>
      <c r="BC75" s="30" t="s">
        <v>36</v>
      </c>
      <c r="BD75" s="30" t="s">
        <v>37</v>
      </c>
      <c r="BF75" s="30" t="s">
        <v>1031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405</v>
      </c>
      <c r="BC76" s="30" t="s">
        <v>36</v>
      </c>
      <c r="BD76" s="30" t="s">
        <v>37</v>
      </c>
      <c r="BF76" s="30" t="s">
        <v>1031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405</v>
      </c>
      <c r="BC77" s="30" t="s">
        <v>36</v>
      </c>
      <c r="BD77" s="30" t="s">
        <v>37</v>
      </c>
      <c r="BF77" s="30" t="s">
        <v>1031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1149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405</v>
      </c>
      <c r="BC78" s="30" t="s">
        <v>36</v>
      </c>
      <c r="BD78" s="30" t="s">
        <v>37</v>
      </c>
      <c r="BF78" s="30" t="s">
        <v>1031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1149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405</v>
      </c>
      <c r="BC79" s="30" t="s">
        <v>36</v>
      </c>
      <c r="BD79" s="30" t="s">
        <v>37</v>
      </c>
      <c r="BF79" s="30" t="s">
        <v>1031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1150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405</v>
      </c>
      <c r="BC80" s="30" t="s">
        <v>36</v>
      </c>
      <c r="BD80" s="30" t="s">
        <v>37</v>
      </c>
      <c r="BF80" s="30" t="s">
        <v>1031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1149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405</v>
      </c>
      <c r="BC81" s="30" t="s">
        <v>36</v>
      </c>
      <c r="BD81" s="30" t="s">
        <v>37</v>
      </c>
      <c r="BF81" s="30" t="s">
        <v>1031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1149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405</v>
      </c>
      <c r="BC82" s="30" t="s">
        <v>36</v>
      </c>
      <c r="BD82" s="30" t="s">
        <v>37</v>
      </c>
      <c r="BF82" s="30" t="s">
        <v>1031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419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405</v>
      </c>
      <c r="BC83" s="30" t="s">
        <v>36</v>
      </c>
      <c r="BD83" s="30" t="s">
        <v>37</v>
      </c>
      <c r="BF83" s="30" t="s">
        <v>1031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419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405</v>
      </c>
      <c r="BC84" s="30" t="s">
        <v>36</v>
      </c>
      <c r="BD84" s="30" t="s">
        <v>37</v>
      </c>
      <c r="BF84" s="30" t="s">
        <v>1031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423</v>
      </c>
      <c r="D85" s="30" t="s">
        <v>316</v>
      </c>
      <c r="E85" s="30" t="s">
        <v>421</v>
      </c>
      <c r="F85" s="36" t="str">
        <f>IF(ISBLANK(Table2[[#This Row],[unique_id]]), "", PROPER(SUBSTITUTE(Table2[[#This Row],[unique_id]], "_", " ")))</f>
        <v>Graph Break</v>
      </c>
      <c r="G85" s="30" t="s">
        <v>422</v>
      </c>
      <c r="H85" s="30" t="s">
        <v>59</v>
      </c>
      <c r="I85" s="30" t="s">
        <v>59</v>
      </c>
      <c r="O85" s="31"/>
      <c r="P85" s="30"/>
      <c r="T85" s="37"/>
      <c r="U85" s="30" t="s">
        <v>419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419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405</v>
      </c>
      <c r="BC86" s="30" t="s">
        <v>36</v>
      </c>
      <c r="BD86" s="30" t="s">
        <v>37</v>
      </c>
      <c r="BF86" s="30" t="s">
        <v>1031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405</v>
      </c>
      <c r="BC87" s="30" t="s">
        <v>36</v>
      </c>
      <c r="BD87" s="30" t="s">
        <v>37</v>
      </c>
      <c r="BF87" s="30" t="s">
        <v>1031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405</v>
      </c>
      <c r="BC89" s="30" t="s">
        <v>36</v>
      </c>
      <c r="BD89" s="30" t="s">
        <v>37</v>
      </c>
      <c r="BF89" s="30" t="s">
        <v>1031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419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405</v>
      </c>
      <c r="BC90" s="30" t="s">
        <v>36</v>
      </c>
      <c r="BD90" s="30" t="s">
        <v>37</v>
      </c>
      <c r="BF90" s="30" t="s">
        <v>1031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405</v>
      </c>
      <c r="BC91" s="30" t="s">
        <v>36</v>
      </c>
      <c r="BD91" s="30" t="s">
        <v>37</v>
      </c>
      <c r="BF91" s="30" t="s">
        <v>1031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405</v>
      </c>
      <c r="BC92" s="30" t="s">
        <v>36</v>
      </c>
      <c r="BD92" s="30" t="s">
        <v>37</v>
      </c>
      <c r="BF92" s="30" t="s">
        <v>1031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423</v>
      </c>
      <c r="D93" s="30" t="s">
        <v>316</v>
      </c>
      <c r="E93" s="30" t="s">
        <v>421</v>
      </c>
      <c r="F93" s="36" t="str">
        <f>IF(ISBLANK(Table2[[#This Row],[unique_id]]), "", PROPER(SUBSTITUTE(Table2[[#This Row],[unique_id]], "_", " ")))</f>
        <v>Graph Break</v>
      </c>
      <c r="G93" s="30" t="s">
        <v>422</v>
      </c>
      <c r="H93" s="30" t="s">
        <v>59</v>
      </c>
      <c r="I93" s="30" t="s">
        <v>59</v>
      </c>
      <c r="O93" s="31"/>
      <c r="P93" s="30"/>
      <c r="T93" s="37"/>
      <c r="U93" s="30" t="s">
        <v>419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293</v>
      </c>
      <c r="E94" s="30" t="s">
        <v>1340</v>
      </c>
      <c r="F94" s="36" t="str">
        <f>IF(ISBLANK(Table2[[#This Row],[unique_id]]), "", PROPER(SUBSTITUTE(Table2[[#This Row],[unique_id]], "_", " ")))</f>
        <v>Home Started</v>
      </c>
      <c r="G94" s="30" t="s">
        <v>1341</v>
      </c>
      <c r="H94" s="30" t="s">
        <v>294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293</v>
      </c>
      <c r="E95" s="30" t="s">
        <v>634</v>
      </c>
      <c r="F95" s="36" t="str">
        <f>IF(ISBLANK(Table2[[#This Row],[unique_id]]), "", PROPER(SUBSTITUTE(Table2[[#This Row],[unique_id]], "_", " ")))</f>
        <v>Home Security</v>
      </c>
      <c r="G95" s="30" t="s">
        <v>632</v>
      </c>
      <c r="H95" s="30" t="s">
        <v>294</v>
      </c>
      <c r="I95" s="30" t="s">
        <v>131</v>
      </c>
      <c r="J95" s="30" t="s">
        <v>633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647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677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293</v>
      </c>
      <c r="E96" s="30" t="s">
        <v>424</v>
      </c>
      <c r="F96" s="36" t="str">
        <f>IF(ISBLANK(Table2[[#This Row],[unique_id]]), "", PROPER(SUBSTITUTE(Table2[[#This Row],[unique_id]], "_", " ")))</f>
        <v>Home Movie</v>
      </c>
      <c r="G96" s="30" t="s">
        <v>429</v>
      </c>
      <c r="H96" s="30" t="s">
        <v>294</v>
      </c>
      <c r="I96" s="30" t="s">
        <v>131</v>
      </c>
      <c r="J96" s="30" t="s">
        <v>458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417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677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293</v>
      </c>
      <c r="E97" s="30" t="s">
        <v>292</v>
      </c>
      <c r="F97" s="36" t="str">
        <f>IF(ISBLANK(Table2[[#This Row],[unique_id]]), "", PROPER(SUBSTITUTE(Table2[[#This Row],[unique_id]], "_", " ")))</f>
        <v>Home Sleep</v>
      </c>
      <c r="G97" s="30" t="s">
        <v>272</v>
      </c>
      <c r="H97" s="30" t="s">
        <v>294</v>
      </c>
      <c r="I97" s="30" t="s">
        <v>131</v>
      </c>
      <c r="J97" s="30" t="s">
        <v>460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295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677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293</v>
      </c>
      <c r="E98" s="30" t="s">
        <v>416</v>
      </c>
      <c r="F98" s="36" t="str">
        <f>IF(ISBLANK(Table2[[#This Row],[unique_id]]), "", PROPER(SUBSTITUTE(Table2[[#This Row],[unique_id]], "_", " ")))</f>
        <v>Home Reset</v>
      </c>
      <c r="G98" s="30" t="s">
        <v>430</v>
      </c>
      <c r="H98" s="30" t="s">
        <v>294</v>
      </c>
      <c r="I98" s="30" t="s">
        <v>131</v>
      </c>
      <c r="J98" s="30" t="s">
        <v>459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418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677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651</v>
      </c>
      <c r="D99" s="30" t="s">
        <v>652</v>
      </c>
      <c r="E99" s="30" t="s">
        <v>653</v>
      </c>
      <c r="F99" s="36" t="str">
        <f>IF(ISBLANK(Table2[[#This Row],[unique_id]]), "", PROPER(SUBSTITUTE(Table2[[#This Row],[unique_id]], "_", " ")))</f>
        <v>Home Secure Back Door Off</v>
      </c>
      <c r="G99" s="30" t="s">
        <v>654</v>
      </c>
      <c r="H99" s="30" t="s">
        <v>294</v>
      </c>
      <c r="I99" s="30" t="s">
        <v>131</v>
      </c>
      <c r="K99" s="30" t="s">
        <v>655</v>
      </c>
      <c r="L99" s="30" t="s">
        <v>658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659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651</v>
      </c>
      <c r="D100" s="30" t="s">
        <v>652</v>
      </c>
      <c r="E100" s="30" t="s">
        <v>660</v>
      </c>
      <c r="F100" s="36" t="str">
        <f>IF(ISBLANK(Table2[[#This Row],[unique_id]]), "", PROPER(SUBSTITUTE(Table2[[#This Row],[unique_id]], "_", " ")))</f>
        <v>Home Secure Front Door Off</v>
      </c>
      <c r="G100" s="30" t="s">
        <v>661</v>
      </c>
      <c r="H100" s="30" t="s">
        <v>294</v>
      </c>
      <c r="I100" s="30" t="s">
        <v>131</v>
      </c>
      <c r="K100" s="30" t="s">
        <v>662</v>
      </c>
      <c r="L100" s="30" t="s">
        <v>658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659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651</v>
      </c>
      <c r="D101" s="30" t="s">
        <v>652</v>
      </c>
      <c r="E101" s="30" t="s">
        <v>663</v>
      </c>
      <c r="F101" s="36" t="str">
        <f>IF(ISBLANK(Table2[[#This Row],[unique_id]]), "", PROPER(SUBSTITUTE(Table2[[#This Row],[unique_id]], "_", " ")))</f>
        <v>Home Sleep On</v>
      </c>
      <c r="G101" s="30" t="s">
        <v>1313</v>
      </c>
      <c r="H101" s="30" t="s">
        <v>294</v>
      </c>
      <c r="I101" s="30" t="s">
        <v>131</v>
      </c>
      <c r="K101" s="30" t="s">
        <v>665</v>
      </c>
      <c r="L101" s="30" t="s">
        <v>666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295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651</v>
      </c>
      <c r="D102" s="30" t="s">
        <v>652</v>
      </c>
      <c r="E102" s="30" t="s">
        <v>664</v>
      </c>
      <c r="F102" s="36" t="str">
        <f>IF(ISBLANK(Table2[[#This Row],[unique_id]]), "", PROPER(SUBSTITUTE(Table2[[#This Row],[unique_id]], "_", " ")))</f>
        <v>Home Sleep Off</v>
      </c>
      <c r="G102" s="30" t="s">
        <v>1314</v>
      </c>
      <c r="H102" s="30" t="s">
        <v>294</v>
      </c>
      <c r="I102" s="30" t="s">
        <v>131</v>
      </c>
      <c r="K102" s="30" t="s">
        <v>665</v>
      </c>
      <c r="L102" s="30" t="s">
        <v>658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667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293</v>
      </c>
      <c r="E103" s="30" t="s">
        <v>1334</v>
      </c>
      <c r="F103" s="36" t="str">
        <f>IF(ISBLANK(Table2[[#This Row],[unique_id]]), "", PROPER(SUBSTITUTE(Table2[[#This Row],[unique_id]], "_", " ")))</f>
        <v>Edwin Wakeup</v>
      </c>
      <c r="G103" s="30" t="s">
        <v>1332</v>
      </c>
      <c r="H103" s="30" t="s">
        <v>294</v>
      </c>
      <c r="I103" s="30" t="s">
        <v>131</v>
      </c>
      <c r="J103" s="30" t="s">
        <v>1337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293</v>
      </c>
      <c r="E104" s="30" t="s">
        <v>1335</v>
      </c>
      <c r="F104" s="36" t="str">
        <f>IF(ISBLANK(Table2[[#This Row],[unique_id]]), "", PROPER(SUBSTITUTE(Table2[[#This Row],[unique_id]], "_", " ")))</f>
        <v>Edwin Playtime</v>
      </c>
      <c r="G104" s="30" t="s">
        <v>1342</v>
      </c>
      <c r="H104" s="30" t="s">
        <v>294</v>
      </c>
      <c r="I104" s="30" t="s">
        <v>131</v>
      </c>
      <c r="J104" s="30" t="s">
        <v>1338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293</v>
      </c>
      <c r="E105" s="30" t="s">
        <v>1336</v>
      </c>
      <c r="F105" s="36" t="str">
        <f>IF(ISBLANK(Table2[[#This Row],[unique_id]]), "", PROPER(SUBSTITUTE(Table2[[#This Row],[unique_id]], "_", " ")))</f>
        <v>Edwin Goodnight</v>
      </c>
      <c r="G105" s="30" t="s">
        <v>1333</v>
      </c>
      <c r="H105" s="30" t="s">
        <v>294</v>
      </c>
      <c r="I105" s="30" t="s">
        <v>131</v>
      </c>
      <c r="J105" s="30" t="s">
        <v>1339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562</v>
      </c>
      <c r="C106" s="54" t="s">
        <v>776</v>
      </c>
      <c r="D106" s="54" t="s">
        <v>147</v>
      </c>
      <c r="E106" s="55" t="s">
        <v>1346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1285</v>
      </c>
      <c r="I106" s="54" t="s">
        <v>131</v>
      </c>
      <c r="O106" s="57" t="s">
        <v>756</v>
      </c>
      <c r="P106" s="54" t="s">
        <v>164</v>
      </c>
      <c r="Q106" s="54" t="s">
        <v>729</v>
      </c>
      <c r="R106" s="54" t="s">
        <v>739</v>
      </c>
      <c r="S106" s="54" t="str">
        <f>Table2[[#This Row],[friendly_name]]</f>
        <v>Coffee Machine</v>
      </c>
      <c r="T106" s="55" t="s">
        <v>1034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343</v>
      </c>
      <c r="BD106" s="54" t="s">
        <v>231</v>
      </c>
      <c r="BF106" s="54" t="s">
        <v>344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562</v>
      </c>
      <c r="C107" s="54" t="s">
        <v>231</v>
      </c>
      <c r="D107" s="54" t="s">
        <v>133</v>
      </c>
      <c r="E107" s="54" t="s">
        <v>1347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1285</v>
      </c>
      <c r="I107" s="54" t="s">
        <v>131</v>
      </c>
      <c r="J107" s="54" t="s">
        <v>134</v>
      </c>
      <c r="M107" s="54" t="s">
        <v>255</v>
      </c>
      <c r="O107" s="57" t="s">
        <v>756</v>
      </c>
      <c r="P107" s="54" t="s">
        <v>164</v>
      </c>
      <c r="Q107" s="54" t="s">
        <v>729</v>
      </c>
      <c r="R107" s="54" t="s">
        <v>739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343</v>
      </c>
      <c r="BD107" s="54" t="s">
        <v>231</v>
      </c>
      <c r="BF107" s="54" t="s">
        <v>344</v>
      </c>
      <c r="BG107" s="54" t="s">
        <v>204</v>
      </c>
      <c r="BJ107" s="54" t="s">
        <v>945</v>
      </c>
      <c r="BK107" s="54" t="s">
        <v>1215</v>
      </c>
      <c r="BL107" s="54" t="s">
        <v>329</v>
      </c>
      <c r="BM107" s="54" t="s">
        <v>1256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776</v>
      </c>
      <c r="D108" s="30" t="s">
        <v>147</v>
      </c>
      <c r="E108" s="37" t="s">
        <v>933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1285</v>
      </c>
      <c r="I108" s="30" t="s">
        <v>131</v>
      </c>
      <c r="O108" s="31" t="s">
        <v>756</v>
      </c>
      <c r="P108" s="30" t="s">
        <v>164</v>
      </c>
      <c r="Q108" s="30" t="s">
        <v>729</v>
      </c>
      <c r="R108" s="30" t="s">
        <v>739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342</v>
      </c>
      <c r="BD108" s="30" t="s">
        <v>231</v>
      </c>
      <c r="BF108" s="30" t="s">
        <v>345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804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1285</v>
      </c>
      <c r="I109" s="30" t="s">
        <v>131</v>
      </c>
      <c r="J109" s="30" t="s">
        <v>134</v>
      </c>
      <c r="M109" s="30" t="s">
        <v>255</v>
      </c>
      <c r="O109" s="31" t="s">
        <v>756</v>
      </c>
      <c r="P109" s="30" t="s">
        <v>164</v>
      </c>
      <c r="Q109" s="30" t="s">
        <v>729</v>
      </c>
      <c r="R109" s="30" t="s">
        <v>739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342</v>
      </c>
      <c r="BD109" s="30" t="s">
        <v>231</v>
      </c>
      <c r="BF109" s="30" t="s">
        <v>345</v>
      </c>
      <c r="BG109" s="30" t="s">
        <v>204</v>
      </c>
      <c r="BJ109" s="30" t="s">
        <v>945</v>
      </c>
      <c r="BK109" s="30" t="s">
        <v>1215</v>
      </c>
      <c r="BL109" s="30" t="s">
        <v>336</v>
      </c>
      <c r="BM109" s="30" t="s">
        <v>1266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393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688</v>
      </c>
      <c r="M110" s="30" t="s">
        <v>135</v>
      </c>
      <c r="O110" s="31" t="s">
        <v>756</v>
      </c>
      <c r="P110" s="30" t="s">
        <v>164</v>
      </c>
      <c r="Q110" s="30" t="s">
        <v>728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723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456</v>
      </c>
      <c r="BC110" s="30" t="s">
        <v>353</v>
      </c>
      <c r="BD110" s="30" t="s">
        <v>132</v>
      </c>
      <c r="BF110" s="30" t="s">
        <v>352</v>
      </c>
      <c r="BG110" s="30" t="s">
        <v>129</v>
      </c>
      <c r="BK110" s="30" t="s">
        <v>1215</v>
      </c>
      <c r="BL110" s="30" t="s">
        <v>354</v>
      </c>
      <c r="BM110" s="30" t="s">
        <v>1233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394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688</v>
      </c>
      <c r="M111" s="30" t="s">
        <v>135</v>
      </c>
      <c r="O111" s="31" t="s">
        <v>756</v>
      </c>
      <c r="P111" s="30" t="s">
        <v>164</v>
      </c>
      <c r="Q111" s="30" t="s">
        <v>728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723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456</v>
      </c>
      <c r="BC111" s="30" t="s">
        <v>353</v>
      </c>
      <c r="BD111" s="30" t="s">
        <v>132</v>
      </c>
      <c r="BF111" s="30" t="s">
        <v>352</v>
      </c>
      <c r="BG111" s="30" t="s">
        <v>126</v>
      </c>
      <c r="BK111" s="30" t="s">
        <v>1215</v>
      </c>
      <c r="BL111" s="30" t="s">
        <v>355</v>
      </c>
      <c r="BM111" s="30" t="s">
        <v>1234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395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456</v>
      </c>
      <c r="M112" s="30" t="s">
        <v>135</v>
      </c>
      <c r="O112" s="31" t="s">
        <v>756</v>
      </c>
      <c r="P112" s="30" t="s">
        <v>164</v>
      </c>
      <c r="Q112" s="30" t="s">
        <v>728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723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456</v>
      </c>
      <c r="BC112" s="30" t="s">
        <v>353</v>
      </c>
      <c r="BD112" s="30" t="s">
        <v>132</v>
      </c>
      <c r="BF112" s="30" t="s">
        <v>352</v>
      </c>
      <c r="BG112" s="30" t="s">
        <v>190</v>
      </c>
      <c r="BK112" s="30" t="s">
        <v>1215</v>
      </c>
      <c r="BL112" s="30" t="s">
        <v>358</v>
      </c>
      <c r="BM112" s="30" t="s">
        <v>1235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776</v>
      </c>
      <c r="D113" s="30" t="s">
        <v>147</v>
      </c>
      <c r="E113" s="37" t="s">
        <v>888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756</v>
      </c>
      <c r="P113" s="30" t="s">
        <v>164</v>
      </c>
      <c r="Q113" s="30" t="s">
        <v>728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1036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456</v>
      </c>
      <c r="BC113" s="30" t="s">
        <v>883</v>
      </c>
      <c r="BD113" s="30" t="s">
        <v>1077</v>
      </c>
      <c r="BF113" s="30" t="s">
        <v>855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678</v>
      </c>
      <c r="D114" s="30" t="s">
        <v>128</v>
      </c>
      <c r="E114" s="30" t="s">
        <v>799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456</v>
      </c>
      <c r="M114" s="30" t="s">
        <v>135</v>
      </c>
      <c r="O114" s="31" t="s">
        <v>756</v>
      </c>
      <c r="P114" s="30" t="s">
        <v>164</v>
      </c>
      <c r="Q114" s="30" t="s">
        <v>728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1074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865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884</v>
      </c>
      <c r="AO114" s="30" t="s">
        <v>885</v>
      </c>
      <c r="AP114" s="30" t="s">
        <v>874</v>
      </c>
      <c r="AQ114" s="30" t="s">
        <v>875</v>
      </c>
      <c r="AR114" s="30" t="s">
        <v>938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456</v>
      </c>
      <c r="BC114" s="30" t="s">
        <v>883</v>
      </c>
      <c r="BD114" s="30" t="s">
        <v>1077</v>
      </c>
      <c r="BF114" s="30" t="s">
        <v>855</v>
      </c>
      <c r="BG114" s="30" t="s">
        <v>204</v>
      </c>
      <c r="BK114" s="30" t="s">
        <v>1215</v>
      </c>
      <c r="BL114" s="30" t="s">
        <v>889</v>
      </c>
      <c r="BM114" s="30" t="s">
        <v>1237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678</v>
      </c>
      <c r="D115" s="30" t="s">
        <v>27</v>
      </c>
      <c r="E115" s="30" t="s">
        <v>890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310</v>
      </c>
      <c r="AD115" s="30" t="s">
        <v>866</v>
      </c>
      <c r="AF115" s="30">
        <v>10</v>
      </c>
      <c r="AG115" s="31" t="s">
        <v>34</v>
      </c>
      <c r="AH115" s="31" t="s">
        <v>865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884</v>
      </c>
      <c r="AO115" s="30" t="s">
        <v>885</v>
      </c>
      <c r="AP115" s="30" t="s">
        <v>874</v>
      </c>
      <c r="AQ115" s="30" t="s">
        <v>875</v>
      </c>
      <c r="AR115" s="30" t="s">
        <v>1071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456</v>
      </c>
      <c r="BC115" s="30" t="s">
        <v>883</v>
      </c>
      <c r="BD115" s="30" t="s">
        <v>1077</v>
      </c>
      <c r="BF115" s="30" t="s">
        <v>855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678</v>
      </c>
      <c r="D116" s="30" t="s">
        <v>27</v>
      </c>
      <c r="E116" s="30" t="s">
        <v>891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311</v>
      </c>
      <c r="AD116" s="30" t="s">
        <v>867</v>
      </c>
      <c r="AF116" s="30">
        <v>10</v>
      </c>
      <c r="AG116" s="31" t="s">
        <v>34</v>
      </c>
      <c r="AH116" s="31" t="s">
        <v>865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884</v>
      </c>
      <c r="AO116" s="30" t="s">
        <v>885</v>
      </c>
      <c r="AP116" s="30" t="s">
        <v>874</v>
      </c>
      <c r="AQ116" s="30" t="s">
        <v>875</v>
      </c>
      <c r="AR116" s="30" t="s">
        <v>1072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456</v>
      </c>
      <c r="BC116" s="30" t="s">
        <v>883</v>
      </c>
      <c r="BD116" s="30" t="s">
        <v>1077</v>
      </c>
      <c r="BF116" s="30" t="s">
        <v>855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396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456</v>
      </c>
      <c r="M117" s="30" t="s">
        <v>135</v>
      </c>
      <c r="O117" s="31" t="s">
        <v>756</v>
      </c>
      <c r="P117" s="30" t="s">
        <v>164</v>
      </c>
      <c r="Q117" s="30" t="s">
        <v>728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723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456</v>
      </c>
      <c r="BC117" s="30" t="s">
        <v>353</v>
      </c>
      <c r="BD117" s="30" t="s">
        <v>132</v>
      </c>
      <c r="BF117" s="30" t="s">
        <v>352</v>
      </c>
      <c r="BG117" s="30" t="s">
        <v>192</v>
      </c>
      <c r="BK117" s="30" t="s">
        <v>1215</v>
      </c>
      <c r="BL117" s="30" t="s">
        <v>359</v>
      </c>
      <c r="BM117" s="30" t="s">
        <v>1238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397</v>
      </c>
      <c r="F118" s="36" t="str">
        <f>IF(ISBLANK(Table2[[#This Row],[unique_id]]), "", PROPER(SUBSTITUTE(Table2[[#This Row],[unique_id]], "_", " ")))</f>
        <v>Deck Fan</v>
      </c>
      <c r="G118" s="30" t="s">
        <v>340</v>
      </c>
      <c r="H118" s="30" t="s">
        <v>130</v>
      </c>
      <c r="I118" s="30" t="s">
        <v>131</v>
      </c>
      <c r="J118" s="30" t="s">
        <v>689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340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398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756</v>
      </c>
      <c r="P119" s="30" t="s">
        <v>164</v>
      </c>
      <c r="Q119" s="30" t="s">
        <v>728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723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984</v>
      </c>
      <c r="BC119" s="30" t="s">
        <v>353</v>
      </c>
      <c r="BD119" s="30" t="s">
        <v>132</v>
      </c>
      <c r="BF119" s="30" t="s">
        <v>352</v>
      </c>
      <c r="BG119" s="30" t="s">
        <v>340</v>
      </c>
      <c r="BK119" s="30" t="s">
        <v>1215</v>
      </c>
      <c r="BL119" s="30" t="s">
        <v>356</v>
      </c>
      <c r="BM119" s="30" t="s">
        <v>1239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399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756</v>
      </c>
      <c r="P120" s="30" t="s">
        <v>164</v>
      </c>
      <c r="Q120" s="30" t="s">
        <v>728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723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985</v>
      </c>
      <c r="BC120" s="30" t="s">
        <v>353</v>
      </c>
      <c r="BD120" s="30" t="s">
        <v>132</v>
      </c>
      <c r="BF120" s="30" t="s">
        <v>352</v>
      </c>
      <c r="BG120" s="30" t="s">
        <v>340</v>
      </c>
      <c r="BK120" s="30" t="s">
        <v>1215</v>
      </c>
      <c r="BL120" s="30" t="s">
        <v>357</v>
      </c>
      <c r="BM120" s="39" t="s">
        <v>1240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776</v>
      </c>
      <c r="D121" s="30" t="s">
        <v>147</v>
      </c>
      <c r="E121" s="43" t="s">
        <v>775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434</v>
      </c>
      <c r="I121" s="30" t="s">
        <v>131</v>
      </c>
      <c r="O121" s="31" t="s">
        <v>756</v>
      </c>
      <c r="P121" s="30" t="s">
        <v>164</v>
      </c>
      <c r="Q121" s="30" t="s">
        <v>728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777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455</v>
      </c>
      <c r="BC121" s="30" t="s">
        <v>450</v>
      </c>
      <c r="BD121" s="30" t="s">
        <v>433</v>
      </c>
      <c r="BF121" s="30" t="s">
        <v>449</v>
      </c>
      <c r="BG121" s="30" t="s">
        <v>191</v>
      </c>
      <c r="BI121" s="30" t="s">
        <v>670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433</v>
      </c>
      <c r="D122" s="30" t="s">
        <v>128</v>
      </c>
      <c r="E122" s="36" t="s">
        <v>510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434</v>
      </c>
      <c r="I122" s="30" t="s">
        <v>131</v>
      </c>
      <c r="J122" s="30" t="s">
        <v>455</v>
      </c>
      <c r="M122" s="30" t="s">
        <v>135</v>
      </c>
      <c r="O122" s="31"/>
      <c r="P122" s="30"/>
      <c r="T122" s="37"/>
      <c r="U122" s="30"/>
      <c r="V122" s="31"/>
      <c r="W122" s="31" t="s">
        <v>472</v>
      </c>
      <c r="X122" s="31"/>
      <c r="Y122" s="42" t="s">
        <v>724</v>
      </c>
      <c r="Z122" s="42"/>
      <c r="AA122" s="42"/>
      <c r="AB122" s="30"/>
      <c r="AC122" s="30"/>
      <c r="AE122" s="30" t="s">
        <v>435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455</v>
      </c>
      <c r="BC122" s="30" t="s">
        <v>450</v>
      </c>
      <c r="BD122" s="30" t="s">
        <v>433</v>
      </c>
      <c r="BF122" s="30" t="s">
        <v>449</v>
      </c>
      <c r="BG122" s="30" t="s">
        <v>191</v>
      </c>
      <c r="BI122" s="30" t="s">
        <v>670</v>
      </c>
      <c r="BL122" s="30" t="s">
        <v>511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776</v>
      </c>
      <c r="D123" s="30" t="s">
        <v>147</v>
      </c>
      <c r="E123" s="43" t="s">
        <v>774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434</v>
      </c>
      <c r="I123" s="30" t="s">
        <v>131</v>
      </c>
      <c r="O123" s="31" t="s">
        <v>756</v>
      </c>
      <c r="P123" s="30" t="s">
        <v>164</v>
      </c>
      <c r="Q123" s="30" t="s">
        <v>728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777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455</v>
      </c>
      <c r="BC123" s="30" t="s">
        <v>450</v>
      </c>
      <c r="BD123" s="30" t="s">
        <v>433</v>
      </c>
      <c r="BF123" s="30" t="s">
        <v>449</v>
      </c>
      <c r="BG123" s="30" t="s">
        <v>192</v>
      </c>
      <c r="BI123" s="30" t="s">
        <v>670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433</v>
      </c>
      <c r="D124" s="30" t="s">
        <v>128</v>
      </c>
      <c r="E124" s="36" t="s">
        <v>438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434</v>
      </c>
      <c r="I124" s="30" t="s">
        <v>131</v>
      </c>
      <c r="J124" s="30" t="s">
        <v>455</v>
      </c>
      <c r="M124" s="30" t="s">
        <v>135</v>
      </c>
      <c r="O124" s="31"/>
      <c r="P124" s="30"/>
      <c r="T124" s="37"/>
      <c r="U124" s="30"/>
      <c r="V124" s="31"/>
      <c r="W124" s="31" t="s">
        <v>472</v>
      </c>
      <c r="X124" s="31"/>
      <c r="Y124" s="42" t="s">
        <v>724</v>
      </c>
      <c r="Z124" s="42"/>
      <c r="AA124" s="42"/>
      <c r="AB124" s="30"/>
      <c r="AC124" s="30"/>
      <c r="AE124" s="30" t="s">
        <v>435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455</v>
      </c>
      <c r="BC124" s="30" t="s">
        <v>450</v>
      </c>
      <c r="BD124" s="30" t="s">
        <v>433</v>
      </c>
      <c r="BF124" s="30" t="s">
        <v>449</v>
      </c>
      <c r="BG124" s="30" t="s">
        <v>192</v>
      </c>
      <c r="BI124" s="30" t="s">
        <v>670</v>
      </c>
      <c r="BL124" s="30" t="s">
        <v>462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776</v>
      </c>
      <c r="D125" s="30" t="s">
        <v>147</v>
      </c>
      <c r="E125" s="43" t="s">
        <v>1188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434</v>
      </c>
      <c r="I125" s="30" t="s">
        <v>131</v>
      </c>
      <c r="O125" s="31" t="s">
        <v>756</v>
      </c>
      <c r="P125" s="30" t="s">
        <v>164</v>
      </c>
      <c r="Q125" s="30" t="s">
        <v>728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777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455</v>
      </c>
      <c r="BC125" s="30" t="s">
        <v>450</v>
      </c>
      <c r="BD125" s="30" t="s">
        <v>433</v>
      </c>
      <c r="BF125" s="30" t="s">
        <v>449</v>
      </c>
      <c r="BG125" s="30" t="s">
        <v>190</v>
      </c>
      <c r="BI125" s="30" t="s">
        <v>670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433</v>
      </c>
      <c r="D126" s="30" t="s">
        <v>128</v>
      </c>
      <c r="E126" s="36" t="s">
        <v>1189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434</v>
      </c>
      <c r="I126" s="30" t="s">
        <v>131</v>
      </c>
      <c r="J126" s="30" t="s">
        <v>455</v>
      </c>
      <c r="M126" s="30" t="s">
        <v>135</v>
      </c>
      <c r="O126" s="31"/>
      <c r="P126" s="30"/>
      <c r="T126" s="37"/>
      <c r="U126" s="30"/>
      <c r="V126" s="31"/>
      <c r="W126" s="31" t="s">
        <v>472</v>
      </c>
      <c r="X126" s="31"/>
      <c r="Y126" s="42" t="s">
        <v>724</v>
      </c>
      <c r="Z126" s="42"/>
      <c r="AA126" s="42"/>
      <c r="AB126" s="30"/>
      <c r="AC126" s="30"/>
      <c r="AE126" s="30" t="s">
        <v>435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455</v>
      </c>
      <c r="BC126" s="30" t="s">
        <v>450</v>
      </c>
      <c r="BD126" s="30" t="s">
        <v>433</v>
      </c>
      <c r="BF126" s="30" t="s">
        <v>449</v>
      </c>
      <c r="BG126" s="30" t="s">
        <v>190</v>
      </c>
      <c r="BI126" s="30" t="s">
        <v>670</v>
      </c>
      <c r="BL126" s="30" t="s">
        <v>1283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776</v>
      </c>
      <c r="D127" s="30" t="s">
        <v>147</v>
      </c>
      <c r="E127" s="43" t="s">
        <v>1187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434</v>
      </c>
      <c r="I127" s="30" t="s">
        <v>131</v>
      </c>
      <c r="O127" s="31" t="s">
        <v>756</v>
      </c>
      <c r="P127" s="30" t="s">
        <v>164</v>
      </c>
      <c r="Q127" s="30" t="s">
        <v>728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777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455</v>
      </c>
      <c r="BC127" s="30" t="s">
        <v>450</v>
      </c>
      <c r="BD127" s="30" t="s">
        <v>433</v>
      </c>
      <c r="BF127" s="30" t="s">
        <v>449</v>
      </c>
      <c r="BG127" s="30" t="s">
        <v>204</v>
      </c>
      <c r="BI127" s="30" t="s">
        <v>670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433</v>
      </c>
      <c r="D128" s="30" t="s">
        <v>128</v>
      </c>
      <c r="E128" s="36" t="s">
        <v>1186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434</v>
      </c>
      <c r="I128" s="30" t="s">
        <v>131</v>
      </c>
      <c r="J128" s="30" t="s">
        <v>455</v>
      </c>
      <c r="M128" s="30" t="s">
        <v>135</v>
      </c>
      <c r="O128" s="31"/>
      <c r="P128" s="30"/>
      <c r="T128" s="37"/>
      <c r="U128" s="30"/>
      <c r="V128" s="31"/>
      <c r="W128" s="31" t="s">
        <v>472</v>
      </c>
      <c r="X128" s="31"/>
      <c r="Y128" s="42" t="s">
        <v>724</v>
      </c>
      <c r="Z128" s="42"/>
      <c r="AA128" s="42"/>
      <c r="AB128" s="30"/>
      <c r="AC128" s="30"/>
      <c r="AE128" s="30" t="s">
        <v>435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455</v>
      </c>
      <c r="BC128" s="30" t="s">
        <v>450</v>
      </c>
      <c r="BD128" s="30" t="s">
        <v>433</v>
      </c>
      <c r="BF128" s="30" t="s">
        <v>449</v>
      </c>
      <c r="BG128" s="30" t="s">
        <v>204</v>
      </c>
      <c r="BI128" s="30" t="s">
        <v>670</v>
      </c>
      <c r="BL128" s="30" t="s">
        <v>1380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562</v>
      </c>
      <c r="C129" s="30" t="s">
        <v>776</v>
      </c>
      <c r="D129" s="30" t="s">
        <v>147</v>
      </c>
      <c r="E129" s="43" t="s">
        <v>1378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434</v>
      </c>
      <c r="I129" s="30" t="s">
        <v>131</v>
      </c>
      <c r="O129" s="31" t="s">
        <v>756</v>
      </c>
      <c r="P129" s="30" t="s">
        <v>164</v>
      </c>
      <c r="Q129" s="30" t="s">
        <v>728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777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455</v>
      </c>
      <c r="BC129" s="30" t="s">
        <v>450</v>
      </c>
      <c r="BD129" s="30" t="s">
        <v>433</v>
      </c>
      <c r="BF129" s="30" t="s">
        <v>449</v>
      </c>
      <c r="BG129" s="30" t="s">
        <v>204</v>
      </c>
      <c r="BI129" s="30" t="s">
        <v>670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562</v>
      </c>
      <c r="C130" s="30" t="s">
        <v>433</v>
      </c>
      <c r="D130" s="30" t="s">
        <v>128</v>
      </c>
      <c r="E130" s="36" t="s">
        <v>1379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434</v>
      </c>
      <c r="I130" s="30" t="s">
        <v>131</v>
      </c>
      <c r="J130" s="30" t="s">
        <v>455</v>
      </c>
      <c r="M130" s="30" t="s">
        <v>135</v>
      </c>
      <c r="O130" s="31"/>
      <c r="P130" s="30"/>
      <c r="T130" s="37"/>
      <c r="U130" s="30"/>
      <c r="V130" s="31"/>
      <c r="W130" s="31" t="s">
        <v>472</v>
      </c>
      <c r="X130" s="31"/>
      <c r="Y130" s="42" t="s">
        <v>724</v>
      </c>
      <c r="Z130" s="42"/>
      <c r="AA130" s="42"/>
      <c r="AB130" s="30"/>
      <c r="AC130" s="30"/>
      <c r="AE130" s="30" t="s">
        <v>435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455</v>
      </c>
      <c r="BC130" s="30" t="s">
        <v>450</v>
      </c>
      <c r="BD130" s="30" t="s">
        <v>433</v>
      </c>
      <c r="BF130" s="30" t="s">
        <v>449</v>
      </c>
      <c r="BG130" s="30" t="s">
        <v>204</v>
      </c>
      <c r="BI130" s="30" t="s">
        <v>670</v>
      </c>
      <c r="BL130" s="30" t="s">
        <v>1190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1276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1276</v>
      </c>
      <c r="BA131" s="30" t="str">
        <f>IF(ISBLANK(Table2[[#This Row],[device_model]]), "", Table2[[#This Row],[device_suggested_area]])</f>
        <v>Home</v>
      </c>
      <c r="BB131" s="30" t="s">
        <v>1280</v>
      </c>
      <c r="BC131" s="30" t="s">
        <v>1277</v>
      </c>
      <c r="BD131" s="30" t="s">
        <v>1276</v>
      </c>
      <c r="BF131" s="30" t="s">
        <v>1278</v>
      </c>
      <c r="BG131" s="30" t="s">
        <v>164</v>
      </c>
      <c r="BK131" s="30" t="s">
        <v>1214</v>
      </c>
      <c r="BL131" s="46" t="s">
        <v>1279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423</v>
      </c>
      <c r="D132" s="30" t="s">
        <v>316</v>
      </c>
      <c r="E132" s="30" t="s">
        <v>315</v>
      </c>
      <c r="F132" s="36" t="str">
        <f>IF(ISBLANK(Table2[[#This Row],[unique_id]]), "", PROPER(SUBSTITUTE(Table2[[#This Row],[unique_id]], "_", " ")))</f>
        <v>Column Break</v>
      </c>
      <c r="G132" s="30" t="s">
        <v>312</v>
      </c>
      <c r="H132" s="30" t="s">
        <v>434</v>
      </c>
      <c r="I132" s="30" t="s">
        <v>131</v>
      </c>
      <c r="M132" s="30" t="s">
        <v>313</v>
      </c>
      <c r="N132" s="30" t="s">
        <v>314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393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690</v>
      </c>
      <c r="M133" s="30" t="s">
        <v>135</v>
      </c>
      <c r="O133" s="31" t="s">
        <v>756</v>
      </c>
      <c r="P133" s="30" t="s">
        <v>164</v>
      </c>
      <c r="Q133" s="30" t="s">
        <v>728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741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275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360</v>
      </c>
      <c r="D134" s="30" t="s">
        <v>136</v>
      </c>
      <c r="E134" s="30" t="s">
        <v>290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853</v>
      </c>
      <c r="M134" s="30" t="s">
        <v>135</v>
      </c>
      <c r="O134" s="31"/>
      <c r="P134" s="30"/>
      <c r="T134" s="37"/>
      <c r="U134" s="30"/>
      <c r="V134" s="31"/>
      <c r="W134" s="31" t="s">
        <v>473</v>
      </c>
      <c r="X134" s="47">
        <v>100</v>
      </c>
      <c r="Y134" s="42" t="s">
        <v>726</v>
      </c>
      <c r="Z134" s="42" t="s">
        <v>940</v>
      </c>
      <c r="AA134" s="42"/>
      <c r="AB134" s="30"/>
      <c r="AC134" s="30"/>
      <c r="AE134" s="30" t="s">
        <v>275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506</v>
      </c>
      <c r="BC134" s="30" t="s">
        <v>548</v>
      </c>
      <c r="BD134" s="30" t="s">
        <v>360</v>
      </c>
      <c r="BE134" s="30" t="s">
        <v>1375</v>
      </c>
      <c r="BF134" s="30" t="s">
        <v>545</v>
      </c>
      <c r="BG134" s="30" t="s">
        <v>129</v>
      </c>
      <c r="BI134" s="30" t="s">
        <v>670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360</v>
      </c>
      <c r="D135" s="30" t="s">
        <v>136</v>
      </c>
      <c r="E135" s="30" t="s">
        <v>892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756</v>
      </c>
      <c r="P135" s="30" t="s">
        <v>164</v>
      </c>
      <c r="Q135" s="30" t="s">
        <v>728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472</v>
      </c>
      <c r="X135" s="47">
        <v>100</v>
      </c>
      <c r="Y135" s="42" t="s">
        <v>724</v>
      </c>
      <c r="Z135" s="42" t="s">
        <v>940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962</v>
      </c>
      <c r="BC135" s="30" t="s">
        <v>548</v>
      </c>
      <c r="BD135" s="30" t="s">
        <v>360</v>
      </c>
      <c r="BE135" s="30" t="s">
        <v>1375</v>
      </c>
      <c r="BF135" s="30" t="s">
        <v>545</v>
      </c>
      <c r="BG135" s="30" t="s">
        <v>129</v>
      </c>
      <c r="BI135" s="30" t="s">
        <v>670</v>
      </c>
      <c r="BL135" s="30" t="s">
        <v>479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562</v>
      </c>
      <c r="C136" s="30" t="s">
        <v>360</v>
      </c>
      <c r="D136" s="30" t="s">
        <v>136</v>
      </c>
      <c r="E136" s="30" t="s">
        <v>291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853</v>
      </c>
      <c r="M136" s="30" t="s">
        <v>135</v>
      </c>
      <c r="O136" s="31"/>
      <c r="P136" s="30"/>
      <c r="T136" s="37"/>
      <c r="U136" s="30"/>
      <c r="V136" s="31"/>
      <c r="W136" s="31" t="s">
        <v>473</v>
      </c>
      <c r="X136" s="47">
        <v>101</v>
      </c>
      <c r="Y136" s="42" t="s">
        <v>726</v>
      </c>
      <c r="Z136" s="42" t="s">
        <v>940</v>
      </c>
      <c r="AA136" s="42"/>
      <c r="AB136" s="30"/>
      <c r="AC136" s="30"/>
      <c r="AE136" s="30" t="s">
        <v>275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506</v>
      </c>
      <c r="BC136" s="30" t="s">
        <v>548</v>
      </c>
      <c r="BD136" s="30" t="s">
        <v>360</v>
      </c>
      <c r="BE136" s="30" t="s">
        <v>1375</v>
      </c>
      <c r="BF136" s="30" t="s">
        <v>545</v>
      </c>
      <c r="BG136" s="30" t="s">
        <v>126</v>
      </c>
      <c r="BI136" s="30" t="s">
        <v>670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562</v>
      </c>
      <c r="C137" s="30" t="s">
        <v>360</v>
      </c>
      <c r="D137" s="30" t="s">
        <v>136</v>
      </c>
      <c r="E137" s="30" t="s">
        <v>893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756</v>
      </c>
      <c r="P137" s="30" t="s">
        <v>164</v>
      </c>
      <c r="Q137" s="30" t="s">
        <v>728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472</v>
      </c>
      <c r="X137" s="47">
        <v>101</v>
      </c>
      <c r="Y137" s="42" t="s">
        <v>724</v>
      </c>
      <c r="Z137" s="42" t="s">
        <v>940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962</v>
      </c>
      <c r="BC137" s="30" t="s">
        <v>548</v>
      </c>
      <c r="BD137" s="30" t="s">
        <v>360</v>
      </c>
      <c r="BE137" s="30" t="s">
        <v>1375</v>
      </c>
      <c r="BF137" s="30" t="s">
        <v>545</v>
      </c>
      <c r="BG137" s="30" t="s">
        <v>126</v>
      </c>
      <c r="BI137" s="30" t="s">
        <v>670</v>
      </c>
      <c r="BL137" s="30" t="s">
        <v>504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394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690</v>
      </c>
      <c r="M138" s="30" t="s">
        <v>135</v>
      </c>
      <c r="O138" s="31" t="s">
        <v>756</v>
      </c>
      <c r="P138" s="30" t="s">
        <v>164</v>
      </c>
      <c r="Q138" s="30" t="s">
        <v>728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742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275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360</v>
      </c>
      <c r="D139" s="30" t="s">
        <v>136</v>
      </c>
      <c r="E139" s="30" t="s">
        <v>392</v>
      </c>
      <c r="F139" s="36" t="str">
        <f>IF(ISBLANK(Table2[[#This Row],[unique_id]]), "", PROPER(SUBSTITUTE(Table2[[#This Row],[unique_id]], "_", " ")))</f>
        <v>Edwin Night Light</v>
      </c>
      <c r="G139" s="30" t="s">
        <v>391</v>
      </c>
      <c r="H139" s="30" t="s">
        <v>138</v>
      </c>
      <c r="I139" s="30" t="s">
        <v>131</v>
      </c>
      <c r="J139" s="30" t="s">
        <v>507</v>
      </c>
      <c r="K139" s="30" t="s">
        <v>850</v>
      </c>
      <c r="M139" s="30" t="s">
        <v>135</v>
      </c>
      <c r="O139" s="31"/>
      <c r="P139" s="30"/>
      <c r="T139" s="37"/>
      <c r="U139" s="30"/>
      <c r="V139" s="31"/>
      <c r="W139" s="31" t="s">
        <v>473</v>
      </c>
      <c r="X139" s="47">
        <v>102</v>
      </c>
      <c r="Y139" s="42" t="s">
        <v>726</v>
      </c>
      <c r="Z139" s="42" t="s">
        <v>1315</v>
      </c>
      <c r="AA139" s="42"/>
      <c r="AB139" s="30"/>
      <c r="AC139" s="30"/>
      <c r="AE139" s="30" t="s">
        <v>275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507</v>
      </c>
      <c r="BC139" s="30" t="s">
        <v>470</v>
      </c>
      <c r="BD139" s="30" t="s">
        <v>360</v>
      </c>
      <c r="BE139" s="30" t="s">
        <v>1375</v>
      </c>
      <c r="BF139" s="30" t="s">
        <v>471</v>
      </c>
      <c r="BG139" s="30" t="s">
        <v>126</v>
      </c>
      <c r="BI139" s="30" t="s">
        <v>670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360</v>
      </c>
      <c r="D140" s="30" t="s">
        <v>136</v>
      </c>
      <c r="E140" s="30" t="s">
        <v>894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756</v>
      </c>
      <c r="P140" s="30" t="s">
        <v>164</v>
      </c>
      <c r="Q140" s="30" t="s">
        <v>728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472</v>
      </c>
      <c r="X140" s="47">
        <v>102</v>
      </c>
      <c r="Y140" s="42" t="s">
        <v>724</v>
      </c>
      <c r="Z140" s="42" t="s">
        <v>1315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963</v>
      </c>
      <c r="BC140" s="30" t="s">
        <v>470</v>
      </c>
      <c r="BD140" s="30" t="s">
        <v>360</v>
      </c>
      <c r="BE140" s="30" t="s">
        <v>1375</v>
      </c>
      <c r="BF140" s="30" t="s">
        <v>471</v>
      </c>
      <c r="BG140" s="30" t="s">
        <v>126</v>
      </c>
      <c r="BI140" s="30" t="s">
        <v>670</v>
      </c>
      <c r="BL140" s="30" t="s">
        <v>480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360</v>
      </c>
      <c r="D141" s="30" t="s">
        <v>136</v>
      </c>
      <c r="E141" s="30" t="s">
        <v>279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692</v>
      </c>
      <c r="K141" s="30" t="s">
        <v>886</v>
      </c>
      <c r="M141" s="30" t="s">
        <v>135</v>
      </c>
      <c r="O141" s="31"/>
      <c r="P141" s="30"/>
      <c r="T141" s="37"/>
      <c r="U141" s="30"/>
      <c r="V141" s="31"/>
      <c r="W141" s="31" t="s">
        <v>473</v>
      </c>
      <c r="X141" s="47">
        <v>103</v>
      </c>
      <c r="Y141" s="42" t="s">
        <v>726</v>
      </c>
      <c r="Z141" s="42" t="s">
        <v>941</v>
      </c>
      <c r="AA141" s="42"/>
      <c r="AB141" s="30"/>
      <c r="AC141" s="30"/>
      <c r="AE141" s="30" t="s">
        <v>275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964</v>
      </c>
      <c r="BC141" s="30" t="s">
        <v>470</v>
      </c>
      <c r="BD141" s="30" t="s">
        <v>360</v>
      </c>
      <c r="BE141" s="30" t="s">
        <v>1375</v>
      </c>
      <c r="BF141" s="30" t="s">
        <v>471</v>
      </c>
      <c r="BG141" s="30" t="s">
        <v>387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360</v>
      </c>
      <c r="D142" s="30" t="s">
        <v>136</v>
      </c>
      <c r="E142" s="30" t="s">
        <v>895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756</v>
      </c>
      <c r="P142" s="30" t="s">
        <v>164</v>
      </c>
      <c r="Q142" s="30" t="s">
        <v>728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472</v>
      </c>
      <c r="X142" s="47">
        <v>103</v>
      </c>
      <c r="Y142" s="42" t="s">
        <v>724</v>
      </c>
      <c r="Z142" s="42" t="s">
        <v>941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965</v>
      </c>
      <c r="BC142" s="30" t="s">
        <v>470</v>
      </c>
      <c r="BD142" s="30" t="s">
        <v>360</v>
      </c>
      <c r="BE142" s="30" t="s">
        <v>1375</v>
      </c>
      <c r="BF142" s="30" t="s">
        <v>471</v>
      </c>
      <c r="BG142" s="30" t="s">
        <v>387</v>
      </c>
      <c r="BL142" s="30" t="s">
        <v>481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360</v>
      </c>
      <c r="D143" s="30" t="s">
        <v>136</v>
      </c>
      <c r="E143" s="30" t="s">
        <v>896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756</v>
      </c>
      <c r="P143" s="30" t="s">
        <v>164</v>
      </c>
      <c r="Q143" s="30" t="s">
        <v>728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472</v>
      </c>
      <c r="X143" s="47">
        <v>103</v>
      </c>
      <c r="Y143" s="42" t="s">
        <v>724</v>
      </c>
      <c r="Z143" s="42" t="s">
        <v>941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966</v>
      </c>
      <c r="BC143" s="30" t="s">
        <v>470</v>
      </c>
      <c r="BD143" s="30" t="s">
        <v>360</v>
      </c>
      <c r="BE143" s="30" t="s">
        <v>1375</v>
      </c>
      <c r="BF143" s="30" t="s">
        <v>471</v>
      </c>
      <c r="BG143" s="30" t="s">
        <v>387</v>
      </c>
      <c r="BL143" s="30" t="s">
        <v>482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360</v>
      </c>
      <c r="D144" s="30" t="s">
        <v>136</v>
      </c>
      <c r="E144" s="30" t="s">
        <v>897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756</v>
      </c>
      <c r="P144" s="30" t="s">
        <v>164</v>
      </c>
      <c r="Q144" s="30" t="s">
        <v>728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472</v>
      </c>
      <c r="X144" s="47">
        <v>103</v>
      </c>
      <c r="Y144" s="42" t="s">
        <v>724</v>
      </c>
      <c r="Z144" s="42" t="s">
        <v>941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967</v>
      </c>
      <c r="BC144" s="30" t="s">
        <v>470</v>
      </c>
      <c r="BD144" s="30" t="s">
        <v>360</v>
      </c>
      <c r="BE144" s="30" t="s">
        <v>1375</v>
      </c>
      <c r="BF144" s="30" t="s">
        <v>471</v>
      </c>
      <c r="BG144" s="30" t="s">
        <v>387</v>
      </c>
      <c r="BL144" s="30" t="s">
        <v>483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360</v>
      </c>
      <c r="D145" s="30" t="s">
        <v>136</v>
      </c>
      <c r="E145" s="30" t="s">
        <v>898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756</v>
      </c>
      <c r="P145" s="30" t="s">
        <v>164</v>
      </c>
      <c r="Q145" s="30" t="s">
        <v>728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472</v>
      </c>
      <c r="X145" s="47">
        <v>103</v>
      </c>
      <c r="Y145" s="42" t="s">
        <v>724</v>
      </c>
      <c r="Z145" s="42" t="s">
        <v>941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968</v>
      </c>
      <c r="BC145" s="30" t="s">
        <v>470</v>
      </c>
      <c r="BD145" s="30" t="s">
        <v>360</v>
      </c>
      <c r="BE145" s="30" t="s">
        <v>1375</v>
      </c>
      <c r="BF145" s="30" t="s">
        <v>471</v>
      </c>
      <c r="BG145" s="30" t="s">
        <v>387</v>
      </c>
      <c r="BL145" s="30" t="s">
        <v>484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433</v>
      </c>
      <c r="D146" s="30" t="s">
        <v>136</v>
      </c>
      <c r="E146" s="30" t="s">
        <v>821</v>
      </c>
      <c r="F146" s="36" t="str">
        <f>IF(ISBLANK(Table2[[#This Row],[unique_id]]), "", PROPER(SUBSTITUTE(Table2[[#This Row],[unique_id]], "_", " ")))</f>
        <v>Hallway Sconces</v>
      </c>
      <c r="G146" s="30" t="s">
        <v>823</v>
      </c>
      <c r="H146" s="30" t="s">
        <v>138</v>
      </c>
      <c r="I146" s="30" t="s">
        <v>131</v>
      </c>
      <c r="J146" s="30" t="s">
        <v>813</v>
      </c>
      <c r="K146" s="30" t="s">
        <v>886</v>
      </c>
      <c r="M146" s="30" t="s">
        <v>135</v>
      </c>
      <c r="O146" s="31"/>
      <c r="P146" s="30"/>
      <c r="T146" s="37"/>
      <c r="U146" s="30"/>
      <c r="V146" s="31"/>
      <c r="W146" s="31" t="s">
        <v>473</v>
      </c>
      <c r="X146" s="47">
        <v>120</v>
      </c>
      <c r="Y146" s="42" t="s">
        <v>726</v>
      </c>
      <c r="Z146" s="31" t="s">
        <v>1504</v>
      </c>
      <c r="AA146" s="31"/>
      <c r="AB146" s="30"/>
      <c r="AC146" s="30"/>
      <c r="AE146" s="30" t="s">
        <v>275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813</v>
      </c>
      <c r="BC146" s="30" t="s">
        <v>816</v>
      </c>
      <c r="BD146" s="30" t="s">
        <v>433</v>
      </c>
      <c r="BF146" s="30" t="s">
        <v>814</v>
      </c>
      <c r="BG146" s="30" t="s">
        <v>387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433</v>
      </c>
      <c r="D147" s="30" t="s">
        <v>136</v>
      </c>
      <c r="E147" s="30" t="s">
        <v>822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756</v>
      </c>
      <c r="P147" s="30" t="s">
        <v>164</v>
      </c>
      <c r="Q147" s="30" t="s">
        <v>728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472</v>
      </c>
      <c r="X147" s="47">
        <v>120</v>
      </c>
      <c r="Y147" s="42" t="s">
        <v>724</v>
      </c>
      <c r="Z147" s="31" t="s">
        <v>1504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951</v>
      </c>
      <c r="BC147" s="30" t="s">
        <v>816</v>
      </c>
      <c r="BD147" s="30" t="s">
        <v>433</v>
      </c>
      <c r="BF147" s="30" t="s">
        <v>814</v>
      </c>
      <c r="BG147" s="30" t="s">
        <v>387</v>
      </c>
      <c r="BL147" s="30" t="s">
        <v>824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433</v>
      </c>
      <c r="D148" s="30" t="s">
        <v>136</v>
      </c>
      <c r="E148" s="30" t="s">
        <v>1174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756</v>
      </c>
      <c r="P148" s="30" t="s">
        <v>164</v>
      </c>
      <c r="Q148" s="30" t="s">
        <v>728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472</v>
      </c>
      <c r="X148" s="47">
        <v>120</v>
      </c>
      <c r="Y148" s="42" t="s">
        <v>724</v>
      </c>
      <c r="Z148" s="31" t="s">
        <v>1504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952</v>
      </c>
      <c r="BC148" s="30" t="s">
        <v>816</v>
      </c>
      <c r="BD148" s="30" t="s">
        <v>433</v>
      </c>
      <c r="BF148" s="30" t="s">
        <v>814</v>
      </c>
      <c r="BG148" s="30" t="s">
        <v>387</v>
      </c>
      <c r="BL148" s="30" t="s">
        <v>825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360</v>
      </c>
      <c r="D149" s="30" t="s">
        <v>136</v>
      </c>
      <c r="E149" s="30" t="s">
        <v>280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692</v>
      </c>
      <c r="K149" s="30" t="s">
        <v>849</v>
      </c>
      <c r="M149" s="30" t="s">
        <v>135</v>
      </c>
      <c r="O149" s="31"/>
      <c r="P149" s="30"/>
      <c r="T149" s="37"/>
      <c r="U149" s="30"/>
      <c r="V149" s="31"/>
      <c r="W149" s="31" t="s">
        <v>473</v>
      </c>
      <c r="X149" s="47">
        <v>104</v>
      </c>
      <c r="Y149" s="42" t="s">
        <v>726</v>
      </c>
      <c r="Z149" s="42" t="s">
        <v>940</v>
      </c>
      <c r="AA149" s="42"/>
      <c r="AB149" s="30"/>
      <c r="AC149" s="30"/>
      <c r="AE149" s="30" t="s">
        <v>275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964</v>
      </c>
      <c r="BC149" s="30" t="s">
        <v>470</v>
      </c>
      <c r="BD149" s="30" t="s">
        <v>360</v>
      </c>
      <c r="BE149" s="30" t="s">
        <v>1375</v>
      </c>
      <c r="BF149" s="30" t="s">
        <v>471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360</v>
      </c>
      <c r="D150" s="30" t="s">
        <v>136</v>
      </c>
      <c r="E150" s="30" t="s">
        <v>899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756</v>
      </c>
      <c r="P150" s="30" t="s">
        <v>164</v>
      </c>
      <c r="Q150" s="30" t="s">
        <v>728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472</v>
      </c>
      <c r="X150" s="47">
        <v>104</v>
      </c>
      <c r="Y150" s="42" t="s">
        <v>724</v>
      </c>
      <c r="Z150" s="42" t="s">
        <v>940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965</v>
      </c>
      <c r="BC150" s="30" t="s">
        <v>470</v>
      </c>
      <c r="BD150" s="30" t="s">
        <v>360</v>
      </c>
      <c r="BE150" s="30" t="s">
        <v>1375</v>
      </c>
      <c r="BF150" s="30" t="s">
        <v>471</v>
      </c>
      <c r="BG150" s="30" t="s">
        <v>191</v>
      </c>
      <c r="BL150" s="30" t="s">
        <v>485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360</v>
      </c>
      <c r="D151" s="30" t="s">
        <v>136</v>
      </c>
      <c r="E151" s="30" t="s">
        <v>900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756</v>
      </c>
      <c r="P151" s="30" t="s">
        <v>164</v>
      </c>
      <c r="Q151" s="30" t="s">
        <v>728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472</v>
      </c>
      <c r="X151" s="47">
        <v>104</v>
      </c>
      <c r="Y151" s="42" t="s">
        <v>724</v>
      </c>
      <c r="Z151" s="42" t="s">
        <v>940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966</v>
      </c>
      <c r="BC151" s="30" t="s">
        <v>470</v>
      </c>
      <c r="BD151" s="30" t="s">
        <v>360</v>
      </c>
      <c r="BE151" s="30" t="s">
        <v>1375</v>
      </c>
      <c r="BF151" s="30" t="s">
        <v>471</v>
      </c>
      <c r="BG151" s="30" t="s">
        <v>191</v>
      </c>
      <c r="BL151" s="30" t="s">
        <v>486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360</v>
      </c>
      <c r="D152" s="30" t="s">
        <v>136</v>
      </c>
      <c r="E152" s="30" t="s">
        <v>901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756</v>
      </c>
      <c r="P152" s="30" t="s">
        <v>164</v>
      </c>
      <c r="Q152" s="30" t="s">
        <v>728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472</v>
      </c>
      <c r="X152" s="47">
        <v>104</v>
      </c>
      <c r="Y152" s="42" t="s">
        <v>724</v>
      </c>
      <c r="Z152" s="42" t="s">
        <v>940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967</v>
      </c>
      <c r="BC152" s="30" t="s">
        <v>470</v>
      </c>
      <c r="BD152" s="30" t="s">
        <v>360</v>
      </c>
      <c r="BE152" s="30" t="s">
        <v>1375</v>
      </c>
      <c r="BF152" s="30" t="s">
        <v>471</v>
      </c>
      <c r="BG152" s="30" t="s">
        <v>191</v>
      </c>
      <c r="BL152" s="30" t="s">
        <v>487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360</v>
      </c>
      <c r="D153" s="30" t="s">
        <v>136</v>
      </c>
      <c r="E153" s="30" t="s">
        <v>902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756</v>
      </c>
      <c r="P153" s="30" t="s">
        <v>164</v>
      </c>
      <c r="Q153" s="30" t="s">
        <v>728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472</v>
      </c>
      <c r="X153" s="47">
        <v>104</v>
      </c>
      <c r="Y153" s="42" t="s">
        <v>724</v>
      </c>
      <c r="Z153" s="42" t="s">
        <v>940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968</v>
      </c>
      <c r="BC153" s="30" t="s">
        <v>470</v>
      </c>
      <c r="BD153" s="30" t="s">
        <v>360</v>
      </c>
      <c r="BE153" s="30" t="s">
        <v>1375</v>
      </c>
      <c r="BF153" s="30" t="s">
        <v>471</v>
      </c>
      <c r="BG153" s="30" t="s">
        <v>191</v>
      </c>
      <c r="BL153" s="30" t="s">
        <v>488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360</v>
      </c>
      <c r="D154" s="30" t="s">
        <v>136</v>
      </c>
      <c r="E154" s="30" t="s">
        <v>903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756</v>
      </c>
      <c r="P154" s="30" t="s">
        <v>164</v>
      </c>
      <c r="Q154" s="30" t="s">
        <v>728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472</v>
      </c>
      <c r="X154" s="47">
        <v>104</v>
      </c>
      <c r="Y154" s="42" t="s">
        <v>724</v>
      </c>
      <c r="Z154" s="42" t="s">
        <v>940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969</v>
      </c>
      <c r="BC154" s="30" t="s">
        <v>470</v>
      </c>
      <c r="BD154" s="30" t="s">
        <v>360</v>
      </c>
      <c r="BE154" s="30" t="s">
        <v>1375</v>
      </c>
      <c r="BF154" s="30" t="s">
        <v>471</v>
      </c>
      <c r="BG154" s="30" t="s">
        <v>191</v>
      </c>
      <c r="BL154" s="30" t="s">
        <v>489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360</v>
      </c>
      <c r="D155" s="30" t="s">
        <v>136</v>
      </c>
      <c r="E155" s="30" t="s">
        <v>904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756</v>
      </c>
      <c r="P155" s="30" t="s">
        <v>164</v>
      </c>
      <c r="Q155" s="30" t="s">
        <v>728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472</v>
      </c>
      <c r="X155" s="47">
        <v>104</v>
      </c>
      <c r="Y155" s="42" t="s">
        <v>724</v>
      </c>
      <c r="Z155" s="42" t="s">
        <v>940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970</v>
      </c>
      <c r="BC155" s="30" t="s">
        <v>470</v>
      </c>
      <c r="BD155" s="30" t="s">
        <v>360</v>
      </c>
      <c r="BE155" s="30" t="s">
        <v>1375</v>
      </c>
      <c r="BF155" s="30" t="s">
        <v>471</v>
      </c>
      <c r="BG155" s="30" t="s">
        <v>191</v>
      </c>
      <c r="BL155" s="30" t="s">
        <v>490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360</v>
      </c>
      <c r="D156" s="30" t="s">
        <v>136</v>
      </c>
      <c r="E156" s="30" t="s">
        <v>281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692</v>
      </c>
      <c r="K156" s="30" t="s">
        <v>849</v>
      </c>
      <c r="M156" s="30" t="s">
        <v>135</v>
      </c>
      <c r="O156" s="31"/>
      <c r="P156" s="30"/>
      <c r="T156" s="37"/>
      <c r="U156" s="30"/>
      <c r="V156" s="31"/>
      <c r="W156" s="31" t="s">
        <v>473</v>
      </c>
      <c r="X156" s="47">
        <v>105</v>
      </c>
      <c r="Y156" s="42" t="s">
        <v>726</v>
      </c>
      <c r="Z156" s="42" t="s">
        <v>940</v>
      </c>
      <c r="AA156" s="42"/>
      <c r="AB156" s="30"/>
      <c r="AC156" s="30"/>
      <c r="AE156" s="30" t="s">
        <v>275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964</v>
      </c>
      <c r="BC156" s="30" t="s">
        <v>470</v>
      </c>
      <c r="BD156" s="30" t="s">
        <v>360</v>
      </c>
      <c r="BE156" s="30" t="s">
        <v>1375</v>
      </c>
      <c r="BF156" s="30" t="s">
        <v>471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360</v>
      </c>
      <c r="D157" s="30" t="s">
        <v>136</v>
      </c>
      <c r="E157" s="30" t="s">
        <v>905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756</v>
      </c>
      <c r="P157" s="30" t="s">
        <v>164</v>
      </c>
      <c r="Q157" s="30" t="s">
        <v>728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472</v>
      </c>
      <c r="X157" s="47">
        <v>105</v>
      </c>
      <c r="Y157" s="42" t="s">
        <v>724</v>
      </c>
      <c r="Z157" s="42" t="s">
        <v>940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965</v>
      </c>
      <c r="BC157" s="30" t="s">
        <v>470</v>
      </c>
      <c r="BD157" s="30" t="s">
        <v>360</v>
      </c>
      <c r="BE157" s="30" t="s">
        <v>1375</v>
      </c>
      <c r="BF157" s="30" t="s">
        <v>471</v>
      </c>
      <c r="BG157" s="30" t="s">
        <v>192</v>
      </c>
      <c r="BL157" s="30" t="s">
        <v>491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360</v>
      </c>
      <c r="D158" s="30" t="s">
        <v>136</v>
      </c>
      <c r="E158" s="30" t="s">
        <v>906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756</v>
      </c>
      <c r="P158" s="30" t="s">
        <v>164</v>
      </c>
      <c r="Q158" s="30" t="s">
        <v>728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472</v>
      </c>
      <c r="X158" s="47">
        <v>105</v>
      </c>
      <c r="Y158" s="42" t="s">
        <v>724</v>
      </c>
      <c r="Z158" s="42" t="s">
        <v>940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966</v>
      </c>
      <c r="BC158" s="30" t="s">
        <v>470</v>
      </c>
      <c r="BD158" s="30" t="s">
        <v>360</v>
      </c>
      <c r="BE158" s="30" t="s">
        <v>1375</v>
      </c>
      <c r="BF158" s="30" t="s">
        <v>471</v>
      </c>
      <c r="BG158" s="30" t="s">
        <v>192</v>
      </c>
      <c r="BL158" s="30" t="s">
        <v>492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360</v>
      </c>
      <c r="D159" s="30" t="s">
        <v>136</v>
      </c>
      <c r="E159" s="30" t="s">
        <v>907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756</v>
      </c>
      <c r="P159" s="30" t="s">
        <v>164</v>
      </c>
      <c r="Q159" s="30" t="s">
        <v>728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472</v>
      </c>
      <c r="X159" s="47">
        <v>105</v>
      </c>
      <c r="Y159" s="42" t="s">
        <v>724</v>
      </c>
      <c r="Z159" s="42" t="s">
        <v>940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967</v>
      </c>
      <c r="BC159" s="30" t="s">
        <v>470</v>
      </c>
      <c r="BD159" s="30" t="s">
        <v>360</v>
      </c>
      <c r="BE159" s="30" t="s">
        <v>1375</v>
      </c>
      <c r="BF159" s="30" t="s">
        <v>471</v>
      </c>
      <c r="BG159" s="30" t="s">
        <v>192</v>
      </c>
      <c r="BL159" s="30" t="s">
        <v>493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396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693</v>
      </c>
      <c r="M160" s="30" t="s">
        <v>135</v>
      </c>
      <c r="O160" s="31" t="s">
        <v>756</v>
      </c>
      <c r="P160" s="30" t="s">
        <v>164</v>
      </c>
      <c r="Q160" s="30" t="s">
        <v>728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743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275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670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360</v>
      </c>
      <c r="D161" s="30" t="s">
        <v>136</v>
      </c>
      <c r="E161" s="30" t="s">
        <v>538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506</v>
      </c>
      <c r="K161" s="30" t="s">
        <v>853</v>
      </c>
      <c r="M161" s="30" t="s">
        <v>135</v>
      </c>
      <c r="O161" s="31"/>
      <c r="P161" s="30"/>
      <c r="T161" s="37"/>
      <c r="U161" s="30"/>
      <c r="V161" s="31"/>
      <c r="W161" s="31" t="s">
        <v>473</v>
      </c>
      <c r="X161" s="47">
        <v>123</v>
      </c>
      <c r="Y161" s="42" t="s">
        <v>726</v>
      </c>
      <c r="Z161" s="42" t="s">
        <v>940</v>
      </c>
      <c r="AA161" s="42"/>
      <c r="AB161" s="30"/>
      <c r="AC161" s="30"/>
      <c r="AE161" s="30" t="s">
        <v>275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506</v>
      </c>
      <c r="BC161" s="30" t="s">
        <v>1462</v>
      </c>
      <c r="BD161" s="30" t="s">
        <v>360</v>
      </c>
      <c r="BE161" s="30" t="s">
        <v>1375</v>
      </c>
      <c r="BF161" s="30" t="s">
        <v>471</v>
      </c>
      <c r="BG161" s="30" t="s">
        <v>192</v>
      </c>
      <c r="BI161" s="30" t="s">
        <v>670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360</v>
      </c>
      <c r="D162" s="30" t="s">
        <v>136</v>
      </c>
      <c r="E162" s="30" t="s">
        <v>908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756</v>
      </c>
      <c r="P162" s="30" t="s">
        <v>164</v>
      </c>
      <c r="Q162" s="30" t="s">
        <v>728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472</v>
      </c>
      <c r="X162" s="47">
        <v>123</v>
      </c>
      <c r="Y162" s="42" t="s">
        <v>724</v>
      </c>
      <c r="Z162" s="42" t="s">
        <v>1315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962</v>
      </c>
      <c r="BC162" s="30" t="s">
        <v>1462</v>
      </c>
      <c r="BD162" s="30" t="s">
        <v>360</v>
      </c>
      <c r="BE162" s="30" t="s">
        <v>1375</v>
      </c>
      <c r="BF162" s="30" t="s">
        <v>471</v>
      </c>
      <c r="BG162" s="30" t="s">
        <v>192</v>
      </c>
      <c r="BI162" s="30" t="s">
        <v>670</v>
      </c>
      <c r="BL162" s="30" t="s">
        <v>1460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360</v>
      </c>
      <c r="D163" s="30" t="s">
        <v>136</v>
      </c>
      <c r="E163" s="30" t="s">
        <v>1455</v>
      </c>
      <c r="F163" s="36" t="str">
        <f>IF(ISBLANK(Table2[[#This Row],[unique_id]]), "", PROPER(SUBSTITUTE(Table2[[#This Row],[unique_id]], "_", " ")))</f>
        <v>Lounge Reading</v>
      </c>
      <c r="G163" s="30" t="s">
        <v>1466</v>
      </c>
      <c r="H163" s="30" t="s">
        <v>138</v>
      </c>
      <c r="I163" s="30" t="s">
        <v>131</v>
      </c>
      <c r="J163" s="30" t="s">
        <v>1458</v>
      </c>
      <c r="K163" s="30" t="s">
        <v>853</v>
      </c>
      <c r="M163" s="30" t="s">
        <v>135</v>
      </c>
      <c r="O163" s="31"/>
      <c r="P163" s="30"/>
      <c r="T163" s="37"/>
      <c r="U163" s="30"/>
      <c r="V163" s="31"/>
      <c r="W163" s="31" t="s">
        <v>473</v>
      </c>
      <c r="X163" s="47">
        <v>114</v>
      </c>
      <c r="Y163" s="42" t="s">
        <v>726</v>
      </c>
      <c r="Z163" s="42" t="s">
        <v>940</v>
      </c>
      <c r="AA163" s="42"/>
      <c r="AB163" s="30"/>
      <c r="AC163" s="30"/>
      <c r="AE163" s="30" t="s">
        <v>275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1458</v>
      </c>
      <c r="BC163" s="30" t="s">
        <v>1461</v>
      </c>
      <c r="BD163" s="30" t="s">
        <v>360</v>
      </c>
      <c r="BE163" s="30" t="s">
        <v>1375</v>
      </c>
      <c r="BF163" s="30" t="s">
        <v>471</v>
      </c>
      <c r="BG163" s="30" t="s">
        <v>192</v>
      </c>
      <c r="BI163" s="30" t="s">
        <v>670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360</v>
      </c>
      <c r="D164" s="30" t="s">
        <v>136</v>
      </c>
      <c r="E164" s="30" t="s">
        <v>1456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756</v>
      </c>
      <c r="P164" s="30" t="s">
        <v>164</v>
      </c>
      <c r="Q164" s="30" t="s">
        <v>728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472</v>
      </c>
      <c r="X164" s="47">
        <v>114</v>
      </c>
      <c r="Y164" s="42" t="s">
        <v>724</v>
      </c>
      <c r="Z164" s="42" t="s">
        <v>1315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1459</v>
      </c>
      <c r="BC164" s="30" t="s">
        <v>1461</v>
      </c>
      <c r="BD164" s="30" t="s">
        <v>360</v>
      </c>
      <c r="BE164" s="30" t="s">
        <v>1375</v>
      </c>
      <c r="BF164" s="30" t="s">
        <v>471</v>
      </c>
      <c r="BG164" s="30" t="s">
        <v>192</v>
      </c>
      <c r="BI164" s="30" t="s">
        <v>670</v>
      </c>
      <c r="BL164" s="30" t="s">
        <v>540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360</v>
      </c>
      <c r="D165" s="30" t="s">
        <v>136</v>
      </c>
      <c r="E165" s="30" t="s">
        <v>282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692</v>
      </c>
      <c r="K165" s="30" t="s">
        <v>852</v>
      </c>
      <c r="M165" s="30" t="s">
        <v>135</v>
      </c>
      <c r="O165" s="31"/>
      <c r="P165" s="30"/>
      <c r="T165" s="37"/>
      <c r="U165" s="30"/>
      <c r="V165" s="31"/>
      <c r="W165" s="31" t="s">
        <v>473</v>
      </c>
      <c r="X165" s="47">
        <v>106</v>
      </c>
      <c r="Y165" s="42" t="s">
        <v>726</v>
      </c>
      <c r="Z165" s="42" t="s">
        <v>941</v>
      </c>
      <c r="AA165" s="42"/>
      <c r="AB165" s="30"/>
      <c r="AC165" s="30"/>
      <c r="AE165" s="30" t="s">
        <v>275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964</v>
      </c>
      <c r="BC165" s="30" t="s">
        <v>470</v>
      </c>
      <c r="BD165" s="30" t="s">
        <v>360</v>
      </c>
      <c r="BE165" s="30" t="s">
        <v>1375</v>
      </c>
      <c r="BF165" s="30" t="s">
        <v>471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360</v>
      </c>
      <c r="D166" s="30" t="s">
        <v>136</v>
      </c>
      <c r="E166" s="30" t="s">
        <v>909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756</v>
      </c>
      <c r="P166" s="30" t="s">
        <v>164</v>
      </c>
      <c r="Q166" s="30" t="s">
        <v>728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472</v>
      </c>
      <c r="X166" s="47">
        <v>106</v>
      </c>
      <c r="Y166" s="42" t="s">
        <v>724</v>
      </c>
      <c r="Z166" s="42" t="s">
        <v>941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965</v>
      </c>
      <c r="BC166" s="30" t="s">
        <v>470</v>
      </c>
      <c r="BD166" s="30" t="s">
        <v>360</v>
      </c>
      <c r="BE166" s="30" t="s">
        <v>1375</v>
      </c>
      <c r="BF166" s="30" t="s">
        <v>471</v>
      </c>
      <c r="BG166" s="30" t="s">
        <v>190</v>
      </c>
      <c r="BL166" s="30" t="s">
        <v>469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360</v>
      </c>
      <c r="D167" s="30" t="s">
        <v>136</v>
      </c>
      <c r="E167" s="30" t="s">
        <v>910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756</v>
      </c>
      <c r="P167" s="30" t="s">
        <v>164</v>
      </c>
      <c r="Q167" s="30" t="s">
        <v>728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472</v>
      </c>
      <c r="X167" s="47">
        <v>106</v>
      </c>
      <c r="Y167" s="42" t="s">
        <v>724</v>
      </c>
      <c r="Z167" s="42" t="s">
        <v>941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966</v>
      </c>
      <c r="BC167" s="30" t="s">
        <v>470</v>
      </c>
      <c r="BD167" s="30" t="s">
        <v>360</v>
      </c>
      <c r="BE167" s="30" t="s">
        <v>1375</v>
      </c>
      <c r="BF167" s="30" t="s">
        <v>471</v>
      </c>
      <c r="BG167" s="30" t="s">
        <v>190</v>
      </c>
      <c r="BL167" s="30" t="s">
        <v>476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360</v>
      </c>
      <c r="D168" s="30" t="s">
        <v>136</v>
      </c>
      <c r="E168" s="30" t="s">
        <v>911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756</v>
      </c>
      <c r="P168" s="30" t="s">
        <v>164</v>
      </c>
      <c r="Q168" s="30" t="s">
        <v>728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472</v>
      </c>
      <c r="X168" s="47">
        <v>106</v>
      </c>
      <c r="Y168" s="42" t="s">
        <v>724</v>
      </c>
      <c r="Z168" s="42" t="s">
        <v>941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967</v>
      </c>
      <c r="BC168" s="30" t="s">
        <v>470</v>
      </c>
      <c r="BD168" s="30" t="s">
        <v>360</v>
      </c>
      <c r="BE168" s="30" t="s">
        <v>1375</v>
      </c>
      <c r="BF168" s="30" t="s">
        <v>471</v>
      </c>
      <c r="BG168" s="30" t="s">
        <v>190</v>
      </c>
      <c r="BL168" s="30" t="s">
        <v>477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433</v>
      </c>
      <c r="D169" s="30" t="s">
        <v>136</v>
      </c>
      <c r="E169" s="30" t="s">
        <v>834</v>
      </c>
      <c r="F169" s="36" t="str">
        <f>IF(ISBLANK(Table2[[#This Row],[unique_id]]), "", PROPER(SUBSTITUTE(Table2[[#This Row],[unique_id]], "_", " ")))</f>
        <v>Parents Jane Bedside</v>
      </c>
      <c r="G169" s="30" t="s">
        <v>832</v>
      </c>
      <c r="H169" s="30" t="s">
        <v>138</v>
      </c>
      <c r="I169" s="30" t="s">
        <v>131</v>
      </c>
      <c r="J169" s="30" t="s">
        <v>847</v>
      </c>
      <c r="K169" s="30" t="s">
        <v>851</v>
      </c>
      <c r="M169" s="30" t="s">
        <v>135</v>
      </c>
      <c r="O169" s="31"/>
      <c r="P169" s="30"/>
      <c r="T169" s="37"/>
      <c r="U169" s="30"/>
      <c r="V169" s="31"/>
      <c r="W169" s="31" t="s">
        <v>473</v>
      </c>
      <c r="X169" s="47">
        <v>119</v>
      </c>
      <c r="Y169" s="42" t="s">
        <v>726</v>
      </c>
      <c r="Z169" s="31" t="s">
        <v>1504</v>
      </c>
      <c r="AA169" s="31"/>
      <c r="AB169" s="30"/>
      <c r="AC169" s="30"/>
      <c r="AE169" s="30" t="s">
        <v>275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832</v>
      </c>
      <c r="BC169" s="30" t="s">
        <v>816</v>
      </c>
      <c r="BD169" s="30" t="s">
        <v>433</v>
      </c>
      <c r="BF169" s="30" t="s">
        <v>814</v>
      </c>
      <c r="BG169" s="30" t="s">
        <v>190</v>
      </c>
      <c r="BI169" s="30" t="s">
        <v>670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433</v>
      </c>
      <c r="D170" s="30" t="s">
        <v>136</v>
      </c>
      <c r="E170" s="30" t="s">
        <v>835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756</v>
      </c>
      <c r="P170" s="30" t="s">
        <v>164</v>
      </c>
      <c r="Q170" s="30" t="s">
        <v>728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472</v>
      </c>
      <c r="X170" s="47">
        <v>119</v>
      </c>
      <c r="Y170" s="42" t="s">
        <v>724</v>
      </c>
      <c r="Z170" s="31" t="s">
        <v>1504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953</v>
      </c>
      <c r="BC170" s="30" t="s">
        <v>816</v>
      </c>
      <c r="BD170" s="30" t="s">
        <v>433</v>
      </c>
      <c r="BF170" s="30" t="s">
        <v>814</v>
      </c>
      <c r="BG170" s="30" t="s">
        <v>190</v>
      </c>
      <c r="BI170" s="30" t="s">
        <v>670</v>
      </c>
      <c r="BL170" s="30" t="s">
        <v>820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433</v>
      </c>
      <c r="D171" s="30" t="s">
        <v>136</v>
      </c>
      <c r="E171" s="30" t="s">
        <v>836</v>
      </c>
      <c r="F171" s="36" t="str">
        <f>IF(ISBLANK(Table2[[#This Row],[unique_id]]), "", PROPER(SUBSTITUTE(Table2[[#This Row],[unique_id]], "_", " ")))</f>
        <v>Parents Graham Bedside</v>
      </c>
      <c r="G171" s="30" t="s">
        <v>833</v>
      </c>
      <c r="H171" s="30" t="s">
        <v>138</v>
      </c>
      <c r="I171" s="30" t="s">
        <v>131</v>
      </c>
      <c r="J171" s="30" t="s">
        <v>848</v>
      </c>
      <c r="K171" s="30" t="s">
        <v>851</v>
      </c>
      <c r="M171" s="30" t="s">
        <v>135</v>
      </c>
      <c r="O171" s="31"/>
      <c r="P171" s="30"/>
      <c r="T171" s="37"/>
      <c r="U171" s="30"/>
      <c r="V171" s="31"/>
      <c r="W171" s="31" t="s">
        <v>473</v>
      </c>
      <c r="X171" s="47">
        <v>122</v>
      </c>
      <c r="Y171" s="42" t="s">
        <v>726</v>
      </c>
      <c r="Z171" s="31" t="s">
        <v>1504</v>
      </c>
      <c r="AA171" s="31"/>
      <c r="AB171" s="30"/>
      <c r="AC171" s="30"/>
      <c r="AE171" s="30" t="s">
        <v>275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833</v>
      </c>
      <c r="BC171" s="30" t="s">
        <v>816</v>
      </c>
      <c r="BD171" s="30" t="s">
        <v>433</v>
      </c>
      <c r="BF171" s="30" t="s">
        <v>814</v>
      </c>
      <c r="BG171" s="30" t="s">
        <v>190</v>
      </c>
      <c r="BI171" s="30" t="s">
        <v>670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433</v>
      </c>
      <c r="D172" s="30" t="s">
        <v>136</v>
      </c>
      <c r="E172" s="30" t="s">
        <v>837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756</v>
      </c>
      <c r="P172" s="30" t="s">
        <v>164</v>
      </c>
      <c r="Q172" s="30" t="s">
        <v>728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472</v>
      </c>
      <c r="X172" s="47">
        <v>122</v>
      </c>
      <c r="Y172" s="42" t="s">
        <v>724</v>
      </c>
      <c r="Z172" s="31" t="s">
        <v>1504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954</v>
      </c>
      <c r="BC172" s="30" t="s">
        <v>816</v>
      </c>
      <c r="BD172" s="30" t="s">
        <v>433</v>
      </c>
      <c r="BF172" s="30" t="s">
        <v>814</v>
      </c>
      <c r="BG172" s="30" t="s">
        <v>190</v>
      </c>
      <c r="BI172" s="30" t="s">
        <v>670</v>
      </c>
      <c r="BL172" s="30" t="s">
        <v>819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360</v>
      </c>
      <c r="D173" s="30" t="s">
        <v>136</v>
      </c>
      <c r="E173" s="30" t="s">
        <v>709</v>
      </c>
      <c r="F173" s="36" t="str">
        <f>IF(ISBLANK(Table2[[#This Row],[unique_id]]), "", PROPER(SUBSTITUTE(Table2[[#This Row],[unique_id]], "_", " ")))</f>
        <v>Study Lamp</v>
      </c>
      <c r="G173" s="30" t="s">
        <v>710</v>
      </c>
      <c r="H173" s="30" t="s">
        <v>138</v>
      </c>
      <c r="I173" s="30" t="s">
        <v>131</v>
      </c>
      <c r="K173" s="30" t="s">
        <v>853</v>
      </c>
      <c r="M173" s="30" t="s">
        <v>135</v>
      </c>
      <c r="O173" s="31"/>
      <c r="P173" s="30"/>
      <c r="T173" s="37"/>
      <c r="U173" s="30"/>
      <c r="V173" s="31"/>
      <c r="W173" s="31" t="s">
        <v>473</v>
      </c>
      <c r="X173" s="47">
        <v>117</v>
      </c>
      <c r="Y173" s="42" t="s">
        <v>726</v>
      </c>
      <c r="Z173" s="42" t="s">
        <v>940</v>
      </c>
      <c r="AA173" s="42"/>
      <c r="AB173" s="30"/>
      <c r="AC173" s="30"/>
      <c r="AE173" s="30" t="s">
        <v>275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506</v>
      </c>
      <c r="BC173" s="30" t="s">
        <v>470</v>
      </c>
      <c r="BD173" s="30" t="s">
        <v>360</v>
      </c>
      <c r="BE173" s="30" t="s">
        <v>1375</v>
      </c>
      <c r="BF173" s="30" t="s">
        <v>471</v>
      </c>
      <c r="BG173" s="30" t="s">
        <v>339</v>
      </c>
      <c r="BI173" s="30" t="s">
        <v>670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360</v>
      </c>
      <c r="D174" s="30" t="s">
        <v>136</v>
      </c>
      <c r="E174" s="30" t="s">
        <v>912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756</v>
      </c>
      <c r="P174" s="30" t="s">
        <v>164</v>
      </c>
      <c r="Q174" s="30" t="s">
        <v>728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472</v>
      </c>
      <c r="X174" s="47">
        <v>117</v>
      </c>
      <c r="Y174" s="42" t="s">
        <v>724</v>
      </c>
      <c r="Z174" s="42" t="s">
        <v>940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962</v>
      </c>
      <c r="BC174" s="30" t="s">
        <v>470</v>
      </c>
      <c r="BD174" s="30" t="s">
        <v>360</v>
      </c>
      <c r="BE174" s="30" t="s">
        <v>1375</v>
      </c>
      <c r="BF174" s="30" t="s">
        <v>471</v>
      </c>
      <c r="BG174" s="30" t="s">
        <v>339</v>
      </c>
      <c r="BI174" s="30" t="s">
        <v>670</v>
      </c>
      <c r="BL174" s="30" t="s">
        <v>711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360</v>
      </c>
      <c r="D175" s="30" t="s">
        <v>136</v>
      </c>
      <c r="E175" s="30" t="s">
        <v>283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692</v>
      </c>
      <c r="K175" s="30" t="s">
        <v>849</v>
      </c>
      <c r="M175" s="30" t="s">
        <v>135</v>
      </c>
      <c r="O175" s="31"/>
      <c r="P175" s="30"/>
      <c r="T175" s="37"/>
      <c r="U175" s="30"/>
      <c r="V175" s="31"/>
      <c r="W175" s="31" t="s">
        <v>473</v>
      </c>
      <c r="X175" s="47">
        <v>107</v>
      </c>
      <c r="Y175" s="42" t="s">
        <v>726</v>
      </c>
      <c r="Z175" s="42" t="s">
        <v>940</v>
      </c>
      <c r="AA175" s="42"/>
      <c r="AB175" s="30"/>
      <c r="AC175" s="30"/>
      <c r="AE175" s="30" t="s">
        <v>275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964</v>
      </c>
      <c r="BC175" s="30" t="s">
        <v>548</v>
      </c>
      <c r="BD175" s="30" t="s">
        <v>360</v>
      </c>
      <c r="BE175" s="30" t="s">
        <v>1375</v>
      </c>
      <c r="BF175" s="30" t="s">
        <v>545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360</v>
      </c>
      <c r="D176" s="30" t="s">
        <v>136</v>
      </c>
      <c r="E176" s="30" t="s">
        <v>913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756</v>
      </c>
      <c r="P176" s="30" t="s">
        <v>164</v>
      </c>
      <c r="Q176" s="30" t="s">
        <v>728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472</v>
      </c>
      <c r="X176" s="47">
        <v>107</v>
      </c>
      <c r="Y176" s="42" t="s">
        <v>724</v>
      </c>
      <c r="Z176" s="42" t="s">
        <v>940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965</v>
      </c>
      <c r="BC176" s="30" t="s">
        <v>548</v>
      </c>
      <c r="BD176" s="30" t="s">
        <v>360</v>
      </c>
      <c r="BE176" s="30" t="s">
        <v>1375</v>
      </c>
      <c r="BF176" s="30" t="s">
        <v>545</v>
      </c>
      <c r="BG176" s="30" t="s">
        <v>204</v>
      </c>
      <c r="BL176" s="30" t="s">
        <v>494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360</v>
      </c>
      <c r="D177" s="30" t="s">
        <v>136</v>
      </c>
      <c r="E177" s="30" t="s">
        <v>914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756</v>
      </c>
      <c r="P177" s="30" t="s">
        <v>164</v>
      </c>
      <c r="Q177" s="30" t="s">
        <v>728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472</v>
      </c>
      <c r="X177" s="47">
        <v>107</v>
      </c>
      <c r="Y177" s="42" t="s">
        <v>724</v>
      </c>
      <c r="Z177" s="42" t="s">
        <v>940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966</v>
      </c>
      <c r="BC177" s="30" t="s">
        <v>548</v>
      </c>
      <c r="BD177" s="30" t="s">
        <v>360</v>
      </c>
      <c r="BE177" s="30" t="s">
        <v>1375</v>
      </c>
      <c r="BF177" s="30" t="s">
        <v>545</v>
      </c>
      <c r="BG177" s="30" t="s">
        <v>204</v>
      </c>
      <c r="BL177" s="30" t="s">
        <v>495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360</v>
      </c>
      <c r="D178" s="30" t="s">
        <v>136</v>
      </c>
      <c r="E178" s="30" t="s">
        <v>915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756</v>
      </c>
      <c r="P178" s="30" t="s">
        <v>164</v>
      </c>
      <c r="Q178" s="30" t="s">
        <v>728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472</v>
      </c>
      <c r="X178" s="47">
        <v>107</v>
      </c>
      <c r="Y178" s="42" t="s">
        <v>724</v>
      </c>
      <c r="Z178" s="42" t="s">
        <v>940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967</v>
      </c>
      <c r="BC178" s="30" t="s">
        <v>548</v>
      </c>
      <c r="BD178" s="30" t="s">
        <v>360</v>
      </c>
      <c r="BE178" s="30" t="s">
        <v>1375</v>
      </c>
      <c r="BF178" s="30" t="s">
        <v>545</v>
      </c>
      <c r="BG178" s="30" t="s">
        <v>204</v>
      </c>
      <c r="BL178" s="30" t="s">
        <v>496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360</v>
      </c>
      <c r="D179" s="30" t="s">
        <v>136</v>
      </c>
      <c r="E179" s="30" t="s">
        <v>916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756</v>
      </c>
      <c r="P179" s="30" t="s">
        <v>164</v>
      </c>
      <c r="Q179" s="30" t="s">
        <v>728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472</v>
      </c>
      <c r="X179" s="47">
        <v>107</v>
      </c>
      <c r="Y179" s="42" t="s">
        <v>724</v>
      </c>
      <c r="Z179" s="42" t="s">
        <v>940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968</v>
      </c>
      <c r="BC179" s="30" t="s">
        <v>548</v>
      </c>
      <c r="BD179" s="30" t="s">
        <v>360</v>
      </c>
      <c r="BE179" s="30" t="s">
        <v>1375</v>
      </c>
      <c r="BF179" s="30" t="s">
        <v>545</v>
      </c>
      <c r="BG179" s="30" t="s">
        <v>204</v>
      </c>
      <c r="BL179" s="30" t="s">
        <v>497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678</v>
      </c>
      <c r="D180" s="30" t="s">
        <v>136</v>
      </c>
      <c r="E180" s="30" t="s">
        <v>1182</v>
      </c>
      <c r="F180" s="36" t="str">
        <f>IF(ISBLANK(Table2[[#This Row],[unique_id]]), "", PROPER(SUBSTITUTE(Table2[[#This Row],[unique_id]], "_", " ")))</f>
        <v>Kitchen Bench Lights Plug</v>
      </c>
      <c r="G180" s="30" t="s">
        <v>1183</v>
      </c>
      <c r="H180" s="30" t="s">
        <v>138</v>
      </c>
      <c r="I180" s="30" t="s">
        <v>131</v>
      </c>
      <c r="J180" s="30" t="s">
        <v>1185</v>
      </c>
      <c r="M180" s="30" t="s">
        <v>135</v>
      </c>
      <c r="O180" s="31" t="s">
        <v>756</v>
      </c>
      <c r="P180" s="30" t="s">
        <v>164</v>
      </c>
      <c r="Q180" s="30" t="s">
        <v>728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946</v>
      </c>
      <c r="U180" s="30"/>
      <c r="V180" s="31"/>
      <c r="W180" s="31"/>
      <c r="X180" s="31"/>
      <c r="Y180" s="31"/>
      <c r="Z180" s="31"/>
      <c r="AA180" s="31" t="s">
        <v>1073</v>
      </c>
      <c r="AB180" s="30"/>
      <c r="AC180" s="30"/>
      <c r="AE180" s="30" t="s">
        <v>275</v>
      </c>
      <c r="AF180" s="30">
        <v>10</v>
      </c>
      <c r="AG180" s="31" t="s">
        <v>34</v>
      </c>
      <c r="AH180" s="31" t="s">
        <v>865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884</v>
      </c>
      <c r="AO180" s="30" t="s">
        <v>885</v>
      </c>
      <c r="AP180" s="30" t="s">
        <v>874</v>
      </c>
      <c r="AQ180" s="30" t="s">
        <v>875</v>
      </c>
      <c r="AR180" s="30" t="s">
        <v>938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1184</v>
      </c>
      <c r="BC180" s="30" t="s">
        <v>735</v>
      </c>
      <c r="BD180" s="30" t="s">
        <v>1077</v>
      </c>
      <c r="BF180" s="30" t="s">
        <v>855</v>
      </c>
      <c r="BG180" s="30" t="s">
        <v>204</v>
      </c>
      <c r="BK180" s="30" t="s">
        <v>1215</v>
      </c>
      <c r="BL180" s="30" t="s">
        <v>887</v>
      </c>
      <c r="BM180" s="30" t="s">
        <v>1241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360</v>
      </c>
      <c r="D181" s="30" t="s">
        <v>136</v>
      </c>
      <c r="E181" s="30" t="s">
        <v>284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691</v>
      </c>
      <c r="K181" s="30" t="s">
        <v>849</v>
      </c>
      <c r="M181" s="30" t="s">
        <v>135</v>
      </c>
      <c r="O181" s="31"/>
      <c r="P181" s="30"/>
      <c r="T181" s="37"/>
      <c r="U181" s="30"/>
      <c r="V181" s="31"/>
      <c r="W181" s="31" t="s">
        <v>473</v>
      </c>
      <c r="X181" s="47">
        <v>108</v>
      </c>
      <c r="Y181" s="42" t="s">
        <v>726</v>
      </c>
      <c r="Z181" s="42" t="s">
        <v>940</v>
      </c>
      <c r="AA181" s="42"/>
      <c r="AB181" s="30"/>
      <c r="AC181" s="30"/>
      <c r="AE181" s="30" t="s">
        <v>275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964</v>
      </c>
      <c r="BC181" s="30" t="s">
        <v>470</v>
      </c>
      <c r="BD181" s="30" t="s">
        <v>360</v>
      </c>
      <c r="BE181" s="30" t="s">
        <v>1375</v>
      </c>
      <c r="BF181" s="30" t="s">
        <v>471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360</v>
      </c>
      <c r="D182" s="30" t="s">
        <v>136</v>
      </c>
      <c r="E182" s="30" t="s">
        <v>917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756</v>
      </c>
      <c r="P182" s="30" t="s">
        <v>164</v>
      </c>
      <c r="Q182" s="30" t="s">
        <v>728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472</v>
      </c>
      <c r="X182" s="47">
        <v>108</v>
      </c>
      <c r="Y182" s="42" t="s">
        <v>724</v>
      </c>
      <c r="Z182" s="42" t="s">
        <v>940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965</v>
      </c>
      <c r="BC182" s="30" t="s">
        <v>470</v>
      </c>
      <c r="BD182" s="30" t="s">
        <v>360</v>
      </c>
      <c r="BE182" s="30" t="s">
        <v>1375</v>
      </c>
      <c r="BF182" s="30" t="s">
        <v>471</v>
      </c>
      <c r="BG182" s="30" t="s">
        <v>211</v>
      </c>
      <c r="BL182" s="30" t="s">
        <v>498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360</v>
      </c>
      <c r="D183" s="30" t="s">
        <v>136</v>
      </c>
      <c r="E183" s="30" t="s">
        <v>285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691</v>
      </c>
      <c r="K183" s="30" t="s">
        <v>849</v>
      </c>
      <c r="M183" s="30" t="s">
        <v>135</v>
      </c>
      <c r="O183" s="31"/>
      <c r="P183" s="30"/>
      <c r="T183" s="37"/>
      <c r="U183" s="30"/>
      <c r="V183" s="31"/>
      <c r="W183" s="31" t="s">
        <v>473</v>
      </c>
      <c r="X183" s="47">
        <v>109</v>
      </c>
      <c r="Y183" s="42" t="s">
        <v>726</v>
      </c>
      <c r="Z183" s="42" t="s">
        <v>940</v>
      </c>
      <c r="AA183" s="42"/>
      <c r="AB183" s="30"/>
      <c r="AC183" s="30"/>
      <c r="AE183" s="30" t="s">
        <v>275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964</v>
      </c>
      <c r="BC183" s="30" t="s">
        <v>470</v>
      </c>
      <c r="BD183" s="30" t="s">
        <v>360</v>
      </c>
      <c r="BE183" s="30" t="s">
        <v>1375</v>
      </c>
      <c r="BF183" s="30" t="s">
        <v>471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360</v>
      </c>
      <c r="D184" s="30" t="s">
        <v>136</v>
      </c>
      <c r="E184" s="30" t="s">
        <v>918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756</v>
      </c>
      <c r="P184" s="30" t="s">
        <v>164</v>
      </c>
      <c r="Q184" s="30" t="s">
        <v>728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472</v>
      </c>
      <c r="X184" s="47">
        <v>109</v>
      </c>
      <c r="Y184" s="42" t="s">
        <v>724</v>
      </c>
      <c r="Z184" s="42" t="s">
        <v>940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965</v>
      </c>
      <c r="BC184" s="30" t="s">
        <v>470</v>
      </c>
      <c r="BD184" s="30" t="s">
        <v>360</v>
      </c>
      <c r="BE184" s="30" t="s">
        <v>1375</v>
      </c>
      <c r="BF184" s="30" t="s">
        <v>471</v>
      </c>
      <c r="BG184" s="30" t="s">
        <v>209</v>
      </c>
      <c r="BL184" s="30" t="s">
        <v>499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360</v>
      </c>
      <c r="D185" s="30" t="s">
        <v>136</v>
      </c>
      <c r="E185" s="30" t="s">
        <v>286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691</v>
      </c>
      <c r="M185" s="30" t="s">
        <v>135</v>
      </c>
      <c r="O185" s="31"/>
      <c r="P185" s="30"/>
      <c r="T185" s="37"/>
      <c r="U185" s="30"/>
      <c r="V185" s="31"/>
      <c r="W185" s="31" t="s">
        <v>473</v>
      </c>
      <c r="X185" s="47">
        <v>110</v>
      </c>
      <c r="Y185" s="42" t="s">
        <v>726</v>
      </c>
      <c r="Z185" s="42" t="s">
        <v>942</v>
      </c>
      <c r="AA185" s="42"/>
      <c r="AB185" s="30"/>
      <c r="AC185" s="30"/>
      <c r="AE185" s="30" t="s">
        <v>275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964</v>
      </c>
      <c r="BC185" s="30" t="s">
        <v>548</v>
      </c>
      <c r="BD185" s="30" t="s">
        <v>360</v>
      </c>
      <c r="BE185" s="30" t="s">
        <v>1375</v>
      </c>
      <c r="BF185" s="30" t="s">
        <v>545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360</v>
      </c>
      <c r="D186" s="30" t="s">
        <v>136</v>
      </c>
      <c r="E186" s="30" t="s">
        <v>919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756</v>
      </c>
      <c r="P186" s="30" t="s">
        <v>164</v>
      </c>
      <c r="Q186" s="30" t="s">
        <v>728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472</v>
      </c>
      <c r="X186" s="47">
        <v>110</v>
      </c>
      <c r="Y186" s="42" t="s">
        <v>724</v>
      </c>
      <c r="Z186" s="42" t="s">
        <v>942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965</v>
      </c>
      <c r="BC186" s="30" t="s">
        <v>548</v>
      </c>
      <c r="BD186" s="30" t="s">
        <v>360</v>
      </c>
      <c r="BE186" s="30" t="s">
        <v>1375</v>
      </c>
      <c r="BF186" s="30" t="s">
        <v>545</v>
      </c>
      <c r="BG186" s="30" t="s">
        <v>210</v>
      </c>
      <c r="BL186" s="30" t="s">
        <v>500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360</v>
      </c>
      <c r="D187" s="30" t="s">
        <v>136</v>
      </c>
      <c r="E187" s="30" t="s">
        <v>287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691</v>
      </c>
      <c r="K187" s="30" t="s">
        <v>852</v>
      </c>
      <c r="M187" s="30" t="s">
        <v>135</v>
      </c>
      <c r="O187" s="31"/>
      <c r="P187" s="30"/>
      <c r="T187" s="37"/>
      <c r="U187" s="30"/>
      <c r="V187" s="31"/>
      <c r="W187" s="31" t="s">
        <v>473</v>
      </c>
      <c r="X187" s="47">
        <v>111</v>
      </c>
      <c r="Y187" s="42" t="s">
        <v>726</v>
      </c>
      <c r="Z187" s="42" t="s">
        <v>941</v>
      </c>
      <c r="AA187" s="42"/>
      <c r="AB187" s="30"/>
      <c r="AC187" s="30"/>
      <c r="AE187" s="30" t="s">
        <v>275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964</v>
      </c>
      <c r="BC187" s="30" t="s">
        <v>470</v>
      </c>
      <c r="BD187" s="30" t="s">
        <v>360</v>
      </c>
      <c r="BE187" s="30" t="s">
        <v>1375</v>
      </c>
      <c r="BF187" s="30" t="s">
        <v>471</v>
      </c>
      <c r="BG187" s="30" t="s">
        <v>341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360</v>
      </c>
      <c r="D188" s="30" t="s">
        <v>136</v>
      </c>
      <c r="E188" s="30" t="s">
        <v>920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756</v>
      </c>
      <c r="P188" s="30" t="s">
        <v>164</v>
      </c>
      <c r="Q188" s="30" t="s">
        <v>728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472</v>
      </c>
      <c r="X188" s="47">
        <v>111</v>
      </c>
      <c r="Y188" s="42" t="s">
        <v>724</v>
      </c>
      <c r="Z188" s="42" t="s">
        <v>941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965</v>
      </c>
      <c r="BC188" s="30" t="s">
        <v>470</v>
      </c>
      <c r="BD188" s="30" t="s">
        <v>360</v>
      </c>
      <c r="BE188" s="30" t="s">
        <v>1375</v>
      </c>
      <c r="BF188" s="30" t="s">
        <v>471</v>
      </c>
      <c r="BG188" s="30" t="s">
        <v>341</v>
      </c>
      <c r="BL188" s="30" t="s">
        <v>501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433</v>
      </c>
      <c r="D189" s="30" t="s">
        <v>136</v>
      </c>
      <c r="E189" s="30" t="s">
        <v>826</v>
      </c>
      <c r="F189" s="36" t="str">
        <f>IF(ISBLANK(Table2[[#This Row],[unique_id]]), "", PROPER(SUBSTITUTE(Table2[[#This Row],[unique_id]], "_", " ")))</f>
        <v>Bathroom Sconces</v>
      </c>
      <c r="G189" s="30" t="s">
        <v>829</v>
      </c>
      <c r="H189" s="30" t="s">
        <v>138</v>
      </c>
      <c r="I189" s="30" t="s">
        <v>131</v>
      </c>
      <c r="J189" s="30" t="s">
        <v>813</v>
      </c>
      <c r="K189" s="30" t="s">
        <v>851</v>
      </c>
      <c r="M189" s="30" t="s">
        <v>135</v>
      </c>
      <c r="O189" s="31"/>
      <c r="P189" s="30"/>
      <c r="T189" s="37"/>
      <c r="U189" s="30"/>
      <c r="V189" s="31"/>
      <c r="W189" s="31" t="s">
        <v>473</v>
      </c>
      <c r="X189" s="47">
        <v>121</v>
      </c>
      <c r="Y189" s="42" t="s">
        <v>726</v>
      </c>
      <c r="Z189" s="31" t="s">
        <v>1504</v>
      </c>
      <c r="AA189" s="31"/>
      <c r="AB189" s="30"/>
      <c r="AC189" s="30"/>
      <c r="AE189" s="30" t="s">
        <v>275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813</v>
      </c>
      <c r="BC189" s="30" t="s">
        <v>816</v>
      </c>
      <c r="BD189" s="30" t="s">
        <v>433</v>
      </c>
      <c r="BF189" s="30" t="s">
        <v>814</v>
      </c>
      <c r="BG189" s="30" t="s">
        <v>341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433</v>
      </c>
      <c r="D190" s="30" t="s">
        <v>136</v>
      </c>
      <c r="E190" s="30" t="s">
        <v>827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756</v>
      </c>
      <c r="P190" s="30" t="s">
        <v>164</v>
      </c>
      <c r="Q190" s="30" t="s">
        <v>728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472</v>
      </c>
      <c r="X190" s="47">
        <v>121</v>
      </c>
      <c r="Y190" s="42" t="s">
        <v>724</v>
      </c>
      <c r="Z190" s="31" t="s">
        <v>1504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951</v>
      </c>
      <c r="BC190" s="30" t="s">
        <v>816</v>
      </c>
      <c r="BD190" s="30" t="s">
        <v>433</v>
      </c>
      <c r="BF190" s="30" t="s">
        <v>814</v>
      </c>
      <c r="BG190" s="30" t="s">
        <v>341</v>
      </c>
      <c r="BL190" s="30" t="s">
        <v>830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433</v>
      </c>
      <c r="D191" s="30" t="s">
        <v>136</v>
      </c>
      <c r="E191" s="30" t="s">
        <v>828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756</v>
      </c>
      <c r="P191" s="30" t="s">
        <v>164</v>
      </c>
      <c r="Q191" s="30" t="s">
        <v>728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472</v>
      </c>
      <c r="X191" s="47">
        <v>121</v>
      </c>
      <c r="Y191" s="42" t="s">
        <v>724</v>
      </c>
      <c r="Z191" s="31" t="s">
        <v>1504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952</v>
      </c>
      <c r="BC191" s="30" t="s">
        <v>816</v>
      </c>
      <c r="BD191" s="30" t="s">
        <v>433</v>
      </c>
      <c r="BF191" s="30" t="s">
        <v>814</v>
      </c>
      <c r="BG191" s="30" t="s">
        <v>341</v>
      </c>
      <c r="BL191" s="30" t="s">
        <v>831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360</v>
      </c>
      <c r="D192" s="30" t="s">
        <v>136</v>
      </c>
      <c r="E192" s="30" t="s">
        <v>288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691</v>
      </c>
      <c r="K192" s="30" t="s">
        <v>852</v>
      </c>
      <c r="M192" s="30" t="s">
        <v>135</v>
      </c>
      <c r="O192" s="31"/>
      <c r="P192" s="30"/>
      <c r="T192" s="37"/>
      <c r="U192" s="30"/>
      <c r="V192" s="31"/>
      <c r="W192" s="31" t="s">
        <v>473</v>
      </c>
      <c r="X192" s="47">
        <v>112</v>
      </c>
      <c r="Y192" s="42" t="s">
        <v>726</v>
      </c>
      <c r="Z192" s="42" t="s">
        <v>941</v>
      </c>
      <c r="AA192" s="42"/>
      <c r="AB192" s="30"/>
      <c r="AC192" s="30"/>
      <c r="AE192" s="30" t="s">
        <v>275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964</v>
      </c>
      <c r="BC192" s="30" t="s">
        <v>548</v>
      </c>
      <c r="BD192" s="30" t="s">
        <v>360</v>
      </c>
      <c r="BE192" s="30" t="s">
        <v>1375</v>
      </c>
      <c r="BF192" s="30" t="s">
        <v>545</v>
      </c>
      <c r="BG192" s="30" t="s">
        <v>377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360</v>
      </c>
      <c r="D193" s="30" t="s">
        <v>136</v>
      </c>
      <c r="E193" s="30" t="s">
        <v>921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756</v>
      </c>
      <c r="P193" s="30" t="s">
        <v>164</v>
      </c>
      <c r="Q193" s="30" t="s">
        <v>728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472</v>
      </c>
      <c r="X193" s="47">
        <v>112</v>
      </c>
      <c r="Y193" s="42" t="s">
        <v>724</v>
      </c>
      <c r="Z193" s="42" t="s">
        <v>941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965</v>
      </c>
      <c r="BC193" s="30" t="s">
        <v>548</v>
      </c>
      <c r="BD193" s="30" t="s">
        <v>360</v>
      </c>
      <c r="BE193" s="30" t="s">
        <v>1375</v>
      </c>
      <c r="BF193" s="30" t="s">
        <v>545</v>
      </c>
      <c r="BG193" s="30" t="s">
        <v>377</v>
      </c>
      <c r="BL193" s="30" t="s">
        <v>502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433</v>
      </c>
      <c r="D194" s="30" t="s">
        <v>136</v>
      </c>
      <c r="E194" s="30" t="s">
        <v>808</v>
      </c>
      <c r="F194" s="36" t="str">
        <f>IF(ISBLANK(Table2[[#This Row],[unique_id]]), "", PROPER(SUBSTITUTE(Table2[[#This Row],[unique_id]], "_", " ")))</f>
        <v>Ensuite Sconces</v>
      </c>
      <c r="G194" s="30" t="s">
        <v>812</v>
      </c>
      <c r="H194" s="30" t="s">
        <v>138</v>
      </c>
      <c r="I194" s="30" t="s">
        <v>131</v>
      </c>
      <c r="J194" s="30" t="s">
        <v>813</v>
      </c>
      <c r="K194" s="30" t="s">
        <v>851</v>
      </c>
      <c r="M194" s="30" t="s">
        <v>135</v>
      </c>
      <c r="O194" s="31"/>
      <c r="P194" s="30"/>
      <c r="T194" s="37"/>
      <c r="U194" s="30"/>
      <c r="V194" s="31"/>
      <c r="W194" s="31" t="s">
        <v>473</v>
      </c>
      <c r="X194" s="47">
        <v>118</v>
      </c>
      <c r="Y194" s="42" t="s">
        <v>726</v>
      </c>
      <c r="Z194" s="31" t="s">
        <v>1504</v>
      </c>
      <c r="AA194" s="31"/>
      <c r="AB194" s="30"/>
      <c r="AC194" s="30"/>
      <c r="AE194" s="30" t="s">
        <v>275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813</v>
      </c>
      <c r="BC194" s="30" t="s">
        <v>816</v>
      </c>
      <c r="BD194" s="30" t="s">
        <v>433</v>
      </c>
      <c r="BF194" s="30" t="s">
        <v>814</v>
      </c>
      <c r="BG194" s="30" t="s">
        <v>377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433</v>
      </c>
      <c r="D195" s="30" t="s">
        <v>136</v>
      </c>
      <c r="E195" s="30" t="s">
        <v>809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756</v>
      </c>
      <c r="P195" s="30" t="s">
        <v>164</v>
      </c>
      <c r="Q195" s="30" t="s">
        <v>728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472</v>
      </c>
      <c r="X195" s="47">
        <v>118</v>
      </c>
      <c r="Y195" s="42" t="s">
        <v>724</v>
      </c>
      <c r="Z195" s="31" t="s">
        <v>1504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951</v>
      </c>
      <c r="BC195" s="30" t="s">
        <v>816</v>
      </c>
      <c r="BD195" s="30" t="s">
        <v>433</v>
      </c>
      <c r="BF195" s="30" t="s">
        <v>814</v>
      </c>
      <c r="BG195" s="30" t="s">
        <v>377</v>
      </c>
      <c r="BL195" s="30" t="s">
        <v>815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433</v>
      </c>
      <c r="D196" s="30" t="s">
        <v>136</v>
      </c>
      <c r="E196" s="30" t="s">
        <v>810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756</v>
      </c>
      <c r="P196" s="30" t="s">
        <v>164</v>
      </c>
      <c r="Q196" s="30" t="s">
        <v>728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472</v>
      </c>
      <c r="X196" s="47">
        <v>118</v>
      </c>
      <c r="Y196" s="42" t="s">
        <v>724</v>
      </c>
      <c r="Z196" s="31" t="s">
        <v>1504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952</v>
      </c>
      <c r="BC196" s="30" t="s">
        <v>816</v>
      </c>
      <c r="BD196" s="30" t="s">
        <v>433</v>
      </c>
      <c r="BF196" s="30" t="s">
        <v>814</v>
      </c>
      <c r="BG196" s="30" t="s">
        <v>377</v>
      </c>
      <c r="BL196" s="30" t="s">
        <v>817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433</v>
      </c>
      <c r="D197" s="30" t="s">
        <v>136</v>
      </c>
      <c r="E197" s="30" t="s">
        <v>811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756</v>
      </c>
      <c r="P197" s="30" t="s">
        <v>164</v>
      </c>
      <c r="Q197" s="30" t="s">
        <v>728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472</v>
      </c>
      <c r="X197" s="47">
        <v>118</v>
      </c>
      <c r="Y197" s="42" t="s">
        <v>724</v>
      </c>
      <c r="Z197" s="31" t="s">
        <v>1504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955</v>
      </c>
      <c r="BC197" s="30" t="s">
        <v>816</v>
      </c>
      <c r="BD197" s="30" t="s">
        <v>433</v>
      </c>
      <c r="BF197" s="30" t="s">
        <v>814</v>
      </c>
      <c r="BG197" s="30" t="s">
        <v>377</v>
      </c>
      <c r="BL197" s="30" t="s">
        <v>818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360</v>
      </c>
      <c r="D198" s="30" t="s">
        <v>136</v>
      </c>
      <c r="E198" s="30" t="s">
        <v>289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691</v>
      </c>
      <c r="K198" s="39" t="s">
        <v>849</v>
      </c>
      <c r="M198" s="30" t="s">
        <v>135</v>
      </c>
      <c r="O198" s="31"/>
      <c r="P198" s="30"/>
      <c r="T198" s="37"/>
      <c r="U198" s="30"/>
      <c r="V198" s="31"/>
      <c r="W198" s="31" t="s">
        <v>473</v>
      </c>
      <c r="X198" s="47">
        <v>113</v>
      </c>
      <c r="Y198" s="42" t="s">
        <v>726</v>
      </c>
      <c r="Z198" s="42" t="s">
        <v>940</v>
      </c>
      <c r="AA198" s="42"/>
      <c r="AB198" s="30"/>
      <c r="AC198" s="30"/>
      <c r="AE198" s="30" t="s">
        <v>275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964</v>
      </c>
      <c r="BC198" s="30" t="s">
        <v>548</v>
      </c>
      <c r="BD198" s="30" t="s">
        <v>360</v>
      </c>
      <c r="BE198" s="30" t="s">
        <v>1375</v>
      </c>
      <c r="BF198" s="30" t="s">
        <v>545</v>
      </c>
      <c r="BG198" s="30" t="s">
        <v>478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360</v>
      </c>
      <c r="D199" s="30" t="s">
        <v>136</v>
      </c>
      <c r="E199" s="30" t="s">
        <v>922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756</v>
      </c>
      <c r="P199" s="30" t="s">
        <v>164</v>
      </c>
      <c r="Q199" s="30" t="s">
        <v>728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472</v>
      </c>
      <c r="X199" s="47">
        <v>113</v>
      </c>
      <c r="Y199" s="42" t="s">
        <v>724</v>
      </c>
      <c r="Z199" s="42" t="s">
        <v>940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965</v>
      </c>
      <c r="BC199" s="30" t="s">
        <v>548</v>
      </c>
      <c r="BD199" s="30" t="s">
        <v>360</v>
      </c>
      <c r="BE199" s="30" t="s">
        <v>1375</v>
      </c>
      <c r="BF199" s="30" t="s">
        <v>545</v>
      </c>
      <c r="BG199" s="30" t="s">
        <v>478</v>
      </c>
      <c r="BL199" s="30" t="s">
        <v>503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562</v>
      </c>
      <c r="C200" s="54" t="s">
        <v>776</v>
      </c>
      <c r="D200" s="54" t="s">
        <v>147</v>
      </c>
      <c r="E200" s="55" t="s">
        <v>1348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278</v>
      </c>
      <c r="H200" s="54" t="s">
        <v>138</v>
      </c>
      <c r="I200" s="54" t="s">
        <v>131</v>
      </c>
      <c r="O200" s="57" t="s">
        <v>756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695</v>
      </c>
      <c r="BC200" s="54" t="s">
        <v>343</v>
      </c>
      <c r="BD200" s="54" t="s">
        <v>231</v>
      </c>
      <c r="BF200" s="54" t="s">
        <v>344</v>
      </c>
      <c r="BG200" s="54" t="s">
        <v>340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562</v>
      </c>
      <c r="C201" s="54" t="s">
        <v>231</v>
      </c>
      <c r="D201" s="54" t="s">
        <v>133</v>
      </c>
      <c r="E201" s="54" t="s">
        <v>1349</v>
      </c>
      <c r="F201" s="56" t="str">
        <f>IF(ISBLANK(Table2[[#This Row],[unique_id]]), "", PROPER(SUBSTITUTE(Table2[[#This Row],[unique_id]], "_", " ")))</f>
        <v>Broken Deck Festoons Plug</v>
      </c>
      <c r="G201" s="54" t="s">
        <v>278</v>
      </c>
      <c r="H201" s="54" t="s">
        <v>138</v>
      </c>
      <c r="I201" s="54" t="s">
        <v>131</v>
      </c>
      <c r="O201" s="57" t="s">
        <v>756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275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695</v>
      </c>
      <c r="BC201" s="54" t="s">
        <v>343</v>
      </c>
      <c r="BD201" s="54" t="s">
        <v>231</v>
      </c>
      <c r="BF201" s="54" t="s">
        <v>344</v>
      </c>
      <c r="BG201" s="54" t="s">
        <v>340</v>
      </c>
      <c r="BJ201" s="54" t="s">
        <v>944</v>
      </c>
      <c r="BK201" s="54" t="s">
        <v>1215</v>
      </c>
      <c r="BL201" s="54" t="s">
        <v>544</v>
      </c>
      <c r="BM201" s="54" t="s">
        <v>1242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776</v>
      </c>
      <c r="D202" s="30" t="s">
        <v>147</v>
      </c>
      <c r="E202" s="37" t="s">
        <v>923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756</v>
      </c>
      <c r="P202" s="30" t="s">
        <v>164</v>
      </c>
      <c r="Q202" s="30" t="s">
        <v>728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1036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695</v>
      </c>
      <c r="BC202" s="30" t="s">
        <v>1078</v>
      </c>
      <c r="BD202" s="30" t="s">
        <v>1077</v>
      </c>
      <c r="BF202" s="30" t="s">
        <v>855</v>
      </c>
      <c r="BG202" s="30" t="s">
        <v>340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678</v>
      </c>
      <c r="D203" s="30" t="s">
        <v>136</v>
      </c>
      <c r="E203" s="30" t="s">
        <v>800</v>
      </c>
      <c r="F203" s="36" t="str">
        <f>IF(ISBLANK(Table2[[#This Row],[unique_id]]), "", PROPER(SUBSTITUTE(Table2[[#This Row],[unique_id]], "_", " ")))</f>
        <v>Deck Festoons Plug</v>
      </c>
      <c r="G203" s="30" t="s">
        <v>278</v>
      </c>
      <c r="H203" s="30" t="s">
        <v>138</v>
      </c>
      <c r="I203" s="30" t="s">
        <v>131</v>
      </c>
      <c r="J203" s="30" t="s">
        <v>695</v>
      </c>
      <c r="M203" s="30" t="s">
        <v>135</v>
      </c>
      <c r="O203" s="31" t="s">
        <v>756</v>
      </c>
      <c r="P203" s="30" t="s">
        <v>164</v>
      </c>
      <c r="Q203" s="30" t="s">
        <v>728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1018</v>
      </c>
      <c r="U203" s="30"/>
      <c r="V203" s="31"/>
      <c r="W203" s="31"/>
      <c r="X203" s="31"/>
      <c r="Y203" s="31"/>
      <c r="Z203" s="31"/>
      <c r="AA203" s="42" t="s">
        <v>1070</v>
      </c>
      <c r="AB203" s="30"/>
      <c r="AC203" s="30"/>
      <c r="AE203" s="30" t="s">
        <v>275</v>
      </c>
      <c r="AF203" s="30">
        <v>10</v>
      </c>
      <c r="AG203" s="31" t="s">
        <v>34</v>
      </c>
      <c r="AH203" s="31" t="s">
        <v>865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884</v>
      </c>
      <c r="AO203" s="30" t="s">
        <v>885</v>
      </c>
      <c r="AP203" s="30" t="s">
        <v>874</v>
      </c>
      <c r="AQ203" s="30" t="s">
        <v>875</v>
      </c>
      <c r="AR203" s="30" t="s">
        <v>938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695</v>
      </c>
      <c r="BC203" s="30" t="s">
        <v>1078</v>
      </c>
      <c r="BD203" s="30" t="s">
        <v>1077</v>
      </c>
      <c r="BF203" s="30" t="s">
        <v>855</v>
      </c>
      <c r="BG203" s="30" t="s">
        <v>340</v>
      </c>
      <c r="BK203" s="30" t="s">
        <v>1215</v>
      </c>
      <c r="BL203" s="30" t="s">
        <v>1020</v>
      </c>
      <c r="BM203" s="30" t="s">
        <v>1243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678</v>
      </c>
      <c r="D204" s="30" t="s">
        <v>27</v>
      </c>
      <c r="E204" s="30" t="s">
        <v>1015</v>
      </c>
      <c r="F204" s="36" t="str">
        <f>IF(ISBLANK(Table2[[#This Row],[unique_id]]), "", PROPER(SUBSTITUTE(Table2[[#This Row],[unique_id]], "_", " ")))</f>
        <v>Deck Festoons Plug Humidity</v>
      </c>
      <c r="G204" s="30" t="s">
        <v>278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865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884</v>
      </c>
      <c r="AO204" s="30" t="s">
        <v>885</v>
      </c>
      <c r="AP204" s="30" t="s">
        <v>874</v>
      </c>
      <c r="AQ204" s="30" t="s">
        <v>875</v>
      </c>
      <c r="AR204" s="30" t="s">
        <v>1162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695</v>
      </c>
      <c r="BC204" s="30" t="s">
        <v>1078</v>
      </c>
      <c r="BD204" s="30" t="s">
        <v>1077</v>
      </c>
      <c r="BF204" s="30" t="s">
        <v>855</v>
      </c>
      <c r="BG204" s="30" t="s">
        <v>340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562</v>
      </c>
      <c r="C205" s="54" t="s">
        <v>776</v>
      </c>
      <c r="D205" s="54" t="s">
        <v>147</v>
      </c>
      <c r="E205" s="55" t="s">
        <v>1350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541</v>
      </c>
      <c r="H205" s="54" t="s">
        <v>138</v>
      </c>
      <c r="I205" s="54" t="s">
        <v>131</v>
      </c>
      <c r="O205" s="57" t="s">
        <v>756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695</v>
      </c>
      <c r="BC205" s="54" t="s">
        <v>343</v>
      </c>
      <c r="BD205" s="54" t="s">
        <v>231</v>
      </c>
      <c r="BF205" s="54" t="s">
        <v>344</v>
      </c>
      <c r="BG205" s="54" t="s">
        <v>542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562</v>
      </c>
      <c r="C206" s="54" t="s">
        <v>231</v>
      </c>
      <c r="D206" s="54" t="s">
        <v>133</v>
      </c>
      <c r="E206" s="54" t="s">
        <v>1351</v>
      </c>
      <c r="F206" s="56" t="str">
        <f>IF(ISBLANK(Table2[[#This Row],[unique_id]]), "", PROPER(SUBSTITUTE(Table2[[#This Row],[unique_id]], "_", " ")))</f>
        <v>Broken Landing Festoons Plug</v>
      </c>
      <c r="G206" s="54" t="s">
        <v>541</v>
      </c>
      <c r="H206" s="54" t="s">
        <v>138</v>
      </c>
      <c r="I206" s="54" t="s">
        <v>131</v>
      </c>
      <c r="O206" s="57" t="s">
        <v>756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275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695</v>
      </c>
      <c r="BC206" s="54" t="s">
        <v>343</v>
      </c>
      <c r="BD206" s="54" t="s">
        <v>231</v>
      </c>
      <c r="BF206" s="54" t="s">
        <v>344</v>
      </c>
      <c r="BG206" s="54" t="s">
        <v>542</v>
      </c>
      <c r="BJ206" s="54" t="s">
        <v>944</v>
      </c>
      <c r="BK206" s="54" t="s">
        <v>1215</v>
      </c>
      <c r="BL206" s="54" t="s">
        <v>543</v>
      </c>
      <c r="BM206" s="54" t="s">
        <v>1244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776</v>
      </c>
      <c r="D207" s="30" t="s">
        <v>147</v>
      </c>
      <c r="E207" s="37" t="s">
        <v>924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756</v>
      </c>
      <c r="P207" s="30" t="s">
        <v>164</v>
      </c>
      <c r="Q207" s="30" t="s">
        <v>728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1036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695</v>
      </c>
      <c r="BC207" s="30" t="s">
        <v>1079</v>
      </c>
      <c r="BD207" s="30" t="s">
        <v>1077</v>
      </c>
      <c r="BF207" s="30" t="s">
        <v>855</v>
      </c>
      <c r="BG207" s="30" t="s">
        <v>542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678</v>
      </c>
      <c r="D208" s="30" t="s">
        <v>136</v>
      </c>
      <c r="E208" s="30" t="s">
        <v>801</v>
      </c>
      <c r="F208" s="36" t="str">
        <f>IF(ISBLANK(Table2[[#This Row],[unique_id]]), "", PROPER(SUBSTITUTE(Table2[[#This Row],[unique_id]], "_", " ")))</f>
        <v>Landing Festoons Plug</v>
      </c>
      <c r="G208" s="30" t="s">
        <v>541</v>
      </c>
      <c r="H208" s="30" t="s">
        <v>138</v>
      </c>
      <c r="I208" s="30" t="s">
        <v>131</v>
      </c>
      <c r="J208" s="30" t="s">
        <v>695</v>
      </c>
      <c r="M208" s="30" t="s">
        <v>135</v>
      </c>
      <c r="O208" s="31" t="s">
        <v>756</v>
      </c>
      <c r="P208" s="30" t="s">
        <v>164</v>
      </c>
      <c r="Q208" s="30" t="s">
        <v>728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1017</v>
      </c>
      <c r="U208" s="30"/>
      <c r="V208" s="31"/>
      <c r="W208" s="31"/>
      <c r="X208" s="31"/>
      <c r="Y208" s="31"/>
      <c r="Z208" s="31"/>
      <c r="AA208" s="42" t="s">
        <v>1070</v>
      </c>
      <c r="AB208" s="30"/>
      <c r="AC208" s="30"/>
      <c r="AE208" s="30" t="s">
        <v>275</v>
      </c>
      <c r="AF208" s="30">
        <v>10</v>
      </c>
      <c r="AG208" s="31" t="s">
        <v>34</v>
      </c>
      <c r="AH208" s="31" t="s">
        <v>865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884</v>
      </c>
      <c r="AO208" s="30" t="s">
        <v>885</v>
      </c>
      <c r="AP208" s="30" t="s">
        <v>874</v>
      </c>
      <c r="AQ208" s="30" t="s">
        <v>875</v>
      </c>
      <c r="AR208" s="30" t="s">
        <v>938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695</v>
      </c>
      <c r="BC208" s="30" t="s">
        <v>1079</v>
      </c>
      <c r="BD208" s="30" t="s">
        <v>1077</v>
      </c>
      <c r="BF208" s="30" t="s">
        <v>855</v>
      </c>
      <c r="BG208" s="30" t="s">
        <v>542</v>
      </c>
      <c r="BK208" s="30" t="s">
        <v>1215</v>
      </c>
      <c r="BL208" s="30" t="s">
        <v>1019</v>
      </c>
      <c r="BM208" s="30" t="s">
        <v>1245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562</v>
      </c>
      <c r="C209" s="30" t="s">
        <v>360</v>
      </c>
      <c r="D209" s="30" t="s">
        <v>136</v>
      </c>
      <c r="E209" s="30" t="s">
        <v>557</v>
      </c>
      <c r="F209" s="36" t="str">
        <f>IF(ISBLANK(Table2[[#This Row],[unique_id]]), "", PROPER(SUBSTITUTE(Table2[[#This Row],[unique_id]], "_", " ")))</f>
        <v>Garden Pedestals</v>
      </c>
      <c r="G209" s="30" t="s">
        <v>558</v>
      </c>
      <c r="H209" s="30" t="s">
        <v>138</v>
      </c>
      <c r="I209" s="30" t="s">
        <v>131</v>
      </c>
      <c r="J209" s="30" t="s">
        <v>694</v>
      </c>
      <c r="O209" s="31"/>
      <c r="P209" s="30"/>
      <c r="T209" s="37"/>
      <c r="U209" s="30"/>
      <c r="V209" s="31"/>
      <c r="W209" s="31" t="s">
        <v>473</v>
      </c>
      <c r="X209" s="47">
        <v>115</v>
      </c>
      <c r="Y209" s="42" t="s">
        <v>727</v>
      </c>
      <c r="Z209" s="42"/>
      <c r="AA209" s="42"/>
      <c r="AB209" s="30"/>
      <c r="AC209" s="30"/>
      <c r="AE209" s="30" t="s">
        <v>275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694</v>
      </c>
      <c r="BC209" s="30" t="s">
        <v>549</v>
      </c>
      <c r="BD209" s="30" t="s">
        <v>360</v>
      </c>
      <c r="BE209" s="30" t="s">
        <v>1375</v>
      </c>
      <c r="BF209" s="30" t="s">
        <v>547</v>
      </c>
      <c r="BG209" s="30" t="s">
        <v>559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562</v>
      </c>
      <c r="C210" s="30" t="s">
        <v>360</v>
      </c>
      <c r="D210" s="30" t="s">
        <v>136</v>
      </c>
      <c r="E210" s="30" t="s">
        <v>925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728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472</v>
      </c>
      <c r="X210" s="47">
        <v>115</v>
      </c>
      <c r="Y210" s="42" t="s">
        <v>724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971</v>
      </c>
      <c r="BC210" s="30" t="s">
        <v>549</v>
      </c>
      <c r="BD210" s="30" t="s">
        <v>360</v>
      </c>
      <c r="BE210" s="30" t="s">
        <v>1375</v>
      </c>
      <c r="BF210" s="30" t="s">
        <v>547</v>
      </c>
      <c r="BG210" s="30" t="s">
        <v>559</v>
      </c>
      <c r="BL210" s="30" t="s">
        <v>546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562</v>
      </c>
      <c r="C211" s="30" t="s">
        <v>360</v>
      </c>
      <c r="D211" s="30" t="s">
        <v>136</v>
      </c>
      <c r="E211" s="30" t="s">
        <v>926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728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472</v>
      </c>
      <c r="X211" s="47">
        <v>115</v>
      </c>
      <c r="Y211" s="42" t="s">
        <v>724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972</v>
      </c>
      <c r="BC211" s="30" t="s">
        <v>549</v>
      </c>
      <c r="BD211" s="30" t="s">
        <v>360</v>
      </c>
      <c r="BE211" s="30" t="s">
        <v>1375</v>
      </c>
      <c r="BF211" s="30" t="s">
        <v>547</v>
      </c>
      <c r="BG211" s="30" t="s">
        <v>559</v>
      </c>
      <c r="BL211" s="30" t="s">
        <v>550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562</v>
      </c>
      <c r="C212" s="30" t="s">
        <v>360</v>
      </c>
      <c r="D212" s="30" t="s">
        <v>136</v>
      </c>
      <c r="E212" s="30" t="s">
        <v>927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728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472</v>
      </c>
      <c r="X212" s="47">
        <v>115</v>
      </c>
      <c r="Y212" s="42" t="s">
        <v>724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973</v>
      </c>
      <c r="BC212" s="30" t="s">
        <v>549</v>
      </c>
      <c r="BD212" s="30" t="s">
        <v>360</v>
      </c>
      <c r="BE212" s="30" t="s">
        <v>1375</v>
      </c>
      <c r="BF212" s="30" t="s">
        <v>547</v>
      </c>
      <c r="BG212" s="30" t="s">
        <v>559</v>
      </c>
      <c r="BL212" s="30" t="s">
        <v>551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562</v>
      </c>
      <c r="C213" s="30" t="s">
        <v>360</v>
      </c>
      <c r="D213" s="30" t="s">
        <v>136</v>
      </c>
      <c r="E213" s="30" t="s">
        <v>928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728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472</v>
      </c>
      <c r="X213" s="47">
        <v>115</v>
      </c>
      <c r="Y213" s="42" t="s">
        <v>724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974</v>
      </c>
      <c r="BC213" s="30" t="s">
        <v>549</v>
      </c>
      <c r="BD213" s="30" t="s">
        <v>360</v>
      </c>
      <c r="BE213" s="30" t="s">
        <v>1375</v>
      </c>
      <c r="BF213" s="30" t="s">
        <v>547</v>
      </c>
      <c r="BG213" s="30" t="s">
        <v>559</v>
      </c>
      <c r="BL213" s="30" t="s">
        <v>552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562</v>
      </c>
      <c r="C214" s="30" t="s">
        <v>360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472</v>
      </c>
      <c r="X214" s="47">
        <v>115</v>
      </c>
      <c r="Y214" s="42" t="s">
        <v>724</v>
      </c>
      <c r="Z214" s="42" t="s">
        <v>943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975</v>
      </c>
      <c r="BC214" s="30" t="s">
        <v>549</v>
      </c>
      <c r="BD214" s="30" t="s">
        <v>360</v>
      </c>
      <c r="BE214" s="30" t="s">
        <v>1375</v>
      </c>
      <c r="BF214" s="30" t="s">
        <v>547</v>
      </c>
      <c r="BG214" s="30" t="s">
        <v>559</v>
      </c>
      <c r="BL214" s="30" t="s">
        <v>1021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562</v>
      </c>
      <c r="C215" s="30" t="s">
        <v>360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472</v>
      </c>
      <c r="X215" s="47">
        <v>115</v>
      </c>
      <c r="Y215" s="42" t="s">
        <v>724</v>
      </c>
      <c r="Z215" s="42" t="s">
        <v>943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976</v>
      </c>
      <c r="BC215" s="30" t="s">
        <v>549</v>
      </c>
      <c r="BD215" s="30" t="s">
        <v>360</v>
      </c>
      <c r="BE215" s="30" t="s">
        <v>1375</v>
      </c>
      <c r="BF215" s="30" t="s">
        <v>547</v>
      </c>
      <c r="BG215" s="30" t="s">
        <v>559</v>
      </c>
      <c r="BL215" s="30" t="s">
        <v>1021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562</v>
      </c>
      <c r="C216" s="30" t="s">
        <v>360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472</v>
      </c>
      <c r="X216" s="47">
        <v>115</v>
      </c>
      <c r="Y216" s="42" t="s">
        <v>724</v>
      </c>
      <c r="Z216" s="42" t="s">
        <v>943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977</v>
      </c>
      <c r="BC216" s="30" t="s">
        <v>549</v>
      </c>
      <c r="BD216" s="30" t="s">
        <v>360</v>
      </c>
      <c r="BE216" s="30" t="s">
        <v>1375</v>
      </c>
      <c r="BF216" s="30" t="s">
        <v>547</v>
      </c>
      <c r="BG216" s="30" t="s">
        <v>559</v>
      </c>
      <c r="BL216" s="30" t="s">
        <v>1021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562</v>
      </c>
      <c r="C217" s="30" t="s">
        <v>360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472</v>
      </c>
      <c r="X217" s="47">
        <v>115</v>
      </c>
      <c r="Y217" s="42" t="s">
        <v>724</v>
      </c>
      <c r="Z217" s="42" t="s">
        <v>943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978</v>
      </c>
      <c r="BC217" s="30" t="s">
        <v>549</v>
      </c>
      <c r="BD217" s="30" t="s">
        <v>360</v>
      </c>
      <c r="BE217" s="30" t="s">
        <v>1375</v>
      </c>
      <c r="BF217" s="30" t="s">
        <v>547</v>
      </c>
      <c r="BG217" s="30" t="s">
        <v>559</v>
      </c>
      <c r="BL217" s="30" t="s">
        <v>1021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360</v>
      </c>
      <c r="D218" s="30" t="s">
        <v>136</v>
      </c>
      <c r="E218" s="30" t="s">
        <v>560</v>
      </c>
      <c r="F218" s="36" t="str">
        <f>IF(ISBLANK(Table2[[#This Row],[unique_id]]), "", PROPER(SUBSTITUTE(Table2[[#This Row],[unique_id]], "_", " ")))</f>
        <v>Tree Spotlights</v>
      </c>
      <c r="G218" s="30" t="s">
        <v>556</v>
      </c>
      <c r="H218" s="30" t="s">
        <v>138</v>
      </c>
      <c r="I218" s="30" t="s">
        <v>131</v>
      </c>
      <c r="J218" s="30" t="s">
        <v>696</v>
      </c>
      <c r="O218" s="31"/>
      <c r="P218" s="30"/>
      <c r="T218" s="37"/>
      <c r="U218" s="30"/>
      <c r="V218" s="31"/>
      <c r="W218" s="31" t="s">
        <v>473</v>
      </c>
      <c r="X218" s="47">
        <v>116</v>
      </c>
      <c r="Y218" s="42" t="s">
        <v>727</v>
      </c>
      <c r="Z218" s="42"/>
      <c r="AA218" s="42"/>
      <c r="AB218" s="30"/>
      <c r="AC218" s="30"/>
      <c r="AE218" s="30" t="s">
        <v>275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696</v>
      </c>
      <c r="BC218" s="30" t="s">
        <v>555</v>
      </c>
      <c r="BD218" s="30" t="s">
        <v>360</v>
      </c>
      <c r="BE218" s="30" t="s">
        <v>1375</v>
      </c>
      <c r="BF218" s="30" t="s">
        <v>547</v>
      </c>
      <c r="BG218" s="30" t="s">
        <v>554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562</v>
      </c>
      <c r="C219" s="30" t="s">
        <v>360</v>
      </c>
      <c r="D219" s="30" t="s">
        <v>136</v>
      </c>
      <c r="E219" s="30" t="s">
        <v>929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756</v>
      </c>
      <c r="P219" s="30" t="s">
        <v>164</v>
      </c>
      <c r="Q219" s="30" t="s">
        <v>728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472</v>
      </c>
      <c r="X219" s="47">
        <v>116</v>
      </c>
      <c r="Y219" s="42" t="s">
        <v>724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979</v>
      </c>
      <c r="BC219" s="30" t="s">
        <v>555</v>
      </c>
      <c r="BD219" s="30" t="s">
        <v>360</v>
      </c>
      <c r="BE219" s="30" t="s">
        <v>1375</v>
      </c>
      <c r="BF219" s="30" t="s">
        <v>547</v>
      </c>
      <c r="BG219" s="30" t="s">
        <v>554</v>
      </c>
      <c r="BL219" s="30" t="s">
        <v>553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562</v>
      </c>
      <c r="C220" s="30" t="s">
        <v>360</v>
      </c>
      <c r="D220" s="30" t="s">
        <v>136</v>
      </c>
      <c r="E220" s="30" t="s">
        <v>930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756</v>
      </c>
      <c r="P220" s="30" t="s">
        <v>164</v>
      </c>
      <c r="Q220" s="30" t="s">
        <v>728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472</v>
      </c>
      <c r="X220" s="47">
        <v>116</v>
      </c>
      <c r="Y220" s="42" t="s">
        <v>724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980</v>
      </c>
      <c r="BC220" s="30" t="s">
        <v>555</v>
      </c>
      <c r="BD220" s="30" t="s">
        <v>360</v>
      </c>
      <c r="BE220" s="30" t="s">
        <v>1375</v>
      </c>
      <c r="BF220" s="30" t="s">
        <v>547</v>
      </c>
      <c r="BG220" s="30" t="s">
        <v>554</v>
      </c>
      <c r="BL220" s="30" t="s">
        <v>561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562</v>
      </c>
      <c r="C221" s="30" t="s">
        <v>360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472</v>
      </c>
      <c r="X221" s="47">
        <v>116</v>
      </c>
      <c r="Y221" s="42" t="s">
        <v>724</v>
      </c>
      <c r="Z221" s="42" t="s">
        <v>943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981</v>
      </c>
      <c r="BC221" s="30" t="s">
        <v>555</v>
      </c>
      <c r="BD221" s="30" t="s">
        <v>360</v>
      </c>
      <c r="BE221" s="30" t="s">
        <v>1375</v>
      </c>
      <c r="BF221" s="30" t="s">
        <v>547</v>
      </c>
      <c r="BG221" s="30" t="s">
        <v>554</v>
      </c>
      <c r="BL221" s="30" t="s">
        <v>1021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423</v>
      </c>
      <c r="D222" s="30" t="s">
        <v>316</v>
      </c>
      <c r="E222" s="30" t="s">
        <v>315</v>
      </c>
      <c r="F222" s="36" t="str">
        <f>IF(ISBLANK(Table2[[#This Row],[unique_id]]), "", PROPER(SUBSTITUTE(Table2[[#This Row],[unique_id]], "_", " ")))</f>
        <v>Column Break</v>
      </c>
      <c r="G222" s="30" t="s">
        <v>312</v>
      </c>
      <c r="H222" s="30" t="s">
        <v>138</v>
      </c>
      <c r="I222" s="30" t="s">
        <v>131</v>
      </c>
      <c r="M222" s="30" t="s">
        <v>313</v>
      </c>
      <c r="N222" s="30" t="s">
        <v>314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776</v>
      </c>
      <c r="D223" s="30" t="s">
        <v>147</v>
      </c>
      <c r="E223" s="37" t="s">
        <v>931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431</v>
      </c>
      <c r="H223" s="30" t="s">
        <v>635</v>
      </c>
      <c r="I223" s="30" t="s">
        <v>131</v>
      </c>
      <c r="O223" s="31" t="s">
        <v>756</v>
      </c>
      <c r="P223" s="30" t="s">
        <v>164</v>
      </c>
      <c r="Q223" s="39" t="s">
        <v>729</v>
      </c>
      <c r="R223" s="30" t="str">
        <f>Table2[[#This Row],[entity_domain]]</f>
        <v>Heating &amp; Cooling</v>
      </c>
      <c r="S223" s="30" t="s">
        <v>431</v>
      </c>
      <c r="T223" s="37" t="s">
        <v>1035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987</v>
      </c>
      <c r="BC223" s="30" t="s">
        <v>342</v>
      </c>
      <c r="BD223" s="30" t="s">
        <v>231</v>
      </c>
      <c r="BF223" s="30" t="s">
        <v>345</v>
      </c>
      <c r="BG223" s="30" t="s">
        <v>341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802</v>
      </c>
      <c r="F224" s="36" t="str">
        <f>IF(ISBLANK(Table2[[#This Row],[unique_id]]), "", PROPER(SUBSTITUTE(Table2[[#This Row],[unique_id]], "_", " ")))</f>
        <v>Bathroom Rails Plug</v>
      </c>
      <c r="G224" s="30" t="s">
        <v>431</v>
      </c>
      <c r="H224" s="30" t="s">
        <v>635</v>
      </c>
      <c r="I224" s="30" t="s">
        <v>131</v>
      </c>
      <c r="J224" s="30" t="s">
        <v>431</v>
      </c>
      <c r="M224" s="30" t="s">
        <v>255</v>
      </c>
      <c r="O224" s="31" t="s">
        <v>756</v>
      </c>
      <c r="P224" s="30" t="s">
        <v>164</v>
      </c>
      <c r="Q224" s="39" t="s">
        <v>729</v>
      </c>
      <c r="R224" s="30" t="str">
        <f>Table2[[#This Row],[entity_domain]]</f>
        <v>Heating &amp; Cooling</v>
      </c>
      <c r="S224" s="30" t="s">
        <v>431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987</v>
      </c>
      <c r="BC224" s="30" t="s">
        <v>342</v>
      </c>
      <c r="BD224" s="30" t="s">
        <v>231</v>
      </c>
      <c r="BF224" s="30" t="s">
        <v>345</v>
      </c>
      <c r="BG224" s="30" t="s">
        <v>341</v>
      </c>
      <c r="BJ224" s="30" t="s">
        <v>945</v>
      </c>
      <c r="BK224" s="30" t="s">
        <v>1215</v>
      </c>
      <c r="BL224" s="30" t="s">
        <v>333</v>
      </c>
      <c r="BM224" s="30" t="s">
        <v>1246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776</v>
      </c>
      <c r="D225" s="30" t="s">
        <v>147</v>
      </c>
      <c r="E225" s="37" t="s">
        <v>1057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1130</v>
      </c>
      <c r="H225" s="30" t="s">
        <v>635</v>
      </c>
      <c r="I225" s="30" t="s">
        <v>131</v>
      </c>
      <c r="O225" s="31" t="s">
        <v>756</v>
      </c>
      <c r="P225" s="30" t="s">
        <v>164</v>
      </c>
      <c r="Q225" s="39" t="s">
        <v>729</v>
      </c>
      <c r="R225" s="30" t="str">
        <f>Table2[[#This Row],[entity_domain]]</f>
        <v>Heating &amp; Cooling</v>
      </c>
      <c r="S225" s="30" t="s">
        <v>428</v>
      </c>
      <c r="T225" s="37" t="s">
        <v>1035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428</v>
      </c>
      <c r="BC225" s="30" t="s">
        <v>426</v>
      </c>
      <c r="BD225" s="30" t="s">
        <v>1077</v>
      </c>
      <c r="BF225" s="30" t="s">
        <v>855</v>
      </c>
      <c r="BG225" s="30" t="s">
        <v>386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678</v>
      </c>
      <c r="D226" s="30" t="s">
        <v>133</v>
      </c>
      <c r="E226" s="30" t="s">
        <v>1058</v>
      </c>
      <c r="F226" s="36" t="str">
        <f>IF(ISBLANK(Table2[[#This Row],[unique_id]]), "", PROPER(SUBSTITUTE(Table2[[#This Row],[unique_id]], "_", " ")))</f>
        <v>Ceiling Water Booster Plug</v>
      </c>
      <c r="G226" s="30" t="s">
        <v>1130</v>
      </c>
      <c r="H226" s="30" t="s">
        <v>635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756</v>
      </c>
      <c r="P226" s="30" t="s">
        <v>164</v>
      </c>
      <c r="Q226" s="30" t="s">
        <v>729</v>
      </c>
      <c r="R226" s="30" t="str">
        <f>Table2[[#This Row],[entity_domain]]</f>
        <v>Heating &amp; Cooling</v>
      </c>
      <c r="S226" s="30" t="s">
        <v>428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1074</v>
      </c>
      <c r="AB226" s="30"/>
      <c r="AC226" s="30"/>
      <c r="AE226" s="30" t="s">
        <v>427</v>
      </c>
      <c r="AF226" s="30">
        <v>10</v>
      </c>
      <c r="AG226" s="31" t="s">
        <v>34</v>
      </c>
      <c r="AH226" s="31" t="s">
        <v>865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884</v>
      </c>
      <c r="AO226" s="30" t="s">
        <v>885</v>
      </c>
      <c r="AP226" s="30" t="s">
        <v>874</v>
      </c>
      <c r="AQ226" s="30" t="s">
        <v>875</v>
      </c>
      <c r="AR226" s="30" t="s">
        <v>938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428</v>
      </c>
      <c r="BC226" s="30" t="s">
        <v>426</v>
      </c>
      <c r="BD226" s="30" t="s">
        <v>1077</v>
      </c>
      <c r="BF226" s="30" t="s">
        <v>855</v>
      </c>
      <c r="BG226" s="30" t="s">
        <v>386</v>
      </c>
      <c r="BK226" s="30" t="s">
        <v>1215</v>
      </c>
      <c r="BL226" s="30" t="s">
        <v>425</v>
      </c>
      <c r="BM226" s="30" t="s">
        <v>1247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678</v>
      </c>
      <c r="D227" s="30" t="s">
        <v>27</v>
      </c>
      <c r="E227" s="30" t="s">
        <v>1059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868</v>
      </c>
      <c r="H227" s="30" t="s">
        <v>635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310</v>
      </c>
      <c r="AD227" s="30" t="s">
        <v>866</v>
      </c>
      <c r="AF227" s="30">
        <v>10</v>
      </c>
      <c r="AG227" s="31" t="s">
        <v>34</v>
      </c>
      <c r="AH227" s="31" t="s">
        <v>865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884</v>
      </c>
      <c r="AO227" s="30" t="s">
        <v>885</v>
      </c>
      <c r="AP227" s="30" t="s">
        <v>874</v>
      </c>
      <c r="AQ227" s="30" t="s">
        <v>875</v>
      </c>
      <c r="AR227" s="30" t="s">
        <v>1071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428</v>
      </c>
      <c r="BC227" s="30" t="s">
        <v>426</v>
      </c>
      <c r="BD227" s="30" t="s">
        <v>1077</v>
      </c>
      <c r="BF227" s="30" t="s">
        <v>855</v>
      </c>
      <c r="BG227" s="30" t="s">
        <v>386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678</v>
      </c>
      <c r="D228" s="30" t="s">
        <v>27</v>
      </c>
      <c r="E228" s="30" t="s">
        <v>1060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869</v>
      </c>
      <c r="H228" s="30" t="s">
        <v>635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311</v>
      </c>
      <c r="AD228" s="30" t="s">
        <v>867</v>
      </c>
      <c r="AF228" s="30">
        <v>10</v>
      </c>
      <c r="AG228" s="31" t="s">
        <v>34</v>
      </c>
      <c r="AH228" s="31" t="s">
        <v>865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884</v>
      </c>
      <c r="AO228" s="30" t="s">
        <v>885</v>
      </c>
      <c r="AP228" s="30" t="s">
        <v>874</v>
      </c>
      <c r="AQ228" s="30" t="s">
        <v>875</v>
      </c>
      <c r="AR228" s="30" t="s">
        <v>1072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428</v>
      </c>
      <c r="BC228" s="30" t="s">
        <v>426</v>
      </c>
      <c r="BD228" s="30" t="s">
        <v>1077</v>
      </c>
      <c r="BF228" s="30" t="s">
        <v>855</v>
      </c>
      <c r="BG228" s="30" t="s">
        <v>386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776</v>
      </c>
      <c r="D229" s="30" t="s">
        <v>147</v>
      </c>
      <c r="E229" s="37" t="s">
        <v>1065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302</v>
      </c>
      <c r="H229" s="30" t="s">
        <v>635</v>
      </c>
      <c r="I229" s="30" t="s">
        <v>131</v>
      </c>
      <c r="O229" s="31" t="s">
        <v>756</v>
      </c>
      <c r="P229" s="30" t="s">
        <v>164</v>
      </c>
      <c r="Q229" s="39" t="s">
        <v>729</v>
      </c>
      <c r="R229" s="30" t="str">
        <f>Table2[[#This Row],[entity_domain]]</f>
        <v>Heating &amp; Cooling</v>
      </c>
      <c r="S229" s="30" t="s">
        <v>302</v>
      </c>
      <c r="T229" s="37" t="s">
        <v>1035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302</v>
      </c>
      <c r="BC229" s="30" t="s">
        <v>426</v>
      </c>
      <c r="BD229" s="30" t="s">
        <v>1077</v>
      </c>
      <c r="BF229" s="30" t="s">
        <v>855</v>
      </c>
      <c r="BG229" s="30" t="s">
        <v>559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678</v>
      </c>
      <c r="D230" s="30" t="s">
        <v>133</v>
      </c>
      <c r="E230" s="30" t="s">
        <v>1066</v>
      </c>
      <c r="F230" s="36" t="str">
        <f>IF(ISBLANK(Table2[[#This Row],[unique_id]]), "", PROPER(SUBSTITUTE(Table2[[#This Row],[unique_id]], "_", " ")))</f>
        <v>Garden Pool Filter Plug</v>
      </c>
      <c r="G230" s="30" t="s">
        <v>302</v>
      </c>
      <c r="H230" s="30" t="s">
        <v>635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756</v>
      </c>
      <c r="P230" s="30" t="s">
        <v>164</v>
      </c>
      <c r="Q230" s="30" t="s">
        <v>729</v>
      </c>
      <c r="R230" s="30" t="str">
        <f>Table2[[#This Row],[entity_domain]]</f>
        <v>Heating &amp; Cooling</v>
      </c>
      <c r="S230" s="30" t="s">
        <v>302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1074</v>
      </c>
      <c r="AB230" s="30"/>
      <c r="AC230" s="30"/>
      <c r="AE230" s="30" t="s">
        <v>1069</v>
      </c>
      <c r="AF230" s="30">
        <v>10</v>
      </c>
      <c r="AG230" s="31" t="s">
        <v>34</v>
      </c>
      <c r="AH230" s="31" t="s">
        <v>865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884</v>
      </c>
      <c r="AO230" s="30" t="s">
        <v>885</v>
      </c>
      <c r="AP230" s="30" t="s">
        <v>874</v>
      </c>
      <c r="AQ230" s="30" t="s">
        <v>875</v>
      </c>
      <c r="AR230" s="30" t="s">
        <v>938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302</v>
      </c>
      <c r="BC230" s="30" t="s">
        <v>426</v>
      </c>
      <c r="BD230" s="30" t="s">
        <v>1077</v>
      </c>
      <c r="BF230" s="30" t="s">
        <v>855</v>
      </c>
      <c r="BG230" s="30" t="s">
        <v>559</v>
      </c>
      <c r="BK230" s="30" t="s">
        <v>1215</v>
      </c>
      <c r="BL230" s="30" t="s">
        <v>1013</v>
      </c>
      <c r="BM230" s="30" t="s">
        <v>1248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678</v>
      </c>
      <c r="D231" s="30" t="s">
        <v>27</v>
      </c>
      <c r="E231" s="30" t="s">
        <v>1067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868</v>
      </c>
      <c r="H231" s="30" t="s">
        <v>635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310</v>
      </c>
      <c r="AD231" s="30" t="s">
        <v>866</v>
      </c>
      <c r="AF231" s="30">
        <v>10</v>
      </c>
      <c r="AG231" s="31" t="s">
        <v>34</v>
      </c>
      <c r="AH231" s="31" t="s">
        <v>865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884</v>
      </c>
      <c r="AO231" s="30" t="s">
        <v>885</v>
      </c>
      <c r="AP231" s="30" t="s">
        <v>874</v>
      </c>
      <c r="AQ231" s="30" t="s">
        <v>875</v>
      </c>
      <c r="AR231" s="30" t="s">
        <v>1071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302</v>
      </c>
      <c r="BC231" s="30" t="s">
        <v>426</v>
      </c>
      <c r="BD231" s="30" t="s">
        <v>1077</v>
      </c>
      <c r="BF231" s="30" t="s">
        <v>855</v>
      </c>
      <c r="BG231" s="30" t="s">
        <v>559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678</v>
      </c>
      <c r="D232" s="30" t="s">
        <v>27</v>
      </c>
      <c r="E232" s="30" t="s">
        <v>1068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869</v>
      </c>
      <c r="H232" s="30" t="s">
        <v>635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311</v>
      </c>
      <c r="AD232" s="30" t="s">
        <v>867</v>
      </c>
      <c r="AF232" s="30">
        <v>10</v>
      </c>
      <c r="AG232" s="31" t="s">
        <v>34</v>
      </c>
      <c r="AH232" s="31" t="s">
        <v>865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884</v>
      </c>
      <c r="AO232" s="30" t="s">
        <v>885</v>
      </c>
      <c r="AP232" s="30" t="s">
        <v>874</v>
      </c>
      <c r="AQ232" s="30" t="s">
        <v>875</v>
      </c>
      <c r="AR232" s="30" t="s">
        <v>1072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302</v>
      </c>
      <c r="BC232" s="30" t="s">
        <v>426</v>
      </c>
      <c r="BD232" s="30" t="s">
        <v>1077</v>
      </c>
      <c r="BF232" s="30" t="s">
        <v>855</v>
      </c>
      <c r="BG232" s="30" t="s">
        <v>559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678</v>
      </c>
      <c r="D233" s="30" t="s">
        <v>27</v>
      </c>
      <c r="E233" s="30" t="s">
        <v>1016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1121</v>
      </c>
      <c r="H233" s="30" t="s">
        <v>1284</v>
      </c>
      <c r="I233" s="30" t="s">
        <v>131</v>
      </c>
      <c r="K233" s="30" t="s">
        <v>1129</v>
      </c>
      <c r="O233" s="31"/>
      <c r="P233" s="30"/>
      <c r="T233" s="37"/>
      <c r="U233" s="30" t="s">
        <v>419</v>
      </c>
      <c r="V233" s="31" t="s">
        <v>1144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427</v>
      </c>
      <c r="AF233" s="30">
        <v>10</v>
      </c>
      <c r="AG233" s="31" t="s">
        <v>34</v>
      </c>
      <c r="AH233" s="31" t="s">
        <v>865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884</v>
      </c>
      <c r="AO233" s="30" t="s">
        <v>885</v>
      </c>
      <c r="AP233" s="30" t="s">
        <v>874</v>
      </c>
      <c r="AQ233" s="30" t="s">
        <v>875</v>
      </c>
      <c r="AR233" s="30" t="s">
        <v>1080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695</v>
      </c>
      <c r="BC233" s="30" t="s">
        <v>1079</v>
      </c>
      <c r="BD233" s="30" t="s">
        <v>1077</v>
      </c>
      <c r="BF233" s="30" t="s">
        <v>855</v>
      </c>
      <c r="BG233" s="30" t="s">
        <v>542</v>
      </c>
      <c r="BH233" s="30" t="s">
        <v>386</v>
      </c>
      <c r="BI233" s="30" t="s">
        <v>386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678</v>
      </c>
      <c r="D234" s="30" t="s">
        <v>27</v>
      </c>
      <c r="E234" s="30" t="s">
        <v>1129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1121</v>
      </c>
      <c r="H234" s="30" t="s">
        <v>1284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419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427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542</v>
      </c>
      <c r="BH234" s="30" t="s">
        <v>386</v>
      </c>
      <c r="BI234" s="30" t="s">
        <v>386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745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307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420</v>
      </c>
      <c r="V235" s="31"/>
      <c r="W235" s="31"/>
      <c r="X235" s="31"/>
      <c r="Y235" s="31"/>
      <c r="Z235" s="31"/>
      <c r="AA235" s="31"/>
      <c r="AB235" s="30"/>
      <c r="AC235" s="30" t="s">
        <v>310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745</v>
      </c>
      <c r="D236" s="30" t="s">
        <v>27</v>
      </c>
      <c r="E236" s="30" t="s">
        <v>304</v>
      </c>
      <c r="F236" s="36" t="str">
        <f>IF(ISBLANK(Table2[[#This Row],[unique_id]]), "", PROPER(SUBSTITUTE(Table2[[#This Row],[unique_id]], "_", " ")))</f>
        <v>Home Base Power</v>
      </c>
      <c r="G236" s="30" t="s">
        <v>305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420</v>
      </c>
      <c r="V236" s="31"/>
      <c r="W236" s="31"/>
      <c r="X236" s="31"/>
      <c r="Y236" s="31"/>
      <c r="Z236" s="31"/>
      <c r="AA236" s="31"/>
      <c r="AB236" s="30"/>
      <c r="AC236" s="30" t="s">
        <v>310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745</v>
      </c>
      <c r="D237" s="30" t="s">
        <v>27</v>
      </c>
      <c r="E237" s="30" t="s">
        <v>303</v>
      </c>
      <c r="F237" s="36" t="str">
        <f>IF(ISBLANK(Table2[[#This Row],[unique_id]]), "", PROPER(SUBSTITUTE(Table2[[#This Row],[unique_id]], "_", " ")))</f>
        <v>Home Peak Power</v>
      </c>
      <c r="G237" s="30" t="s">
        <v>306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420</v>
      </c>
      <c r="V237" s="31"/>
      <c r="W237" s="31"/>
      <c r="X237" s="31"/>
      <c r="Y237" s="31"/>
      <c r="Z237" s="31"/>
      <c r="AA237" s="31"/>
      <c r="AB237" s="30"/>
      <c r="AC237" s="30" t="s">
        <v>310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423</v>
      </c>
      <c r="D238" s="30" t="s">
        <v>316</v>
      </c>
      <c r="E238" s="30" t="s">
        <v>421</v>
      </c>
      <c r="F238" s="36" t="str">
        <f>IF(ISBLANK(Table2[[#This Row],[unique_id]]), "", PROPER(SUBSTITUTE(Table2[[#This Row],[unique_id]], "_", " ")))</f>
        <v>Graph Break</v>
      </c>
      <c r="G238" s="30" t="s">
        <v>422</v>
      </c>
      <c r="H238" s="30" t="s">
        <v>238</v>
      </c>
      <c r="I238" s="30" t="s">
        <v>140</v>
      </c>
      <c r="O238" s="31"/>
      <c r="P238" s="30"/>
      <c r="T238" s="37"/>
      <c r="U238" s="30" t="s">
        <v>420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745</v>
      </c>
      <c r="D239" s="30" t="s">
        <v>27</v>
      </c>
      <c r="E239" s="30" t="s">
        <v>731</v>
      </c>
      <c r="F239" s="36" t="str">
        <f>IF(ISBLANK(Table2[[#This Row],[unique_id]]), "", PROPER(SUBSTITUTE(Table2[[#This Row],[unique_id]], "_", " ")))</f>
        <v>Lights Power</v>
      </c>
      <c r="G239" s="30" t="s">
        <v>758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420</v>
      </c>
      <c r="V239" s="31"/>
      <c r="W239" s="31"/>
      <c r="X239" s="31"/>
      <c r="Y239" s="31"/>
      <c r="Z239" s="31"/>
      <c r="AA239" s="31"/>
      <c r="AB239" s="30"/>
      <c r="AC239" s="30" t="s">
        <v>310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745</v>
      </c>
      <c r="D240" s="30" t="s">
        <v>27</v>
      </c>
      <c r="E240" s="30" t="s">
        <v>732</v>
      </c>
      <c r="F240" s="36" t="str">
        <f>IF(ISBLANK(Table2[[#This Row],[unique_id]]), "", PROPER(SUBSTITUTE(Table2[[#This Row],[unique_id]], "_", " ")))</f>
        <v>Fans Power</v>
      </c>
      <c r="G240" s="30" t="s">
        <v>757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420</v>
      </c>
      <c r="V240" s="31"/>
      <c r="W240" s="31"/>
      <c r="X240" s="31"/>
      <c r="Y240" s="31"/>
      <c r="Z240" s="31"/>
      <c r="AA240" s="31"/>
      <c r="AB240" s="30"/>
      <c r="AC240" s="30" t="s">
        <v>310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745</v>
      </c>
      <c r="D241" s="30" t="s">
        <v>27</v>
      </c>
      <c r="E241" s="30" t="s">
        <v>794</v>
      </c>
      <c r="F241" s="36" t="str">
        <f>IF(ISBLANK(Table2[[#This Row],[unique_id]]), "", PROPER(SUBSTITUTE(Table2[[#This Row],[unique_id]], "_", " ")))</f>
        <v>All Standby Power</v>
      </c>
      <c r="G241" s="30" t="s">
        <v>807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420</v>
      </c>
      <c r="V241" s="31"/>
      <c r="W241" s="31"/>
      <c r="X241" s="31"/>
      <c r="Y241" s="31"/>
      <c r="Z241" s="31"/>
      <c r="AA241" s="31"/>
      <c r="AB241" s="30"/>
      <c r="AC241" s="30" t="s">
        <v>310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745</v>
      </c>
      <c r="D242" s="30" t="s">
        <v>27</v>
      </c>
      <c r="E242" s="30" t="s">
        <v>1039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420</v>
      </c>
      <c r="V242" s="31"/>
      <c r="W242" s="31"/>
      <c r="X242" s="31"/>
      <c r="Y242" s="31"/>
      <c r="Z242" s="31"/>
      <c r="AA242" s="31"/>
      <c r="AB242" s="30"/>
      <c r="AC242" s="30" t="s">
        <v>310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562</v>
      </c>
      <c r="C243" s="30" t="s">
        <v>745</v>
      </c>
      <c r="D243" s="30" t="s">
        <v>27</v>
      </c>
      <c r="E243" s="30" t="s">
        <v>1040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420</v>
      </c>
      <c r="V243" s="31"/>
      <c r="W243" s="31"/>
      <c r="X243" s="31"/>
      <c r="Y243" s="31"/>
      <c r="Z243" s="31"/>
      <c r="AA243" s="31"/>
      <c r="AB243" s="30"/>
      <c r="AC243" s="30" t="s">
        <v>310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562</v>
      </c>
      <c r="C244" s="30" t="s">
        <v>745</v>
      </c>
      <c r="D244" s="30" t="s">
        <v>27</v>
      </c>
      <c r="E244" s="30" t="s">
        <v>1041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420</v>
      </c>
      <c r="V244" s="31"/>
      <c r="W244" s="31"/>
      <c r="X244" s="31"/>
      <c r="Y244" s="31"/>
      <c r="Z244" s="31"/>
      <c r="AA244" s="31"/>
      <c r="AB244" s="30"/>
      <c r="AC244" s="30" t="s">
        <v>310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745</v>
      </c>
      <c r="D245" s="30" t="s">
        <v>27</v>
      </c>
      <c r="E245" s="30" t="s">
        <v>1042</v>
      </c>
      <c r="F245" s="36" t="str">
        <f>IF(ISBLANK(Table2[[#This Row],[unique_id]]), "", PROPER(SUBSTITUTE(Table2[[#This Row],[unique_id]], "_", " ")))</f>
        <v>Pool Filter Power</v>
      </c>
      <c r="G245" s="30" t="s">
        <v>302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420</v>
      </c>
      <c r="V245" s="31"/>
      <c r="W245" s="31"/>
      <c r="X245" s="31"/>
      <c r="Y245" s="31"/>
      <c r="Z245" s="31"/>
      <c r="AA245" s="31"/>
      <c r="AB245" s="30"/>
      <c r="AC245" s="30" t="s">
        <v>310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745</v>
      </c>
      <c r="D246" s="30" t="s">
        <v>27</v>
      </c>
      <c r="E246" s="30" t="s">
        <v>1043</v>
      </c>
      <c r="F246" s="36" t="str">
        <f>IF(ISBLANK(Table2[[#This Row],[unique_id]]), "", PROPER(SUBSTITUTE(Table2[[#This Row],[unique_id]], "_", " ")))</f>
        <v>Water Booster Power</v>
      </c>
      <c r="G246" s="30" t="s">
        <v>1130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420</v>
      </c>
      <c r="V246" s="31"/>
      <c r="W246" s="31"/>
      <c r="X246" s="31"/>
      <c r="Y246" s="31"/>
      <c r="Z246" s="31"/>
      <c r="AA246" s="31"/>
      <c r="AB246" s="30"/>
      <c r="AC246" s="30" t="s">
        <v>310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745</v>
      </c>
      <c r="D247" s="30" t="s">
        <v>27</v>
      </c>
      <c r="E247" s="30" t="s">
        <v>1044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420</v>
      </c>
      <c r="V247" s="31"/>
      <c r="W247" s="31"/>
      <c r="X247" s="31"/>
      <c r="Y247" s="31"/>
      <c r="Z247" s="31"/>
      <c r="AA247" s="31"/>
      <c r="AB247" s="30"/>
      <c r="AC247" s="30" t="s">
        <v>310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562</v>
      </c>
      <c r="C248" s="30" t="s">
        <v>745</v>
      </c>
      <c r="D248" s="30" t="s">
        <v>27</v>
      </c>
      <c r="E248" s="30" t="s">
        <v>1045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420</v>
      </c>
      <c r="V248" s="31"/>
      <c r="W248" s="31"/>
      <c r="X248" s="31"/>
      <c r="Y248" s="31"/>
      <c r="Z248" s="31"/>
      <c r="AA248" s="31"/>
      <c r="AB248" s="30"/>
      <c r="AC248" s="30" t="s">
        <v>310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562</v>
      </c>
      <c r="C249" s="30" t="s">
        <v>745</v>
      </c>
      <c r="D249" s="30" t="s">
        <v>27</v>
      </c>
      <c r="E249" s="30" t="s">
        <v>1046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420</v>
      </c>
      <c r="V249" s="31"/>
      <c r="W249" s="31"/>
      <c r="X249" s="31"/>
      <c r="Y249" s="31"/>
      <c r="Z249" s="31"/>
      <c r="AA249" s="31"/>
      <c r="AB249" s="30"/>
      <c r="AC249" s="30" t="s">
        <v>310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745</v>
      </c>
      <c r="D250" s="30" t="s">
        <v>27</v>
      </c>
      <c r="E250" s="30" t="s">
        <v>746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420</v>
      </c>
      <c r="V250" s="31"/>
      <c r="W250" s="31"/>
      <c r="X250" s="31"/>
      <c r="Y250" s="31"/>
      <c r="Z250" s="31"/>
      <c r="AA250" s="31"/>
      <c r="AB250" s="30"/>
      <c r="AC250" s="30" t="s">
        <v>310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745</v>
      </c>
      <c r="D251" s="30" t="s">
        <v>27</v>
      </c>
      <c r="E251" s="30" t="s">
        <v>747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420</v>
      </c>
      <c r="V251" s="31"/>
      <c r="W251" s="31"/>
      <c r="X251" s="31"/>
      <c r="Y251" s="31"/>
      <c r="Z251" s="31"/>
      <c r="AA251" s="31"/>
      <c r="AB251" s="30"/>
      <c r="AC251" s="30" t="s">
        <v>310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745</v>
      </c>
      <c r="D252" s="30" t="s">
        <v>27</v>
      </c>
      <c r="E252" s="30" t="s">
        <v>1047</v>
      </c>
      <c r="F252" s="36" t="str">
        <f>IF(ISBLANK(Table2[[#This Row],[unique_id]]), "", PROPER(SUBSTITUTE(Table2[[#This Row],[unique_id]], "_", " ")))</f>
        <v>Towel Rails Power</v>
      </c>
      <c r="G252" s="30" t="s">
        <v>431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420</v>
      </c>
      <c r="V252" s="31"/>
      <c r="W252" s="31"/>
      <c r="X252" s="31"/>
      <c r="Y252" s="31"/>
      <c r="Z252" s="31"/>
      <c r="AA252" s="31"/>
      <c r="AB252" s="30"/>
      <c r="AC252" s="30" t="s">
        <v>310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562</v>
      </c>
      <c r="C253" s="30" t="s">
        <v>745</v>
      </c>
      <c r="D253" s="30" t="s">
        <v>27</v>
      </c>
      <c r="E253" s="30" t="s">
        <v>748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420</v>
      </c>
      <c r="V253" s="31"/>
      <c r="W253" s="31"/>
      <c r="X253" s="31"/>
      <c r="Y253" s="31"/>
      <c r="Z253" s="31"/>
      <c r="AA253" s="31"/>
      <c r="AB253" s="30"/>
      <c r="AC253" s="30" t="s">
        <v>310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562</v>
      </c>
      <c r="C254" s="30" t="s">
        <v>745</v>
      </c>
      <c r="D254" s="30" t="s">
        <v>27</v>
      </c>
      <c r="E254" s="30" t="s">
        <v>749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420</v>
      </c>
      <c r="V254" s="31"/>
      <c r="W254" s="31"/>
      <c r="X254" s="31"/>
      <c r="Y254" s="31"/>
      <c r="Z254" s="31"/>
      <c r="AA254" s="31"/>
      <c r="AB254" s="30"/>
      <c r="AC254" s="30" t="s">
        <v>310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745</v>
      </c>
      <c r="D255" s="30" t="s">
        <v>27</v>
      </c>
      <c r="E255" s="30" t="s">
        <v>762</v>
      </c>
      <c r="F255" s="36" t="str">
        <f>IF(ISBLANK(Table2[[#This Row],[unique_id]]), "", PROPER(SUBSTITUTE(Table2[[#This Row],[unique_id]], "_", " ")))</f>
        <v>Audio Visual Devices Power</v>
      </c>
      <c r="G255" s="30" t="s">
        <v>763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420</v>
      </c>
      <c r="V255" s="31"/>
      <c r="W255" s="31"/>
      <c r="X255" s="31"/>
      <c r="Y255" s="31"/>
      <c r="Z255" s="31"/>
      <c r="AA255" s="31"/>
      <c r="AB255" s="30"/>
      <c r="AC255" s="30" t="s">
        <v>310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745</v>
      </c>
      <c r="D256" s="30" t="s">
        <v>27</v>
      </c>
      <c r="E256" s="30" t="s">
        <v>736</v>
      </c>
      <c r="F256" s="36" t="str">
        <f>IF(ISBLANK(Table2[[#This Row],[unique_id]]), "", PROPER(SUBSTITUTE(Table2[[#This Row],[unique_id]], "_", " ")))</f>
        <v>Servers Network Power</v>
      </c>
      <c r="G256" s="30" t="s">
        <v>730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420</v>
      </c>
      <c r="V256" s="31"/>
      <c r="W256" s="31"/>
      <c r="X256" s="31"/>
      <c r="Y256" s="31"/>
      <c r="Z256" s="31"/>
      <c r="AA256" s="31"/>
      <c r="AB256" s="30"/>
      <c r="AC256" s="30" t="s">
        <v>310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423</v>
      </c>
      <c r="D257" s="30" t="s">
        <v>316</v>
      </c>
      <c r="E257" s="30" t="s">
        <v>315</v>
      </c>
      <c r="F257" s="36" t="str">
        <f>IF(ISBLANK(Table2[[#This Row],[unique_id]]), "", PROPER(SUBSTITUTE(Table2[[#This Row],[unique_id]], "_", " ")))</f>
        <v>Column Break</v>
      </c>
      <c r="G257" s="30" t="s">
        <v>312</v>
      </c>
      <c r="H257" s="30" t="s">
        <v>238</v>
      </c>
      <c r="I257" s="30" t="s">
        <v>140</v>
      </c>
      <c r="M257" s="30" t="s">
        <v>313</v>
      </c>
      <c r="N257" s="30" t="s">
        <v>314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745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307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419</v>
      </c>
      <c r="V258" s="31"/>
      <c r="W258" s="31"/>
      <c r="X258" s="31"/>
      <c r="Y258" s="31"/>
      <c r="Z258" s="31"/>
      <c r="AA258" s="31"/>
      <c r="AB258" s="30"/>
      <c r="AC258" s="30" t="s">
        <v>311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745</v>
      </c>
      <c r="D259" s="30" t="s">
        <v>27</v>
      </c>
      <c r="E259" s="30" t="s">
        <v>309</v>
      </c>
      <c r="F259" s="36" t="str">
        <f>IF(ISBLANK(Table2[[#This Row],[unique_id]]), "", PROPER(SUBSTITUTE(Table2[[#This Row],[unique_id]], "_", " ")))</f>
        <v>Home Base Energy Daily</v>
      </c>
      <c r="G259" s="30" t="s">
        <v>305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419</v>
      </c>
      <c r="V259" s="31"/>
      <c r="W259" s="31"/>
      <c r="X259" s="31"/>
      <c r="Y259" s="31"/>
      <c r="Z259" s="31"/>
      <c r="AA259" s="31"/>
      <c r="AB259" s="30"/>
      <c r="AC259" s="30" t="s">
        <v>311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745</v>
      </c>
      <c r="D260" s="30" t="s">
        <v>27</v>
      </c>
      <c r="E260" s="30" t="s">
        <v>308</v>
      </c>
      <c r="F260" s="36" t="str">
        <f>IF(ISBLANK(Table2[[#This Row],[unique_id]]), "", PROPER(SUBSTITUTE(Table2[[#This Row],[unique_id]], "_", " ")))</f>
        <v>Home Peak Energy Daily</v>
      </c>
      <c r="G260" s="30" t="s">
        <v>306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419</v>
      </c>
      <c r="V260" s="31"/>
      <c r="W260" s="31"/>
      <c r="X260" s="31"/>
      <c r="Y260" s="31"/>
      <c r="Z260" s="31"/>
      <c r="AA260" s="31"/>
      <c r="AB260" s="30"/>
      <c r="AC260" s="30" t="s">
        <v>311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423</v>
      </c>
      <c r="D261" s="30" t="s">
        <v>316</v>
      </c>
      <c r="E261" s="30" t="s">
        <v>421</v>
      </c>
      <c r="F261" s="36" t="str">
        <f>IF(ISBLANK(Table2[[#This Row],[unique_id]]), "", PROPER(SUBSTITUTE(Table2[[#This Row],[unique_id]], "_", " ")))</f>
        <v>Graph Break</v>
      </c>
      <c r="G261" s="30" t="s">
        <v>422</v>
      </c>
      <c r="H261" s="30" t="s">
        <v>217</v>
      </c>
      <c r="I261" s="30" t="s">
        <v>140</v>
      </c>
      <c r="O261" s="31"/>
      <c r="P261" s="30"/>
      <c r="T261" s="37"/>
      <c r="U261" s="30" t="s">
        <v>419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745</v>
      </c>
      <c r="D262" s="30" t="s">
        <v>27</v>
      </c>
      <c r="E262" s="30" t="s">
        <v>733</v>
      </c>
      <c r="F262" s="36" t="str">
        <f>IF(ISBLANK(Table2[[#This Row],[unique_id]]), "", PROPER(SUBSTITUTE(Table2[[#This Row],[unique_id]], "_", " ")))</f>
        <v>Lights Energy Daily</v>
      </c>
      <c r="G262" s="30" t="s">
        <v>758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419</v>
      </c>
      <c r="V262" s="31"/>
      <c r="W262" s="31"/>
      <c r="X262" s="31"/>
      <c r="Y262" s="31"/>
      <c r="Z262" s="31"/>
      <c r="AA262" s="31"/>
      <c r="AB262" s="30"/>
      <c r="AC262" s="30" t="s">
        <v>311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745</v>
      </c>
      <c r="D263" s="30" t="s">
        <v>27</v>
      </c>
      <c r="E263" s="30" t="s">
        <v>734</v>
      </c>
      <c r="F263" s="36" t="str">
        <f>IF(ISBLANK(Table2[[#This Row],[unique_id]]), "", PROPER(SUBSTITUTE(Table2[[#This Row],[unique_id]], "_", " ")))</f>
        <v>Fans Energy Daily</v>
      </c>
      <c r="G263" s="30" t="s">
        <v>757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419</v>
      </c>
      <c r="V263" s="31"/>
      <c r="W263" s="31"/>
      <c r="X263" s="31"/>
      <c r="Y263" s="31"/>
      <c r="Z263" s="31"/>
      <c r="AA263" s="31"/>
      <c r="AB263" s="30"/>
      <c r="AC263" s="30" t="s">
        <v>311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745</v>
      </c>
      <c r="D264" s="30" t="s">
        <v>27</v>
      </c>
      <c r="E264" s="30" t="s">
        <v>798</v>
      </c>
      <c r="F264" s="36" t="str">
        <f>IF(ISBLANK(Table2[[#This Row],[unique_id]]), "", PROPER(SUBSTITUTE(Table2[[#This Row],[unique_id]], "_", " ")))</f>
        <v>All Standby Energy Daily</v>
      </c>
      <c r="G264" s="30" t="s">
        <v>807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419</v>
      </c>
      <c r="V264" s="31"/>
      <c r="W264" s="31"/>
      <c r="X264" s="31"/>
      <c r="Y264" s="31"/>
      <c r="Z264" s="31"/>
      <c r="AA264" s="31"/>
      <c r="AB264" s="30"/>
      <c r="AC264" s="30" t="s">
        <v>311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745</v>
      </c>
      <c r="D265" s="30" t="s">
        <v>27</v>
      </c>
      <c r="E265" s="30" t="s">
        <v>1048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419</v>
      </c>
      <c r="V265" s="31"/>
      <c r="W265" s="31"/>
      <c r="X265" s="31"/>
      <c r="Y265" s="31"/>
      <c r="Z265" s="31"/>
      <c r="AA265" s="31"/>
      <c r="AB265" s="30"/>
      <c r="AC265" s="30" t="s">
        <v>311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562</v>
      </c>
      <c r="C266" s="30" t="s">
        <v>745</v>
      </c>
      <c r="D266" s="30" t="s">
        <v>27</v>
      </c>
      <c r="E266" s="30" t="s">
        <v>1049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419</v>
      </c>
      <c r="V266" s="31"/>
      <c r="W266" s="31"/>
      <c r="X266" s="31"/>
      <c r="Y266" s="31"/>
      <c r="Z266" s="31"/>
      <c r="AA266" s="31"/>
      <c r="AB266" s="30"/>
      <c r="AC266" s="30" t="s">
        <v>311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562</v>
      </c>
      <c r="C267" s="30" t="s">
        <v>745</v>
      </c>
      <c r="D267" s="30" t="s">
        <v>27</v>
      </c>
      <c r="E267" s="30" t="s">
        <v>1050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419</v>
      </c>
      <c r="V267" s="31"/>
      <c r="W267" s="31"/>
      <c r="X267" s="31"/>
      <c r="Y267" s="31"/>
      <c r="Z267" s="31"/>
      <c r="AA267" s="31"/>
      <c r="AB267" s="30"/>
      <c r="AC267" s="30" t="s">
        <v>311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745</v>
      </c>
      <c r="D268" s="30" t="s">
        <v>27</v>
      </c>
      <c r="E268" s="30" t="s">
        <v>1051</v>
      </c>
      <c r="F268" s="36" t="str">
        <f>IF(ISBLANK(Table2[[#This Row],[unique_id]]), "", PROPER(SUBSTITUTE(Table2[[#This Row],[unique_id]], "_", " ")))</f>
        <v>Pool Filter Energy Daily</v>
      </c>
      <c r="G268" s="30" t="s">
        <v>302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419</v>
      </c>
      <c r="V268" s="31"/>
      <c r="W268" s="31"/>
      <c r="X268" s="31"/>
      <c r="Y268" s="31"/>
      <c r="Z268" s="31"/>
      <c r="AA268" s="31"/>
      <c r="AB268" s="30"/>
      <c r="AC268" s="30" t="s">
        <v>311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745</v>
      </c>
      <c r="D269" s="30" t="s">
        <v>27</v>
      </c>
      <c r="E269" s="30" t="s">
        <v>1052</v>
      </c>
      <c r="F269" s="36" t="str">
        <f>IF(ISBLANK(Table2[[#This Row],[unique_id]]), "", PROPER(SUBSTITUTE(Table2[[#This Row],[unique_id]], "_", " ")))</f>
        <v>Water Booster Energy Daily</v>
      </c>
      <c r="G269" s="30" t="s">
        <v>1130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419</v>
      </c>
      <c r="V269" s="31"/>
      <c r="W269" s="31"/>
      <c r="X269" s="31"/>
      <c r="Y269" s="31"/>
      <c r="Z269" s="31"/>
      <c r="AA269" s="31"/>
      <c r="AB269" s="30"/>
      <c r="AC269" s="30" t="s">
        <v>311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745</v>
      </c>
      <c r="D270" s="30" t="s">
        <v>27</v>
      </c>
      <c r="E270" s="30" t="s">
        <v>1053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419</v>
      </c>
      <c r="V270" s="31"/>
      <c r="W270" s="31"/>
      <c r="X270" s="31"/>
      <c r="Y270" s="31"/>
      <c r="Z270" s="31"/>
      <c r="AA270" s="31"/>
      <c r="AB270" s="30"/>
      <c r="AC270" s="30" t="s">
        <v>311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562</v>
      </c>
      <c r="C271" s="30" t="s">
        <v>745</v>
      </c>
      <c r="D271" s="30" t="s">
        <v>27</v>
      </c>
      <c r="E271" s="30" t="s">
        <v>1054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419</v>
      </c>
      <c r="V271" s="31"/>
      <c r="W271" s="31"/>
      <c r="X271" s="31"/>
      <c r="Y271" s="31"/>
      <c r="Z271" s="31"/>
      <c r="AA271" s="31"/>
      <c r="AB271" s="30"/>
      <c r="AC271" s="30" t="s">
        <v>311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562</v>
      </c>
      <c r="C272" s="30" t="s">
        <v>745</v>
      </c>
      <c r="D272" s="30" t="s">
        <v>27</v>
      </c>
      <c r="E272" s="30" t="s">
        <v>1055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419</v>
      </c>
      <c r="V272" s="31"/>
      <c r="W272" s="31"/>
      <c r="X272" s="31"/>
      <c r="Y272" s="31"/>
      <c r="Z272" s="31"/>
      <c r="AA272" s="31"/>
      <c r="AB272" s="30"/>
      <c r="AC272" s="30" t="s">
        <v>311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745</v>
      </c>
      <c r="D273" s="30" t="s">
        <v>27</v>
      </c>
      <c r="E273" s="30" t="s">
        <v>750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419</v>
      </c>
      <c r="V273" s="31"/>
      <c r="W273" s="31"/>
      <c r="X273" s="31"/>
      <c r="Y273" s="31"/>
      <c r="Z273" s="31"/>
      <c r="AA273" s="31"/>
      <c r="AB273" s="30"/>
      <c r="AC273" s="30" t="s">
        <v>311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745</v>
      </c>
      <c r="D274" s="30" t="s">
        <v>27</v>
      </c>
      <c r="E274" s="30" t="s">
        <v>751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419</v>
      </c>
      <c r="V274" s="31"/>
      <c r="W274" s="31"/>
      <c r="X274" s="31"/>
      <c r="Y274" s="31"/>
      <c r="Z274" s="31"/>
      <c r="AA274" s="31"/>
      <c r="AB274" s="30"/>
      <c r="AC274" s="30" t="s">
        <v>311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745</v>
      </c>
      <c r="D275" s="30" t="s">
        <v>27</v>
      </c>
      <c r="E275" s="30" t="s">
        <v>1056</v>
      </c>
      <c r="F275" s="36" t="str">
        <f>IF(ISBLANK(Table2[[#This Row],[unique_id]]), "", PROPER(SUBSTITUTE(Table2[[#This Row],[unique_id]], "_", " ")))</f>
        <v>Towel Rails Energy Daily</v>
      </c>
      <c r="G275" s="30" t="s">
        <v>431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419</v>
      </c>
      <c r="V275" s="31"/>
      <c r="W275" s="31"/>
      <c r="X275" s="31"/>
      <c r="Y275" s="31"/>
      <c r="Z275" s="31"/>
      <c r="AA275" s="31"/>
      <c r="AB275" s="30"/>
      <c r="AC275" s="30" t="s">
        <v>311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562</v>
      </c>
      <c r="C276" s="30" t="s">
        <v>745</v>
      </c>
      <c r="D276" s="30" t="s">
        <v>27</v>
      </c>
      <c r="E276" s="30" t="s">
        <v>752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419</v>
      </c>
      <c r="V276" s="31"/>
      <c r="W276" s="31"/>
      <c r="X276" s="31"/>
      <c r="Y276" s="31"/>
      <c r="Z276" s="31"/>
      <c r="AA276" s="31"/>
      <c r="AB276" s="30"/>
      <c r="AC276" s="30" t="s">
        <v>311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562</v>
      </c>
      <c r="C277" s="30" t="s">
        <v>745</v>
      </c>
      <c r="D277" s="30" t="s">
        <v>27</v>
      </c>
      <c r="E277" s="30" t="s">
        <v>753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419</v>
      </c>
      <c r="V277" s="31"/>
      <c r="W277" s="31"/>
      <c r="X277" s="31"/>
      <c r="Y277" s="31"/>
      <c r="Z277" s="31"/>
      <c r="AA277" s="31"/>
      <c r="AB277" s="30"/>
      <c r="AC277" s="30" t="s">
        <v>311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745</v>
      </c>
      <c r="D278" s="30" t="s">
        <v>27</v>
      </c>
      <c r="E278" s="30" t="s">
        <v>764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763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419</v>
      </c>
      <c r="V278" s="31"/>
      <c r="W278" s="31"/>
      <c r="X278" s="31"/>
      <c r="Y278" s="31"/>
      <c r="Z278" s="31"/>
      <c r="AA278" s="31"/>
      <c r="AB278" s="30"/>
      <c r="AC278" s="30" t="s">
        <v>311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745</v>
      </c>
      <c r="D279" s="30" t="s">
        <v>27</v>
      </c>
      <c r="E279" s="30" t="s">
        <v>737</v>
      </c>
      <c r="F279" s="36" t="str">
        <f>IF(ISBLANK(Table2[[#This Row],[unique_id]]), "", PROPER(SUBSTITUTE(Table2[[#This Row],[unique_id]], "_", " ")))</f>
        <v>Servers Network Energy Daily</v>
      </c>
      <c r="G279" s="30" t="s">
        <v>730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419</v>
      </c>
      <c r="V279" s="31"/>
      <c r="W279" s="31"/>
      <c r="X279" s="31"/>
      <c r="Y279" s="31"/>
      <c r="Z279" s="31"/>
      <c r="AA279" s="31"/>
      <c r="AB279" s="30"/>
      <c r="AC279" s="30" t="s">
        <v>311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423</v>
      </c>
      <c r="D280" s="30" t="s">
        <v>316</v>
      </c>
      <c r="E280" s="30" t="s">
        <v>315</v>
      </c>
      <c r="F280" s="36" t="str">
        <f>IF(ISBLANK(Table2[[#This Row],[unique_id]]), "", PROPER(SUBSTITUTE(Table2[[#This Row],[unique_id]], "_", " ")))</f>
        <v>Column Break</v>
      </c>
      <c r="G280" s="30" t="s">
        <v>312</v>
      </c>
      <c r="H280" s="30" t="s">
        <v>217</v>
      </c>
      <c r="I280" s="30" t="s">
        <v>140</v>
      </c>
      <c r="M280" s="30" t="s">
        <v>313</v>
      </c>
      <c r="N280" s="30" t="s">
        <v>314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276</v>
      </c>
      <c r="H281" s="30" t="s">
        <v>277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997</v>
      </c>
      <c r="BC281" s="30" t="s">
        <v>378</v>
      </c>
      <c r="BD281" s="30" t="s">
        <v>179</v>
      </c>
      <c r="BF281" s="30" t="s">
        <v>379</v>
      </c>
      <c r="BG281" s="30" t="s">
        <v>377</v>
      </c>
      <c r="BK281" s="30" t="s">
        <v>1214</v>
      </c>
      <c r="BL281" s="41" t="s">
        <v>414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s="63" customFormat="1" ht="16" customHeight="1" x14ac:dyDescent="0.2">
      <c r="A282" s="30">
        <v>2500</v>
      </c>
      <c r="B282" s="30" t="s">
        <v>26</v>
      </c>
      <c r="C282" s="30" t="s">
        <v>1154</v>
      </c>
      <c r="D282" s="30" t="s">
        <v>133</v>
      </c>
      <c r="E282" s="30" t="s">
        <v>1469</v>
      </c>
      <c r="F282" s="30" t="str">
        <f>IF(ISBLANK(Table2[[#This Row],[unique_id]]), "", PROPER(SUBSTITUTE(Table2[[#This Row],[unique_id]], "_", " ")))</f>
        <v>Service Plex</v>
      </c>
      <c r="G282" s="30" t="s">
        <v>1155</v>
      </c>
      <c r="H282" s="30" t="s">
        <v>1511</v>
      </c>
      <c r="I282" s="30" t="s">
        <v>274</v>
      </c>
      <c r="J282" s="30"/>
      <c r="K282" s="30"/>
      <c r="L282" s="30"/>
      <c r="M282" s="30" t="s">
        <v>255</v>
      </c>
      <c r="N282" s="30"/>
      <c r="O282" s="31"/>
      <c r="P282" s="30"/>
      <c r="Q282" s="30"/>
      <c r="R282" s="30"/>
      <c r="S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D282" s="30"/>
      <c r="AE282" s="30" t="s">
        <v>1502</v>
      </c>
      <c r="AF282" s="30">
        <v>6</v>
      </c>
      <c r="AG282" s="31" t="s">
        <v>34</v>
      </c>
      <c r="AH282" s="31"/>
      <c r="AI282" s="30" t="s">
        <v>1432</v>
      </c>
      <c r="AJ28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8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82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82" s="30" t="str">
        <f>IF(ISBLANK(Table2[[#This Row],[index]]),  "", _xlfn.CONCAT("supervisor/", Table2[[#This Row],[unique_id_device]], "/status"))</f>
        <v>supervisor/macmini-mad/status</v>
      </c>
      <c r="AN282" s="30"/>
      <c r="AO282" s="30"/>
      <c r="AP282" s="30"/>
      <c r="AQ282" s="30"/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2" s="30"/>
      <c r="BA282" s="30" t="str">
        <f>IF(ISBLANK(Table2[[#This Row],[device_model]]), "", Table2[[#This Row],[device_suggested_area]])</f>
        <v>Rack</v>
      </c>
      <c r="BB282" s="30" t="s">
        <v>1154</v>
      </c>
      <c r="BC282" s="30" t="s">
        <v>1467</v>
      </c>
      <c r="BD282" s="30" t="s">
        <v>1085</v>
      </c>
      <c r="BE282" s="30"/>
      <c r="BF282" s="30" t="s">
        <v>957</v>
      </c>
      <c r="BG282" s="30" t="s">
        <v>28</v>
      </c>
      <c r="BH282" s="30"/>
      <c r="BI282" s="30"/>
      <c r="BJ282" s="30"/>
      <c r="BK282" s="30"/>
      <c r="BL282" s="41"/>
      <c r="BM282" s="30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s="63" customFormat="1" ht="16" customHeight="1" x14ac:dyDescent="0.2">
      <c r="A283" s="30">
        <v>2501</v>
      </c>
      <c r="B283" s="30" t="s">
        <v>26</v>
      </c>
      <c r="C283" s="30" t="s">
        <v>1154</v>
      </c>
      <c r="D283" s="30" t="s">
        <v>133</v>
      </c>
      <c r="E283" s="30" t="s">
        <v>1470</v>
      </c>
      <c r="F283" s="30" t="str">
        <f>IF(ISBLANK(Table2[[#This Row],[unique_id]]), "", PROPER(SUBSTITUTE(Table2[[#This Row],[unique_id]], "_", " ")))</f>
        <v>Service Sabnzbd</v>
      </c>
      <c r="G283" s="30" t="s">
        <v>1493</v>
      </c>
      <c r="H283" s="30" t="s">
        <v>1511</v>
      </c>
      <c r="I283" s="30" t="s">
        <v>274</v>
      </c>
      <c r="J283" s="30"/>
      <c r="K283" s="30"/>
      <c r="L283" s="30"/>
      <c r="M283" s="30" t="s">
        <v>255</v>
      </c>
      <c r="N283" s="30"/>
      <c r="O283" s="31"/>
      <c r="P283" s="30"/>
      <c r="Q283" s="30"/>
      <c r="R283" s="30"/>
      <c r="S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D283" s="30"/>
      <c r="AE283" s="30" t="s">
        <v>1502</v>
      </c>
      <c r="AF283" s="30">
        <v>6</v>
      </c>
      <c r="AG283" s="31" t="s">
        <v>34</v>
      </c>
      <c r="AH283" s="31"/>
      <c r="AI283" s="30" t="s">
        <v>1432</v>
      </c>
      <c r="AJ28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8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8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83" s="30" t="str">
        <f>IF(ISBLANK(Table2[[#This Row],[index]]),  "", _xlfn.CONCAT("supervisor/", Table2[[#This Row],[unique_id_device]], "/status"))</f>
        <v>supervisor/macmini-mad/status</v>
      </c>
      <c r="AN283" s="30"/>
      <c r="AO283" s="30"/>
      <c r="AP283" s="30"/>
      <c r="AQ283" s="30"/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3" s="30"/>
      <c r="BA283" s="30" t="str">
        <f>IF(ISBLANK(Table2[[#This Row],[device_model]]), "", Table2[[#This Row],[device_suggested_area]])</f>
        <v>Rack</v>
      </c>
      <c r="BB283" s="30" t="s">
        <v>1154</v>
      </c>
      <c r="BC283" s="30" t="s">
        <v>1467</v>
      </c>
      <c r="BD283" s="30" t="s">
        <v>1085</v>
      </c>
      <c r="BE283" s="30"/>
      <c r="BF283" s="30" t="s">
        <v>957</v>
      </c>
      <c r="BG283" s="30" t="s">
        <v>28</v>
      </c>
      <c r="BH283" s="30"/>
      <c r="BI283" s="30"/>
      <c r="BJ283" s="30"/>
      <c r="BK283" s="30"/>
      <c r="BL283" s="41"/>
      <c r="BM283" s="30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s="63" customFormat="1" ht="16" customHeight="1" x14ac:dyDescent="0.2">
      <c r="A284" s="30">
        <v>2502</v>
      </c>
      <c r="B284" s="30" t="s">
        <v>26</v>
      </c>
      <c r="C284" s="30" t="s">
        <v>1154</v>
      </c>
      <c r="D284" s="30" t="s">
        <v>133</v>
      </c>
      <c r="E284" s="30" t="s">
        <v>1471</v>
      </c>
      <c r="F284" s="30" t="str">
        <f>IF(ISBLANK(Table2[[#This Row],[unique_id]]), "", PROPER(SUBSTITUTE(Table2[[#This Row],[unique_id]], "_", " ")))</f>
        <v>Service Influxdb3</v>
      </c>
      <c r="G284" s="30" t="s">
        <v>1492</v>
      </c>
      <c r="H284" s="30" t="s">
        <v>1511</v>
      </c>
      <c r="I284" s="30" t="s">
        <v>274</v>
      </c>
      <c r="J284" s="30"/>
      <c r="K284" s="30"/>
      <c r="L284" s="30"/>
      <c r="M284" s="30" t="s">
        <v>255</v>
      </c>
      <c r="N284" s="30"/>
      <c r="O284" s="31"/>
      <c r="P284" s="30"/>
      <c r="Q284" s="30"/>
      <c r="R284" s="30"/>
      <c r="S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D284" s="30"/>
      <c r="AE284" s="30" t="s">
        <v>1502</v>
      </c>
      <c r="AF284" s="30">
        <v>6</v>
      </c>
      <c r="AG284" s="31" t="s">
        <v>34</v>
      </c>
      <c r="AH284" s="31"/>
      <c r="AI284" s="30" t="s">
        <v>1433</v>
      </c>
      <c r="AJ28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8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84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84" s="30" t="str">
        <f>IF(ISBLANK(Table2[[#This Row],[index]]),  "", _xlfn.CONCAT("supervisor/", Table2[[#This Row],[unique_id_device]], "/status"))</f>
        <v>supervisor/macmini-max/status</v>
      </c>
      <c r="AN284" s="30"/>
      <c r="AO284" s="30"/>
      <c r="AP284" s="30"/>
      <c r="AQ284" s="30"/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4" s="30"/>
      <c r="BA284" s="30" t="str">
        <f>IF(ISBLANK(Table2[[#This Row],[device_model]]), "", Table2[[#This Row],[device_suggested_area]])</f>
        <v>Rack</v>
      </c>
      <c r="BB284" s="30" t="s">
        <v>1154</v>
      </c>
      <c r="BC284" s="30" t="s">
        <v>1467</v>
      </c>
      <c r="BD284" s="30" t="s">
        <v>1085</v>
      </c>
      <c r="BE284" s="30"/>
      <c r="BF284" s="30" t="s">
        <v>957</v>
      </c>
      <c r="BG284" s="30" t="s">
        <v>28</v>
      </c>
      <c r="BH284" s="30"/>
      <c r="BI284" s="30"/>
      <c r="BJ284" s="30"/>
      <c r="BK284" s="30"/>
      <c r="BL284" s="41"/>
      <c r="BM284" s="30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s="63" customFormat="1" ht="16" customHeight="1" x14ac:dyDescent="0.2">
      <c r="A285" s="30">
        <v>2503</v>
      </c>
      <c r="B285" s="30" t="s">
        <v>26</v>
      </c>
      <c r="C285" s="30" t="s">
        <v>1154</v>
      </c>
      <c r="D285" s="30" t="s">
        <v>133</v>
      </c>
      <c r="E285" s="30" t="s">
        <v>1472</v>
      </c>
      <c r="F285" s="30" t="str">
        <f>IF(ISBLANK(Table2[[#This Row],[unique_id]]), "", PROPER(SUBSTITUTE(Table2[[#This Row],[unique_id]], "_", " ")))</f>
        <v>Service Mlflow</v>
      </c>
      <c r="G285" s="30" t="s">
        <v>1494</v>
      </c>
      <c r="H285" s="30" t="s">
        <v>1511</v>
      </c>
      <c r="I285" s="30" t="s">
        <v>274</v>
      </c>
      <c r="J285" s="30"/>
      <c r="K285" s="30"/>
      <c r="L285" s="30"/>
      <c r="M285" s="30" t="s">
        <v>255</v>
      </c>
      <c r="N285" s="30"/>
      <c r="O285" s="31"/>
      <c r="P285" s="30"/>
      <c r="Q285" s="30"/>
      <c r="R285" s="30"/>
      <c r="S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D285" s="30"/>
      <c r="AE285" s="30" t="s">
        <v>1502</v>
      </c>
      <c r="AF285" s="30">
        <v>6</v>
      </c>
      <c r="AG285" s="31" t="s">
        <v>34</v>
      </c>
      <c r="AH285" s="31"/>
      <c r="AI285" s="30" t="s">
        <v>1433</v>
      </c>
      <c r="AJ28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8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85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85" s="30" t="str">
        <f>IF(ISBLANK(Table2[[#This Row],[index]]),  "", _xlfn.CONCAT("supervisor/", Table2[[#This Row],[unique_id_device]], "/status"))</f>
        <v>supervisor/macmini-max/status</v>
      </c>
      <c r="AN285" s="30"/>
      <c r="AO285" s="30"/>
      <c r="AP285" s="30"/>
      <c r="AQ285" s="30"/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5" s="30"/>
      <c r="BA285" s="30" t="str">
        <f>IF(ISBLANK(Table2[[#This Row],[device_model]]), "", Table2[[#This Row],[device_suggested_area]])</f>
        <v>Rack</v>
      </c>
      <c r="BB285" s="30" t="s">
        <v>1154</v>
      </c>
      <c r="BC285" s="30" t="s">
        <v>1467</v>
      </c>
      <c r="BD285" s="30" t="s">
        <v>1085</v>
      </c>
      <c r="BE285" s="30"/>
      <c r="BF285" s="30" t="s">
        <v>957</v>
      </c>
      <c r="BG285" s="30" t="s">
        <v>28</v>
      </c>
      <c r="BH285" s="30"/>
      <c r="BI285" s="30"/>
      <c r="BJ285" s="30"/>
      <c r="BK285" s="30"/>
      <c r="BL285" s="41"/>
      <c r="BM285" s="30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s="63" customFormat="1" ht="16" customHeight="1" x14ac:dyDescent="0.2">
      <c r="A286" s="30">
        <v>2504</v>
      </c>
      <c r="B286" s="30" t="s">
        <v>26</v>
      </c>
      <c r="C286" s="30" t="s">
        <v>1154</v>
      </c>
      <c r="D286" s="30" t="s">
        <v>133</v>
      </c>
      <c r="E286" s="30" t="s">
        <v>1473</v>
      </c>
      <c r="F286" s="30" t="str">
        <f>IF(ISBLANK(Table2[[#This Row],[unique_id]]), "", PROPER(SUBSTITUTE(Table2[[#This Row],[unique_id]], "_", " ")))</f>
        <v>Service Mlserver</v>
      </c>
      <c r="G286" s="30" t="s">
        <v>1495</v>
      </c>
      <c r="H286" s="30" t="s">
        <v>1511</v>
      </c>
      <c r="I286" s="30" t="s">
        <v>274</v>
      </c>
      <c r="J286" s="30"/>
      <c r="K286" s="30"/>
      <c r="L286" s="30"/>
      <c r="M286" s="30" t="s">
        <v>255</v>
      </c>
      <c r="N286" s="30"/>
      <c r="O286" s="31"/>
      <c r="P286" s="30"/>
      <c r="Q286" s="30"/>
      <c r="R286" s="30"/>
      <c r="S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D286" s="30"/>
      <c r="AE286" s="30" t="s">
        <v>1502</v>
      </c>
      <c r="AF286" s="30">
        <v>6</v>
      </c>
      <c r="AG286" s="31" t="s">
        <v>34</v>
      </c>
      <c r="AH286" s="31"/>
      <c r="AI286" s="30" t="s">
        <v>1433</v>
      </c>
      <c r="AJ28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8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86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86" s="30" t="str">
        <f>IF(ISBLANK(Table2[[#This Row],[index]]),  "", _xlfn.CONCAT("supervisor/", Table2[[#This Row],[unique_id_device]], "/status"))</f>
        <v>supervisor/macmini-max/status</v>
      </c>
      <c r="AN286" s="30"/>
      <c r="AO286" s="30"/>
      <c r="AP286" s="30"/>
      <c r="AQ286" s="30"/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6" s="30"/>
      <c r="BA286" s="30" t="str">
        <f>IF(ISBLANK(Table2[[#This Row],[device_model]]), "", Table2[[#This Row],[device_suggested_area]])</f>
        <v>Rack</v>
      </c>
      <c r="BB286" s="30" t="s">
        <v>1154</v>
      </c>
      <c r="BC286" s="30" t="s">
        <v>1467</v>
      </c>
      <c r="BD286" s="30" t="s">
        <v>1085</v>
      </c>
      <c r="BE286" s="30"/>
      <c r="BF286" s="30" t="s">
        <v>957</v>
      </c>
      <c r="BG286" s="30" t="s">
        <v>28</v>
      </c>
      <c r="BH286" s="30"/>
      <c r="BI286" s="30"/>
      <c r="BJ286" s="30"/>
      <c r="BK286" s="30"/>
      <c r="BL286" s="41"/>
      <c r="BM286" s="30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s="63" customFormat="1" ht="16" customHeight="1" x14ac:dyDescent="0.2">
      <c r="A287" s="30">
        <v>2505</v>
      </c>
      <c r="B287" s="30" t="s">
        <v>26</v>
      </c>
      <c r="C287" s="30" t="s">
        <v>1154</v>
      </c>
      <c r="D287" s="30" t="s">
        <v>133</v>
      </c>
      <c r="E287" s="30" t="s">
        <v>1474</v>
      </c>
      <c r="F287" s="30" t="str">
        <f>IF(ISBLANK(Table2[[#This Row],[unique_id]]), "", PROPER(SUBSTITUTE(Table2[[#This Row],[unique_id]], "_", " ")))</f>
        <v>Service Openra</v>
      </c>
      <c r="G287" s="30" t="s">
        <v>1496</v>
      </c>
      <c r="H287" s="30" t="s">
        <v>1511</v>
      </c>
      <c r="I287" s="30" t="s">
        <v>274</v>
      </c>
      <c r="J287" s="30"/>
      <c r="K287" s="30"/>
      <c r="L287" s="30"/>
      <c r="M287" s="30" t="s">
        <v>255</v>
      </c>
      <c r="N287" s="30"/>
      <c r="O287" s="31"/>
      <c r="P287" s="30"/>
      <c r="Q287" s="30"/>
      <c r="R287" s="30"/>
      <c r="S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D287" s="30"/>
      <c r="AE287" s="30" t="s">
        <v>1502</v>
      </c>
      <c r="AF287" s="30">
        <v>6</v>
      </c>
      <c r="AG287" s="31" t="s">
        <v>34</v>
      </c>
      <c r="AH287" s="31"/>
      <c r="AI287" s="30" t="s">
        <v>1433</v>
      </c>
      <c r="AJ28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8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87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87" s="30" t="str">
        <f>IF(ISBLANK(Table2[[#This Row],[index]]),  "", _xlfn.CONCAT("supervisor/", Table2[[#This Row],[unique_id_device]], "/status"))</f>
        <v>supervisor/macmini-max/status</v>
      </c>
      <c r="AN287" s="30"/>
      <c r="AO287" s="30"/>
      <c r="AP287" s="30"/>
      <c r="AQ287" s="30"/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7" s="30"/>
      <c r="BA287" s="30" t="str">
        <f>IF(ISBLANK(Table2[[#This Row],[device_model]]), "", Table2[[#This Row],[device_suggested_area]])</f>
        <v>Rack</v>
      </c>
      <c r="BB287" s="30" t="s">
        <v>1154</v>
      </c>
      <c r="BC287" s="30" t="s">
        <v>1467</v>
      </c>
      <c r="BD287" s="30" t="s">
        <v>1085</v>
      </c>
      <c r="BE287" s="30"/>
      <c r="BF287" s="30" t="s">
        <v>957</v>
      </c>
      <c r="BG287" s="30" t="s">
        <v>28</v>
      </c>
      <c r="BH287" s="30"/>
      <c r="BI287" s="30"/>
      <c r="BJ287" s="30"/>
      <c r="BK287" s="30"/>
      <c r="BL287" s="41"/>
      <c r="BM287" s="30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s="63" customFormat="1" ht="16" customHeight="1" x14ac:dyDescent="0.2">
      <c r="A288" s="30">
        <v>2506</v>
      </c>
      <c r="B288" s="30" t="s">
        <v>562</v>
      </c>
      <c r="C288" s="30" t="s">
        <v>1154</v>
      </c>
      <c r="D288" s="30" t="s">
        <v>133</v>
      </c>
      <c r="E288" s="30" t="s">
        <v>1475</v>
      </c>
      <c r="F288" s="30" t="str">
        <f>IF(ISBLANK(Table2[[#This Row],[unique_id]]), "", PROPER(SUBSTITUTE(Table2[[#This Row],[unique_id]], "_", " ")))</f>
        <v>Service Rhasspy</v>
      </c>
      <c r="G288" s="30" t="s">
        <v>1489</v>
      </c>
      <c r="H288" s="30" t="s">
        <v>1511</v>
      </c>
      <c r="I288" s="30" t="s">
        <v>274</v>
      </c>
      <c r="J288" s="30"/>
      <c r="K288" s="30"/>
      <c r="L288" s="30"/>
      <c r="M288" s="30" t="s">
        <v>255</v>
      </c>
      <c r="N288" s="30"/>
      <c r="O288" s="31"/>
      <c r="P288" s="30"/>
      <c r="Q288" s="30"/>
      <c r="R288" s="30"/>
      <c r="S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D288" s="30"/>
      <c r="AE288" s="30" t="s">
        <v>1502</v>
      </c>
      <c r="AF288" s="30">
        <v>6</v>
      </c>
      <c r="AG288" s="31" t="s">
        <v>34</v>
      </c>
      <c r="AH288" s="31"/>
      <c r="AI288" s="30" t="s">
        <v>1433</v>
      </c>
      <c r="AJ28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28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288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288" s="30" t="str">
        <f>IF(ISBLANK(Table2[[#This Row],[index]]),  "", _xlfn.CONCAT("supervisor/", Table2[[#This Row],[unique_id_device]], "/status"))</f>
        <v>supervisor/macmini-max/status</v>
      </c>
      <c r="AN288" s="30"/>
      <c r="AO288" s="30"/>
      <c r="AP288" s="30"/>
      <c r="AQ288" s="30"/>
      <c r="AR288" s="30" t="s">
        <v>1501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8" s="30"/>
      <c r="BA288" s="30" t="str">
        <f>IF(ISBLANK(Table2[[#This Row],[device_model]]), "", Table2[[#This Row],[device_suggested_area]])</f>
        <v>Rack</v>
      </c>
      <c r="BB288" s="30" t="s">
        <v>1154</v>
      </c>
      <c r="BC288" s="30" t="s">
        <v>1467</v>
      </c>
      <c r="BD288" s="30" t="s">
        <v>1085</v>
      </c>
      <c r="BE288" s="30"/>
      <c r="BF288" s="30" t="s">
        <v>957</v>
      </c>
      <c r="BG288" s="30" t="s">
        <v>28</v>
      </c>
      <c r="BH288" s="30"/>
      <c r="BI288" s="30"/>
      <c r="BJ288" s="30"/>
      <c r="BK288" s="30"/>
      <c r="BL288" s="41"/>
      <c r="BM288" s="30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s="63" customFormat="1" ht="16" customHeight="1" x14ac:dyDescent="0.2">
      <c r="A289" s="30">
        <v>2507</v>
      </c>
      <c r="B289" s="30" t="s">
        <v>26</v>
      </c>
      <c r="C289" s="30" t="s">
        <v>1154</v>
      </c>
      <c r="D289" s="30" t="s">
        <v>133</v>
      </c>
      <c r="E289" s="30" t="s">
        <v>1507</v>
      </c>
      <c r="F289" s="30" t="str">
        <f>IF(ISBLANK(Table2[[#This Row],[unique_id]]), "", PROPER(SUBSTITUTE(Table2[[#This Row],[unique_id]], "_", " ")))</f>
        <v>Service Tempstat</v>
      </c>
      <c r="G289" s="30" t="s">
        <v>1503</v>
      </c>
      <c r="H289" s="30" t="s">
        <v>1511</v>
      </c>
      <c r="I289" s="30" t="s">
        <v>274</v>
      </c>
      <c r="J289" s="30"/>
      <c r="K289" s="30"/>
      <c r="L289" s="30"/>
      <c r="M289" s="30" t="s">
        <v>255</v>
      </c>
      <c r="N289" s="30"/>
      <c r="O289" s="31"/>
      <c r="P289" s="30"/>
      <c r="Q289" s="30"/>
      <c r="R289" s="30"/>
      <c r="S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D289" s="30"/>
      <c r="AE289" s="30" t="s">
        <v>1502</v>
      </c>
      <c r="AF289" s="30">
        <v>6</v>
      </c>
      <c r="AG289" s="31" t="s">
        <v>34</v>
      </c>
      <c r="AH289" s="31"/>
      <c r="AI289" s="30" t="s">
        <v>1397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28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289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289" s="30" t="str">
        <f>IF(ISBLANK(Table2[[#This Row],[index]]),  "", _xlfn.CONCAT("supervisor/", Table2[[#This Row],[unique_id_device]], "/status"))</f>
        <v>supervisor/macmini-may/status</v>
      </c>
      <c r="AN289" s="30"/>
      <c r="AO289" s="30"/>
      <c r="AP289" s="30"/>
      <c r="AQ289" s="30"/>
      <c r="AR289" s="30" t="s">
        <v>1501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9" s="30"/>
      <c r="BA289" s="30" t="str">
        <f>IF(ISBLANK(Table2[[#This Row],[device_model]]), "", Table2[[#This Row],[device_suggested_area]])</f>
        <v>Rack</v>
      </c>
      <c r="BB289" s="30" t="s">
        <v>1154</v>
      </c>
      <c r="BC289" s="30" t="s">
        <v>1467</v>
      </c>
      <c r="BD289" s="30" t="s">
        <v>1085</v>
      </c>
      <c r="BE289" s="30"/>
      <c r="BF289" s="30" t="s">
        <v>957</v>
      </c>
      <c r="BG289" s="30" t="s">
        <v>28</v>
      </c>
      <c r="BH289" s="30"/>
      <c r="BI289" s="30"/>
      <c r="BJ289" s="30"/>
      <c r="BK289" s="30"/>
      <c r="BL289" s="41"/>
      <c r="BM289" s="30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1154</v>
      </c>
      <c r="D290" s="30" t="s">
        <v>133</v>
      </c>
      <c r="E290" s="30" t="s">
        <v>1476</v>
      </c>
      <c r="F290" s="30" t="str">
        <f>IF(ISBLANK(Table2[[#This Row],[unique_id]]), "", PROPER(SUBSTITUTE(Table2[[#This Row],[unique_id]], "_", " ")))</f>
        <v>Service Grafana</v>
      </c>
      <c r="G290" s="30" t="s">
        <v>1156</v>
      </c>
      <c r="H290" s="30" t="s">
        <v>1511</v>
      </c>
      <c r="I290" s="30" t="s">
        <v>274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1502</v>
      </c>
      <c r="AF290" s="30">
        <v>6</v>
      </c>
      <c r="AG290" s="31" t="s">
        <v>34</v>
      </c>
      <c r="AH290" s="31"/>
      <c r="AI290" s="30" t="s">
        <v>1397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0" s="30" t="str">
        <f>IF(ISBLANK(Table2[[#This Row],[index]]),  "", _xlfn.CONCAT("supervisor/", Table2[[#This Row],[unique_id_device]], "/status"))</f>
        <v>supervisor/macmini-may/status</v>
      </c>
      <c r="AR290" s="30" t="s">
        <v>1501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1154</v>
      </c>
      <c r="BC290" s="30" t="s">
        <v>1467</v>
      </c>
      <c r="BD290" s="30" t="s">
        <v>1085</v>
      </c>
      <c r="BF290" s="30" t="s">
        <v>957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1154</v>
      </c>
      <c r="D291" s="30" t="s">
        <v>133</v>
      </c>
      <c r="E291" s="30" t="s">
        <v>1477</v>
      </c>
      <c r="F291" s="30" t="str">
        <f>IF(ISBLANK(Table2[[#This Row],[unique_id]]), "", PROPER(SUBSTITUTE(Table2[[#This Row],[unique_id]], "_", " ")))</f>
        <v>Service Influxdb</v>
      </c>
      <c r="G291" s="30" t="s">
        <v>1492</v>
      </c>
      <c r="H291" s="30" t="s">
        <v>1511</v>
      </c>
      <c r="I291" s="30" t="s">
        <v>274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1502</v>
      </c>
      <c r="AF291" s="30">
        <v>6</v>
      </c>
      <c r="AG291" s="31" t="s">
        <v>34</v>
      </c>
      <c r="AH291" s="31"/>
      <c r="AI291" s="30" t="s">
        <v>1397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291" s="30" t="str">
        <f>IF(ISBLANK(Table2[[#This Row],[index]]),  "", _xlfn.CONCAT("supervisor/", Table2[[#This Row],[unique_id_device]], "/status"))</f>
        <v>supervisor/macmini-may/status</v>
      </c>
      <c r="AR291" s="30" t="s">
        <v>1501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1154</v>
      </c>
      <c r="BC291" s="30" t="s">
        <v>1467</v>
      </c>
      <c r="BD291" s="30" t="s">
        <v>1085</v>
      </c>
      <c r="BF291" s="30" t="s">
        <v>957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1154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Letsencrypt</v>
      </c>
      <c r="G292" s="30" t="s">
        <v>1497</v>
      </c>
      <c r="H292" s="30" t="s">
        <v>1511</v>
      </c>
      <c r="I292" s="30" t="s">
        <v>274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1502</v>
      </c>
      <c r="AF292" s="30">
        <v>6</v>
      </c>
      <c r="AG292" s="31" t="s">
        <v>34</v>
      </c>
      <c r="AH292" s="31"/>
      <c r="AI292" s="30" t="s">
        <v>1397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292" s="30" t="str">
        <f>IF(ISBLANK(Table2[[#This Row],[index]]),  "", _xlfn.CONCAT("supervisor/", Table2[[#This Row],[unique_id_device]], "/status"))</f>
        <v>supervisor/macmini-may/status</v>
      </c>
      <c r="AR292" s="30" t="s">
        <v>1501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1154</v>
      </c>
      <c r="BC292" s="30" t="s">
        <v>1467</v>
      </c>
      <c r="BD292" s="30" t="s">
        <v>1085</v>
      </c>
      <c r="BF292" s="30" t="s">
        <v>957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1154</v>
      </c>
      <c r="D293" s="30" t="s">
        <v>133</v>
      </c>
      <c r="E293" s="30" t="s">
        <v>1479</v>
      </c>
      <c r="F293" s="30" t="str">
        <f>IF(ISBLANK(Table2[[#This Row],[unique_id]]), "", PROPER(SUBSTITUTE(Table2[[#This Row],[unique_id]], "_", " ")))</f>
        <v>Service Sonarr</v>
      </c>
      <c r="G293" s="30" t="s">
        <v>1490</v>
      </c>
      <c r="H293" s="30" t="s">
        <v>1511</v>
      </c>
      <c r="I293" s="30" t="s">
        <v>274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1502</v>
      </c>
      <c r="AF293" s="30">
        <v>6</v>
      </c>
      <c r="AG293" s="31" t="s">
        <v>34</v>
      </c>
      <c r="AH293" s="31"/>
      <c r="AI293" s="30" t="s">
        <v>1397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293" s="30" t="str">
        <f>IF(ISBLANK(Table2[[#This Row],[index]]),  "", _xlfn.CONCAT("supervisor/", Table2[[#This Row],[unique_id_device]], "/status"))</f>
        <v>supervisor/macmini-may/status</v>
      </c>
      <c r="AR293" s="30" t="s">
        <v>1501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1154</v>
      </c>
      <c r="BC293" s="30" t="s">
        <v>1467</v>
      </c>
      <c r="BD293" s="30" t="s">
        <v>1085</v>
      </c>
      <c r="BF293" s="30" t="s">
        <v>957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1154</v>
      </c>
      <c r="D294" s="30" t="s">
        <v>133</v>
      </c>
      <c r="E294" s="30" t="s">
        <v>1480</v>
      </c>
      <c r="F294" s="30" t="str">
        <f>IF(ISBLANK(Table2[[#This Row],[unique_id]]), "", PROPER(SUBSTITUTE(Table2[[#This Row],[unique_id]], "_", " ")))</f>
        <v>Service Unpoller</v>
      </c>
      <c r="G294" s="30" t="s">
        <v>1491</v>
      </c>
      <c r="H294" s="30" t="s">
        <v>1511</v>
      </c>
      <c r="I294" s="30" t="s">
        <v>274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1502</v>
      </c>
      <c r="AF294" s="30">
        <v>6</v>
      </c>
      <c r="AG294" s="31" t="s">
        <v>34</v>
      </c>
      <c r="AH294" s="31"/>
      <c r="AI294" s="30" t="s">
        <v>1397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294" s="30" t="str">
        <f>IF(ISBLANK(Table2[[#This Row],[index]]),  "", _xlfn.CONCAT("supervisor/", Table2[[#This Row],[unique_id_device]], "/status"))</f>
        <v>supervisor/macmini-may/status</v>
      </c>
      <c r="AR294" s="30" t="s">
        <v>1501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1154</v>
      </c>
      <c r="BC294" s="30" t="s">
        <v>1467</v>
      </c>
      <c r="BD294" s="30" t="s">
        <v>1085</v>
      </c>
      <c r="BF294" s="30" t="s">
        <v>957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1154</v>
      </c>
      <c r="D295" s="30" t="s">
        <v>133</v>
      </c>
      <c r="E295" s="30" t="s">
        <v>1481</v>
      </c>
      <c r="F295" s="30" t="str">
        <f>IF(ISBLANK(Table2[[#This Row],[unique_id]]), "", PROPER(SUBSTITUTE(Table2[[#This Row],[unique_id]], "_", " ")))</f>
        <v>Service Wrangle</v>
      </c>
      <c r="G295" s="30" t="s">
        <v>1157</v>
      </c>
      <c r="H295" s="30" t="s">
        <v>1511</v>
      </c>
      <c r="I295" s="30" t="s">
        <v>274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1502</v>
      </c>
      <c r="AF295" s="30">
        <v>6</v>
      </c>
      <c r="AG295" s="31" t="s">
        <v>34</v>
      </c>
      <c r="AH295" s="31"/>
      <c r="AI295" s="30" t="s">
        <v>1432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1501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1154</v>
      </c>
      <c r="BC295" s="30" t="s">
        <v>1467</v>
      </c>
      <c r="BD295" s="30" t="s">
        <v>1085</v>
      </c>
      <c r="BF295" s="30" t="s">
        <v>957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1154</v>
      </c>
      <c r="D296" s="30" t="s">
        <v>133</v>
      </c>
      <c r="E296" s="30" t="s">
        <v>1468</v>
      </c>
      <c r="F296" s="30" t="str">
        <f>IF(ISBLANK(Table2[[#This Row],[unique_id]]), "", PROPER(SUBSTITUTE(Table2[[#This Row],[unique_id]], "_", " ")))</f>
        <v>Service Homeassistant</v>
      </c>
      <c r="G296" s="30" t="s">
        <v>1160</v>
      </c>
      <c r="H296" s="30" t="s">
        <v>1511</v>
      </c>
      <c r="I296" s="30" t="s">
        <v>274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1502</v>
      </c>
      <c r="AF296" s="30">
        <v>6</v>
      </c>
      <c r="AG296" s="31" t="s">
        <v>34</v>
      </c>
      <c r="AH296" s="31"/>
      <c r="AI296" s="30" t="s">
        <v>1104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296" s="30" t="str">
        <f>IF(ISBLANK(Table2[[#This Row],[index]]),  "", _xlfn.CONCAT("supervisor/", Table2[[#This Row],[unique_id_device]], "/status"))</f>
        <v>supervisor/macmini-meg/status</v>
      </c>
      <c r="AR296" s="30" t="s">
        <v>1501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1154</v>
      </c>
      <c r="BC296" s="30" t="s">
        <v>1467</v>
      </c>
      <c r="BD296" s="30" t="s">
        <v>1085</v>
      </c>
      <c r="BF296" s="30" t="s">
        <v>957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1154</v>
      </c>
      <c r="D297" s="30" t="s">
        <v>133</v>
      </c>
      <c r="E297" s="30" t="s">
        <v>1482</v>
      </c>
      <c r="F297" s="30" t="str">
        <f>IF(ISBLANK(Table2[[#This Row],[unique_id]]), "", PROPER(SUBSTITUTE(Table2[[#This Row],[unique_id]], "_", " ")))</f>
        <v>Service Internet</v>
      </c>
      <c r="G297" s="30" t="s">
        <v>271</v>
      </c>
      <c r="H297" s="30" t="s">
        <v>1511</v>
      </c>
      <c r="I297" s="30" t="s">
        <v>274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1502</v>
      </c>
      <c r="AF297" s="30">
        <v>6</v>
      </c>
      <c r="AG297" s="31" t="s">
        <v>34</v>
      </c>
      <c r="AH297" s="31"/>
      <c r="AI297" s="30" t="s">
        <v>1104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297" s="30" t="str">
        <f>IF(ISBLANK(Table2[[#This Row],[index]]),  "", _xlfn.CONCAT("supervisor/", Table2[[#This Row],[unique_id_device]], "/status"))</f>
        <v>supervisor/macmini-meg/status</v>
      </c>
      <c r="AR297" s="30" t="s">
        <v>1501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1154</v>
      </c>
      <c r="BC297" s="30" t="s">
        <v>1467</v>
      </c>
      <c r="BD297" s="30" t="s">
        <v>1085</v>
      </c>
      <c r="BF297" s="30" t="s">
        <v>957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1154</v>
      </c>
      <c r="D298" s="30" t="s">
        <v>133</v>
      </c>
      <c r="E298" s="30" t="s">
        <v>1483</v>
      </c>
      <c r="F298" s="30" t="str">
        <f>IF(ISBLANK(Table2[[#This Row],[unique_id]]), "", PROPER(SUBSTITUTE(Table2[[#This Row],[unique_id]], "_", " ")))</f>
        <v>Service Mariadb</v>
      </c>
      <c r="G298" s="30" t="s">
        <v>1498</v>
      </c>
      <c r="H298" s="30" t="s">
        <v>1511</v>
      </c>
      <c r="I298" s="30" t="s">
        <v>274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1502</v>
      </c>
      <c r="AF298" s="30">
        <v>6</v>
      </c>
      <c r="AG298" s="31" t="s">
        <v>34</v>
      </c>
      <c r="AH298" s="31"/>
      <c r="AI298" s="30" t="s">
        <v>1104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298" s="30" t="str">
        <f>IF(ISBLANK(Table2[[#This Row],[index]]),  "", _xlfn.CONCAT("supervisor/", Table2[[#This Row],[unique_id_device]], "/status"))</f>
        <v>supervisor/macmini-meg/status</v>
      </c>
      <c r="AR298" s="30" t="s">
        <v>1501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1154</v>
      </c>
      <c r="BC298" s="30" t="s">
        <v>1467</v>
      </c>
      <c r="BD298" s="30" t="s">
        <v>1085</v>
      </c>
      <c r="BF298" s="30" t="s">
        <v>957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1154</v>
      </c>
      <c r="D299" s="30" t="s">
        <v>133</v>
      </c>
      <c r="E299" s="30" t="s">
        <v>1484</v>
      </c>
      <c r="F299" s="30" t="str">
        <f>IF(ISBLANK(Table2[[#This Row],[unique_id]]), "", PROPER(SUBSTITUTE(Table2[[#This Row],[unique_id]], "_", " ")))</f>
        <v>Service Nginx</v>
      </c>
      <c r="G299" s="30" t="s">
        <v>1158</v>
      </c>
      <c r="H299" s="30" t="s">
        <v>1511</v>
      </c>
      <c r="I299" s="30" t="s">
        <v>274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1502</v>
      </c>
      <c r="AF299" s="30">
        <v>6</v>
      </c>
      <c r="AG299" s="31" t="s">
        <v>34</v>
      </c>
      <c r="AH299" s="31"/>
      <c r="AI299" s="30" t="s">
        <v>1104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1501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1154</v>
      </c>
      <c r="BC299" s="30" t="s">
        <v>1467</v>
      </c>
      <c r="BD299" s="30" t="s">
        <v>1085</v>
      </c>
      <c r="BF299" s="30" t="s">
        <v>957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1154</v>
      </c>
      <c r="D300" s="30" t="s">
        <v>133</v>
      </c>
      <c r="E300" s="30" t="s">
        <v>1485</v>
      </c>
      <c r="F300" s="30" t="str">
        <f>IF(ISBLANK(Table2[[#This Row],[unique_id]]), "", PROPER(SUBSTITUTE(Table2[[#This Row],[unique_id]], "_", " ")))</f>
        <v>Service Postgres</v>
      </c>
      <c r="G300" s="30" t="s">
        <v>1159</v>
      </c>
      <c r="H300" s="30" t="s">
        <v>1511</v>
      </c>
      <c r="I300" s="30" t="s">
        <v>274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1502</v>
      </c>
      <c r="AF300" s="30">
        <v>6</v>
      </c>
      <c r="AG300" s="31" t="s">
        <v>34</v>
      </c>
      <c r="AH300" s="31"/>
      <c r="AI300" s="30" t="s">
        <v>1432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1501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1154</v>
      </c>
      <c r="BC300" s="30" t="s">
        <v>1467</v>
      </c>
      <c r="BD300" s="30" t="s">
        <v>1085</v>
      </c>
      <c r="BF300" s="30" t="s">
        <v>957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1154</v>
      </c>
      <c r="D301" s="30" t="s">
        <v>133</v>
      </c>
      <c r="E301" s="30" t="s">
        <v>1486</v>
      </c>
      <c r="F301" s="30" t="str">
        <f>IF(ISBLANK(Table2[[#This Row],[unique_id]]), "", PROPER(SUBSTITUTE(Table2[[#This Row],[unique_id]], "_", " ")))</f>
        <v>Service Vernemq</v>
      </c>
      <c r="G301" s="30" t="s">
        <v>1499</v>
      </c>
      <c r="H301" s="30" t="s">
        <v>1511</v>
      </c>
      <c r="I301" s="30" t="s">
        <v>274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1502</v>
      </c>
      <c r="AF301" s="30">
        <v>6</v>
      </c>
      <c r="AG301" s="31" t="s">
        <v>34</v>
      </c>
      <c r="AH301" s="31"/>
      <c r="AI301" s="30" t="s">
        <v>1104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1" s="30" t="str">
        <f>IF(ISBLANK(Table2[[#This Row],[index]]),  "", _xlfn.CONCAT("supervisor/", Table2[[#This Row],[unique_id_device]], "/status"))</f>
        <v>supervisor/macmini-meg/status</v>
      </c>
      <c r="AR301" s="30" t="s">
        <v>1501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1154</v>
      </c>
      <c r="BC301" s="30" t="s">
        <v>1467</v>
      </c>
      <c r="BD301" s="30" t="s">
        <v>1085</v>
      </c>
      <c r="BF301" s="30" t="s">
        <v>957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1154</v>
      </c>
      <c r="D302" s="30" t="s">
        <v>133</v>
      </c>
      <c r="E302" s="30" t="s">
        <v>1487</v>
      </c>
      <c r="F302" s="30" t="str">
        <f>IF(ISBLANK(Table2[[#This Row],[unique_id]]), "", PROPER(SUBSTITUTE(Table2[[#This Row],[unique_id]], "_", " ")))</f>
        <v>Service Weewx</v>
      </c>
      <c r="G302" s="30" t="s">
        <v>39</v>
      </c>
      <c r="H302" s="30" t="s">
        <v>1511</v>
      </c>
      <c r="I302" s="30" t="s">
        <v>274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1502</v>
      </c>
      <c r="AF302" s="30">
        <v>6</v>
      </c>
      <c r="AG302" s="31" t="s">
        <v>34</v>
      </c>
      <c r="AH302" s="31"/>
      <c r="AI302" s="30" t="s">
        <v>1400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2" s="30" t="str">
        <f>IF(ISBLANK(Table2[[#This Row],[index]]),  "", _xlfn.CONCAT("supervisor/", Table2[[#This Row],[unique_id_device]], "/status"))</f>
        <v>supervisor/raspbpi-jen/status</v>
      </c>
      <c r="AR302" s="30" t="s">
        <v>1501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1154</v>
      </c>
      <c r="BC302" s="30" t="s">
        <v>1467</v>
      </c>
      <c r="BD302" s="30" t="s">
        <v>1085</v>
      </c>
      <c r="BF302" s="30" t="s">
        <v>957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1154</v>
      </c>
      <c r="D303" s="30" t="s">
        <v>133</v>
      </c>
      <c r="E303" s="30" t="s">
        <v>1488</v>
      </c>
      <c r="F303" s="30" t="str">
        <f>IF(ISBLANK(Table2[[#This Row],[unique_id]]), "", PROPER(SUBSTITUTE(Table2[[#This Row],[unique_id]], "_", " ")))</f>
        <v>Service Zigbee2Mqtt</v>
      </c>
      <c r="G303" s="30" t="s">
        <v>1500</v>
      </c>
      <c r="H303" s="30" t="s">
        <v>1511</v>
      </c>
      <c r="I303" s="30" t="s">
        <v>274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1502</v>
      </c>
      <c r="AF303" s="30">
        <v>6</v>
      </c>
      <c r="AG303" s="31" t="s">
        <v>34</v>
      </c>
      <c r="AH303" s="31"/>
      <c r="AI303" s="30" t="s">
        <v>1400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3" s="30" t="str">
        <f>IF(ISBLANK(Table2[[#This Row],[index]]),  "", _xlfn.CONCAT("supervisor/", Table2[[#This Row],[unique_id_device]], "/status"))</f>
        <v>supervisor/raspbpi-jen/status</v>
      </c>
      <c r="AR303" s="30" t="s">
        <v>1501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1154</v>
      </c>
      <c r="BC303" s="30" t="s">
        <v>1467</v>
      </c>
      <c r="BD303" s="30" t="s">
        <v>1085</v>
      </c>
      <c r="BF303" s="30" t="s">
        <v>957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423</v>
      </c>
      <c r="D304" s="30" t="s">
        <v>316</v>
      </c>
      <c r="E304" s="30" t="s">
        <v>315</v>
      </c>
      <c r="F304" s="36" t="str">
        <f>IF(ISBLANK(Table2[[#This Row],[unique_id]]), "", PROPER(SUBSTITUTE(Table2[[#This Row],[unique_id]], "_", " ")))</f>
        <v>Column Break</v>
      </c>
      <c r="G304" s="30" t="s">
        <v>312</v>
      </c>
      <c r="H304" s="30" t="s">
        <v>1153</v>
      </c>
      <c r="I304" s="30" t="s">
        <v>274</v>
      </c>
      <c r="M304" s="30" t="s">
        <v>313</v>
      </c>
      <c r="N304" s="30" t="s">
        <v>314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G304" s="31"/>
      <c r="AH304" s="31"/>
      <c r="AR304" s="39"/>
      <c r="AT304" s="32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/>
      </c>
      <c r="BF304" s="3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63">
        <v>2523</v>
      </c>
      <c r="B305" s="63" t="s">
        <v>26</v>
      </c>
      <c r="C305" s="63" t="s">
        <v>1508</v>
      </c>
      <c r="D305" s="63" t="s">
        <v>133</v>
      </c>
      <c r="E305" s="63" t="s">
        <v>1509</v>
      </c>
      <c r="F305" s="63" t="str">
        <f>IF(ISBLANK(Table2[[#This Row],[unique_id]]), "", PROPER(SUBSTITUTE(Table2[[#This Row],[unique_id]], "_", " ")))</f>
        <v>Network Internet</v>
      </c>
      <c r="G305" s="63" t="str">
        <f>TRIM(RIGHT(SUBSTITUTE(TRIM(F305)," ",REPT(" ",100)),100))</f>
        <v>Internet</v>
      </c>
      <c r="H305" s="63" t="s">
        <v>1510</v>
      </c>
      <c r="I305" s="63" t="s">
        <v>274</v>
      </c>
      <c r="J305" s="63"/>
      <c r="K305" s="63"/>
      <c r="L305" s="63"/>
      <c r="M305" s="63" t="s">
        <v>255</v>
      </c>
      <c r="N305" s="63"/>
      <c r="O305" s="65"/>
      <c r="P305" s="63"/>
      <c r="Q305" s="63"/>
      <c r="R305" s="63"/>
      <c r="S305" s="63"/>
      <c r="T305" s="66"/>
      <c r="U305" s="63"/>
      <c r="V305" s="65"/>
      <c r="W305" s="65"/>
      <c r="X305" s="65"/>
      <c r="Y305" s="65"/>
      <c r="Z305" s="65"/>
      <c r="AA305" s="65"/>
      <c r="AB305" s="63"/>
      <c r="AC305" s="63"/>
      <c r="AD305" s="63"/>
      <c r="AE305" s="63" t="s">
        <v>1512</v>
      </c>
      <c r="AF305" s="63">
        <f>15*60</f>
        <v>900</v>
      </c>
      <c r="AG305" s="65" t="s">
        <v>34</v>
      </c>
      <c r="AH305" s="65"/>
      <c r="AI305" s="63" t="s">
        <v>1513</v>
      </c>
      <c r="AJ305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305" s="63" t="str">
        <f>IF(ISBLANK(Table2[[#This Row],[index]]),  "", _xlfn.CONCAT(LOWER(Table2[[#This Row],[device_via_device]]), "/data/", SUBSTITUTE(LOWER(Table2[[#This Row],[unique_id]]), "network_", "")))</f>
        <v>networks/data/internet</v>
      </c>
      <c r="AL305" s="63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305" s="63" t="str">
        <f>IF(ISBLANK(Table2[[#This Row],[index]]),  "", _xlfn.CONCAT(LOWER(Table2[[#This Row],[device_via_device]]), "/status"))</f>
        <v>networks/status</v>
      </c>
      <c r="AN305" s="63"/>
      <c r="AO305" s="63"/>
      <c r="AP305" s="63"/>
      <c r="AQ305" s="63"/>
      <c r="AR305" s="63" t="s">
        <v>1514</v>
      </c>
      <c r="AS305" s="63">
        <v>1</v>
      </c>
      <c r="AT305" s="67"/>
      <c r="AU305" s="63"/>
      <c r="AV30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30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30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30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05" s="63"/>
      <c r="BA305" s="63" t="str">
        <f>IF(ISBLANK(Table2[[#This Row],[device_model]]), "", Table2[[#This Row],[device_suggested_area]])</f>
        <v>Rack</v>
      </c>
      <c r="BB305" s="63" t="s">
        <v>1508</v>
      </c>
      <c r="BC305" s="63" t="s">
        <v>1467</v>
      </c>
      <c r="BD305" s="63" t="s">
        <v>1085</v>
      </c>
      <c r="BE305" s="63"/>
      <c r="BF305" s="63" t="s">
        <v>957</v>
      </c>
      <c r="BG305" s="63" t="s">
        <v>28</v>
      </c>
      <c r="BH305" s="63"/>
      <c r="BI305" s="63"/>
      <c r="BJ305" s="63"/>
      <c r="BK305" s="63"/>
      <c r="BL305" s="69"/>
      <c r="BM305" s="63"/>
      <c r="BN30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63">
        <v>2524</v>
      </c>
      <c r="B306" s="63" t="s">
        <v>26</v>
      </c>
      <c r="C306" s="63" t="s">
        <v>1508</v>
      </c>
      <c r="D306" s="63" t="s">
        <v>133</v>
      </c>
      <c r="E306" s="63" t="s">
        <v>1516</v>
      </c>
      <c r="F306" s="63" t="str">
        <f>IF(ISBLANK(Table2[[#This Row],[unique_id]]), "", PROPER(SUBSTITUTE(Table2[[#This Row],[unique_id]], "_", " ")))</f>
        <v>Network Wireless</v>
      </c>
      <c r="G306" s="63" t="str">
        <f>TRIM(RIGHT(SUBSTITUTE(TRIM(F306)," ",REPT(" ",100)),100))</f>
        <v>Wireless</v>
      </c>
      <c r="H306" s="63" t="s">
        <v>1510</v>
      </c>
      <c r="I306" s="63" t="s">
        <v>274</v>
      </c>
      <c r="J306" s="63"/>
      <c r="K306" s="63"/>
      <c r="L306" s="63"/>
      <c r="M306" s="63" t="s">
        <v>255</v>
      </c>
      <c r="N306" s="63"/>
      <c r="O306" s="65"/>
      <c r="P306" s="63"/>
      <c r="Q306" s="63"/>
      <c r="R306" s="63"/>
      <c r="S306" s="63"/>
      <c r="T306" s="66"/>
      <c r="U306" s="63"/>
      <c r="V306" s="65"/>
      <c r="W306" s="65"/>
      <c r="X306" s="65"/>
      <c r="Y306" s="65"/>
      <c r="Z306" s="65"/>
      <c r="AA306" s="65"/>
      <c r="AB306" s="63"/>
      <c r="AC306" s="63"/>
      <c r="AD306" s="63"/>
      <c r="AE306" s="63" t="s">
        <v>1519</v>
      </c>
      <c r="AF306" s="63">
        <f>15*60</f>
        <v>900</v>
      </c>
      <c r="AG306" s="65" t="s">
        <v>34</v>
      </c>
      <c r="AH306" s="65"/>
      <c r="AI306" s="63" t="s">
        <v>1513</v>
      </c>
      <c r="AJ306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306" s="63" t="str">
        <f>IF(ISBLANK(Table2[[#This Row],[index]]),  "", _xlfn.CONCAT(LOWER(Table2[[#This Row],[device_via_device]]), "/data/", SUBSTITUTE(LOWER(Table2[[#This Row],[unique_id]]), "network_", "")))</f>
        <v>networks/data/wireless</v>
      </c>
      <c r="AL306" s="63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306" s="63" t="str">
        <f>IF(ISBLANK(Table2[[#This Row],[index]]),  "", _xlfn.CONCAT(LOWER(Table2[[#This Row],[device_via_device]]), "/status"))</f>
        <v>networks/status</v>
      </c>
      <c r="AN306" s="63"/>
      <c r="AO306" s="63"/>
      <c r="AP306" s="63"/>
      <c r="AQ306" s="63"/>
      <c r="AR306" s="63" t="s">
        <v>1514</v>
      </c>
      <c r="AS306" s="63">
        <v>1</v>
      </c>
      <c r="AT306" s="67"/>
      <c r="AU306" s="63"/>
      <c r="AV30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30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30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30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06" s="63"/>
      <c r="BA306" s="63" t="str">
        <f>IF(ISBLANK(Table2[[#This Row],[device_model]]), "", Table2[[#This Row],[device_suggested_area]])</f>
        <v>Rack</v>
      </c>
      <c r="BB306" s="63" t="s">
        <v>1508</v>
      </c>
      <c r="BC306" s="63" t="s">
        <v>1467</v>
      </c>
      <c r="BD306" s="63" t="s">
        <v>1085</v>
      </c>
      <c r="BE306" s="63"/>
      <c r="BF306" s="63" t="s">
        <v>957</v>
      </c>
      <c r="BG306" s="63" t="s">
        <v>28</v>
      </c>
      <c r="BH306" s="63"/>
      <c r="BI306" s="63"/>
      <c r="BJ306" s="63"/>
      <c r="BK306" s="63"/>
      <c r="BL306" s="69"/>
      <c r="BM306" s="63"/>
      <c r="BN30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63">
        <v>2525</v>
      </c>
      <c r="B307" s="63" t="s">
        <v>26</v>
      </c>
      <c r="C307" s="63" t="s">
        <v>1508</v>
      </c>
      <c r="D307" s="63" t="s">
        <v>133</v>
      </c>
      <c r="E307" s="63" t="s">
        <v>1517</v>
      </c>
      <c r="F307" s="63" t="str">
        <f>IF(ISBLANK(Table2[[#This Row],[unique_id]]), "", PROPER(SUBSTITUTE(Table2[[#This Row],[unique_id]], "_", " ")))</f>
        <v>Network Zigbee</v>
      </c>
      <c r="G307" s="63" t="str">
        <f>TRIM(RIGHT(SUBSTITUTE(TRIM(F307)," ",REPT(" ",100)),100))</f>
        <v>Zigbee</v>
      </c>
      <c r="H307" s="63" t="s">
        <v>1510</v>
      </c>
      <c r="I307" s="63" t="s">
        <v>274</v>
      </c>
      <c r="J307" s="63"/>
      <c r="K307" s="63"/>
      <c r="L307" s="63"/>
      <c r="M307" s="63" t="s">
        <v>255</v>
      </c>
      <c r="N307" s="63"/>
      <c r="O307" s="65"/>
      <c r="P307" s="63"/>
      <c r="Q307" s="63"/>
      <c r="R307" s="63"/>
      <c r="S307" s="63"/>
      <c r="T307" s="66"/>
      <c r="U307" s="63"/>
      <c r="V307" s="65"/>
      <c r="W307" s="65"/>
      <c r="X307" s="65"/>
      <c r="Y307" s="65"/>
      <c r="Z307" s="65"/>
      <c r="AA307" s="65"/>
      <c r="AB307" s="63"/>
      <c r="AC307" s="63"/>
      <c r="AD307" s="63"/>
      <c r="AE307" s="63" t="s">
        <v>1520</v>
      </c>
      <c r="AF307" s="63">
        <f>15*60</f>
        <v>900</v>
      </c>
      <c r="AG307" s="65" t="s">
        <v>34</v>
      </c>
      <c r="AH307" s="65"/>
      <c r="AI307" s="63" t="s">
        <v>1513</v>
      </c>
      <c r="AJ307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307" s="63" t="str">
        <f>IF(ISBLANK(Table2[[#This Row],[index]]),  "", _xlfn.CONCAT(LOWER(Table2[[#This Row],[device_via_device]]), "/data/", SUBSTITUTE(LOWER(Table2[[#This Row],[unique_id]]), "network_", "")))</f>
        <v>networks/data/zigbee</v>
      </c>
      <c r="AL307" s="63" t="str">
        <f>IF(ISBLANK(Table2[[#This Row],[index]]),  "", _xlfn.CONCAT(LOWER(Table2[[#This Row],[device_via_device]]), "/command/", SUBSTITUTE(LOWER(Table2[[#This Row],[unique_id]]), "network_", "")))</f>
        <v>networks/command/zigbee</v>
      </c>
      <c r="AM307" s="63" t="str">
        <f>IF(ISBLANK(Table2[[#This Row],[index]]),  "", _xlfn.CONCAT(LOWER(Table2[[#This Row],[device_via_device]]), "/status"))</f>
        <v>networks/status</v>
      </c>
      <c r="AN307" s="63"/>
      <c r="AO307" s="63"/>
      <c r="AP307" s="63"/>
      <c r="AQ307" s="63"/>
      <c r="AR307" s="63" t="s">
        <v>1514</v>
      </c>
      <c r="AS307" s="63">
        <v>1</v>
      </c>
      <c r="AT307" s="67"/>
      <c r="AU307" s="63"/>
      <c r="AV30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30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30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30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07" s="63"/>
      <c r="BA307" s="63" t="str">
        <f>IF(ISBLANK(Table2[[#This Row],[device_model]]), "", Table2[[#This Row],[device_suggested_area]])</f>
        <v>Rack</v>
      </c>
      <c r="BB307" s="63" t="s">
        <v>1508</v>
      </c>
      <c r="BC307" s="63" t="s">
        <v>1467</v>
      </c>
      <c r="BD307" s="63" t="s">
        <v>1085</v>
      </c>
      <c r="BE307" s="63"/>
      <c r="BF307" s="63" t="s">
        <v>957</v>
      </c>
      <c r="BG307" s="63" t="s">
        <v>28</v>
      </c>
      <c r="BH307" s="63"/>
      <c r="BI307" s="63"/>
      <c r="BJ307" s="63"/>
      <c r="BK307" s="63"/>
      <c r="BL307" s="69"/>
      <c r="BM307" s="63"/>
      <c r="BN30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63">
        <v>2526</v>
      </c>
      <c r="B308" s="63" t="s">
        <v>26</v>
      </c>
      <c r="C308" s="63" t="s">
        <v>1508</v>
      </c>
      <c r="D308" s="63" t="s">
        <v>133</v>
      </c>
      <c r="E308" s="63" t="s">
        <v>1515</v>
      </c>
      <c r="F308" s="63" t="str">
        <f>IF(ISBLANK(Table2[[#This Row],[unique_id]]), "", PROPER(SUBSTITUTE(Table2[[#This Row],[unique_id]], "_", " ")))</f>
        <v>Network Ethernet</v>
      </c>
      <c r="G308" s="63" t="str">
        <f>TRIM(RIGHT(SUBSTITUTE(TRIM(F308)," ",REPT(" ",100)),100))</f>
        <v>Ethernet</v>
      </c>
      <c r="H308" s="63" t="s">
        <v>1510</v>
      </c>
      <c r="I308" s="63" t="s">
        <v>274</v>
      </c>
      <c r="J308" s="63"/>
      <c r="K308" s="63"/>
      <c r="L308" s="63"/>
      <c r="M308" s="63" t="s">
        <v>255</v>
      </c>
      <c r="N308" s="63"/>
      <c r="O308" s="65"/>
      <c r="P308" s="63"/>
      <c r="Q308" s="63"/>
      <c r="R308" s="63"/>
      <c r="S308" s="63"/>
      <c r="T308" s="66"/>
      <c r="U308" s="63"/>
      <c r="V308" s="65"/>
      <c r="W308" s="65"/>
      <c r="X308" s="65"/>
      <c r="Y308" s="65"/>
      <c r="Z308" s="65"/>
      <c r="AA308" s="65"/>
      <c r="AB308" s="63"/>
      <c r="AC308" s="63"/>
      <c r="AD308" s="63"/>
      <c r="AE308" s="63" t="s">
        <v>1522</v>
      </c>
      <c r="AF308" s="63">
        <f>15*60</f>
        <v>900</v>
      </c>
      <c r="AG308" s="65" t="s">
        <v>34</v>
      </c>
      <c r="AH308" s="65"/>
      <c r="AI308" s="63" t="s">
        <v>1513</v>
      </c>
      <c r="AJ308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308" s="63" t="str">
        <f>IF(ISBLANK(Table2[[#This Row],[index]]),  "", _xlfn.CONCAT(LOWER(Table2[[#This Row],[device_via_device]]), "/data/", SUBSTITUTE(LOWER(Table2[[#This Row],[unique_id]]), "network_", "")))</f>
        <v>networks/data/ethernet</v>
      </c>
      <c r="AL308" s="63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308" s="63" t="str">
        <f>IF(ISBLANK(Table2[[#This Row],[index]]),  "", _xlfn.CONCAT(LOWER(Table2[[#This Row],[device_via_device]]), "/status"))</f>
        <v>networks/status</v>
      </c>
      <c r="AN308" s="63"/>
      <c r="AO308" s="63"/>
      <c r="AP308" s="63"/>
      <c r="AQ308" s="63"/>
      <c r="AR308" s="63" t="s">
        <v>1514</v>
      </c>
      <c r="AS308" s="63">
        <v>1</v>
      </c>
      <c r="AT308" s="67"/>
      <c r="AU308" s="63"/>
      <c r="AV30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30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30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30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08" s="63"/>
      <c r="BA308" s="63" t="str">
        <f>IF(ISBLANK(Table2[[#This Row],[device_model]]), "", Table2[[#This Row],[device_suggested_area]])</f>
        <v>Rack</v>
      </c>
      <c r="BB308" s="63" t="s">
        <v>1508</v>
      </c>
      <c r="BC308" s="63" t="s">
        <v>1467</v>
      </c>
      <c r="BD308" s="63" t="s">
        <v>1085</v>
      </c>
      <c r="BE308" s="63"/>
      <c r="BF308" s="63" t="s">
        <v>957</v>
      </c>
      <c r="BG308" s="63" t="s">
        <v>28</v>
      </c>
      <c r="BH308" s="63"/>
      <c r="BI308" s="63"/>
      <c r="BJ308" s="63"/>
      <c r="BK308" s="63"/>
      <c r="BL308" s="69"/>
      <c r="BM308" s="63"/>
      <c r="BN30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63">
        <v>2527</v>
      </c>
      <c r="B309" s="63" t="s">
        <v>26</v>
      </c>
      <c r="C309" s="63" t="s">
        <v>1508</v>
      </c>
      <c r="D309" s="63" t="s">
        <v>133</v>
      </c>
      <c r="E309" s="63" t="s">
        <v>1518</v>
      </c>
      <c r="F309" s="63" t="str">
        <f>IF(ISBLANK(Table2[[#This Row],[unique_id]]), "", PROPER(SUBSTITUTE(Table2[[#This Row],[unique_id]], "_", " ")))</f>
        <v>Network Weewx</v>
      </c>
      <c r="G309" s="63" t="s">
        <v>39</v>
      </c>
      <c r="H309" s="63" t="s">
        <v>1510</v>
      </c>
      <c r="I309" s="63" t="s">
        <v>274</v>
      </c>
      <c r="J309" s="63"/>
      <c r="K309" s="63"/>
      <c r="L309" s="63"/>
      <c r="M309" s="63" t="s">
        <v>255</v>
      </c>
      <c r="N309" s="63"/>
      <c r="O309" s="65"/>
      <c r="P309" s="63"/>
      <c r="Q309" s="63"/>
      <c r="R309" s="63"/>
      <c r="S309" s="63"/>
      <c r="T309" s="66"/>
      <c r="U309" s="63"/>
      <c r="V309" s="65"/>
      <c r="W309" s="65"/>
      <c r="X309" s="65"/>
      <c r="Y309" s="65"/>
      <c r="Z309" s="65"/>
      <c r="AA309" s="65"/>
      <c r="AB309" s="63"/>
      <c r="AC309" s="63"/>
      <c r="AD309" s="63"/>
      <c r="AE309" s="63" t="s">
        <v>1521</v>
      </c>
      <c r="AF309" s="63">
        <f>15*60</f>
        <v>900</v>
      </c>
      <c r="AG309" s="65" t="s">
        <v>34</v>
      </c>
      <c r="AH309" s="65"/>
      <c r="AI309" s="63" t="s">
        <v>1513</v>
      </c>
      <c r="AJ309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309" s="63" t="str">
        <f>IF(ISBLANK(Table2[[#This Row],[index]]),  "", _xlfn.CONCAT(LOWER(Table2[[#This Row],[device_via_device]]), "/data/", SUBSTITUTE(LOWER(Table2[[#This Row],[unique_id]]), "network_", "")))</f>
        <v>networks/data/weewx</v>
      </c>
      <c r="AL309" s="63" t="str">
        <f>IF(ISBLANK(Table2[[#This Row],[index]]),  "", _xlfn.CONCAT(LOWER(Table2[[#This Row],[device_via_device]]), "/command/", SUBSTITUTE(LOWER(Table2[[#This Row],[unique_id]]), "network_", "")))</f>
        <v>networks/command/weewx</v>
      </c>
      <c r="AM309" s="63" t="str">
        <f>IF(ISBLANK(Table2[[#This Row],[index]]),  "", _xlfn.CONCAT(LOWER(Table2[[#This Row],[device_via_device]]), "/status"))</f>
        <v>networks/status</v>
      </c>
      <c r="AN309" s="63"/>
      <c r="AO309" s="63"/>
      <c r="AP309" s="63"/>
      <c r="AQ309" s="63"/>
      <c r="AR309" s="63" t="s">
        <v>1514</v>
      </c>
      <c r="AS309" s="63">
        <v>1</v>
      </c>
      <c r="AT309" s="67"/>
      <c r="AU309" s="63"/>
      <c r="AV30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30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30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30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09" s="63"/>
      <c r="BA309" s="63" t="str">
        <f>IF(ISBLANK(Table2[[#This Row],[device_model]]), "", Table2[[#This Row],[device_suggested_area]])</f>
        <v>Rack</v>
      </c>
      <c r="BB309" s="63" t="s">
        <v>1508</v>
      </c>
      <c r="BC309" s="63" t="s">
        <v>1467</v>
      </c>
      <c r="BD309" s="63" t="s">
        <v>1085</v>
      </c>
      <c r="BE309" s="63"/>
      <c r="BF309" s="63" t="s">
        <v>957</v>
      </c>
      <c r="BG309" s="63" t="s">
        <v>28</v>
      </c>
      <c r="BH309" s="63"/>
      <c r="BI309" s="63"/>
      <c r="BJ309" s="63"/>
      <c r="BK309" s="63"/>
      <c r="BL309" s="69"/>
      <c r="BM309" s="63"/>
      <c r="BN30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63">
        <v>2528</v>
      </c>
      <c r="B310" s="63" t="s">
        <v>26</v>
      </c>
      <c r="C310" s="63" t="s">
        <v>1508</v>
      </c>
      <c r="D310" s="63" t="s">
        <v>133</v>
      </c>
      <c r="E310" s="63" t="s">
        <v>1524</v>
      </c>
      <c r="F310" s="63" t="str">
        <f>IF(ISBLANK(Table2[[#This Row],[unique_id]]), "", PROPER(SUBSTITUTE(Table2[[#This Row],[unique_id]], "_", " ")))</f>
        <v>Network Certificates</v>
      </c>
      <c r="G310" s="63" t="str">
        <f>TRIM(RIGHT(SUBSTITUTE(TRIM(F310)," ",REPT(" ",100)),100))</f>
        <v>Certificates</v>
      </c>
      <c r="H310" s="63" t="s">
        <v>1510</v>
      </c>
      <c r="I310" s="63" t="s">
        <v>274</v>
      </c>
      <c r="J310" s="63"/>
      <c r="K310" s="63"/>
      <c r="L310" s="63"/>
      <c r="M310" s="63" t="s">
        <v>255</v>
      </c>
      <c r="N310" s="63"/>
      <c r="O310" s="65"/>
      <c r="P310" s="63"/>
      <c r="Q310" s="63"/>
      <c r="R310" s="63"/>
      <c r="S310" s="63"/>
      <c r="T310" s="66"/>
      <c r="U310" s="63"/>
      <c r="V310" s="65"/>
      <c r="W310" s="65"/>
      <c r="X310" s="65"/>
      <c r="Y310" s="65"/>
      <c r="Z310" s="65"/>
      <c r="AA310" s="65"/>
      <c r="AB310" s="63"/>
      <c r="AC310" s="63"/>
      <c r="AD310" s="63"/>
      <c r="AE310" s="63" t="s">
        <v>1523</v>
      </c>
      <c r="AF310" s="63">
        <f>15*60</f>
        <v>900</v>
      </c>
      <c r="AG310" s="65" t="s">
        <v>34</v>
      </c>
      <c r="AH310" s="65"/>
      <c r="AI310" s="63" t="s">
        <v>1513</v>
      </c>
      <c r="AJ310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310" s="63" t="str">
        <f>IF(ISBLANK(Table2[[#This Row],[index]]),  "", _xlfn.CONCAT(LOWER(Table2[[#This Row],[device_via_device]]), "/data/", SUBSTITUTE(LOWER(Table2[[#This Row],[unique_id]]), "network_", "")))</f>
        <v>networks/data/certificates</v>
      </c>
      <c r="AL310" s="63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310" s="63" t="str">
        <f>IF(ISBLANK(Table2[[#This Row],[index]]),  "", _xlfn.CONCAT(LOWER(Table2[[#This Row],[device_via_device]]), "/status"))</f>
        <v>networks/status</v>
      </c>
      <c r="AN310" s="63"/>
      <c r="AO310" s="63"/>
      <c r="AP310" s="63"/>
      <c r="AQ310" s="63"/>
      <c r="AR310" s="63" t="s">
        <v>1514</v>
      </c>
      <c r="AS310" s="63">
        <v>1</v>
      </c>
      <c r="AT310" s="67"/>
      <c r="AU310" s="63"/>
      <c r="AV310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310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310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310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10" s="63"/>
      <c r="BA310" s="63" t="str">
        <f>IF(ISBLANK(Table2[[#This Row],[device_model]]), "", Table2[[#This Row],[device_suggested_area]])</f>
        <v>Rack</v>
      </c>
      <c r="BB310" s="63" t="s">
        <v>1508</v>
      </c>
      <c r="BC310" s="63" t="s">
        <v>1467</v>
      </c>
      <c r="BD310" s="63" t="s">
        <v>1085</v>
      </c>
      <c r="BE310" s="63"/>
      <c r="BF310" s="63" t="s">
        <v>957</v>
      </c>
      <c r="BG310" s="63" t="s">
        <v>28</v>
      </c>
      <c r="BH310" s="63"/>
      <c r="BI310" s="63"/>
      <c r="BJ310" s="63"/>
      <c r="BK310" s="63"/>
      <c r="BL310" s="69"/>
      <c r="BM310" s="63"/>
      <c r="BN310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63">
        <v>2529</v>
      </c>
      <c r="B311" s="63" t="s">
        <v>26</v>
      </c>
      <c r="C311" s="63" t="s">
        <v>149</v>
      </c>
      <c r="D311" s="63" t="s">
        <v>589</v>
      </c>
      <c r="E311" s="63" t="s">
        <v>1281</v>
      </c>
      <c r="F311" s="64" t="str">
        <f>IF(ISBLANK(Table2[[#This Row],[unique_id]]), "", PROPER(SUBSTITUTE(Table2[[#This Row],[unique_id]], "_", " ")))</f>
        <v>Google Assistant Synchronize Devices</v>
      </c>
      <c r="G311" s="63" t="s">
        <v>1152</v>
      </c>
      <c r="H311" s="63" t="s">
        <v>590</v>
      </c>
      <c r="I311" s="63" t="s">
        <v>274</v>
      </c>
      <c r="J311" s="63"/>
      <c r="K311" s="63"/>
      <c r="L311" s="63"/>
      <c r="M311" s="63" t="s">
        <v>255</v>
      </c>
      <c r="N311" s="63"/>
      <c r="O311" s="65"/>
      <c r="P311" s="63"/>
      <c r="Q311" s="63"/>
      <c r="R311" s="63"/>
      <c r="S311" s="63"/>
      <c r="T311" s="66"/>
      <c r="U311" s="63"/>
      <c r="V311" s="65"/>
      <c r="W311" s="65"/>
      <c r="X311" s="65"/>
      <c r="Y311" s="65"/>
      <c r="Z311" s="65"/>
      <c r="AA311" s="65"/>
      <c r="AB311" s="63"/>
      <c r="AC311" s="63"/>
      <c r="AD311" s="63"/>
      <c r="AE311" s="63"/>
      <c r="AF311" s="63"/>
      <c r="AG311" s="65"/>
      <c r="AH311" s="65"/>
      <c r="AI311" s="63"/>
      <c r="AJ311" s="63"/>
      <c r="AK311" s="63"/>
      <c r="AL311" s="63"/>
      <c r="AM311" s="63"/>
      <c r="AN311" s="63"/>
      <c r="AO311" s="63"/>
      <c r="AP311" s="63"/>
      <c r="AQ311" s="63"/>
      <c r="AR311" s="68"/>
      <c r="AS311" s="63"/>
      <c r="AT311" s="67"/>
      <c r="AU311" s="65"/>
      <c r="AV31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11" s="63"/>
      <c r="BA311" s="63" t="str">
        <f>IF(ISBLANK(Table2[[#This Row],[device_model]]), "", Table2[[#This Row],[device_suggested_area]])</f>
        <v/>
      </c>
      <c r="BB311" s="63"/>
      <c r="BC311" s="63"/>
      <c r="BD311" s="63"/>
      <c r="BE311" s="63"/>
      <c r="BF311" s="65"/>
      <c r="BG311" s="63"/>
      <c r="BH311" s="63"/>
      <c r="BI311" s="63"/>
      <c r="BJ311" s="63"/>
      <c r="BK311" s="63"/>
      <c r="BL311" s="63"/>
      <c r="BM311" s="63"/>
      <c r="BN31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63">
        <v>2530</v>
      </c>
      <c r="B312" s="63" t="s">
        <v>26</v>
      </c>
      <c r="C312" s="63" t="s">
        <v>423</v>
      </c>
      <c r="D312" s="63" t="s">
        <v>316</v>
      </c>
      <c r="E312" s="63" t="s">
        <v>315</v>
      </c>
      <c r="F312" s="64" t="str">
        <f>IF(ISBLANK(Table2[[#This Row],[unique_id]]), "", PROPER(SUBSTITUTE(Table2[[#This Row],[unique_id]], "_", " ")))</f>
        <v>Column Break</v>
      </c>
      <c r="G312" s="63" t="s">
        <v>312</v>
      </c>
      <c r="H312" s="63" t="s">
        <v>590</v>
      </c>
      <c r="I312" s="63" t="s">
        <v>274</v>
      </c>
      <c r="J312" s="63"/>
      <c r="K312" s="63"/>
      <c r="L312" s="63"/>
      <c r="M312" s="63" t="s">
        <v>313</v>
      </c>
      <c r="N312" s="63" t="s">
        <v>314</v>
      </c>
      <c r="O312" s="65"/>
      <c r="P312" s="63"/>
      <c r="Q312" s="63"/>
      <c r="R312" s="63"/>
      <c r="S312" s="63"/>
      <c r="T312" s="66"/>
      <c r="U312" s="63"/>
      <c r="V312" s="65"/>
      <c r="W312" s="65"/>
      <c r="X312" s="65"/>
      <c r="Y312" s="65"/>
      <c r="Z312" s="65"/>
      <c r="AA312" s="65"/>
      <c r="AB312" s="63"/>
      <c r="AC312" s="63"/>
      <c r="AD312" s="63"/>
      <c r="AE312" s="63"/>
      <c r="AF312" s="63"/>
      <c r="AG312" s="65"/>
      <c r="AH312" s="65"/>
      <c r="AI312" s="63"/>
      <c r="AJ312" s="63"/>
      <c r="AK312" s="63"/>
      <c r="AL312" s="63"/>
      <c r="AM312" s="63"/>
      <c r="AN312" s="63"/>
      <c r="AO312" s="63"/>
      <c r="AP312" s="63"/>
      <c r="AQ312" s="63"/>
      <c r="AR312" s="68"/>
      <c r="AS312" s="63"/>
      <c r="AT312" s="67"/>
      <c r="AU312" s="65"/>
      <c r="AV31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12" s="63"/>
      <c r="BA312" s="63" t="str">
        <f>IF(ISBLANK(Table2[[#This Row],[device_model]]), "", Table2[[#This Row],[device_suggested_area]])</f>
        <v/>
      </c>
      <c r="BB312" s="63"/>
      <c r="BC312" s="63"/>
      <c r="BD312" s="63"/>
      <c r="BE312" s="63"/>
      <c r="BF312" s="65"/>
      <c r="BG312" s="63"/>
      <c r="BH312" s="63"/>
      <c r="BI312" s="63"/>
      <c r="BJ312" s="63"/>
      <c r="BK312" s="63"/>
      <c r="BL312" s="63"/>
      <c r="BM312" s="63"/>
      <c r="BN31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1165</v>
      </c>
      <c r="D313" s="30" t="s">
        <v>27</v>
      </c>
      <c r="E313" s="30" t="s">
        <v>1171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1166</v>
      </c>
      <c r="H313" s="30" t="s">
        <v>1168</v>
      </c>
      <c r="I313" s="30" t="s">
        <v>274</v>
      </c>
      <c r="K313" s="30" t="s">
        <v>1135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299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1503</v>
      </c>
      <c r="D314" s="30" t="s">
        <v>27</v>
      </c>
      <c r="E314" s="30" t="s">
        <v>1082</v>
      </c>
      <c r="F314" s="36" t="str">
        <f>IF(ISBLANK(Table2[[#This Row],[unique_id]]), "", PROPER(SUBSTITUTE(Table2[[#This Row],[unique_id]], "_", " ")))</f>
        <v>Rack Top Temperature</v>
      </c>
      <c r="G314" s="30" t="s">
        <v>1084</v>
      </c>
      <c r="H314" s="30" t="s">
        <v>1168</v>
      </c>
      <c r="I314" s="30" t="s">
        <v>274</v>
      </c>
      <c r="K314" s="30" t="s">
        <v>1127</v>
      </c>
      <c r="O314" s="31"/>
      <c r="P314" s="30"/>
      <c r="T314" s="37"/>
      <c r="U314" s="30"/>
      <c r="V314" s="31" t="s">
        <v>1147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299</v>
      </c>
      <c r="AF314" s="30">
        <v>300</v>
      </c>
      <c r="AG314" s="31" t="s">
        <v>34</v>
      </c>
      <c r="AH314" s="31"/>
      <c r="AI314" s="30" t="s">
        <v>1397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1505</v>
      </c>
      <c r="BD314" s="30" t="s">
        <v>1506</v>
      </c>
      <c r="BF314" s="30" t="s">
        <v>957</v>
      </c>
      <c r="BG314" s="30" t="s">
        <v>28</v>
      </c>
      <c r="BL314" s="30" t="s">
        <v>1103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1503</v>
      </c>
      <c r="D315" s="30" t="s">
        <v>27</v>
      </c>
      <c r="E315" s="30" t="s">
        <v>1127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1084</v>
      </c>
      <c r="H315" s="30" t="s">
        <v>1168</v>
      </c>
      <c r="I315" s="30" t="s">
        <v>274</v>
      </c>
      <c r="J315" s="30" t="s">
        <v>86</v>
      </c>
      <c r="M315" s="30" t="s">
        <v>135</v>
      </c>
      <c r="O315" s="31"/>
      <c r="P315" s="30"/>
      <c r="T315" s="37"/>
      <c r="U315" s="30" t="s">
        <v>419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299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1503</v>
      </c>
      <c r="D316" s="30" t="s">
        <v>27</v>
      </c>
      <c r="E316" s="30" t="s">
        <v>1083</v>
      </c>
      <c r="F316" s="36" t="str">
        <f>IF(ISBLANK(Table2[[#This Row],[unique_id]]), "", PROPER(SUBSTITUTE(Table2[[#This Row],[unique_id]], "_", " ")))</f>
        <v>Rack Bottom Temperature</v>
      </c>
      <c r="G316" s="30" t="s">
        <v>1086</v>
      </c>
      <c r="H316" s="30" t="s">
        <v>1168</v>
      </c>
      <c r="I316" s="30" t="s">
        <v>274</v>
      </c>
      <c r="K316" s="30" t="s">
        <v>1128</v>
      </c>
      <c r="O316" s="31"/>
      <c r="P316" s="30"/>
      <c r="T316" s="37"/>
      <c r="U316" s="30"/>
      <c r="V316" s="31" t="s">
        <v>1147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299</v>
      </c>
      <c r="AF316" s="30">
        <v>300</v>
      </c>
      <c r="AG316" s="31" t="s">
        <v>34</v>
      </c>
      <c r="AH316" s="31"/>
      <c r="AI316" s="30" t="s">
        <v>1397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1505</v>
      </c>
      <c r="BD316" s="30" t="s">
        <v>1506</v>
      </c>
      <c r="BF316" s="30" t="s">
        <v>957</v>
      </c>
      <c r="BG316" s="30" t="s">
        <v>28</v>
      </c>
      <c r="BL316" s="30" t="s">
        <v>1102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1503</v>
      </c>
      <c r="D317" s="30" t="s">
        <v>27</v>
      </c>
      <c r="E317" s="30" t="s">
        <v>1128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1086</v>
      </c>
      <c r="H317" s="30" t="s">
        <v>1168</v>
      </c>
      <c r="I317" s="30" t="s">
        <v>274</v>
      </c>
      <c r="J317" s="30" t="s">
        <v>86</v>
      </c>
      <c r="M317" s="30" t="s">
        <v>135</v>
      </c>
      <c r="O317" s="31"/>
      <c r="P317" s="30"/>
      <c r="T317" s="37"/>
      <c r="U317" s="30" t="s">
        <v>419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299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1154</v>
      </c>
      <c r="D318" s="30" t="s">
        <v>27</v>
      </c>
      <c r="E318" s="30" t="s">
        <v>1426</v>
      </c>
      <c r="F318" s="30" t="str">
        <f>IF(ISBLANK(Table2[[#This Row],[unique_id]]), "", PROPER(SUBSTITUTE(Table2[[#This Row],[unique_id]], "_", " ")))</f>
        <v>Host Mad Temperature</v>
      </c>
      <c r="G318" s="30" t="s">
        <v>1430</v>
      </c>
      <c r="H318" s="30" t="s">
        <v>1168</v>
      </c>
      <c r="I318" s="30" t="s">
        <v>274</v>
      </c>
      <c r="K318" s="30" t="s">
        <v>1427</v>
      </c>
      <c r="O318" s="31"/>
      <c r="P318" s="30"/>
      <c r="T318" s="37"/>
      <c r="U318" s="30"/>
      <c r="V318" s="31" t="s">
        <v>298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299</v>
      </c>
      <c r="AF318" s="30">
        <v>5</v>
      </c>
      <c r="AG318" s="31" t="s">
        <v>34</v>
      </c>
      <c r="AH318" s="31"/>
      <c r="AI318" s="30" t="s">
        <v>1432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1154</v>
      </c>
      <c r="BC318" s="30" t="s">
        <v>1467</v>
      </c>
      <c r="BD318" s="30" t="s">
        <v>1085</v>
      </c>
      <c r="BF318" s="30" t="s">
        <v>957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1154</v>
      </c>
      <c r="D319" s="30" t="s">
        <v>27</v>
      </c>
      <c r="E319" s="30" t="s">
        <v>1427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1430</v>
      </c>
      <c r="H319" s="30" t="s">
        <v>1168</v>
      </c>
      <c r="I319" s="30" t="s">
        <v>274</v>
      </c>
      <c r="M319" s="30" t="s">
        <v>135</v>
      </c>
      <c r="O319" s="31"/>
      <c r="P319" s="30"/>
      <c r="T319" s="37"/>
      <c r="U319" s="30" t="s">
        <v>419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299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1154</v>
      </c>
      <c r="D320" s="30" t="s">
        <v>27</v>
      </c>
      <c r="E320" s="30" t="s">
        <v>1428</v>
      </c>
      <c r="F320" s="30" t="str">
        <f>IF(ISBLANK(Table2[[#This Row],[unique_id]]), "", PROPER(SUBSTITUTE(Table2[[#This Row],[unique_id]], "_", " ")))</f>
        <v>Host Max Temperature</v>
      </c>
      <c r="G320" s="30" t="s">
        <v>1431</v>
      </c>
      <c r="H320" s="30" t="s">
        <v>1168</v>
      </c>
      <c r="I320" s="30" t="s">
        <v>274</v>
      </c>
      <c r="K320" s="30" t="s">
        <v>1429</v>
      </c>
      <c r="O320" s="31"/>
      <c r="P320" s="30"/>
      <c r="T320" s="37"/>
      <c r="U320" s="30"/>
      <c r="V320" s="31" t="s">
        <v>298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299</v>
      </c>
      <c r="AF320" s="30">
        <v>5</v>
      </c>
      <c r="AG320" s="31" t="s">
        <v>34</v>
      </c>
      <c r="AH320" s="31"/>
      <c r="AI320" s="30" t="s">
        <v>1433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1154</v>
      </c>
      <c r="BC320" s="30" t="s">
        <v>1467</v>
      </c>
      <c r="BD320" s="30" t="s">
        <v>1085</v>
      </c>
      <c r="BF320" s="30" t="s">
        <v>957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1154</v>
      </c>
      <c r="D321" s="30" t="s">
        <v>27</v>
      </c>
      <c r="E321" s="30" t="s">
        <v>1429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1431</v>
      </c>
      <c r="H321" s="30" t="s">
        <v>1168</v>
      </c>
      <c r="I321" s="30" t="s">
        <v>274</v>
      </c>
      <c r="M321" s="30" t="s">
        <v>135</v>
      </c>
      <c r="O321" s="31"/>
      <c r="P321" s="30"/>
      <c r="T321" s="37"/>
      <c r="U321" s="30" t="s">
        <v>419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299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1154</v>
      </c>
      <c r="D322" s="30" t="s">
        <v>27</v>
      </c>
      <c r="E322" s="30" t="s">
        <v>1391</v>
      </c>
      <c r="F322" s="30" t="str">
        <f>IF(ISBLANK(Table2[[#This Row],[unique_id]]), "", PROPER(SUBSTITUTE(Table2[[#This Row],[unique_id]], "_", " ")))</f>
        <v>Host May Temperature</v>
      </c>
      <c r="G322" s="30" t="s">
        <v>1390</v>
      </c>
      <c r="H322" s="30" t="s">
        <v>1168</v>
      </c>
      <c r="I322" s="30" t="s">
        <v>274</v>
      </c>
      <c r="K322" s="30" t="s">
        <v>1392</v>
      </c>
      <c r="O322" s="31"/>
      <c r="P322" s="30"/>
      <c r="T322" s="37"/>
      <c r="U322" s="30"/>
      <c r="V322" s="31" t="s">
        <v>298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299</v>
      </c>
      <c r="AF322" s="30">
        <v>5</v>
      </c>
      <c r="AG322" s="31" t="s">
        <v>34</v>
      </c>
      <c r="AH322" s="31"/>
      <c r="AI322" s="30" t="s">
        <v>1397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1154</v>
      </c>
      <c r="BC322" s="30" t="s">
        <v>1467</v>
      </c>
      <c r="BD322" s="30" t="s">
        <v>1085</v>
      </c>
      <c r="BF322" s="30" t="s">
        <v>957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1154</v>
      </c>
      <c r="D323" s="30" t="s">
        <v>27</v>
      </c>
      <c r="E323" s="30" t="s">
        <v>1392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1390</v>
      </c>
      <c r="H323" s="30" t="s">
        <v>1168</v>
      </c>
      <c r="I323" s="30" t="s">
        <v>274</v>
      </c>
      <c r="M323" s="30" t="s">
        <v>135</v>
      </c>
      <c r="O323" s="31"/>
      <c r="P323" s="30"/>
      <c r="T323" s="37"/>
      <c r="U323" s="30" t="s">
        <v>419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299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1154</v>
      </c>
      <c r="D324" s="30" t="s">
        <v>27</v>
      </c>
      <c r="E324" s="30" t="s">
        <v>1161</v>
      </c>
      <c r="F324" s="30" t="str">
        <f>IF(ISBLANK(Table2[[#This Row],[unique_id]]), "", PROPER(SUBSTITUTE(Table2[[#This Row],[unique_id]], "_", " ")))</f>
        <v>Host Meg Temperature</v>
      </c>
      <c r="G324" s="30" t="s">
        <v>1164</v>
      </c>
      <c r="H324" s="30" t="s">
        <v>1168</v>
      </c>
      <c r="I324" s="30" t="s">
        <v>274</v>
      </c>
      <c r="K324" s="30" t="s">
        <v>1163</v>
      </c>
      <c r="O324" s="31"/>
      <c r="P324" s="30"/>
      <c r="T324" s="37"/>
      <c r="U324" s="30"/>
      <c r="V324" s="31" t="s">
        <v>298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299</v>
      </c>
      <c r="AF324" s="30">
        <v>5</v>
      </c>
      <c r="AG324" s="31" t="s">
        <v>34</v>
      </c>
      <c r="AH324" s="31"/>
      <c r="AI324" s="30" t="s">
        <v>1104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1154</v>
      </c>
      <c r="BC324" s="30" t="s">
        <v>1467</v>
      </c>
      <c r="BD324" s="30" t="s">
        <v>1085</v>
      </c>
      <c r="BF324" s="30" t="s">
        <v>957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1154</v>
      </c>
      <c r="D325" s="30" t="s">
        <v>27</v>
      </c>
      <c r="E325" s="30" t="s">
        <v>1163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1164</v>
      </c>
      <c r="H325" s="30" t="s">
        <v>1168</v>
      </c>
      <c r="I325" s="30" t="s">
        <v>274</v>
      </c>
      <c r="M325" s="30" t="s">
        <v>135</v>
      </c>
      <c r="O325" s="31"/>
      <c r="P325" s="30"/>
      <c r="T325" s="37"/>
      <c r="U325" s="30" t="s">
        <v>419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299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1165</v>
      </c>
      <c r="D326" s="30" t="s">
        <v>27</v>
      </c>
      <c r="E326" s="30" t="s">
        <v>1173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1170</v>
      </c>
      <c r="H326" s="30" t="s">
        <v>1169</v>
      </c>
      <c r="I326" s="30" t="s">
        <v>274</v>
      </c>
      <c r="K326" s="30" t="s">
        <v>1126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299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1165</v>
      </c>
      <c r="D327" s="30" t="s">
        <v>27</v>
      </c>
      <c r="E327" s="30" t="s">
        <v>1172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1376</v>
      </c>
      <c r="H327" s="30" t="s">
        <v>1167</v>
      </c>
      <c r="I327" s="30" t="s">
        <v>274</v>
      </c>
      <c r="K327" s="30" t="s">
        <v>1132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299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1154</v>
      </c>
      <c r="D328" s="30" t="s">
        <v>27</v>
      </c>
      <c r="E328" s="30" t="s">
        <v>1403</v>
      </c>
      <c r="F328" s="30" t="str">
        <f>IF(ISBLANK(Table2[[#This Row],[unique_id]]), "", PROPER(SUBSTITUTE(Table2[[#This Row],[unique_id]], "_", " ")))</f>
        <v>Host Jen Temperature</v>
      </c>
      <c r="G328" s="30" t="s">
        <v>1404</v>
      </c>
      <c r="H328" s="30" t="s">
        <v>1167</v>
      </c>
      <c r="I328" s="30" t="s">
        <v>274</v>
      </c>
      <c r="K328" s="30" t="s">
        <v>1399</v>
      </c>
      <c r="O328" s="31"/>
      <c r="P328" s="30"/>
      <c r="T328" s="37"/>
      <c r="U328" s="30"/>
      <c r="V328" s="31" t="s">
        <v>298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299</v>
      </c>
      <c r="AF328" s="30">
        <v>5</v>
      </c>
      <c r="AG328" s="31" t="s">
        <v>34</v>
      </c>
      <c r="AH328" s="31"/>
      <c r="AI328" s="30" t="s">
        <v>1400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1154</v>
      </c>
      <c r="BC328" s="30" t="s">
        <v>1467</v>
      </c>
      <c r="BD328" s="30" t="s">
        <v>1085</v>
      </c>
      <c r="BF328" s="30" t="s">
        <v>957</v>
      </c>
      <c r="BG328" s="30" t="s">
        <v>478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1154</v>
      </c>
      <c r="D329" s="30" t="s">
        <v>27</v>
      </c>
      <c r="E329" s="30" t="s">
        <v>1399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1404</v>
      </c>
      <c r="H329" s="30" t="s">
        <v>1167</v>
      </c>
      <c r="I329" s="30" t="s">
        <v>274</v>
      </c>
      <c r="M329" s="30" t="s">
        <v>135</v>
      </c>
      <c r="O329" s="31"/>
      <c r="P329" s="30"/>
      <c r="T329" s="37"/>
      <c r="U329" s="30" t="s">
        <v>419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299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423</v>
      </c>
      <c r="D330" s="30" t="s">
        <v>316</v>
      </c>
      <c r="E330" s="30" t="s">
        <v>315</v>
      </c>
      <c r="F330" s="36" t="str">
        <f>IF(ISBLANK(Table2[[#This Row],[unique_id]]), "", PROPER(SUBSTITUTE(Table2[[#This Row],[unique_id]], "_", " ")))</f>
        <v>Column Break</v>
      </c>
      <c r="G330" s="30" t="s">
        <v>312</v>
      </c>
      <c r="H330" s="30" t="s">
        <v>1167</v>
      </c>
      <c r="I330" s="30" t="s">
        <v>274</v>
      </c>
      <c r="M330" s="30" t="s">
        <v>313</v>
      </c>
      <c r="N330" s="30" t="s">
        <v>314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605</v>
      </c>
      <c r="D331" s="30" t="s">
        <v>27</v>
      </c>
      <c r="E331" s="30" t="s">
        <v>643</v>
      </c>
      <c r="F331" s="36" t="str">
        <f>IF(ISBLANK(Table2[[#This Row],[unique_id]]), "", PROPER(SUBSTITUTE(Table2[[#This Row],[unique_id]], "_", " ")))</f>
        <v>Back Door Lock Battery</v>
      </c>
      <c r="G331" s="30" t="s">
        <v>629</v>
      </c>
      <c r="H331" s="30" t="s">
        <v>1151</v>
      </c>
      <c r="I331" s="30" t="s">
        <v>274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605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Front Door Lock Battery</v>
      </c>
      <c r="G332" s="30" t="s">
        <v>628</v>
      </c>
      <c r="H332" s="30" t="s">
        <v>1151</v>
      </c>
      <c r="I332" s="30" t="s">
        <v>274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317</v>
      </c>
      <c r="D333" s="30" t="s">
        <v>27</v>
      </c>
      <c r="E333" s="30" t="s">
        <v>646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631</v>
      </c>
      <c r="H333" s="30" t="s">
        <v>1151</v>
      </c>
      <c r="I333" s="30" t="s">
        <v>274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317</v>
      </c>
      <c r="D334" s="30" t="s">
        <v>27</v>
      </c>
      <c r="E334" s="30" t="s">
        <v>645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630</v>
      </c>
      <c r="H334" s="30" t="s">
        <v>1151</v>
      </c>
      <c r="I334" s="30" t="s">
        <v>274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562</v>
      </c>
      <c r="C335" s="30" t="s">
        <v>440</v>
      </c>
      <c r="D335" s="30" t="s">
        <v>27</v>
      </c>
      <c r="E335" s="30" t="s">
        <v>468</v>
      </c>
      <c r="F335" s="36" t="str">
        <f>IF(ISBLANK(Table2[[#This Row],[unique_id]]), "", PROPER(SUBSTITUTE(Table2[[#This Row],[unique_id]], "_", " ")))</f>
        <v>Home Cube Remote Battery</v>
      </c>
      <c r="G335" s="30" t="s">
        <v>448</v>
      </c>
      <c r="H335" s="30" t="s">
        <v>1151</v>
      </c>
      <c r="I335" s="30" t="s">
        <v>274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640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638</v>
      </c>
      <c r="H336" s="48" t="s">
        <v>1151</v>
      </c>
      <c r="I336" s="48" t="s">
        <v>274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639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447</v>
      </c>
      <c r="H337" s="48" t="s">
        <v>1151</v>
      </c>
      <c r="I337" s="48" t="s">
        <v>274</v>
      </c>
      <c r="O337" s="50"/>
      <c r="T337" s="51"/>
      <c r="V337" s="50" t="s">
        <v>1181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1149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1180</v>
      </c>
      <c r="BC337" s="48" t="s">
        <v>36</v>
      </c>
      <c r="BD337" s="48" t="s">
        <v>37</v>
      </c>
      <c r="BF337" s="48" t="s">
        <v>1031</v>
      </c>
      <c r="BG337" s="48" t="s">
        <v>478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1309</v>
      </c>
      <c r="F338" s="36" t="str">
        <f>IF(ISBLANK(Table2[[#This Row],[unique_id]]), "", PROPER(SUBSTITUTE(Table2[[#This Row],[unique_id]], "_", " ")))</f>
        <v>Office Pantry Battery</v>
      </c>
      <c r="G338" s="30" t="s">
        <v>441</v>
      </c>
      <c r="H338" s="30" t="s">
        <v>1151</v>
      </c>
      <c r="I338" s="30" t="s">
        <v>274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959</v>
      </c>
      <c r="BC338" s="30" t="s">
        <v>961</v>
      </c>
      <c r="BD338" s="30" t="s">
        <v>127</v>
      </c>
      <c r="BF338" s="30" t="s">
        <v>407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1310</v>
      </c>
      <c r="F339" s="36" t="str">
        <f>IF(ISBLANK(Table2[[#This Row],[unique_id]]), "", PROPER(SUBSTITUTE(Table2[[#This Row],[unique_id]], "_", " ")))</f>
        <v>Office Lounge Battery</v>
      </c>
      <c r="G339" s="30" t="s">
        <v>442</v>
      </c>
      <c r="H339" s="30" t="s">
        <v>1151</v>
      </c>
      <c r="I339" s="30" t="s">
        <v>274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959</v>
      </c>
      <c r="BC339" s="30" t="s">
        <v>961</v>
      </c>
      <c r="BD339" s="30" t="s">
        <v>127</v>
      </c>
      <c r="BF339" s="30" t="s">
        <v>407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1311</v>
      </c>
      <c r="F340" s="36" t="str">
        <f>IF(ISBLANK(Table2[[#This Row],[unique_id]]), "", PROPER(SUBSTITUTE(Table2[[#This Row],[unique_id]], "_", " ")))</f>
        <v>Office Dining Battery</v>
      </c>
      <c r="G340" s="30" t="s">
        <v>443</v>
      </c>
      <c r="H340" s="30" t="s">
        <v>1151</v>
      </c>
      <c r="I340" s="30" t="s">
        <v>274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959</v>
      </c>
      <c r="BC340" s="30" t="s">
        <v>961</v>
      </c>
      <c r="BD340" s="30" t="s">
        <v>127</v>
      </c>
      <c r="BF340" s="30" t="s">
        <v>407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1312</v>
      </c>
      <c r="F341" s="36" t="str">
        <f>IF(ISBLANK(Table2[[#This Row],[unique_id]]), "", PROPER(SUBSTITUTE(Table2[[#This Row],[unique_id]], "_", " ")))</f>
        <v>Office Basement Battery</v>
      </c>
      <c r="G341" s="30" t="s">
        <v>444</v>
      </c>
      <c r="H341" s="30" t="s">
        <v>1151</v>
      </c>
      <c r="I341" s="30" t="s">
        <v>274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959</v>
      </c>
      <c r="BC341" s="30" t="s">
        <v>961</v>
      </c>
      <c r="BD341" s="30" t="s">
        <v>127</v>
      </c>
      <c r="BF341" s="30" t="s">
        <v>407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704</v>
      </c>
      <c r="F342" s="36" t="str">
        <f>IF(ISBLANK(Table2[[#This Row],[unique_id]]), "", PROPER(SUBSTITUTE(Table2[[#This Row],[unique_id]], "_", " ")))</f>
        <v>Parents Move Battery</v>
      </c>
      <c r="G342" s="30" t="s">
        <v>445</v>
      </c>
      <c r="H342" s="30" t="s">
        <v>1151</v>
      </c>
      <c r="I342" s="30" t="s">
        <v>274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703</v>
      </c>
      <c r="F343" s="36" t="str">
        <f>IF(ISBLANK(Table2[[#This Row],[unique_id]]), "", PROPER(SUBSTITUTE(Table2[[#This Row],[unique_id]], "_", " ")))</f>
        <v>Kitchen Move Battery</v>
      </c>
      <c r="G343" s="30" t="s">
        <v>446</v>
      </c>
      <c r="H343" s="30" t="s">
        <v>1151</v>
      </c>
      <c r="I343" s="30" t="s">
        <v>274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423</v>
      </c>
      <c r="D344" s="30" t="s">
        <v>316</v>
      </c>
      <c r="E344" s="30" t="s">
        <v>315</v>
      </c>
      <c r="F344" s="36" t="str">
        <f>IF(ISBLANK(Table2[[#This Row],[unique_id]]), "", PROPER(SUBSTITUTE(Table2[[#This Row],[unique_id]], "_", " ")))</f>
        <v>Column Break</v>
      </c>
      <c r="G344" s="30" t="s">
        <v>312</v>
      </c>
      <c r="H344" s="30" t="s">
        <v>1151</v>
      </c>
      <c r="I344" s="30" t="s">
        <v>274</v>
      </c>
      <c r="M344" s="30" t="s">
        <v>313</v>
      </c>
      <c r="N344" s="30" t="s">
        <v>314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745</v>
      </c>
      <c r="D345" s="30" t="s">
        <v>27</v>
      </c>
      <c r="E345" s="30" t="s">
        <v>796</v>
      </c>
      <c r="F345" s="36" t="str">
        <f>IF(ISBLANK(Table2[[#This Row],[unique_id]]), "", PROPER(SUBSTITUTE(Table2[[#This Row],[unique_id]], "_", " ")))</f>
        <v>All Standby</v>
      </c>
      <c r="G345" s="30" t="s">
        <v>797</v>
      </c>
      <c r="H345" s="30" t="s">
        <v>509</v>
      </c>
      <c r="I345" s="30" t="s">
        <v>274</v>
      </c>
      <c r="O345" s="31" t="s">
        <v>756</v>
      </c>
      <c r="P345" s="30"/>
      <c r="R345" s="41"/>
      <c r="T345" s="37" t="s">
        <v>795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678</v>
      </c>
      <c r="D346" s="30" t="s">
        <v>133</v>
      </c>
      <c r="E346" s="30" t="s">
        <v>1434</v>
      </c>
      <c r="F346" s="36" t="str">
        <f>IF(ISBLANK(Table2[[#This Row],[unique_id]]), "", PROPER(SUBSTITUTE(Table2[[#This Row],[unique_id]], "_", " ")))</f>
        <v>Rack Printer Plug</v>
      </c>
      <c r="G346" s="30" t="s">
        <v>1449</v>
      </c>
      <c r="H346" s="30" t="s">
        <v>509</v>
      </c>
      <c r="I346" s="30" t="s">
        <v>274</v>
      </c>
      <c r="M346" s="30" t="s">
        <v>255</v>
      </c>
      <c r="O346" s="31" t="s">
        <v>756</v>
      </c>
      <c r="P346" s="30"/>
      <c r="T346" s="37" t="s">
        <v>939</v>
      </c>
      <c r="U346" s="30"/>
      <c r="V346" s="31"/>
      <c r="W346" s="31"/>
      <c r="X346" s="31"/>
      <c r="Y346" s="31"/>
      <c r="Z346" s="31"/>
      <c r="AA346" s="31" t="s">
        <v>1076</v>
      </c>
      <c r="AB346" s="30"/>
      <c r="AC346" s="30"/>
      <c r="AE346" s="30" t="s">
        <v>1435</v>
      </c>
      <c r="AF346" s="30">
        <v>10</v>
      </c>
      <c r="AG346" s="31" t="s">
        <v>34</v>
      </c>
      <c r="AH346" s="31" t="s">
        <v>865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884</v>
      </c>
      <c r="AO346" s="30" t="s">
        <v>885</v>
      </c>
      <c r="AP346" s="30" t="s">
        <v>874</v>
      </c>
      <c r="AQ346" s="30" t="s">
        <v>875</v>
      </c>
      <c r="AR346" s="30" t="s">
        <v>938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365</v>
      </c>
      <c r="BC346" s="39" t="s">
        <v>735</v>
      </c>
      <c r="BD346" s="30" t="s">
        <v>1077</v>
      </c>
      <c r="BF346" s="30" t="s">
        <v>855</v>
      </c>
      <c r="BG346" s="30" t="s">
        <v>28</v>
      </c>
      <c r="BK346" s="30" t="s">
        <v>1215</v>
      </c>
      <c r="BL346" s="30" t="s">
        <v>1454</v>
      </c>
      <c r="BM346" s="30" t="s">
        <v>1450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678</v>
      </c>
      <c r="D347" s="30" t="s">
        <v>133</v>
      </c>
      <c r="E347" s="30" t="s">
        <v>1444</v>
      </c>
      <c r="F347" s="36" t="str">
        <f>IF(ISBLANK(Table2[[#This Row],[unique_id]]), "", PROPER(SUBSTITUTE(Table2[[#This Row],[unique_id]], "_", " ")))</f>
        <v>Rack Screen Plug</v>
      </c>
      <c r="G347" s="30" t="s">
        <v>1437</v>
      </c>
      <c r="H347" s="30" t="s">
        <v>509</v>
      </c>
      <c r="I347" s="30" t="s">
        <v>274</v>
      </c>
      <c r="M347" s="30" t="s">
        <v>255</v>
      </c>
      <c r="O347" s="31" t="s">
        <v>756</v>
      </c>
      <c r="P347" s="30"/>
      <c r="T347" s="37" t="s">
        <v>939</v>
      </c>
      <c r="U347" s="30"/>
      <c r="V347" s="31"/>
      <c r="W347" s="31"/>
      <c r="X347" s="31"/>
      <c r="Y347" s="31"/>
      <c r="Z347" s="31"/>
      <c r="AA347" s="31" t="s">
        <v>1076</v>
      </c>
      <c r="AB347" s="30"/>
      <c r="AC347" s="30"/>
      <c r="AE347" s="30" t="s">
        <v>1438</v>
      </c>
      <c r="AF347" s="30">
        <v>10</v>
      </c>
      <c r="AG347" s="31" t="s">
        <v>34</v>
      </c>
      <c r="AH347" s="31" t="s">
        <v>865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884</v>
      </c>
      <c r="AO347" s="30" t="s">
        <v>885</v>
      </c>
      <c r="AP347" s="30" t="s">
        <v>874</v>
      </c>
      <c r="AQ347" s="30" t="s">
        <v>875</v>
      </c>
      <c r="AR347" s="30" t="s">
        <v>938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1441</v>
      </c>
      <c r="BC347" s="39" t="s">
        <v>735</v>
      </c>
      <c r="BD347" s="30" t="s">
        <v>1077</v>
      </c>
      <c r="BF347" s="30" t="s">
        <v>855</v>
      </c>
      <c r="BG347" s="30" t="s">
        <v>28</v>
      </c>
      <c r="BK347" s="30" t="s">
        <v>1215</v>
      </c>
      <c r="BL347" s="30" t="s">
        <v>1446</v>
      </c>
      <c r="BM347" s="30" t="s">
        <v>1442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678</v>
      </c>
      <c r="D348" s="30" t="s">
        <v>133</v>
      </c>
      <c r="E348" s="30" t="s">
        <v>1418</v>
      </c>
      <c r="F348" s="36" t="str">
        <f>IF(ISBLANK(Table2[[#This Row],[unique_id]]), "", PROPER(SUBSTITUTE(Table2[[#This Row],[unique_id]], "_", " ")))</f>
        <v>Rack Backup Plug</v>
      </c>
      <c r="G348" s="30" t="s">
        <v>1436</v>
      </c>
      <c r="H348" s="30" t="s">
        <v>509</v>
      </c>
      <c r="I348" s="30" t="s">
        <v>274</v>
      </c>
      <c r="M348" s="30" t="s">
        <v>255</v>
      </c>
      <c r="O348" s="31" t="s">
        <v>756</v>
      </c>
      <c r="P348" s="30"/>
      <c r="T348" s="37" t="s">
        <v>939</v>
      </c>
      <c r="U348" s="30"/>
      <c r="V348" s="31"/>
      <c r="W348" s="31"/>
      <c r="X348" s="31"/>
      <c r="Y348" s="31"/>
      <c r="Z348" s="31"/>
      <c r="AA348" s="31" t="s">
        <v>1076</v>
      </c>
      <c r="AB348" s="30"/>
      <c r="AC348" s="30"/>
      <c r="AE348" s="30" t="s">
        <v>1439</v>
      </c>
      <c r="AF348" s="30">
        <v>10</v>
      </c>
      <c r="AG348" s="31" t="s">
        <v>34</v>
      </c>
      <c r="AH348" s="31" t="s">
        <v>865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884</v>
      </c>
      <c r="AO348" s="30" t="s">
        <v>885</v>
      </c>
      <c r="AP348" s="30" t="s">
        <v>874</v>
      </c>
      <c r="AQ348" s="30" t="s">
        <v>875</v>
      </c>
      <c r="AR348" s="30" t="s">
        <v>938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1440</v>
      </c>
      <c r="BC348" s="39" t="s">
        <v>735</v>
      </c>
      <c r="BD348" s="30" t="s">
        <v>1077</v>
      </c>
      <c r="BF348" s="30" t="s">
        <v>855</v>
      </c>
      <c r="BG348" s="30" t="s">
        <v>28</v>
      </c>
      <c r="BK348" s="30" t="s">
        <v>1215</v>
      </c>
      <c r="BL348" s="30" t="s">
        <v>1445</v>
      </c>
      <c r="BM348" s="30" t="s">
        <v>1443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678</v>
      </c>
      <c r="D349" s="30" t="s">
        <v>133</v>
      </c>
      <c r="E349" s="30" t="s">
        <v>856</v>
      </c>
      <c r="F349" s="36" t="str">
        <f>IF(ISBLANK(Table2[[#This Row],[unique_id]]), "", PROPER(SUBSTITUTE(Table2[[#This Row],[unique_id]], "_", " ")))</f>
        <v>Rack Fans Plug</v>
      </c>
      <c r="G349" s="30" t="s">
        <v>571</v>
      </c>
      <c r="H349" s="30" t="s">
        <v>509</v>
      </c>
      <c r="I349" s="30" t="s">
        <v>274</v>
      </c>
      <c r="M349" s="30" t="s">
        <v>255</v>
      </c>
      <c r="O349" s="31" t="s">
        <v>756</v>
      </c>
      <c r="P349" s="30"/>
      <c r="T349" s="37" t="s">
        <v>939</v>
      </c>
      <c r="U349" s="30"/>
      <c r="V349" s="31"/>
      <c r="W349" s="31"/>
      <c r="X349" s="31"/>
      <c r="Y349" s="31"/>
      <c r="Z349" s="31"/>
      <c r="AA349" s="31" t="s">
        <v>1076</v>
      </c>
      <c r="AB349" s="30"/>
      <c r="AC349" s="30"/>
      <c r="AE349" s="30" t="s">
        <v>573</v>
      </c>
      <c r="AF349" s="30">
        <v>10</v>
      </c>
      <c r="AG349" s="31" t="s">
        <v>34</v>
      </c>
      <c r="AH349" s="31" t="s">
        <v>865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884</v>
      </c>
      <c r="AO349" s="30" t="s">
        <v>885</v>
      </c>
      <c r="AP349" s="30" t="s">
        <v>874</v>
      </c>
      <c r="AQ349" s="30" t="s">
        <v>875</v>
      </c>
      <c r="AR349" s="30" t="s">
        <v>938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735</v>
      </c>
      <c r="BD349" s="30" t="s">
        <v>1077</v>
      </c>
      <c r="BF349" s="30" t="s">
        <v>855</v>
      </c>
      <c r="BG349" s="30" t="s">
        <v>28</v>
      </c>
      <c r="BK349" s="30" t="s">
        <v>1215</v>
      </c>
      <c r="BL349" s="30" t="s">
        <v>572</v>
      </c>
      <c r="BM349" s="30" t="s">
        <v>1269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776</v>
      </c>
      <c r="D350" s="30" t="s">
        <v>147</v>
      </c>
      <c r="E350" s="37" t="s">
        <v>1038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509</v>
      </c>
      <c r="I350" s="30" t="s">
        <v>274</v>
      </c>
      <c r="O350" s="31" t="s">
        <v>756</v>
      </c>
      <c r="P350" s="30" t="s">
        <v>164</v>
      </c>
      <c r="Q350" s="30" t="s">
        <v>728</v>
      </c>
      <c r="R350" s="41" t="s">
        <v>713</v>
      </c>
      <c r="S350" s="30" t="str">
        <f>Table2[[#This Row],[friendly_name]]</f>
        <v>Lounge TV</v>
      </c>
      <c r="T350" s="37" t="s">
        <v>1035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948</v>
      </c>
      <c r="BC350" s="30" t="s">
        <v>342</v>
      </c>
      <c r="BD350" s="30" t="s">
        <v>231</v>
      </c>
      <c r="BF350" s="30" t="s">
        <v>345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1037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509</v>
      </c>
      <c r="I351" s="30" t="s">
        <v>274</v>
      </c>
      <c r="M351" s="30" t="s">
        <v>255</v>
      </c>
      <c r="O351" s="31" t="s">
        <v>756</v>
      </c>
      <c r="P351" s="30" t="s">
        <v>164</v>
      </c>
      <c r="Q351" s="30" t="s">
        <v>728</v>
      </c>
      <c r="R351" s="41" t="s">
        <v>713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948</v>
      </c>
      <c r="BC351" s="30" t="s">
        <v>342</v>
      </c>
      <c r="BD351" s="30" t="s">
        <v>231</v>
      </c>
      <c r="BF351" s="30" t="s">
        <v>345</v>
      </c>
      <c r="BG351" s="30" t="s">
        <v>192</v>
      </c>
      <c r="BJ351" s="30" t="s">
        <v>945</v>
      </c>
      <c r="BK351" s="30" t="s">
        <v>1215</v>
      </c>
      <c r="BL351" s="30" t="s">
        <v>332</v>
      </c>
      <c r="BM351" s="30" t="s">
        <v>1249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562</v>
      </c>
      <c r="C352" s="54" t="s">
        <v>776</v>
      </c>
      <c r="D352" s="54" t="s">
        <v>147</v>
      </c>
      <c r="E352" s="55" t="s">
        <v>1352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760</v>
      </c>
      <c r="H352" s="54" t="s">
        <v>509</v>
      </c>
      <c r="I352" s="54" t="s">
        <v>274</v>
      </c>
      <c r="O352" s="57" t="s">
        <v>756</v>
      </c>
      <c r="P352" s="54" t="s">
        <v>164</v>
      </c>
      <c r="Q352" s="54" t="s">
        <v>728</v>
      </c>
      <c r="R352" s="60" t="s">
        <v>713</v>
      </c>
      <c r="S352" s="54" t="str">
        <f>Table2[[#This Row],[friendly_name]]</f>
        <v>Lounge Sub</v>
      </c>
      <c r="T352" s="55" t="s">
        <v>1035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988</v>
      </c>
      <c r="BC352" s="59" t="s">
        <v>343</v>
      </c>
      <c r="BD352" s="54" t="s">
        <v>231</v>
      </c>
      <c r="BF352" s="54" t="s">
        <v>344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562</v>
      </c>
      <c r="C353" s="54" t="s">
        <v>231</v>
      </c>
      <c r="D353" s="54" t="s">
        <v>133</v>
      </c>
      <c r="E353" s="54" t="s">
        <v>1353</v>
      </c>
      <c r="F353" s="56" t="str">
        <f>IF(ISBLANK(Table2[[#This Row],[unique_id]]), "", PROPER(SUBSTITUTE(Table2[[#This Row],[unique_id]], "_", " ")))</f>
        <v>Broken Lounge Sub Plug</v>
      </c>
      <c r="G353" s="54" t="s">
        <v>760</v>
      </c>
      <c r="H353" s="54" t="s">
        <v>509</v>
      </c>
      <c r="I353" s="54" t="s">
        <v>274</v>
      </c>
      <c r="M353" s="54" t="s">
        <v>255</v>
      </c>
      <c r="O353" s="57" t="s">
        <v>756</v>
      </c>
      <c r="P353" s="54" t="s">
        <v>164</v>
      </c>
      <c r="Q353" s="54" t="s">
        <v>728</v>
      </c>
      <c r="R353" s="60" t="s">
        <v>713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761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988</v>
      </c>
      <c r="BC353" s="59" t="s">
        <v>343</v>
      </c>
      <c r="BD353" s="54" t="s">
        <v>231</v>
      </c>
      <c r="BF353" s="54" t="s">
        <v>344</v>
      </c>
      <c r="BG353" s="54" t="s">
        <v>192</v>
      </c>
      <c r="BJ353" s="54" t="s">
        <v>944</v>
      </c>
      <c r="BK353" s="54" t="s">
        <v>1215</v>
      </c>
      <c r="BL353" s="54" t="s">
        <v>323</v>
      </c>
      <c r="BM353" s="54" t="s">
        <v>1250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562</v>
      </c>
      <c r="C354" s="54" t="s">
        <v>776</v>
      </c>
      <c r="D354" s="54" t="s">
        <v>147</v>
      </c>
      <c r="E354" s="55" t="s">
        <v>1354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509</v>
      </c>
      <c r="I354" s="54" t="s">
        <v>274</v>
      </c>
      <c r="O354" s="57" t="s">
        <v>756</v>
      </c>
      <c r="P354" s="54" t="s">
        <v>164</v>
      </c>
      <c r="Q354" s="54" t="s">
        <v>728</v>
      </c>
      <c r="R354" s="54" t="s">
        <v>509</v>
      </c>
      <c r="S354" s="54" t="str">
        <f>Table2[[#This Row],[friendly_name]]</f>
        <v>Study Outlet</v>
      </c>
      <c r="T354" s="55" t="s">
        <v>1034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986</v>
      </c>
      <c r="BC354" s="59" t="s">
        <v>343</v>
      </c>
      <c r="BD354" s="54" t="s">
        <v>231</v>
      </c>
      <c r="BF354" s="54" t="s">
        <v>344</v>
      </c>
      <c r="BG354" s="54" t="s">
        <v>339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562</v>
      </c>
      <c r="C355" s="54" t="s">
        <v>231</v>
      </c>
      <c r="D355" s="54" t="s">
        <v>133</v>
      </c>
      <c r="E355" s="54" t="s">
        <v>1355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509</v>
      </c>
      <c r="I355" s="54" t="s">
        <v>274</v>
      </c>
      <c r="M355" s="54" t="s">
        <v>255</v>
      </c>
      <c r="O355" s="57" t="s">
        <v>756</v>
      </c>
      <c r="P355" s="54" t="s">
        <v>164</v>
      </c>
      <c r="Q355" s="54" t="s">
        <v>728</v>
      </c>
      <c r="R355" s="54" t="s">
        <v>509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986</v>
      </c>
      <c r="BC355" s="59" t="s">
        <v>343</v>
      </c>
      <c r="BD355" s="54" t="s">
        <v>231</v>
      </c>
      <c r="BF355" s="54" t="s">
        <v>344</v>
      </c>
      <c r="BG355" s="54" t="s">
        <v>339</v>
      </c>
      <c r="BJ355" s="54" t="s">
        <v>944</v>
      </c>
      <c r="BK355" s="54" t="s">
        <v>1215</v>
      </c>
      <c r="BL355" s="54" t="s">
        <v>334</v>
      </c>
      <c r="BM355" s="54" t="s">
        <v>1251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562</v>
      </c>
      <c r="C356" s="54" t="s">
        <v>776</v>
      </c>
      <c r="D356" s="54" t="s">
        <v>147</v>
      </c>
      <c r="E356" s="55" t="s">
        <v>1356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509</v>
      </c>
      <c r="I356" s="54" t="s">
        <v>274</v>
      </c>
      <c r="O356" s="57" t="s">
        <v>756</v>
      </c>
      <c r="P356" s="54" t="s">
        <v>164</v>
      </c>
      <c r="Q356" s="54" t="s">
        <v>728</v>
      </c>
      <c r="R356" s="54" t="s">
        <v>509</v>
      </c>
      <c r="S356" s="54" t="str">
        <f>Table2[[#This Row],[friendly_name]]</f>
        <v>Office Outlet</v>
      </c>
      <c r="T356" s="55" t="s">
        <v>1034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986</v>
      </c>
      <c r="BC356" s="59" t="s">
        <v>343</v>
      </c>
      <c r="BD356" s="54" t="s">
        <v>231</v>
      </c>
      <c r="BF356" s="54" t="s">
        <v>344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562</v>
      </c>
      <c r="C357" s="54" t="s">
        <v>231</v>
      </c>
      <c r="D357" s="54" t="s">
        <v>133</v>
      </c>
      <c r="E357" s="54" t="s">
        <v>1357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509</v>
      </c>
      <c r="I357" s="54" t="s">
        <v>274</v>
      </c>
      <c r="M357" s="54" t="s">
        <v>255</v>
      </c>
      <c r="O357" s="57" t="s">
        <v>756</v>
      </c>
      <c r="P357" s="54" t="s">
        <v>164</v>
      </c>
      <c r="Q357" s="54" t="s">
        <v>728</v>
      </c>
      <c r="R357" s="54" t="s">
        <v>509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986</v>
      </c>
      <c r="BC357" s="59" t="s">
        <v>343</v>
      </c>
      <c r="BD357" s="54" t="s">
        <v>231</v>
      </c>
      <c r="BF357" s="54" t="s">
        <v>344</v>
      </c>
      <c r="BG357" s="54" t="s">
        <v>210</v>
      </c>
      <c r="BJ357" s="54" t="s">
        <v>945</v>
      </c>
      <c r="BK357" s="54" t="s">
        <v>1215</v>
      </c>
      <c r="BL357" s="54" t="s">
        <v>335</v>
      </c>
      <c r="BM357" s="54" t="s">
        <v>1252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562</v>
      </c>
      <c r="C358" s="54" t="s">
        <v>776</v>
      </c>
      <c r="D358" s="54" t="s">
        <v>147</v>
      </c>
      <c r="E358" s="55" t="s">
        <v>1358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509</v>
      </c>
      <c r="I358" s="54" t="s">
        <v>274</v>
      </c>
      <c r="O358" s="57" t="s">
        <v>756</v>
      </c>
      <c r="P358" s="54" t="s">
        <v>164</v>
      </c>
      <c r="Q358" s="54" t="s">
        <v>729</v>
      </c>
      <c r="R358" s="54" t="s">
        <v>739</v>
      </c>
      <c r="S358" s="54" t="str">
        <f>Table2[[#This Row],[friendly_name]]</f>
        <v>Dish Washer</v>
      </c>
      <c r="T358" s="55" t="s">
        <v>1034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343</v>
      </c>
      <c r="BD358" s="54" t="s">
        <v>231</v>
      </c>
      <c r="BF358" s="54" t="s">
        <v>344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562</v>
      </c>
      <c r="C359" s="54" t="s">
        <v>231</v>
      </c>
      <c r="D359" s="54" t="s">
        <v>133</v>
      </c>
      <c r="E359" s="54" t="s">
        <v>1359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509</v>
      </c>
      <c r="I359" s="54" t="s">
        <v>274</v>
      </c>
      <c r="M359" s="54" t="s">
        <v>255</v>
      </c>
      <c r="O359" s="57" t="s">
        <v>756</v>
      </c>
      <c r="P359" s="54" t="s">
        <v>164</v>
      </c>
      <c r="Q359" s="54" t="s">
        <v>729</v>
      </c>
      <c r="R359" s="54" t="s">
        <v>739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343</v>
      </c>
      <c r="BD359" s="54" t="s">
        <v>231</v>
      </c>
      <c r="BF359" s="54" t="s">
        <v>344</v>
      </c>
      <c r="BG359" s="54" t="s">
        <v>204</v>
      </c>
      <c r="BJ359" s="54" t="s">
        <v>945</v>
      </c>
      <c r="BK359" s="54" t="s">
        <v>1215</v>
      </c>
      <c r="BL359" s="54" t="s">
        <v>326</v>
      </c>
      <c r="BM359" s="54" t="s">
        <v>1253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776</v>
      </c>
      <c r="D360" s="30" t="s">
        <v>147</v>
      </c>
      <c r="E360" s="37" t="s">
        <v>932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509</v>
      </c>
      <c r="I360" s="30" t="s">
        <v>274</v>
      </c>
      <c r="O360" s="31" t="s">
        <v>756</v>
      </c>
      <c r="P360" s="30" t="s">
        <v>164</v>
      </c>
      <c r="Q360" s="30" t="s">
        <v>729</v>
      </c>
      <c r="R360" s="30" t="s">
        <v>739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342</v>
      </c>
      <c r="BD360" s="30" t="s">
        <v>231</v>
      </c>
      <c r="BF360" s="30" t="s">
        <v>345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803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509</v>
      </c>
      <c r="I361" s="30" t="s">
        <v>274</v>
      </c>
      <c r="M361" s="30" t="s">
        <v>255</v>
      </c>
      <c r="O361" s="31" t="s">
        <v>756</v>
      </c>
      <c r="P361" s="30" t="s">
        <v>164</v>
      </c>
      <c r="Q361" s="30" t="s">
        <v>729</v>
      </c>
      <c r="R361" s="30" t="s">
        <v>739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342</v>
      </c>
      <c r="BD361" s="30" t="s">
        <v>231</v>
      </c>
      <c r="BF361" s="30" t="s">
        <v>345</v>
      </c>
      <c r="BG361" s="30" t="s">
        <v>204</v>
      </c>
      <c r="BJ361" s="30" t="s">
        <v>945</v>
      </c>
      <c r="BK361" s="30" t="s">
        <v>1215</v>
      </c>
      <c r="BL361" s="30" t="s">
        <v>338</v>
      </c>
      <c r="BM361" s="30" t="s">
        <v>1264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562</v>
      </c>
      <c r="C362" s="54" t="s">
        <v>776</v>
      </c>
      <c r="D362" s="54" t="s">
        <v>147</v>
      </c>
      <c r="E362" s="55" t="s">
        <v>1360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509</v>
      </c>
      <c r="I362" s="54" t="s">
        <v>274</v>
      </c>
      <c r="O362" s="57" t="s">
        <v>756</v>
      </c>
      <c r="P362" s="54" t="s">
        <v>164</v>
      </c>
      <c r="Q362" s="54" t="s">
        <v>729</v>
      </c>
      <c r="R362" s="54" t="s">
        <v>739</v>
      </c>
      <c r="S362" s="54" t="str">
        <f>Table2[[#This Row],[friendly_name]]</f>
        <v>Clothes Dryer</v>
      </c>
      <c r="T362" s="55" t="s">
        <v>1034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343</v>
      </c>
      <c r="BD362" s="54" t="s">
        <v>231</v>
      </c>
      <c r="BF362" s="54" t="s">
        <v>344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562</v>
      </c>
      <c r="C363" s="54" t="s">
        <v>231</v>
      </c>
      <c r="D363" s="54" t="s">
        <v>133</v>
      </c>
      <c r="E363" s="54" t="s">
        <v>1361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509</v>
      </c>
      <c r="I363" s="54" t="s">
        <v>274</v>
      </c>
      <c r="M363" s="54" t="s">
        <v>255</v>
      </c>
      <c r="O363" s="57" t="s">
        <v>756</v>
      </c>
      <c r="P363" s="54" t="s">
        <v>164</v>
      </c>
      <c r="Q363" s="54" t="s">
        <v>729</v>
      </c>
      <c r="R363" s="54" t="s">
        <v>739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343</v>
      </c>
      <c r="BD363" s="54" t="s">
        <v>231</v>
      </c>
      <c r="BF363" s="54" t="s">
        <v>344</v>
      </c>
      <c r="BG363" s="54" t="s">
        <v>211</v>
      </c>
      <c r="BJ363" s="54" t="s">
        <v>944</v>
      </c>
      <c r="BK363" s="54" t="s">
        <v>1215</v>
      </c>
      <c r="BL363" s="54" t="s">
        <v>327</v>
      </c>
      <c r="BM363" s="54" t="s">
        <v>1254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562</v>
      </c>
      <c r="C364" s="54" t="s">
        <v>776</v>
      </c>
      <c r="D364" s="54" t="s">
        <v>147</v>
      </c>
      <c r="E364" s="55" t="s">
        <v>1362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509</v>
      </c>
      <c r="I364" s="54" t="s">
        <v>274</v>
      </c>
      <c r="O364" s="57" t="s">
        <v>756</v>
      </c>
      <c r="P364" s="54" t="s">
        <v>164</v>
      </c>
      <c r="Q364" s="54" t="s">
        <v>729</v>
      </c>
      <c r="R364" s="54" t="s">
        <v>739</v>
      </c>
      <c r="S364" s="54" t="str">
        <f>Table2[[#This Row],[friendly_name]]</f>
        <v>Washing Machine</v>
      </c>
      <c r="T364" s="55" t="s">
        <v>1034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343</v>
      </c>
      <c r="BD364" s="54" t="s">
        <v>231</v>
      </c>
      <c r="BF364" s="54" t="s">
        <v>344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562</v>
      </c>
      <c r="C365" s="54" t="s">
        <v>231</v>
      </c>
      <c r="D365" s="54" t="s">
        <v>133</v>
      </c>
      <c r="E365" s="54" t="s">
        <v>1363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509</v>
      </c>
      <c r="I365" s="54" t="s">
        <v>274</v>
      </c>
      <c r="M365" s="54" t="s">
        <v>255</v>
      </c>
      <c r="O365" s="57" t="s">
        <v>756</v>
      </c>
      <c r="P365" s="54" t="s">
        <v>164</v>
      </c>
      <c r="Q365" s="54" t="s">
        <v>729</v>
      </c>
      <c r="R365" s="54" t="s">
        <v>739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343</v>
      </c>
      <c r="BD365" s="54" t="s">
        <v>231</v>
      </c>
      <c r="BF365" s="54" t="s">
        <v>344</v>
      </c>
      <c r="BG365" s="54" t="s">
        <v>211</v>
      </c>
      <c r="BJ365" s="54" t="s">
        <v>944</v>
      </c>
      <c r="BK365" s="54" t="s">
        <v>1215</v>
      </c>
      <c r="BL365" s="54" t="s">
        <v>328</v>
      </c>
      <c r="BM365" s="54" t="s">
        <v>1255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776</v>
      </c>
      <c r="D366" s="30" t="s">
        <v>147</v>
      </c>
      <c r="E366" s="37" t="s">
        <v>1448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509</v>
      </c>
      <c r="I366" s="30" t="s">
        <v>274</v>
      </c>
      <c r="O366" s="31" t="s">
        <v>756</v>
      </c>
      <c r="P366" s="30" t="s">
        <v>164</v>
      </c>
      <c r="Q366" s="30" t="s">
        <v>728</v>
      </c>
      <c r="R366" s="30" t="s">
        <v>740</v>
      </c>
      <c r="S366" s="30" t="str">
        <f>Table2[[#This Row],[friendly_name]]</f>
        <v>Kitchen Fridge</v>
      </c>
      <c r="T366" s="37" t="s">
        <v>1035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989</v>
      </c>
      <c r="BC366" s="30" t="s">
        <v>342</v>
      </c>
      <c r="BD366" s="30" t="s">
        <v>231</v>
      </c>
      <c r="BF366" s="30" t="s">
        <v>345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1447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509</v>
      </c>
      <c r="I367" s="30" t="s">
        <v>274</v>
      </c>
      <c r="M367" s="30" t="s">
        <v>255</v>
      </c>
      <c r="O367" s="31" t="s">
        <v>756</v>
      </c>
      <c r="P367" s="30" t="s">
        <v>164</v>
      </c>
      <c r="Q367" s="30" t="s">
        <v>728</v>
      </c>
      <c r="R367" s="30" t="s">
        <v>740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989</v>
      </c>
      <c r="BC367" s="30" t="s">
        <v>342</v>
      </c>
      <c r="BD367" s="30" t="s">
        <v>231</v>
      </c>
      <c r="BF367" s="30" t="s">
        <v>345</v>
      </c>
      <c r="BG367" s="30" t="s">
        <v>204</v>
      </c>
      <c r="BJ367" s="30" t="s">
        <v>945</v>
      </c>
      <c r="BK367" s="62" t="s">
        <v>1215</v>
      </c>
      <c r="BL367" s="62" t="s">
        <v>1419</v>
      </c>
      <c r="BM367" s="62" t="s">
        <v>1420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776</v>
      </c>
      <c r="D368" s="30" t="s">
        <v>147</v>
      </c>
      <c r="E368" s="37" t="s">
        <v>934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509</v>
      </c>
      <c r="I368" s="30" t="s">
        <v>274</v>
      </c>
      <c r="O368" s="31" t="s">
        <v>756</v>
      </c>
      <c r="P368" s="30" t="s">
        <v>164</v>
      </c>
      <c r="Q368" s="30" t="s">
        <v>728</v>
      </c>
      <c r="R368" s="30" t="s">
        <v>740</v>
      </c>
      <c r="S368" s="30" t="str">
        <f>Table2[[#This Row],[friendly_name]]</f>
        <v>Deck Freezer</v>
      </c>
      <c r="T368" s="37" t="s">
        <v>1035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990</v>
      </c>
      <c r="BC368" s="30" t="s">
        <v>342</v>
      </c>
      <c r="BD368" s="30" t="s">
        <v>231</v>
      </c>
      <c r="BF368" s="30" t="s">
        <v>345</v>
      </c>
      <c r="BG368" s="30" t="s">
        <v>340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805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509</v>
      </c>
      <c r="I369" s="30" t="s">
        <v>274</v>
      </c>
      <c r="M369" s="30" t="s">
        <v>255</v>
      </c>
      <c r="O369" s="31" t="s">
        <v>756</v>
      </c>
      <c r="P369" s="30" t="s">
        <v>164</v>
      </c>
      <c r="Q369" s="30" t="s">
        <v>728</v>
      </c>
      <c r="R369" s="30" t="s">
        <v>740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990</v>
      </c>
      <c r="BC369" s="30" t="s">
        <v>342</v>
      </c>
      <c r="BD369" s="30" t="s">
        <v>231</v>
      </c>
      <c r="BF369" s="30" t="s">
        <v>345</v>
      </c>
      <c r="BG369" s="30" t="s">
        <v>340</v>
      </c>
      <c r="BJ369" s="30" t="s">
        <v>945</v>
      </c>
      <c r="BK369" s="30" t="s">
        <v>1215</v>
      </c>
      <c r="BL369" s="30" t="s">
        <v>330</v>
      </c>
      <c r="BM369" s="30" t="s">
        <v>1257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776</v>
      </c>
      <c r="D370" s="30" t="s">
        <v>147</v>
      </c>
      <c r="E370" s="37" t="s">
        <v>1344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1345</v>
      </c>
      <c r="H370" s="30" t="s">
        <v>509</v>
      </c>
      <c r="I370" s="30" t="s">
        <v>274</v>
      </c>
      <c r="O370" s="31" t="s">
        <v>756</v>
      </c>
      <c r="P370" s="30" t="s">
        <v>164</v>
      </c>
      <c r="Q370" s="30" t="s">
        <v>728</v>
      </c>
      <c r="R370" s="30" t="s">
        <v>509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559</v>
      </c>
      <c r="BB370" s="30" t="s">
        <v>1345</v>
      </c>
      <c r="BC370" s="30" t="s">
        <v>342</v>
      </c>
      <c r="BD370" s="30" t="s">
        <v>231</v>
      </c>
      <c r="BF370" s="30" t="s">
        <v>345</v>
      </c>
      <c r="BG370" s="30" t="s">
        <v>559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1343</v>
      </c>
      <c r="F371" s="36" t="str">
        <f>IF(ISBLANK(Table2[[#This Row],[unique_id]]), "", PROPER(SUBSTITUTE(Table2[[#This Row],[unique_id]], "_", " ")))</f>
        <v>Garden Sewerage Blower Plug</v>
      </c>
      <c r="G371" s="30" t="s">
        <v>1345</v>
      </c>
      <c r="H371" s="30" t="s">
        <v>509</v>
      </c>
      <c r="I371" s="30" t="s">
        <v>274</v>
      </c>
      <c r="M371" s="30" t="s">
        <v>255</v>
      </c>
      <c r="O371" s="31" t="s">
        <v>756</v>
      </c>
      <c r="P371" s="30" t="s">
        <v>164</v>
      </c>
      <c r="Q371" s="30" t="s">
        <v>728</v>
      </c>
      <c r="R371" s="30" t="s">
        <v>509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559</v>
      </c>
      <c r="BB371" s="30" t="s">
        <v>1345</v>
      </c>
      <c r="BC371" s="30" t="s">
        <v>342</v>
      </c>
      <c r="BD371" s="30" t="s">
        <v>231</v>
      </c>
      <c r="BF371" s="30" t="s">
        <v>345</v>
      </c>
      <c r="BG371" s="30" t="s">
        <v>559</v>
      </c>
      <c r="BJ371" s="30" t="s">
        <v>945</v>
      </c>
      <c r="BK371" s="30" t="s">
        <v>1215</v>
      </c>
      <c r="BL371" s="36" t="s">
        <v>346</v>
      </c>
      <c r="BM371" s="36" t="s">
        <v>1236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562</v>
      </c>
      <c r="C372" s="54" t="s">
        <v>776</v>
      </c>
      <c r="D372" s="54" t="s">
        <v>147</v>
      </c>
      <c r="E372" s="55" t="s">
        <v>1364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509</v>
      </c>
      <c r="I372" s="54" t="s">
        <v>274</v>
      </c>
      <c r="O372" s="57" t="s">
        <v>756</v>
      </c>
      <c r="P372" s="54" t="s">
        <v>164</v>
      </c>
      <c r="Q372" s="54" t="s">
        <v>728</v>
      </c>
      <c r="R372" s="54" t="s">
        <v>509</v>
      </c>
      <c r="S372" s="54" t="str">
        <f>Table2[[#This Row],[friendly_name]]</f>
        <v>Battery Charger</v>
      </c>
      <c r="T372" s="55" t="s">
        <v>1034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343</v>
      </c>
      <c r="BD372" s="54" t="s">
        <v>231</v>
      </c>
      <c r="BF372" s="54" t="s">
        <v>344</v>
      </c>
      <c r="BG372" s="54" t="s">
        <v>339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562</v>
      </c>
      <c r="C373" s="54" t="s">
        <v>231</v>
      </c>
      <c r="D373" s="54" t="s">
        <v>133</v>
      </c>
      <c r="E373" s="54" t="s">
        <v>1365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509</v>
      </c>
      <c r="I373" s="54" t="s">
        <v>274</v>
      </c>
      <c r="M373" s="54" t="s">
        <v>255</v>
      </c>
      <c r="O373" s="57" t="s">
        <v>756</v>
      </c>
      <c r="P373" s="54" t="s">
        <v>164</v>
      </c>
      <c r="Q373" s="54" t="s">
        <v>728</v>
      </c>
      <c r="R373" s="54" t="s">
        <v>509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343</v>
      </c>
      <c r="BD373" s="54" t="s">
        <v>231</v>
      </c>
      <c r="BF373" s="54" t="s">
        <v>344</v>
      </c>
      <c r="BG373" s="54" t="s">
        <v>339</v>
      </c>
      <c r="BJ373" s="54" t="s">
        <v>944</v>
      </c>
      <c r="BK373" s="54" t="s">
        <v>1215</v>
      </c>
      <c r="BL373" s="54" t="s">
        <v>324</v>
      </c>
      <c r="BM373" s="54" t="s">
        <v>1258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562</v>
      </c>
      <c r="C374" s="54" t="s">
        <v>776</v>
      </c>
      <c r="D374" s="54" t="s">
        <v>147</v>
      </c>
      <c r="E374" s="55" t="s">
        <v>1366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509</v>
      </c>
      <c r="I374" s="54" t="s">
        <v>274</v>
      </c>
      <c r="O374" s="57" t="s">
        <v>756</v>
      </c>
      <c r="P374" s="54" t="s">
        <v>164</v>
      </c>
      <c r="Q374" s="54" t="s">
        <v>728</v>
      </c>
      <c r="R374" s="54" t="s">
        <v>509</v>
      </c>
      <c r="S374" s="54" t="str">
        <f>Table2[[#This Row],[friendly_name]]</f>
        <v>Vacuum Charger</v>
      </c>
      <c r="T374" s="55" t="s">
        <v>1034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343</v>
      </c>
      <c r="BD374" s="54" t="s">
        <v>231</v>
      </c>
      <c r="BF374" s="54" t="s">
        <v>344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562</v>
      </c>
      <c r="C375" s="54" t="s">
        <v>231</v>
      </c>
      <c r="D375" s="54" t="s">
        <v>133</v>
      </c>
      <c r="E375" s="54" t="s">
        <v>1367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509</v>
      </c>
      <c r="I375" s="54" t="s">
        <v>274</v>
      </c>
      <c r="M375" s="54" t="s">
        <v>255</v>
      </c>
      <c r="O375" s="57" t="s">
        <v>756</v>
      </c>
      <c r="P375" s="54" t="s">
        <v>164</v>
      </c>
      <c r="Q375" s="54" t="s">
        <v>728</v>
      </c>
      <c r="R375" s="54" t="s">
        <v>509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343</v>
      </c>
      <c r="BD375" s="54" t="s">
        <v>231</v>
      </c>
      <c r="BF375" s="54" t="s">
        <v>344</v>
      </c>
      <c r="BG375" s="54" t="s">
        <v>211</v>
      </c>
      <c r="BJ375" s="54" t="s">
        <v>945</v>
      </c>
      <c r="BK375" s="54" t="s">
        <v>1215</v>
      </c>
      <c r="BL375" s="54" t="s">
        <v>325</v>
      </c>
      <c r="BM375" s="54" t="s">
        <v>1259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562</v>
      </c>
      <c r="C376" s="54" t="s">
        <v>776</v>
      </c>
      <c r="D376" s="54" t="s">
        <v>147</v>
      </c>
      <c r="E376" s="55" t="s">
        <v>1368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789</v>
      </c>
      <c r="H376" s="54" t="s">
        <v>509</v>
      </c>
      <c r="I376" s="54" t="s">
        <v>274</v>
      </c>
      <c r="O376" s="57" t="s">
        <v>756</v>
      </c>
      <c r="P376" s="54" t="s">
        <v>164</v>
      </c>
      <c r="Q376" s="54" t="s">
        <v>728</v>
      </c>
      <c r="R376" s="60" t="s">
        <v>713</v>
      </c>
      <c r="S376" s="54" t="str">
        <f>Table2[[#This Row],[friendly_name]]</f>
        <v>Ada Tablet</v>
      </c>
      <c r="T376" s="55" t="s">
        <v>1034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789</v>
      </c>
      <c r="BC376" s="59" t="s">
        <v>343</v>
      </c>
      <c r="BD376" s="54" t="s">
        <v>231</v>
      </c>
      <c r="BF376" s="54" t="s">
        <v>344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562</v>
      </c>
      <c r="C377" s="54" t="s">
        <v>231</v>
      </c>
      <c r="D377" s="54" t="s">
        <v>133</v>
      </c>
      <c r="E377" s="54" t="s">
        <v>1369</v>
      </c>
      <c r="F377" s="56" t="str">
        <f>IF(ISBLANK(Table2[[#This Row],[unique_id]]), "", PROPER(SUBSTITUTE(Table2[[#This Row],[unique_id]], "_", " ")))</f>
        <v>Broken Ada Tablet Plug</v>
      </c>
      <c r="G377" s="54" t="s">
        <v>789</v>
      </c>
      <c r="H377" s="54" t="s">
        <v>509</v>
      </c>
      <c r="I377" s="54" t="s">
        <v>274</v>
      </c>
      <c r="M377" s="54" t="s">
        <v>255</v>
      </c>
      <c r="O377" s="57" t="s">
        <v>756</v>
      </c>
      <c r="P377" s="54" t="s">
        <v>164</v>
      </c>
      <c r="Q377" s="54" t="s">
        <v>728</v>
      </c>
      <c r="R377" s="60" t="s">
        <v>713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790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789</v>
      </c>
      <c r="BC377" s="59" t="s">
        <v>343</v>
      </c>
      <c r="BD377" s="54" t="s">
        <v>231</v>
      </c>
      <c r="BF377" s="54" t="s">
        <v>344</v>
      </c>
      <c r="BG377" s="54" t="s">
        <v>192</v>
      </c>
      <c r="BJ377" s="54" t="s">
        <v>944</v>
      </c>
      <c r="BK377" s="54" t="s">
        <v>1215</v>
      </c>
      <c r="BL377" s="54" t="s">
        <v>768</v>
      </c>
      <c r="BM377" s="54" t="s">
        <v>1260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360</v>
      </c>
      <c r="D378" s="30" t="s">
        <v>133</v>
      </c>
      <c r="E378" s="39" t="s">
        <v>595</v>
      </c>
      <c r="F378" s="36" t="str">
        <f>IF(ISBLANK(Table2[[#This Row],[unique_id]]), "", PROPER(SUBSTITUTE(Table2[[#This Row],[unique_id]], "_", " ")))</f>
        <v>Deck Fans Outlet</v>
      </c>
      <c r="G378" s="30" t="s">
        <v>598</v>
      </c>
      <c r="H378" s="30" t="s">
        <v>509</v>
      </c>
      <c r="I378" s="30" t="s">
        <v>274</v>
      </c>
      <c r="M378" s="30" t="s">
        <v>255</v>
      </c>
      <c r="O378" s="31" t="s">
        <v>756</v>
      </c>
      <c r="P378" s="30" t="s">
        <v>164</v>
      </c>
      <c r="Q378" s="30" t="s">
        <v>728</v>
      </c>
      <c r="R378" s="30" t="s">
        <v>730</v>
      </c>
      <c r="S378" s="30" t="s">
        <v>787</v>
      </c>
      <c r="T378" s="37" t="s">
        <v>786</v>
      </c>
      <c r="U378" s="30"/>
      <c r="V378" s="31"/>
      <c r="W378" s="31" t="s">
        <v>472</v>
      </c>
      <c r="X378" s="31"/>
      <c r="Y378" s="42" t="s">
        <v>725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982</v>
      </c>
      <c r="BC378" s="37" t="s">
        <v>600</v>
      </c>
      <c r="BD378" s="30" t="s">
        <v>360</v>
      </c>
      <c r="BF378" s="37" t="s">
        <v>601</v>
      </c>
      <c r="BG378" s="30" t="s">
        <v>340</v>
      </c>
      <c r="BL378" s="30" t="s">
        <v>602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360</v>
      </c>
      <c r="D379" s="30" t="s">
        <v>133</v>
      </c>
      <c r="E379" s="39" t="s">
        <v>596</v>
      </c>
      <c r="F379" s="36" t="str">
        <f>IF(ISBLANK(Table2[[#This Row],[unique_id]]), "", PROPER(SUBSTITUTE(Table2[[#This Row],[unique_id]], "_", " ")))</f>
        <v>Kitchen Fan Outlet</v>
      </c>
      <c r="G379" s="30" t="s">
        <v>597</v>
      </c>
      <c r="H379" s="30" t="s">
        <v>509</v>
      </c>
      <c r="I379" s="30" t="s">
        <v>274</v>
      </c>
      <c r="M379" s="30" t="s">
        <v>255</v>
      </c>
      <c r="O379" s="31" t="s">
        <v>756</v>
      </c>
      <c r="P379" s="30" t="s">
        <v>164</v>
      </c>
      <c r="Q379" s="30" t="s">
        <v>728</v>
      </c>
      <c r="R379" s="30" t="s">
        <v>730</v>
      </c>
      <c r="S379" s="30" t="s">
        <v>787</v>
      </c>
      <c r="T379" s="37" t="s">
        <v>786</v>
      </c>
      <c r="U379" s="30"/>
      <c r="V379" s="31"/>
      <c r="W379" s="31" t="s">
        <v>472</v>
      </c>
      <c r="X379" s="31"/>
      <c r="Y379" s="42" t="s">
        <v>725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983</v>
      </c>
      <c r="BC379" s="37" t="s">
        <v>600</v>
      </c>
      <c r="BD379" s="30" t="s">
        <v>360</v>
      </c>
      <c r="BF379" s="37" t="s">
        <v>601</v>
      </c>
      <c r="BG379" s="30" t="s">
        <v>204</v>
      </c>
      <c r="BL379" s="30" t="s">
        <v>603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360</v>
      </c>
      <c r="D380" s="30" t="s">
        <v>133</v>
      </c>
      <c r="E380" s="39" t="s">
        <v>1464</v>
      </c>
      <c r="F380" s="36" t="str">
        <f>IF(ISBLANK(Table2[[#This Row],[unique_id]]), "", PROPER(SUBSTITUTE(Table2[[#This Row],[unique_id]], "_", " ")))</f>
        <v>Ada Desk Outlet</v>
      </c>
      <c r="G380" s="30" t="s">
        <v>1463</v>
      </c>
      <c r="H380" s="30" t="s">
        <v>509</v>
      </c>
      <c r="I380" s="30" t="s">
        <v>274</v>
      </c>
      <c r="M380" s="30" t="s">
        <v>255</v>
      </c>
      <c r="O380" s="31" t="s">
        <v>756</v>
      </c>
      <c r="P380" s="30" t="s">
        <v>164</v>
      </c>
      <c r="Q380" s="30" t="s">
        <v>728</v>
      </c>
      <c r="R380" s="30" t="s">
        <v>730</v>
      </c>
      <c r="S380" s="30" t="s">
        <v>787</v>
      </c>
      <c r="T380" s="37" t="s">
        <v>786</v>
      </c>
      <c r="U380" s="30"/>
      <c r="V380" s="31"/>
      <c r="W380" s="31" t="s">
        <v>472</v>
      </c>
      <c r="X380" s="31"/>
      <c r="Y380" s="42" t="s">
        <v>725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1453</v>
      </c>
      <c r="BC380" s="37" t="s">
        <v>600</v>
      </c>
      <c r="BD380" s="30" t="s">
        <v>360</v>
      </c>
      <c r="BF380" s="37" t="s">
        <v>601</v>
      </c>
      <c r="BG380" s="30" t="s">
        <v>129</v>
      </c>
      <c r="BL380" s="30" t="s">
        <v>1465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360</v>
      </c>
      <c r="D381" s="30" t="s">
        <v>133</v>
      </c>
      <c r="E381" s="39" t="s">
        <v>1452</v>
      </c>
      <c r="F381" s="36" t="str">
        <f>IF(ISBLANK(Table2[[#This Row],[unique_id]]), "", PROPER(SUBSTITUTE(Table2[[#This Row],[unique_id]], "_", " ")))</f>
        <v>Edwin Desk Outlet</v>
      </c>
      <c r="G381" s="30" t="s">
        <v>1451</v>
      </c>
      <c r="H381" s="30" t="s">
        <v>509</v>
      </c>
      <c r="I381" s="30" t="s">
        <v>274</v>
      </c>
      <c r="M381" s="30" t="s">
        <v>255</v>
      </c>
      <c r="O381" s="31" t="s">
        <v>756</v>
      </c>
      <c r="P381" s="30" t="s">
        <v>164</v>
      </c>
      <c r="Q381" s="30" t="s">
        <v>728</v>
      </c>
      <c r="R381" s="30" t="s">
        <v>730</v>
      </c>
      <c r="S381" s="30" t="s">
        <v>787</v>
      </c>
      <c r="T381" s="37" t="s">
        <v>786</v>
      </c>
      <c r="U381" s="30"/>
      <c r="V381" s="31"/>
      <c r="W381" s="31" t="s">
        <v>472</v>
      </c>
      <c r="X381" s="31"/>
      <c r="Y381" s="42" t="s">
        <v>725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1453</v>
      </c>
      <c r="BC381" s="37" t="s">
        <v>600</v>
      </c>
      <c r="BD381" s="30" t="s">
        <v>360</v>
      </c>
      <c r="BF381" s="37" t="s">
        <v>601</v>
      </c>
      <c r="BG381" s="30" t="s">
        <v>126</v>
      </c>
      <c r="BL381" s="30" t="s">
        <v>599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562</v>
      </c>
      <c r="C382" s="54" t="s">
        <v>776</v>
      </c>
      <c r="D382" s="54" t="s">
        <v>147</v>
      </c>
      <c r="E382" s="55" t="s">
        <v>1393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1394</v>
      </c>
      <c r="H382" s="54" t="s">
        <v>509</v>
      </c>
      <c r="I382" s="54" t="s">
        <v>274</v>
      </c>
      <c r="O382" s="57" t="s">
        <v>756</v>
      </c>
      <c r="R382" s="54" t="s">
        <v>769</v>
      </c>
      <c r="S382" s="54" t="str">
        <f>Table2[[#This Row],[friendly_name]]</f>
        <v>Server May</v>
      </c>
      <c r="T382" s="55" t="s">
        <v>1034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1398</v>
      </c>
      <c r="BC382" s="59" t="s">
        <v>343</v>
      </c>
      <c r="BD382" s="54" t="s">
        <v>231</v>
      </c>
      <c r="BF382" s="54" t="s">
        <v>344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562</v>
      </c>
      <c r="C383" s="54" t="s">
        <v>231</v>
      </c>
      <c r="D383" s="54" t="s">
        <v>133</v>
      </c>
      <c r="E383" s="54" t="s">
        <v>1395</v>
      </c>
      <c r="F383" s="56" t="str">
        <f>IF(ISBLANK(Table2[[#This Row],[unique_id]]), "", PROPER(SUBSTITUTE(Table2[[#This Row],[unique_id]], "_", " ")))</f>
        <v>Broken Server May Plug</v>
      </c>
      <c r="G383" s="54" t="s">
        <v>1394</v>
      </c>
      <c r="H383" s="54" t="s">
        <v>509</v>
      </c>
      <c r="I383" s="54" t="s">
        <v>274</v>
      </c>
      <c r="M383" s="54" t="s">
        <v>255</v>
      </c>
      <c r="O383" s="57" t="s">
        <v>756</v>
      </c>
      <c r="R383" s="54" t="s">
        <v>769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1398</v>
      </c>
      <c r="BC383" s="59" t="s">
        <v>343</v>
      </c>
      <c r="BD383" s="54" t="s">
        <v>231</v>
      </c>
      <c r="BF383" s="54" t="s">
        <v>344</v>
      </c>
      <c r="BG383" s="54" t="s">
        <v>28</v>
      </c>
      <c r="BJ383" s="54" t="s">
        <v>945</v>
      </c>
      <c r="BK383" s="54" t="s">
        <v>1215</v>
      </c>
      <c r="BL383" s="54" t="s">
        <v>772</v>
      </c>
      <c r="BM383" s="54" t="s">
        <v>1261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562</v>
      </c>
      <c r="C384" s="54" t="s">
        <v>776</v>
      </c>
      <c r="D384" s="54" t="s">
        <v>147</v>
      </c>
      <c r="E384" s="55" t="s">
        <v>1370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773</v>
      </c>
      <c r="H384" s="54" t="s">
        <v>509</v>
      </c>
      <c r="I384" s="54" t="s">
        <v>274</v>
      </c>
      <c r="O384" s="57" t="s">
        <v>756</v>
      </c>
      <c r="R384" s="54" t="s">
        <v>769</v>
      </c>
      <c r="S384" s="54" t="str">
        <f>Table2[[#This Row],[friendly_name]]</f>
        <v>Server Meg</v>
      </c>
      <c r="T384" s="55" t="s">
        <v>1034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1027</v>
      </c>
      <c r="BC384" s="59" t="s">
        <v>343</v>
      </c>
      <c r="BD384" s="54" t="s">
        <v>231</v>
      </c>
      <c r="BF384" s="54" t="s">
        <v>344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562</v>
      </c>
      <c r="C385" s="54" t="s">
        <v>231</v>
      </c>
      <c r="D385" s="54" t="s">
        <v>133</v>
      </c>
      <c r="E385" s="54" t="s">
        <v>1371</v>
      </c>
      <c r="F385" s="56" t="str">
        <f>IF(ISBLANK(Table2[[#This Row],[unique_id]]), "", PROPER(SUBSTITUTE(Table2[[#This Row],[unique_id]], "_", " ")))</f>
        <v>Broken Server Meg Plug</v>
      </c>
      <c r="G385" s="59" t="s">
        <v>773</v>
      </c>
      <c r="H385" s="54" t="s">
        <v>509</v>
      </c>
      <c r="I385" s="54" t="s">
        <v>274</v>
      </c>
      <c r="M385" s="54" t="s">
        <v>255</v>
      </c>
      <c r="O385" s="57" t="s">
        <v>756</v>
      </c>
      <c r="R385" s="54" t="s">
        <v>769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1027</v>
      </c>
      <c r="BC385" s="59" t="s">
        <v>343</v>
      </c>
      <c r="BD385" s="54" t="s">
        <v>231</v>
      </c>
      <c r="BF385" s="54" t="s">
        <v>344</v>
      </c>
      <c r="BG385" s="54" t="s">
        <v>28</v>
      </c>
      <c r="BJ385" s="54" t="s">
        <v>945</v>
      </c>
      <c r="BK385" s="54" t="s">
        <v>1215</v>
      </c>
      <c r="BL385" s="54" t="s">
        <v>771</v>
      </c>
      <c r="BM385" s="54" t="s">
        <v>1262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776</v>
      </c>
      <c r="D386" s="30" t="s">
        <v>147</v>
      </c>
      <c r="E386" s="37" t="s">
        <v>1401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1405</v>
      </c>
      <c r="H386" s="30" t="s">
        <v>509</v>
      </c>
      <c r="I386" s="30" t="s">
        <v>274</v>
      </c>
      <c r="O386" s="31" t="s">
        <v>756</v>
      </c>
      <c r="P386" s="30" t="s">
        <v>164</v>
      </c>
      <c r="Q386" s="30" t="s">
        <v>728</v>
      </c>
      <c r="R386" s="30" t="s">
        <v>730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478</v>
      </c>
      <c r="BB386" s="30" t="s">
        <v>1406</v>
      </c>
      <c r="BC386" s="30" t="s">
        <v>342</v>
      </c>
      <c r="BD386" s="30" t="s">
        <v>231</v>
      </c>
      <c r="BF386" s="30" t="s">
        <v>345</v>
      </c>
      <c r="BG386" s="30" t="s">
        <v>478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1402</v>
      </c>
      <c r="F387" s="36" t="str">
        <f>IF(ISBLANK(Table2[[#This Row],[unique_id]]), "", PROPER(SUBSTITUTE(Table2[[#This Row],[unique_id]], "_", " ")))</f>
        <v>Server Jen Plug</v>
      </c>
      <c r="G387" s="30" t="s">
        <v>1405</v>
      </c>
      <c r="H387" s="30" t="s">
        <v>509</v>
      </c>
      <c r="I387" s="30" t="s">
        <v>274</v>
      </c>
      <c r="M387" s="30" t="s">
        <v>255</v>
      </c>
      <c r="O387" s="31" t="s">
        <v>756</v>
      </c>
      <c r="P387" s="30" t="s">
        <v>164</v>
      </c>
      <c r="Q387" s="30" t="s">
        <v>728</v>
      </c>
      <c r="R387" s="30" t="s">
        <v>730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478</v>
      </c>
      <c r="BB387" s="30" t="s">
        <v>1406</v>
      </c>
      <c r="BC387" s="30" t="s">
        <v>342</v>
      </c>
      <c r="BD387" s="30" t="s">
        <v>231</v>
      </c>
      <c r="BF387" s="30" t="s">
        <v>345</v>
      </c>
      <c r="BG387" s="30" t="s">
        <v>478</v>
      </c>
      <c r="BJ387" s="30" t="s">
        <v>945</v>
      </c>
      <c r="BK387" s="30" t="s">
        <v>1215</v>
      </c>
      <c r="BL387" s="30" t="s">
        <v>331</v>
      </c>
      <c r="BM387" s="30" t="s">
        <v>1263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776</v>
      </c>
      <c r="D388" s="30" t="s">
        <v>147</v>
      </c>
      <c r="E388" s="37" t="s">
        <v>935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509</v>
      </c>
      <c r="I388" s="30" t="s">
        <v>274</v>
      </c>
      <c r="O388" s="31" t="s">
        <v>756</v>
      </c>
      <c r="P388" s="30" t="s">
        <v>164</v>
      </c>
      <c r="Q388" s="30" t="s">
        <v>728</v>
      </c>
      <c r="R388" s="30" t="s">
        <v>730</v>
      </c>
      <c r="S388" s="30" t="str">
        <f>Table2[[#This Row],[friendly_name]]</f>
        <v>Server Rack</v>
      </c>
      <c r="T388" s="37" t="s">
        <v>1036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986</v>
      </c>
      <c r="BC388" s="30" t="s">
        <v>883</v>
      </c>
      <c r="BD388" s="30" t="s">
        <v>1077</v>
      </c>
      <c r="BF388" s="30" t="s">
        <v>855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678</v>
      </c>
      <c r="D389" s="30" t="s">
        <v>133</v>
      </c>
      <c r="E389" s="30" t="s">
        <v>806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509</v>
      </c>
      <c r="I389" s="30" t="s">
        <v>274</v>
      </c>
      <c r="M389" s="30" t="s">
        <v>255</v>
      </c>
      <c r="O389" s="31" t="s">
        <v>756</v>
      </c>
      <c r="P389" s="30" t="s">
        <v>164</v>
      </c>
      <c r="Q389" s="30" t="s">
        <v>728</v>
      </c>
      <c r="R389" s="30" t="s">
        <v>730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1075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865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884</v>
      </c>
      <c r="AO389" s="30" t="s">
        <v>885</v>
      </c>
      <c r="AP389" s="30" t="s">
        <v>874</v>
      </c>
      <c r="AQ389" s="30" t="s">
        <v>875</v>
      </c>
      <c r="AR389" s="30" t="s">
        <v>938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986</v>
      </c>
      <c r="BC389" s="30" t="s">
        <v>883</v>
      </c>
      <c r="BD389" s="30" t="s">
        <v>1077</v>
      </c>
      <c r="BF389" s="30" t="s">
        <v>855</v>
      </c>
      <c r="BG389" s="30" t="s">
        <v>28</v>
      </c>
      <c r="BK389" s="30" t="s">
        <v>1215</v>
      </c>
      <c r="BL389" s="30" t="s">
        <v>882</v>
      </c>
      <c r="BM389" s="30" t="s">
        <v>1265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678</v>
      </c>
      <c r="D390" s="30" t="s">
        <v>27</v>
      </c>
      <c r="E390" s="30" t="s">
        <v>936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509</v>
      </c>
      <c r="I390" s="30" t="s">
        <v>274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310</v>
      </c>
      <c r="AD390" s="30" t="s">
        <v>866</v>
      </c>
      <c r="AF390" s="30">
        <v>10</v>
      </c>
      <c r="AG390" s="31" t="s">
        <v>34</v>
      </c>
      <c r="AH390" s="31" t="s">
        <v>865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884</v>
      </c>
      <c r="AO390" s="30" t="s">
        <v>885</v>
      </c>
      <c r="AP390" s="30" t="s">
        <v>874</v>
      </c>
      <c r="AQ390" s="30" t="s">
        <v>875</v>
      </c>
      <c r="AR390" s="30" t="s">
        <v>1071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986</v>
      </c>
      <c r="BC390" s="30" t="s">
        <v>883</v>
      </c>
      <c r="BD390" s="30" t="s">
        <v>1077</v>
      </c>
      <c r="BF390" s="30" t="s">
        <v>855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678</v>
      </c>
      <c r="D391" s="30" t="s">
        <v>27</v>
      </c>
      <c r="E391" s="30" t="s">
        <v>937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509</v>
      </c>
      <c r="I391" s="30" t="s">
        <v>274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311</v>
      </c>
      <c r="AD391" s="30" t="s">
        <v>867</v>
      </c>
      <c r="AF391" s="30">
        <v>10</v>
      </c>
      <c r="AG391" s="31" t="s">
        <v>34</v>
      </c>
      <c r="AH391" s="31" t="s">
        <v>865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884</v>
      </c>
      <c r="AO391" s="30" t="s">
        <v>885</v>
      </c>
      <c r="AP391" s="30" t="s">
        <v>874</v>
      </c>
      <c r="AQ391" s="30" t="s">
        <v>875</v>
      </c>
      <c r="AR391" s="30" t="s">
        <v>1072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986</v>
      </c>
      <c r="BC391" s="30" t="s">
        <v>883</v>
      </c>
      <c r="BD391" s="30" t="s">
        <v>1077</v>
      </c>
      <c r="BF391" s="30" t="s">
        <v>855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776</v>
      </c>
      <c r="D392" s="30" t="s">
        <v>147</v>
      </c>
      <c r="E392" s="37" t="s">
        <v>1061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1385</v>
      </c>
      <c r="H392" s="30" t="s">
        <v>509</v>
      </c>
      <c r="I392" s="30" t="s">
        <v>274</v>
      </c>
      <c r="O392" s="31" t="s">
        <v>756</v>
      </c>
      <c r="P392" s="30" t="s">
        <v>164</v>
      </c>
      <c r="Q392" s="30" t="s">
        <v>728</v>
      </c>
      <c r="R392" s="30" t="s">
        <v>730</v>
      </c>
      <c r="S392" s="30" t="str">
        <f>Table2[[#This Row],[friendly_name]]</f>
        <v>Ceiling Network Devices</v>
      </c>
      <c r="T392" s="37" t="s">
        <v>1036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883</v>
      </c>
      <c r="BD392" s="30" t="s">
        <v>1077</v>
      </c>
      <c r="BF392" s="30" t="s">
        <v>855</v>
      </c>
      <c r="BG392" s="30" t="s">
        <v>386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678</v>
      </c>
      <c r="D393" s="30" t="s">
        <v>133</v>
      </c>
      <c r="E393" s="30" t="s">
        <v>1062</v>
      </c>
      <c r="F393" s="36" t="str">
        <f>IF(ISBLANK(Table2[[#This Row],[unique_id]]), "", PROPER(SUBSTITUTE(Table2[[#This Row],[unique_id]], "_", " ")))</f>
        <v>Ceiling Network Switch Plug</v>
      </c>
      <c r="G393" s="30" t="s">
        <v>1385</v>
      </c>
      <c r="H393" s="30" t="s">
        <v>509</v>
      </c>
      <c r="I393" s="30" t="s">
        <v>274</v>
      </c>
      <c r="M393" s="30" t="s">
        <v>255</v>
      </c>
      <c r="O393" s="31" t="s">
        <v>756</v>
      </c>
      <c r="P393" s="30" t="s">
        <v>164</v>
      </c>
      <c r="Q393" s="30" t="s">
        <v>728</v>
      </c>
      <c r="R393" s="30" t="s">
        <v>730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1075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865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884</v>
      </c>
      <c r="AO393" s="30" t="s">
        <v>885</v>
      </c>
      <c r="AP393" s="30" t="s">
        <v>874</v>
      </c>
      <c r="AQ393" s="30" t="s">
        <v>875</v>
      </c>
      <c r="AR393" s="30" t="s">
        <v>938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883</v>
      </c>
      <c r="BD393" s="30" t="s">
        <v>1077</v>
      </c>
      <c r="BF393" s="30" t="s">
        <v>855</v>
      </c>
      <c r="BG393" s="30" t="s">
        <v>386</v>
      </c>
      <c r="BK393" s="30" t="s">
        <v>1215</v>
      </c>
      <c r="BL393" s="41" t="s">
        <v>947</v>
      </c>
      <c r="BM393" s="30" t="s">
        <v>1267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678</v>
      </c>
      <c r="D394" s="30" t="s">
        <v>27</v>
      </c>
      <c r="E394" s="30" t="s">
        <v>1063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1385</v>
      </c>
      <c r="H394" s="30" t="s">
        <v>509</v>
      </c>
      <c r="I394" s="30" t="s">
        <v>274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310</v>
      </c>
      <c r="AD394" s="30" t="s">
        <v>866</v>
      </c>
      <c r="AF394" s="30">
        <v>10</v>
      </c>
      <c r="AG394" s="31" t="s">
        <v>34</v>
      </c>
      <c r="AH394" s="31" t="s">
        <v>865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884</v>
      </c>
      <c r="AO394" s="30" t="s">
        <v>885</v>
      </c>
      <c r="AP394" s="30" t="s">
        <v>874</v>
      </c>
      <c r="AQ394" s="30" t="s">
        <v>875</v>
      </c>
      <c r="AR394" s="30" t="s">
        <v>1071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883</v>
      </c>
      <c r="BD394" s="30" t="s">
        <v>1077</v>
      </c>
      <c r="BF394" s="30" t="s">
        <v>855</v>
      </c>
      <c r="BG394" s="30" t="s">
        <v>386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678</v>
      </c>
      <c r="D395" s="30" t="s">
        <v>27</v>
      </c>
      <c r="E395" s="30" t="s">
        <v>1064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1385</v>
      </c>
      <c r="H395" s="30" t="s">
        <v>509</v>
      </c>
      <c r="I395" s="30" t="s">
        <v>274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311</v>
      </c>
      <c r="AD395" s="30" t="s">
        <v>867</v>
      </c>
      <c r="AF395" s="30">
        <v>10</v>
      </c>
      <c r="AG395" s="31" t="s">
        <v>34</v>
      </c>
      <c r="AH395" s="31" t="s">
        <v>865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884</v>
      </c>
      <c r="AO395" s="30" t="s">
        <v>885</v>
      </c>
      <c r="AP395" s="30" t="s">
        <v>874</v>
      </c>
      <c r="AQ395" s="30" t="s">
        <v>875</v>
      </c>
      <c r="AR395" s="30" t="s">
        <v>1072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883</v>
      </c>
      <c r="BD395" s="30" t="s">
        <v>1077</v>
      </c>
      <c r="BF395" s="30" t="s">
        <v>855</v>
      </c>
      <c r="BG395" s="30" t="s">
        <v>386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562</v>
      </c>
      <c r="C396" s="54" t="s">
        <v>776</v>
      </c>
      <c r="D396" s="54" t="s">
        <v>147</v>
      </c>
      <c r="E396" s="55" t="s">
        <v>1372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509</v>
      </c>
      <c r="I396" s="54" t="s">
        <v>274</v>
      </c>
      <c r="O396" s="57" t="s">
        <v>756</v>
      </c>
      <c r="R396" s="54" t="s">
        <v>770</v>
      </c>
      <c r="S396" s="54" t="str">
        <f>Table2[[#This Row],[friendly_name]]</f>
        <v>Internet Modem</v>
      </c>
      <c r="T396" s="55" t="s">
        <v>1034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991</v>
      </c>
      <c r="BC396" s="59" t="s">
        <v>343</v>
      </c>
      <c r="BD396" s="54" t="s">
        <v>231</v>
      </c>
      <c r="BF396" s="54" t="s">
        <v>344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562</v>
      </c>
      <c r="C397" s="54" t="s">
        <v>231</v>
      </c>
      <c r="D397" s="54" t="s">
        <v>133</v>
      </c>
      <c r="E397" s="54" t="s">
        <v>1373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509</v>
      </c>
      <c r="I397" s="54" t="s">
        <v>274</v>
      </c>
      <c r="M397" s="54" t="s">
        <v>255</v>
      </c>
      <c r="O397" s="57" t="s">
        <v>756</v>
      </c>
      <c r="R397" s="54" t="s">
        <v>770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991</v>
      </c>
      <c r="BC397" s="59" t="s">
        <v>343</v>
      </c>
      <c r="BD397" s="54" t="s">
        <v>231</v>
      </c>
      <c r="BF397" s="54" t="s">
        <v>344</v>
      </c>
      <c r="BG397" s="54" t="s">
        <v>28</v>
      </c>
      <c r="BJ397" s="54" t="s">
        <v>944</v>
      </c>
      <c r="BK397" s="54" t="s">
        <v>1215</v>
      </c>
      <c r="BL397" s="54" t="s">
        <v>337</v>
      </c>
      <c r="BM397" s="54" t="s">
        <v>1268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433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Garden Repeater Linkquality</v>
      </c>
      <c r="G398" s="30" t="s">
        <v>682</v>
      </c>
      <c r="H398" s="30" t="s">
        <v>509</v>
      </c>
      <c r="I398" s="30" t="s">
        <v>274</v>
      </c>
      <c r="O398" s="31" t="s">
        <v>756</v>
      </c>
      <c r="P398" s="30" t="s">
        <v>164</v>
      </c>
      <c r="Q398" s="30" t="s">
        <v>728</v>
      </c>
      <c r="R398" s="30" t="s">
        <v>730</v>
      </c>
      <c r="S398" s="30" t="s">
        <v>787</v>
      </c>
      <c r="T398" s="37" t="s">
        <v>785</v>
      </c>
      <c r="U398" s="30"/>
      <c r="V398" s="31"/>
      <c r="W398" s="31" t="s">
        <v>472</v>
      </c>
      <c r="X398" s="31"/>
      <c r="Y398" s="42" t="s">
        <v>725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956</v>
      </c>
      <c r="BC398" s="39" t="s">
        <v>680</v>
      </c>
      <c r="BD398" s="30" t="s">
        <v>433</v>
      </c>
      <c r="BF398" s="30" t="s">
        <v>679</v>
      </c>
      <c r="BG398" s="30" t="s">
        <v>559</v>
      </c>
      <c r="BL398" s="30" t="s">
        <v>681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433</v>
      </c>
      <c r="D399" s="30" t="s">
        <v>27</v>
      </c>
      <c r="E399" s="30" t="s">
        <v>783</v>
      </c>
      <c r="F399" s="36" t="str">
        <f>IF(ISBLANK(Table2[[#This Row],[unique_id]]), "", PROPER(SUBSTITUTE(Table2[[#This Row],[unique_id]], "_", " ")))</f>
        <v>Landing Repeater Linkquality</v>
      </c>
      <c r="G399" s="30" t="s">
        <v>684</v>
      </c>
      <c r="H399" s="30" t="s">
        <v>509</v>
      </c>
      <c r="I399" s="30" t="s">
        <v>274</v>
      </c>
      <c r="O399" s="31" t="s">
        <v>756</v>
      </c>
      <c r="P399" s="30" t="s">
        <v>164</v>
      </c>
      <c r="Q399" s="30" t="s">
        <v>728</v>
      </c>
      <c r="R399" s="30" t="s">
        <v>730</v>
      </c>
      <c r="S399" s="30" t="s">
        <v>787</v>
      </c>
      <c r="T399" s="37" t="s">
        <v>785</v>
      </c>
      <c r="U399" s="30"/>
      <c r="V399" s="31"/>
      <c r="W399" s="31" t="s">
        <v>472</v>
      </c>
      <c r="X399" s="31"/>
      <c r="Y399" s="42" t="s">
        <v>725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956</v>
      </c>
      <c r="BC399" s="39" t="s">
        <v>680</v>
      </c>
      <c r="BD399" s="30" t="s">
        <v>433</v>
      </c>
      <c r="BF399" s="30" t="s">
        <v>679</v>
      </c>
      <c r="BG399" s="30" t="s">
        <v>542</v>
      </c>
      <c r="BL399" s="30" t="s">
        <v>686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433</v>
      </c>
      <c r="D400" s="30" t="s">
        <v>27</v>
      </c>
      <c r="E400" s="30" t="s">
        <v>784</v>
      </c>
      <c r="F400" s="36" t="str">
        <f>IF(ISBLANK(Table2[[#This Row],[unique_id]]), "", PROPER(SUBSTITUTE(Table2[[#This Row],[unique_id]], "_", " ")))</f>
        <v>Driveway Repeater Linkquality</v>
      </c>
      <c r="G400" s="30" t="s">
        <v>683</v>
      </c>
      <c r="H400" s="30" t="s">
        <v>509</v>
      </c>
      <c r="I400" s="30" t="s">
        <v>274</v>
      </c>
      <c r="O400" s="31" t="s">
        <v>756</v>
      </c>
      <c r="P400" s="30" t="s">
        <v>164</v>
      </c>
      <c r="Q400" s="30" t="s">
        <v>728</v>
      </c>
      <c r="R400" s="30" t="s">
        <v>730</v>
      </c>
      <c r="S400" s="30" t="s">
        <v>787</v>
      </c>
      <c r="T400" s="37" t="s">
        <v>785</v>
      </c>
      <c r="U400" s="30"/>
      <c r="V400" s="31"/>
      <c r="W400" s="31" t="s">
        <v>472</v>
      </c>
      <c r="X400" s="31"/>
      <c r="Y400" s="42" t="s">
        <v>725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956</v>
      </c>
      <c r="BC400" s="39" t="s">
        <v>680</v>
      </c>
      <c r="BD400" s="30" t="s">
        <v>433</v>
      </c>
      <c r="BF400" s="30" t="s">
        <v>679</v>
      </c>
      <c r="BG400" s="30" t="s">
        <v>685</v>
      </c>
      <c r="BL400" s="30" t="s">
        <v>687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293</v>
      </c>
      <c r="E401" s="30" t="s">
        <v>854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758</v>
      </c>
      <c r="H401" s="30" t="s">
        <v>527</v>
      </c>
      <c r="I401" s="30" t="s">
        <v>274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275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293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527</v>
      </c>
      <c r="I402" s="30" t="s">
        <v>274</v>
      </c>
      <c r="J402" s="30" t="s">
        <v>513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275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670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293</v>
      </c>
      <c r="E403" s="36" t="s">
        <v>508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527</v>
      </c>
      <c r="I403" s="30" t="s">
        <v>274</v>
      </c>
      <c r="J403" s="30" t="s">
        <v>513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275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670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293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391</v>
      </c>
      <c r="H404" s="30" t="s">
        <v>527</v>
      </c>
      <c r="I404" s="30" t="s">
        <v>274</v>
      </c>
      <c r="J404" s="30" t="s">
        <v>526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275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670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293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527</v>
      </c>
      <c r="I405" s="30" t="s">
        <v>274</v>
      </c>
      <c r="J405" s="30" t="s">
        <v>534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275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293</v>
      </c>
      <c r="E406" s="36" t="s">
        <v>838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823</v>
      </c>
      <c r="H406" s="30" t="s">
        <v>527</v>
      </c>
      <c r="I406" s="30" t="s">
        <v>274</v>
      </c>
      <c r="J406" s="30" t="s">
        <v>839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275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293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527</v>
      </c>
      <c r="I407" s="30" t="s">
        <v>274</v>
      </c>
      <c r="J407" s="30" t="s">
        <v>534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275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293</v>
      </c>
      <c r="E408" s="36" t="s">
        <v>518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527</v>
      </c>
      <c r="I408" s="30" t="s">
        <v>274</v>
      </c>
      <c r="J408" s="30" t="s">
        <v>534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275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293</v>
      </c>
      <c r="E409" s="36" t="s">
        <v>569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539</v>
      </c>
      <c r="H409" s="30" t="s">
        <v>527</v>
      </c>
      <c r="I409" s="30" t="s">
        <v>274</v>
      </c>
      <c r="J409" s="30" t="s">
        <v>513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275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670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293</v>
      </c>
      <c r="E410" s="36" t="s">
        <v>1457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539</v>
      </c>
      <c r="H410" s="30" t="s">
        <v>527</v>
      </c>
      <c r="I410" s="30" t="s">
        <v>274</v>
      </c>
      <c r="J410" s="30" t="s">
        <v>513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275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670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293</v>
      </c>
      <c r="E411" s="36" t="s">
        <v>519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527</v>
      </c>
      <c r="I411" s="30" t="s">
        <v>274</v>
      </c>
      <c r="J411" s="30" t="s">
        <v>534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275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293</v>
      </c>
      <c r="E412" s="36" t="s">
        <v>840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832</v>
      </c>
      <c r="H412" s="30" t="s">
        <v>527</v>
      </c>
      <c r="I412" s="30" t="s">
        <v>274</v>
      </c>
      <c r="J412" s="30" t="s">
        <v>842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275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293</v>
      </c>
      <c r="E413" s="36" t="s">
        <v>841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833</v>
      </c>
      <c r="H413" s="30" t="s">
        <v>527</v>
      </c>
      <c r="I413" s="30" t="s">
        <v>274</v>
      </c>
      <c r="J413" s="30" t="s">
        <v>843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275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293</v>
      </c>
      <c r="E414" s="36" t="s">
        <v>844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710</v>
      </c>
      <c r="H414" s="30" t="s">
        <v>527</v>
      </c>
      <c r="I414" s="30" t="s">
        <v>274</v>
      </c>
      <c r="J414" s="30" t="s">
        <v>513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275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339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293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527</v>
      </c>
      <c r="I415" s="30" t="s">
        <v>274</v>
      </c>
      <c r="J415" s="30" t="s">
        <v>534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275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293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527</v>
      </c>
      <c r="I416" s="30" t="s">
        <v>274</v>
      </c>
      <c r="J416" s="30" t="s">
        <v>534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275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293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527</v>
      </c>
      <c r="I417" s="30" t="s">
        <v>274</v>
      </c>
      <c r="J417" s="30" t="s">
        <v>534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275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293</v>
      </c>
      <c r="E418" s="36" t="s">
        <v>535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527</v>
      </c>
      <c r="I418" s="30" t="s">
        <v>274</v>
      </c>
      <c r="J418" s="30" t="s">
        <v>534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275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293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527</v>
      </c>
      <c r="I419" s="30" t="s">
        <v>274</v>
      </c>
      <c r="J419" s="30" t="s">
        <v>534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275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341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293</v>
      </c>
      <c r="E420" s="36" t="s">
        <v>845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829</v>
      </c>
      <c r="H420" s="30" t="s">
        <v>527</v>
      </c>
      <c r="I420" s="30" t="s">
        <v>274</v>
      </c>
      <c r="J420" s="30" t="s">
        <v>839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275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293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527</v>
      </c>
      <c r="I421" s="30" t="s">
        <v>274</v>
      </c>
      <c r="J421" s="30" t="s">
        <v>534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275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293</v>
      </c>
      <c r="E422" s="36" t="s">
        <v>846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812</v>
      </c>
      <c r="H422" s="30" t="s">
        <v>527</v>
      </c>
      <c r="I422" s="30" t="s">
        <v>274</v>
      </c>
      <c r="J422" s="30" t="s">
        <v>839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275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293</v>
      </c>
      <c r="E423" s="36" t="s">
        <v>525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527</v>
      </c>
      <c r="I423" s="30" t="s">
        <v>274</v>
      </c>
      <c r="J423" s="30" t="s">
        <v>534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275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713</v>
      </c>
      <c r="I424" s="30" t="s">
        <v>143</v>
      </c>
      <c r="M424" s="30" t="s">
        <v>135</v>
      </c>
      <c r="N424" s="30" t="s">
        <v>268</v>
      </c>
      <c r="O424" s="31" t="s">
        <v>756</v>
      </c>
      <c r="P424" s="30" t="s">
        <v>164</v>
      </c>
      <c r="Q424" s="30" t="s">
        <v>728</v>
      </c>
      <c r="R424" s="41" t="s">
        <v>713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374</v>
      </c>
      <c r="BD424" s="30" t="s">
        <v>233</v>
      </c>
      <c r="BF424" s="30" t="s">
        <v>1010</v>
      </c>
      <c r="BG424" s="30" t="s">
        <v>129</v>
      </c>
      <c r="BK424" s="30" t="s">
        <v>1214</v>
      </c>
      <c r="BL424" s="41" t="s">
        <v>403</v>
      </c>
      <c r="BM424" s="39" t="s">
        <v>1216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2643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713</v>
      </c>
      <c r="I425" s="30" t="s">
        <v>143</v>
      </c>
      <c r="M425" s="30" t="s">
        <v>135</v>
      </c>
      <c r="N425" s="30" t="s">
        <v>268</v>
      </c>
      <c r="O425" s="31" t="s">
        <v>756</v>
      </c>
      <c r="P425" s="30" t="s">
        <v>164</v>
      </c>
      <c r="Q425" s="30" t="s">
        <v>728</v>
      </c>
      <c r="R425" s="41" t="s">
        <v>713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374</v>
      </c>
      <c r="BD425" s="30" t="s">
        <v>233</v>
      </c>
      <c r="BF425" s="30" t="s">
        <v>1010</v>
      </c>
      <c r="BG425" s="30" t="s">
        <v>126</v>
      </c>
      <c r="BK425" s="30" t="s">
        <v>1214</v>
      </c>
      <c r="BL425" s="41" t="s">
        <v>402</v>
      </c>
      <c r="BM425" s="39" t="s">
        <v>1217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2644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713</v>
      </c>
      <c r="I426" s="30" t="s">
        <v>143</v>
      </c>
      <c r="M426" s="30" t="s">
        <v>135</v>
      </c>
      <c r="N426" s="30" t="s">
        <v>268</v>
      </c>
      <c r="O426" s="31" t="s">
        <v>756</v>
      </c>
      <c r="P426" s="30" t="s">
        <v>164</v>
      </c>
      <c r="Q426" s="30" t="s">
        <v>728</v>
      </c>
      <c r="R426" s="41" t="s">
        <v>713</v>
      </c>
      <c r="S426" s="30" t="str">
        <f>_xlfn.CONCAT( Table2[[#This Row],[friendly_name]], " Devices")</f>
        <v>Parents Home Devices</v>
      </c>
      <c r="T426" s="37" t="s">
        <v>738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1004</v>
      </c>
      <c r="BD426" s="30" t="s">
        <v>233</v>
      </c>
      <c r="BF426" s="30" t="s">
        <v>1011</v>
      </c>
      <c r="BG426" s="30" t="s">
        <v>190</v>
      </c>
      <c r="BK426" s="30" t="s">
        <v>1214</v>
      </c>
      <c r="BL426" s="41" t="s">
        <v>620</v>
      </c>
      <c r="BM426" s="39" t="s">
        <v>1218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2645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713</v>
      </c>
      <c r="I427" s="30" t="s">
        <v>143</v>
      </c>
      <c r="M427" s="30" t="s">
        <v>135</v>
      </c>
      <c r="N427" s="30" t="s">
        <v>268</v>
      </c>
      <c r="O427" s="31" t="s">
        <v>756</v>
      </c>
      <c r="P427" s="30" t="s">
        <v>164</v>
      </c>
      <c r="Q427" s="30" t="s">
        <v>728</v>
      </c>
      <c r="R427" s="41" t="s">
        <v>713</v>
      </c>
      <c r="S427" s="30" t="str">
        <f>_xlfn.CONCAT( Table2[[#This Row],[friendly_name]], " Devices")</f>
        <v>Kitchen Home Devices</v>
      </c>
      <c r="T427" s="37" t="s">
        <v>738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1004</v>
      </c>
      <c r="BD427" s="30" t="s">
        <v>233</v>
      </c>
      <c r="BF427" s="30" t="s">
        <v>1011</v>
      </c>
      <c r="BG427" s="30" t="s">
        <v>204</v>
      </c>
      <c r="BK427" s="30" t="s">
        <v>1214</v>
      </c>
      <c r="BL427" s="41" t="s">
        <v>698</v>
      </c>
      <c r="BM427" s="39" t="s">
        <v>1219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2646</v>
      </c>
      <c r="B428" s="30" t="s">
        <v>26</v>
      </c>
      <c r="C428" s="30" t="s">
        <v>233</v>
      </c>
      <c r="D428" s="30" t="s">
        <v>144</v>
      </c>
      <c r="E428" s="30" t="s">
        <v>591</v>
      </c>
      <c r="F428" s="36" t="str">
        <f>IF(ISBLANK(Table2[[#This Row],[unique_id]]), "", PROPER(SUBSTITUTE(Table2[[#This Row],[unique_id]], "_", " ")))</f>
        <v>Office Home</v>
      </c>
      <c r="G428" s="30" t="s">
        <v>592</v>
      </c>
      <c r="H428" s="30" t="s">
        <v>713</v>
      </c>
      <c r="I428" s="30" t="s">
        <v>143</v>
      </c>
      <c r="M428" s="30" t="s">
        <v>135</v>
      </c>
      <c r="N428" s="30" t="s">
        <v>268</v>
      </c>
      <c r="O428" s="31" t="s">
        <v>756</v>
      </c>
      <c r="P428" s="30" t="s">
        <v>164</v>
      </c>
      <c r="Q428" s="30" t="s">
        <v>728</v>
      </c>
      <c r="R428" s="41" t="s">
        <v>713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374</v>
      </c>
      <c r="BD428" s="30" t="s">
        <v>233</v>
      </c>
      <c r="BF428" s="30" t="s">
        <v>1010</v>
      </c>
      <c r="BG428" s="30" t="s">
        <v>210</v>
      </c>
      <c r="BK428" s="30" t="s">
        <v>1214</v>
      </c>
      <c r="BL428" s="41" t="s">
        <v>400</v>
      </c>
      <c r="BM428" s="39" t="s">
        <v>1220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2647</v>
      </c>
      <c r="B429" s="30" t="s">
        <v>26</v>
      </c>
      <c r="C429" s="30" t="s">
        <v>233</v>
      </c>
      <c r="D429" s="30" t="s">
        <v>144</v>
      </c>
      <c r="E429" s="30" t="s">
        <v>623</v>
      </c>
      <c r="F429" s="36" t="str">
        <f>IF(ISBLANK(Table2[[#This Row],[unique_id]]), "", PROPER(SUBSTITUTE(Table2[[#This Row],[unique_id]], "_", " ")))</f>
        <v>Lounge Home</v>
      </c>
      <c r="G429" s="30" t="s">
        <v>624</v>
      </c>
      <c r="H429" s="30" t="s">
        <v>713</v>
      </c>
      <c r="I429" s="30" t="s">
        <v>143</v>
      </c>
      <c r="M429" s="30" t="s">
        <v>135</v>
      </c>
      <c r="N429" s="30" t="s">
        <v>268</v>
      </c>
      <c r="O429" s="31" t="s">
        <v>756</v>
      </c>
      <c r="P429" s="30" t="s">
        <v>164</v>
      </c>
      <c r="Q429" s="30" t="s">
        <v>728</v>
      </c>
      <c r="R429" s="41" t="s">
        <v>713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374</v>
      </c>
      <c r="BD429" s="30" t="s">
        <v>233</v>
      </c>
      <c r="BF429" s="30" t="s">
        <v>1010</v>
      </c>
      <c r="BG429" s="30" t="s">
        <v>192</v>
      </c>
      <c r="BK429" s="30" t="s">
        <v>1214</v>
      </c>
      <c r="BL429" s="41" t="s">
        <v>401</v>
      </c>
      <c r="BM429" s="39" t="s">
        <v>1221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2648</v>
      </c>
      <c r="B430" s="30" t="s">
        <v>26</v>
      </c>
      <c r="C430" s="30" t="s">
        <v>233</v>
      </c>
      <c r="D430" s="30" t="s">
        <v>144</v>
      </c>
      <c r="E430" s="30" t="s">
        <v>788</v>
      </c>
      <c r="F430" s="36" t="str">
        <f>IF(ISBLANK(Table2[[#This Row],[unique_id]]), "", PROPER(SUBSTITUTE(Table2[[#This Row],[unique_id]], "_", " ")))</f>
        <v>Ada Tablet</v>
      </c>
      <c r="G430" s="30" t="s">
        <v>789</v>
      </c>
      <c r="H430" s="30" t="s">
        <v>713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789</v>
      </c>
      <c r="BC430" s="30" t="s">
        <v>1012</v>
      </c>
      <c r="BD430" s="30" t="s">
        <v>233</v>
      </c>
      <c r="BF430" s="30" t="s">
        <v>791</v>
      </c>
      <c r="BG430" s="30" t="s">
        <v>192</v>
      </c>
      <c r="BK430" s="30" t="s">
        <v>1214</v>
      </c>
      <c r="BL430" s="41" t="s">
        <v>1193</v>
      </c>
      <c r="BM430" s="39" t="s">
        <v>1222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2649</v>
      </c>
      <c r="B431" s="30" t="s">
        <v>26</v>
      </c>
      <c r="C431" s="30" t="s">
        <v>233</v>
      </c>
      <c r="D431" s="30" t="s">
        <v>144</v>
      </c>
      <c r="E431" s="30" t="s">
        <v>792</v>
      </c>
      <c r="F431" s="36" t="str">
        <f>IF(ISBLANK(Table2[[#This Row],[unique_id]]), "", PROPER(SUBSTITUTE(Table2[[#This Row],[unique_id]], "_", " ")))</f>
        <v>Edwin Tablet</v>
      </c>
      <c r="G431" s="30" t="s">
        <v>793</v>
      </c>
      <c r="H431" s="30" t="s">
        <v>713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793</v>
      </c>
      <c r="BC431" s="30" t="s">
        <v>1012</v>
      </c>
      <c r="BD431" s="30" t="s">
        <v>233</v>
      </c>
      <c r="BF431" s="30" t="s">
        <v>791</v>
      </c>
      <c r="BG431" s="30" t="s">
        <v>204</v>
      </c>
      <c r="BK431" s="30" t="s">
        <v>1214</v>
      </c>
      <c r="BL431" s="41" t="s">
        <v>1194</v>
      </c>
      <c r="BM431" s="39" t="s">
        <v>1225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2650</v>
      </c>
      <c r="B432" s="30" t="s">
        <v>26</v>
      </c>
      <c r="C432" s="30" t="s">
        <v>563</v>
      </c>
      <c r="D432" s="30" t="s">
        <v>144</v>
      </c>
      <c r="E432" s="30" t="s">
        <v>588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713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948</v>
      </c>
      <c r="BC432" s="30" t="s">
        <v>566</v>
      </c>
      <c r="BD432" s="30" t="s">
        <v>563</v>
      </c>
      <c r="BF432" s="30" t="s">
        <v>565</v>
      </c>
      <c r="BG432" s="30" t="s">
        <v>192</v>
      </c>
      <c r="BK432" s="30" t="s">
        <v>1214</v>
      </c>
      <c r="BL432" s="41" t="s">
        <v>564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2651</v>
      </c>
      <c r="B433" s="30" t="s">
        <v>562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713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948</v>
      </c>
      <c r="BC433" s="30" t="s">
        <v>1005</v>
      </c>
      <c r="BD433" s="30" t="s">
        <v>262</v>
      </c>
      <c r="BF433" s="30" t="s">
        <v>380</v>
      </c>
      <c r="BG433" s="30" t="s">
        <v>190</v>
      </c>
      <c r="BK433" s="30" t="s">
        <v>1214</v>
      </c>
      <c r="BL433" s="41" t="s">
        <v>382</v>
      </c>
      <c r="BM433" s="39" t="s">
        <v>1224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2652</v>
      </c>
      <c r="B434" s="30" t="s">
        <v>562</v>
      </c>
      <c r="C434" s="30" t="s">
        <v>233</v>
      </c>
      <c r="D434" s="30" t="s">
        <v>144</v>
      </c>
      <c r="E434" s="30" t="s">
        <v>668</v>
      </c>
      <c r="F434" s="36" t="str">
        <f>IF(ISBLANK(Table2[[#This Row],[unique_id]]), "", PROPER(SUBSTITUTE(Table2[[#This Row],[unique_id]], "_", " ")))</f>
        <v>Office Tv</v>
      </c>
      <c r="G434" s="30" t="s">
        <v>669</v>
      </c>
      <c r="H434" s="30" t="s">
        <v>713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948</v>
      </c>
      <c r="BC434" s="30" t="s">
        <v>375</v>
      </c>
      <c r="BD434" s="30" t="s">
        <v>233</v>
      </c>
      <c r="BF434" s="30" t="s">
        <v>376</v>
      </c>
      <c r="BG434" s="30" t="s">
        <v>210</v>
      </c>
      <c r="BK434" s="30" t="s">
        <v>1214</v>
      </c>
      <c r="BL434" s="41" t="s">
        <v>404</v>
      </c>
      <c r="BM434" s="39" t="s">
        <v>1226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2653</v>
      </c>
      <c r="B435" s="30" t="s">
        <v>26</v>
      </c>
      <c r="C435" s="30" t="s">
        <v>423</v>
      </c>
      <c r="D435" s="30" t="s">
        <v>316</v>
      </c>
      <c r="E435" s="30" t="s">
        <v>315</v>
      </c>
      <c r="F435" s="36" t="str">
        <f>IF(ISBLANK(Table2[[#This Row],[unique_id]]), "", PROPER(SUBSTITUTE(Table2[[#This Row],[unique_id]], "_", " ")))</f>
        <v>Column Break</v>
      </c>
      <c r="G435" s="30" t="s">
        <v>312</v>
      </c>
      <c r="H435" s="30" t="s">
        <v>713</v>
      </c>
      <c r="I435" s="30" t="s">
        <v>143</v>
      </c>
      <c r="M435" s="30" t="s">
        <v>313</v>
      </c>
      <c r="N435" s="30" t="s">
        <v>314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2654</v>
      </c>
      <c r="B436" s="30" t="s">
        <v>26</v>
      </c>
      <c r="C436" s="30" t="s">
        <v>180</v>
      </c>
      <c r="D436" s="30" t="s">
        <v>144</v>
      </c>
      <c r="E436" s="30" t="s">
        <v>702</v>
      </c>
      <c r="F436" s="36" t="str">
        <f>IF(ISBLANK(Table2[[#This Row],[unique_id]]), "", PROPER(SUBSTITUTE(Table2[[#This Row],[unique_id]], "_", " ")))</f>
        <v>Lounge Arc</v>
      </c>
      <c r="G436" s="30" t="s">
        <v>705</v>
      </c>
      <c r="H436" s="30" t="s">
        <v>713</v>
      </c>
      <c r="I436" s="30" t="s">
        <v>143</v>
      </c>
      <c r="M436" s="30" t="s">
        <v>135</v>
      </c>
      <c r="N436" s="30" t="s">
        <v>268</v>
      </c>
      <c r="O436" s="31" t="s">
        <v>756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567</v>
      </c>
      <c r="BC436" s="30" t="s">
        <v>1008</v>
      </c>
      <c r="BD436" s="30" t="s">
        <v>180</v>
      </c>
      <c r="BF436" s="30">
        <v>15.4</v>
      </c>
      <c r="BG436" s="30" t="s">
        <v>192</v>
      </c>
      <c r="BK436" s="30" t="s">
        <v>1214</v>
      </c>
      <c r="BL436" s="30" t="s">
        <v>568</v>
      </c>
      <c r="BM436" s="39" t="s">
        <v>1227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2655</v>
      </c>
      <c r="B437" s="30" t="s">
        <v>562</v>
      </c>
      <c r="C437" s="30" t="s">
        <v>776</v>
      </c>
      <c r="D437" s="30" t="s">
        <v>147</v>
      </c>
      <c r="E437" s="30" t="s">
        <v>778</v>
      </c>
      <c r="F437" s="36" t="str">
        <f>IF(ISBLANK(Table2[[#This Row],[unique_id]]), "", PROPER(SUBSTITUTE(Table2[[#This Row],[unique_id]], "_", " ")))</f>
        <v>Template Kitchen Move Proxy</v>
      </c>
      <c r="G437" s="30" t="s">
        <v>706</v>
      </c>
      <c r="H437" s="30" t="s">
        <v>713</v>
      </c>
      <c r="I437" s="30" t="s">
        <v>143</v>
      </c>
      <c r="O437" s="31" t="s">
        <v>756</v>
      </c>
      <c r="P437" s="30" t="s">
        <v>164</v>
      </c>
      <c r="Q437" s="30" t="s">
        <v>728</v>
      </c>
      <c r="R437" s="41" t="s">
        <v>713</v>
      </c>
      <c r="S437" s="30" t="str">
        <f>_xlfn.CONCAT( Table2[[#This Row],[friendly_name]], " Devices")</f>
        <v>Kitchen Move Devices</v>
      </c>
      <c r="T437" s="37" t="s">
        <v>781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348</v>
      </c>
      <c r="BC437" s="30" t="s">
        <v>1006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2656</v>
      </c>
      <c r="B438" s="30" t="s">
        <v>26</v>
      </c>
      <c r="C438" s="30" t="s">
        <v>180</v>
      </c>
      <c r="D438" s="30" t="s">
        <v>144</v>
      </c>
      <c r="E438" s="30" t="s">
        <v>701</v>
      </c>
      <c r="F438" s="36" t="str">
        <f>IF(ISBLANK(Table2[[#This Row],[unique_id]]), "", PROPER(SUBSTITUTE(Table2[[#This Row],[unique_id]], "_", " ")))</f>
        <v>Kitchen Move</v>
      </c>
      <c r="G438" s="30" t="s">
        <v>706</v>
      </c>
      <c r="H438" s="30" t="s">
        <v>713</v>
      </c>
      <c r="I438" s="30" t="s">
        <v>143</v>
      </c>
      <c r="M438" s="30" t="s">
        <v>135</v>
      </c>
      <c r="N438" s="30" t="s">
        <v>268</v>
      </c>
      <c r="O438" s="31" t="s">
        <v>756</v>
      </c>
      <c r="P438" s="30" t="s">
        <v>164</v>
      </c>
      <c r="Q438" s="30" t="s">
        <v>728</v>
      </c>
      <c r="R438" s="41" t="s">
        <v>713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348</v>
      </c>
      <c r="BC438" s="30" t="s">
        <v>1006</v>
      </c>
      <c r="BD438" s="30" t="s">
        <v>180</v>
      </c>
      <c r="BF438" s="30">
        <v>15.4</v>
      </c>
      <c r="BG438" s="30" t="s">
        <v>204</v>
      </c>
      <c r="BK438" s="30" t="s">
        <v>1214</v>
      </c>
      <c r="BL438" s="30" t="s">
        <v>351</v>
      </c>
      <c r="BM438" s="39" t="s">
        <v>1228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2657</v>
      </c>
      <c r="B439" s="30" t="s">
        <v>26</v>
      </c>
      <c r="C439" s="30" t="s">
        <v>180</v>
      </c>
      <c r="D439" s="30" t="s">
        <v>144</v>
      </c>
      <c r="E439" s="30" t="s">
        <v>700</v>
      </c>
      <c r="F439" s="36" t="str">
        <f>IF(ISBLANK(Table2[[#This Row],[unique_id]]), "", PROPER(SUBSTITUTE(Table2[[#This Row],[unique_id]], "_", " ")))</f>
        <v>Kitchen Five</v>
      </c>
      <c r="G439" s="30" t="s">
        <v>707</v>
      </c>
      <c r="H439" s="30" t="s">
        <v>713</v>
      </c>
      <c r="I439" s="30" t="s">
        <v>143</v>
      </c>
      <c r="M439" s="30" t="s">
        <v>135</v>
      </c>
      <c r="N439" s="30" t="s">
        <v>268</v>
      </c>
      <c r="O439" s="31" t="s">
        <v>756</v>
      </c>
      <c r="P439" s="30" t="s">
        <v>164</v>
      </c>
      <c r="Q439" s="30" t="s">
        <v>728</v>
      </c>
      <c r="R439" s="41" t="s">
        <v>713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780</v>
      </c>
      <c r="BC439" s="30" t="s">
        <v>1007</v>
      </c>
      <c r="BD439" s="30" t="s">
        <v>180</v>
      </c>
      <c r="BF439" s="30">
        <v>15.4</v>
      </c>
      <c r="BG439" s="30" t="s">
        <v>204</v>
      </c>
      <c r="BK439" s="30" t="s">
        <v>1214</v>
      </c>
      <c r="BL439" s="37" t="s">
        <v>350</v>
      </c>
      <c r="BM439" s="39" t="s">
        <v>1229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2658</v>
      </c>
      <c r="B440" s="30" t="s">
        <v>562</v>
      </c>
      <c r="C440" s="30" t="s">
        <v>776</v>
      </c>
      <c r="D440" s="30" t="s">
        <v>147</v>
      </c>
      <c r="E440" s="30" t="s">
        <v>779</v>
      </c>
      <c r="F440" s="36" t="str">
        <f>IF(ISBLANK(Table2[[#This Row],[unique_id]]), "", PROPER(SUBSTITUTE(Table2[[#This Row],[unique_id]], "_", " ")))</f>
        <v>Template Parents Move Proxy</v>
      </c>
      <c r="G440" s="30" t="s">
        <v>708</v>
      </c>
      <c r="H440" s="30" t="s">
        <v>713</v>
      </c>
      <c r="I440" s="30" t="s">
        <v>143</v>
      </c>
      <c r="O440" s="31" t="s">
        <v>756</v>
      </c>
      <c r="P440" s="30" t="s">
        <v>164</v>
      </c>
      <c r="Q440" s="30" t="s">
        <v>728</v>
      </c>
      <c r="R440" s="41" t="s">
        <v>713</v>
      </c>
      <c r="S440" s="30" t="str">
        <f>_xlfn.CONCAT( Table2[[#This Row],[friendly_name]], " Devices")</f>
        <v>Parents Move Devices</v>
      </c>
      <c r="T440" s="37" t="s">
        <v>781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348</v>
      </c>
      <c r="BC440" s="30" t="s">
        <v>1006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2659</v>
      </c>
      <c r="B441" s="30" t="s">
        <v>26</v>
      </c>
      <c r="C441" s="30" t="s">
        <v>180</v>
      </c>
      <c r="D441" s="30" t="s">
        <v>144</v>
      </c>
      <c r="E441" s="30" t="s">
        <v>699</v>
      </c>
      <c r="F441" s="36" t="str">
        <f>IF(ISBLANK(Table2[[#This Row],[unique_id]]), "", PROPER(SUBSTITUTE(Table2[[#This Row],[unique_id]], "_", " ")))</f>
        <v>Parents Move</v>
      </c>
      <c r="G441" s="30" t="s">
        <v>708</v>
      </c>
      <c r="H441" s="30" t="s">
        <v>713</v>
      </c>
      <c r="I441" s="30" t="s">
        <v>143</v>
      </c>
      <c r="M441" s="30" t="s">
        <v>135</v>
      </c>
      <c r="N441" s="30" t="s">
        <v>268</v>
      </c>
      <c r="O441" s="31" t="s">
        <v>756</v>
      </c>
      <c r="P441" s="30" t="s">
        <v>164</v>
      </c>
      <c r="Q441" s="30" t="s">
        <v>728</v>
      </c>
      <c r="R441" s="41" t="s">
        <v>713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348</v>
      </c>
      <c r="BC441" s="30" t="s">
        <v>1006</v>
      </c>
      <c r="BD441" s="30" t="s">
        <v>180</v>
      </c>
      <c r="BF441" s="30">
        <v>15.4</v>
      </c>
      <c r="BG441" s="30" t="s">
        <v>190</v>
      </c>
      <c r="BK441" s="30" t="s">
        <v>1214</v>
      </c>
      <c r="BL441" s="30" t="s">
        <v>349</v>
      </c>
      <c r="BM441" s="39" t="s">
        <v>1230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2660</v>
      </c>
      <c r="B442" s="30" t="s">
        <v>26</v>
      </c>
      <c r="C442" s="30" t="s">
        <v>262</v>
      </c>
      <c r="D442" s="30" t="s">
        <v>144</v>
      </c>
      <c r="E442" s="30" t="s">
        <v>1273</v>
      </c>
      <c r="F442" s="36" t="str">
        <f>IF(ISBLANK(Table2[[#This Row],[unique_id]]), "", PROPER(SUBSTITUTE(Table2[[#This Row],[unique_id]], "_", " ")))</f>
        <v>Parents Homepod</v>
      </c>
      <c r="G442" s="30" t="s">
        <v>1274</v>
      </c>
      <c r="H442" s="30" t="s">
        <v>713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1275</v>
      </c>
      <c r="BC442" s="30" t="s">
        <v>1009</v>
      </c>
      <c r="BD442" s="30" t="s">
        <v>262</v>
      </c>
      <c r="BF442" s="30" t="s">
        <v>380</v>
      </c>
      <c r="BG442" s="30" t="s">
        <v>190</v>
      </c>
      <c r="BK442" s="30" t="s">
        <v>1214</v>
      </c>
      <c r="BL442" s="41" t="s">
        <v>383</v>
      </c>
      <c r="BM442" s="39" t="s">
        <v>1231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293</v>
      </c>
      <c r="E443" s="30" t="s">
        <v>636</v>
      </c>
      <c r="F443" s="36" t="str">
        <f>IF(ISBLANK(Table2[[#This Row],[unique_id]]), "", PROPER(SUBSTITUTE(Table2[[#This Row],[unique_id]], "_", " ")))</f>
        <v>Back Door Lock Security</v>
      </c>
      <c r="G443" s="30" t="s">
        <v>632</v>
      </c>
      <c r="H443" s="30" t="s">
        <v>614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647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649</v>
      </c>
      <c r="F444" s="36" t="str">
        <f>IF(ISBLANK(Table2[[#This Row],[unique_id]]), "", PROPER(SUBSTITUTE(Table2[[#This Row],[unique_id]], "_", " ")))</f>
        <v>Template Back Door State</v>
      </c>
      <c r="G444" s="30" t="s">
        <v>273</v>
      </c>
      <c r="H444" s="30" t="s">
        <v>614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605</v>
      </c>
      <c r="D445" s="30" t="s">
        <v>608</v>
      </c>
      <c r="E445" s="30" t="s">
        <v>609</v>
      </c>
      <c r="F445" s="36" t="str">
        <f>IF(ISBLANK(Table2[[#This Row],[unique_id]]), "", PROPER(SUBSTITUTE(Table2[[#This Row],[unique_id]], "_", " ")))</f>
        <v>Back Door Lock</v>
      </c>
      <c r="G445" s="30" t="s">
        <v>651</v>
      </c>
      <c r="H445" s="30" t="s">
        <v>614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472</v>
      </c>
      <c r="X445" s="31"/>
      <c r="Y445" s="42" t="s">
        <v>724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999</v>
      </c>
      <c r="BC445" s="30" t="s">
        <v>606</v>
      </c>
      <c r="BD445" s="30" t="s">
        <v>605</v>
      </c>
      <c r="BF445" s="30" t="s">
        <v>607</v>
      </c>
      <c r="BG445" s="30" t="s">
        <v>614</v>
      </c>
      <c r="BL445" s="30" t="s">
        <v>604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317</v>
      </c>
      <c r="D446" s="30" t="s">
        <v>147</v>
      </c>
      <c r="E446" s="30" t="s">
        <v>642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650</v>
      </c>
      <c r="H446" s="30" t="s">
        <v>614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472</v>
      </c>
      <c r="X446" s="31"/>
      <c r="Y446" s="42" t="s">
        <v>724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1003</v>
      </c>
      <c r="BC446" s="37" t="s">
        <v>625</v>
      </c>
      <c r="BD446" s="30" t="s">
        <v>1077</v>
      </c>
      <c r="BF446" s="30" t="s">
        <v>607</v>
      </c>
      <c r="BG446" s="30" t="s">
        <v>614</v>
      </c>
      <c r="BL446" s="30" t="s">
        <v>627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562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614</v>
      </c>
      <c r="H447" s="30" t="s">
        <v>622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293</v>
      </c>
      <c r="E448" s="30" t="s">
        <v>637</v>
      </c>
      <c r="F448" s="36" t="str">
        <f>IF(ISBLANK(Table2[[#This Row],[unique_id]]), "", PROPER(SUBSTITUTE(Table2[[#This Row],[unique_id]], "_", " ")))</f>
        <v>Front Door Lock Security</v>
      </c>
      <c r="G448" s="30" t="s">
        <v>632</v>
      </c>
      <c r="H448" s="30" t="s">
        <v>613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647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648</v>
      </c>
      <c r="F449" s="36" t="str">
        <f>IF(ISBLANK(Table2[[#This Row],[unique_id]]), "", PROPER(SUBSTITUTE(Table2[[#This Row],[unique_id]], "_", " ")))</f>
        <v>Template Front Door State</v>
      </c>
      <c r="G449" s="30" t="s">
        <v>273</v>
      </c>
      <c r="H449" s="30" t="s">
        <v>613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605</v>
      </c>
      <c r="D450" s="30" t="s">
        <v>608</v>
      </c>
      <c r="E450" s="30" t="s">
        <v>610</v>
      </c>
      <c r="F450" s="36" t="str">
        <f>IF(ISBLANK(Table2[[#This Row],[unique_id]]), "", PROPER(SUBSTITUTE(Table2[[#This Row],[unique_id]], "_", " ")))</f>
        <v>Front Door Lock</v>
      </c>
      <c r="G450" s="30" t="s">
        <v>651</v>
      </c>
      <c r="H450" s="30" t="s">
        <v>613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472</v>
      </c>
      <c r="X450" s="31"/>
      <c r="Y450" s="42" t="s">
        <v>724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999</v>
      </c>
      <c r="BC450" s="30" t="s">
        <v>606</v>
      </c>
      <c r="BD450" s="30" t="s">
        <v>605</v>
      </c>
      <c r="BF450" s="30" t="s">
        <v>607</v>
      </c>
      <c r="BG450" s="30" t="s">
        <v>613</v>
      </c>
      <c r="BL450" s="30" t="s">
        <v>611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317</v>
      </c>
      <c r="D451" s="30" t="s">
        <v>147</v>
      </c>
      <c r="E451" s="30" t="s">
        <v>641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650</v>
      </c>
      <c r="H451" s="30" t="s">
        <v>613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472</v>
      </c>
      <c r="X451" s="31"/>
      <c r="Y451" s="42" t="s">
        <v>724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1003</v>
      </c>
      <c r="BC451" s="37" t="s">
        <v>625</v>
      </c>
      <c r="BD451" s="30" t="s">
        <v>1077</v>
      </c>
      <c r="BF451" s="30" t="s">
        <v>607</v>
      </c>
      <c r="BG451" s="30" t="s">
        <v>613</v>
      </c>
      <c r="BL451" s="30" t="s">
        <v>626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562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613</v>
      </c>
      <c r="H452" s="30" t="s">
        <v>621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583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619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619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619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619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586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619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587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619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423</v>
      </c>
      <c r="D459" s="30" t="s">
        <v>316</v>
      </c>
      <c r="E459" s="30" t="s">
        <v>315</v>
      </c>
      <c r="F459" s="36" t="str">
        <f>IF(ISBLANK(Table2[[#This Row],[unique_id]]), "", PROPER(SUBSTITUTE(Table2[[#This Row],[unique_id]], "_", " ")))</f>
        <v>Column Break</v>
      </c>
      <c r="G459" s="30" t="s">
        <v>312</v>
      </c>
      <c r="H459" s="30" t="s">
        <v>616</v>
      </c>
      <c r="I459" s="30" t="s">
        <v>207</v>
      </c>
      <c r="M459" s="30" t="s">
        <v>313</v>
      </c>
      <c r="N459" s="30" t="s">
        <v>314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612</v>
      </c>
      <c r="H460" s="30" t="s">
        <v>616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1286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618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1386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368</v>
      </c>
      <c r="BD461" s="30" t="s">
        <v>232</v>
      </c>
      <c r="BF461" s="30" t="s">
        <v>369</v>
      </c>
      <c r="BG461" s="30" t="s">
        <v>129</v>
      </c>
      <c r="BK461" s="30" t="s">
        <v>1215</v>
      </c>
      <c r="BL461" s="30" t="s">
        <v>366</v>
      </c>
      <c r="BM461" s="30" t="s">
        <v>1270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612</v>
      </c>
      <c r="H462" s="30" t="s">
        <v>615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1287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617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1386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368</v>
      </c>
      <c r="BD463" s="30" t="s">
        <v>232</v>
      </c>
      <c r="BF463" s="30" t="s">
        <v>369</v>
      </c>
      <c r="BG463" s="30" t="s">
        <v>126</v>
      </c>
      <c r="BK463" s="30" t="s">
        <v>1215</v>
      </c>
      <c r="BL463" s="30" t="s">
        <v>367</v>
      </c>
      <c r="BM463" s="30" t="s">
        <v>1271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423</v>
      </c>
      <c r="D464" s="30" t="s">
        <v>316</v>
      </c>
      <c r="E464" s="30" t="s">
        <v>315</v>
      </c>
      <c r="F464" s="36" t="str">
        <f>IF(ISBLANK(Table2[[#This Row],[unique_id]]), "", PROPER(SUBSTITUTE(Table2[[#This Row],[unique_id]], "_", " ")))</f>
        <v>Column Break</v>
      </c>
      <c r="G464" s="30" t="s">
        <v>312</v>
      </c>
      <c r="H464" s="30" t="s">
        <v>617</v>
      </c>
      <c r="I464" s="30" t="s">
        <v>207</v>
      </c>
      <c r="M464" s="30" t="s">
        <v>313</v>
      </c>
      <c r="N464" s="30" t="s">
        <v>314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1387</v>
      </c>
      <c r="BA465" s="30" t="str">
        <f>IF(ISBLANK(Table2[[#This Row],[device_model]]), "", Table2[[#This Row],[device_suggested_area]])</f>
        <v>Rack</v>
      </c>
      <c r="BC465" s="30" t="s">
        <v>995</v>
      </c>
      <c r="BD465" s="30" t="s">
        <v>232</v>
      </c>
      <c r="BF465" s="30" t="s">
        <v>385</v>
      </c>
      <c r="BG465" s="30" t="s">
        <v>28</v>
      </c>
      <c r="BK465" s="30" t="s">
        <v>1208</v>
      </c>
      <c r="BL465" s="30" t="s">
        <v>388</v>
      </c>
      <c r="BM465" s="30" t="s">
        <v>1209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1388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992</v>
      </c>
      <c r="BD466" s="30" t="s">
        <v>232</v>
      </c>
      <c r="BF466" s="30" t="s">
        <v>593</v>
      </c>
      <c r="BG466" s="30" t="s">
        <v>28</v>
      </c>
      <c r="BK466" s="30" t="s">
        <v>1208</v>
      </c>
      <c r="BL466" s="30" t="s">
        <v>594</v>
      </c>
      <c r="BM466" s="30" t="s">
        <v>1210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1388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993</v>
      </c>
      <c r="BD467" s="30" t="s">
        <v>232</v>
      </c>
      <c r="BF467" s="30" t="s">
        <v>1033</v>
      </c>
      <c r="BG467" s="30" t="s">
        <v>210</v>
      </c>
      <c r="BK467" s="30" t="s">
        <v>1208</v>
      </c>
      <c r="BL467" s="30" t="s">
        <v>389</v>
      </c>
      <c r="BM467" s="30" t="s">
        <v>1424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1388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1423</v>
      </c>
      <c r="BD468" s="30" t="s">
        <v>232</v>
      </c>
      <c r="BF468" s="30" t="s">
        <v>1033</v>
      </c>
      <c r="BG468" s="30" t="s">
        <v>386</v>
      </c>
      <c r="BK468" s="30" t="s">
        <v>1208</v>
      </c>
      <c r="BL468" s="30" t="s">
        <v>1425</v>
      </c>
      <c r="BM468" s="30" t="s">
        <v>1211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1389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1331</v>
      </c>
      <c r="BD469" s="30" t="s">
        <v>232</v>
      </c>
      <c r="BF469" s="30" t="s">
        <v>1032</v>
      </c>
      <c r="BG469" s="30" t="s">
        <v>387</v>
      </c>
      <c r="BK469" s="30" t="s">
        <v>1208</v>
      </c>
      <c r="BL469" s="30" t="s">
        <v>1330</v>
      </c>
      <c r="BM469" s="30" t="s">
        <v>1212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1389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994</v>
      </c>
      <c r="BD470" s="30" t="s">
        <v>232</v>
      </c>
      <c r="BF470" s="30" t="s">
        <v>1032</v>
      </c>
      <c r="BG470" s="30" t="s">
        <v>1382</v>
      </c>
      <c r="BK470" s="30" t="s">
        <v>1208</v>
      </c>
      <c r="BL470" s="30" t="s">
        <v>1384</v>
      </c>
      <c r="BM470" s="30" t="s">
        <v>1213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1389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994</v>
      </c>
      <c r="BD471" s="30" t="s">
        <v>232</v>
      </c>
      <c r="BF471" s="30" t="s">
        <v>1032</v>
      </c>
      <c r="BG471" s="30" t="s">
        <v>1381</v>
      </c>
      <c r="BK471" s="30" t="s">
        <v>1208</v>
      </c>
      <c r="BL471" s="30" t="s">
        <v>390</v>
      </c>
      <c r="BM471" s="30" t="s">
        <v>1383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562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1316</v>
      </c>
      <c r="BA472" s="30" t="str">
        <f>IF(ISBLANK(Table2[[#This Row],[device_model]]), "", Table2[[#This Row],[device_suggested_area]])</f>
        <v>Rack</v>
      </c>
      <c r="BB472" s="30" t="s">
        <v>1327</v>
      </c>
      <c r="BC472" s="30" t="s">
        <v>1318</v>
      </c>
      <c r="BD472" s="30" t="s">
        <v>1316</v>
      </c>
      <c r="BF472" s="30" t="s">
        <v>1324</v>
      </c>
      <c r="BG472" s="30" t="s">
        <v>28</v>
      </c>
      <c r="BL472" s="41"/>
      <c r="BM472" s="30" t="s">
        <v>1326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562</v>
      </c>
      <c r="C473" s="39" t="s">
        <v>1316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1317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1316</v>
      </c>
      <c r="BA473" s="30" t="str">
        <f>IF(ISBLANK(Table2[[#This Row],[device_model]]), "", Table2[[#This Row],[device_suggested_area]])</f>
        <v>Rack</v>
      </c>
      <c r="BB473" s="30" t="s">
        <v>991</v>
      </c>
      <c r="BC473" s="30" t="s">
        <v>1318</v>
      </c>
      <c r="BD473" s="30" t="s">
        <v>1316</v>
      </c>
      <c r="BF473" s="30" t="s">
        <v>1324</v>
      </c>
      <c r="BG473" s="30" t="s">
        <v>28</v>
      </c>
      <c r="BL473" s="41"/>
      <c r="BM473" s="30" t="s">
        <v>1319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562</v>
      </c>
      <c r="C474" s="39" t="s">
        <v>1320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1321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1320</v>
      </c>
      <c r="BA474" s="30" t="str">
        <f>IF(ISBLANK(Table2[[#This Row],[device_model]]), "", Table2[[#This Row],[device_suggested_area]])</f>
        <v>Rack</v>
      </c>
      <c r="BB474" s="30" t="s">
        <v>1322</v>
      </c>
      <c r="BC474" s="30" t="s">
        <v>1323</v>
      </c>
      <c r="BD474" s="30" t="s">
        <v>1320</v>
      </c>
      <c r="BF474" s="30" t="s">
        <v>1324</v>
      </c>
      <c r="BG474" s="30" t="s">
        <v>28</v>
      </c>
      <c r="BL474" s="41"/>
      <c r="BM474" s="30" t="s">
        <v>1325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562</v>
      </c>
      <c r="C475" s="39" t="s">
        <v>370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996</v>
      </c>
      <c r="BA475" s="30" t="str">
        <f>IF(ISBLANK(Table2[[#This Row],[device_model]]), "", Table2[[#This Row],[device_suggested_area]])</f>
        <v>Rack</v>
      </c>
      <c r="BB475" s="30" t="s">
        <v>370</v>
      </c>
      <c r="BC475" s="30" t="s">
        <v>371</v>
      </c>
      <c r="BD475" s="30" t="s">
        <v>373</v>
      </c>
      <c r="BF475" s="30" t="s">
        <v>372</v>
      </c>
      <c r="BG475" s="30" t="s">
        <v>28</v>
      </c>
      <c r="BK475" s="30" t="s">
        <v>1214</v>
      </c>
      <c r="BL475" s="41" t="s">
        <v>415</v>
      </c>
      <c r="BM475" s="30" t="s">
        <v>1232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361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1023</v>
      </c>
      <c r="BA476" s="30" t="str">
        <f>IF(ISBLANK(Table2[[#This Row],[device_model]]), "", Table2[[#This Row],[device_suggested_area]])</f>
        <v>Wardrobe</v>
      </c>
      <c r="BB476" s="30" t="s">
        <v>1407</v>
      </c>
      <c r="BC476" s="30" t="s">
        <v>1002</v>
      </c>
      <c r="BD476" s="30" t="s">
        <v>537</v>
      </c>
      <c r="BF476" s="62" t="s">
        <v>1411</v>
      </c>
      <c r="BG476" s="30" t="s">
        <v>478</v>
      </c>
      <c r="BK476" s="30" t="s">
        <v>384</v>
      </c>
      <c r="BL476" s="30" t="s">
        <v>536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562</v>
      </c>
      <c r="C477" s="39" t="s">
        <v>361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1023</v>
      </c>
      <c r="BA477" s="30" t="str">
        <f>IF(ISBLANK(Table2[[#This Row],[device_model]]), "", Table2[[#This Row],[device_suggested_area]])</f>
        <v>Guildford</v>
      </c>
      <c r="BB477" s="30" t="s">
        <v>1409</v>
      </c>
      <c r="BC477" s="30" t="s">
        <v>1410</v>
      </c>
      <c r="BD477" s="30" t="s">
        <v>537</v>
      </c>
      <c r="BF477" s="62" t="s">
        <v>1411</v>
      </c>
      <c r="BG477" s="30" t="s">
        <v>1408</v>
      </c>
      <c r="BL477" s="30" t="s">
        <v>1415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361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1022</v>
      </c>
      <c r="BA478" s="30" t="str">
        <f>IF(ISBLANK(Table2[[#This Row],[device_model]]), "", Table2[[#This Row],[device_suggested_area]])</f>
        <v>Rack</v>
      </c>
      <c r="BB478" s="30" t="s">
        <v>1412</v>
      </c>
      <c r="BC478" s="30" t="s">
        <v>1413</v>
      </c>
      <c r="BD478" s="30" t="s">
        <v>262</v>
      </c>
      <c r="BF478" s="62" t="s">
        <v>1417</v>
      </c>
      <c r="BG478" s="30" t="s">
        <v>28</v>
      </c>
      <c r="BK478" s="30" t="s">
        <v>384</v>
      </c>
      <c r="BL478" s="41" t="s">
        <v>1416</v>
      </c>
      <c r="BM478" s="30" t="s">
        <v>1203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361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1022</v>
      </c>
      <c r="BA479" s="30" t="str">
        <f>IF(ISBLANK(Table2[[#This Row],[device_model]]), "", Table2[[#This Row],[device_suggested_area]])</f>
        <v>Rack</v>
      </c>
      <c r="BB479" s="30" t="s">
        <v>1414</v>
      </c>
      <c r="BC479" s="30" t="s">
        <v>1000</v>
      </c>
      <c r="BD479" s="30" t="s">
        <v>262</v>
      </c>
      <c r="BF479" s="62" t="s">
        <v>1421</v>
      </c>
      <c r="BG479" s="30" t="s">
        <v>28</v>
      </c>
      <c r="BK479" s="30" t="s">
        <v>384</v>
      </c>
      <c r="BL479" s="46" t="s">
        <v>1422</v>
      </c>
      <c r="BM479" s="30" t="s">
        <v>1204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361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1022</v>
      </c>
      <c r="BA480" s="30" t="str">
        <f>IF(ISBLANK(Table2[[#This Row],[device_model]]), "", Table2[[#This Row],[device_suggested_area]])</f>
        <v>Rack</v>
      </c>
      <c r="BB480" s="30" t="s">
        <v>1396</v>
      </c>
      <c r="BC480" s="30" t="s">
        <v>1000</v>
      </c>
      <c r="BD480" s="30" t="s">
        <v>262</v>
      </c>
      <c r="BF480" s="62" t="s">
        <v>1411</v>
      </c>
      <c r="BG480" s="30" t="s">
        <v>28</v>
      </c>
      <c r="BK480" s="30" t="s">
        <v>384</v>
      </c>
      <c r="BL480" s="46" t="s">
        <v>1282</v>
      </c>
      <c r="BM480" s="30" t="s">
        <v>1205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361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1022</v>
      </c>
      <c r="BA481" s="30" t="str">
        <f>IF(ISBLANK(Table2[[#This Row],[device_model]]), "", Table2[[#This Row],[device_suggested_area]])</f>
        <v>Rack</v>
      </c>
      <c r="BB481" s="30" t="s">
        <v>1001</v>
      </c>
      <c r="BC481" s="30" t="s">
        <v>1000</v>
      </c>
      <c r="BD481" s="30" t="s">
        <v>262</v>
      </c>
      <c r="BF481" s="62" t="s">
        <v>1411</v>
      </c>
      <c r="BG481" s="30" t="s">
        <v>28</v>
      </c>
      <c r="BK481" s="30" t="s">
        <v>384</v>
      </c>
      <c r="BL481" s="30" t="s">
        <v>570</v>
      </c>
      <c r="BM481" s="30" t="s">
        <v>1206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365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363</v>
      </c>
      <c r="BA482" s="30" t="str">
        <f>IF(ISBLANK(Table2[[#This Row],[device_model]]), "", Table2[[#This Row],[device_suggested_area]])</f>
        <v>Rack</v>
      </c>
      <c r="BB482" s="30" t="s">
        <v>365</v>
      </c>
      <c r="BC482" s="30" t="s">
        <v>364</v>
      </c>
      <c r="BD482" s="30" t="s">
        <v>363</v>
      </c>
      <c r="BF482" s="30" t="s">
        <v>744</v>
      </c>
      <c r="BG482" s="30" t="s">
        <v>28</v>
      </c>
      <c r="BK482" s="30" t="s">
        <v>1215</v>
      </c>
      <c r="BL482" s="30" t="s">
        <v>362</v>
      </c>
      <c r="BM482" s="30" t="s">
        <v>1272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440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472</v>
      </c>
      <c r="X483" s="31"/>
      <c r="Y483" s="42" t="s">
        <v>724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998</v>
      </c>
      <c r="BC483" s="37" t="s">
        <v>464</v>
      </c>
      <c r="BD483" s="30" t="s">
        <v>440</v>
      </c>
      <c r="BF483" s="37" t="s">
        <v>465</v>
      </c>
      <c r="BG483" s="30" t="s">
        <v>164</v>
      </c>
      <c r="BL483" s="30" t="s">
        <v>463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2026-07-30T02:51:49Z</dcterms:modified>
</cp:coreProperties>
</file>