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0B18A67E-636C-F14F-BBEE-D259889653A1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27" i="1" l="1"/>
  <c r="AM325" i="1"/>
  <c r="AM26" i="1"/>
  <c r="AK26" i="1"/>
  <c r="AK325" i="1"/>
  <c r="AK327" i="1"/>
  <c r="AL327" i="1"/>
  <c r="AL325" i="1"/>
  <c r="AL26" i="1"/>
  <c r="AR327" i="1"/>
  <c r="AR325" i="1"/>
  <c r="AR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<sst xmlns="http://schemas.openxmlformats.org/spreadsheetml/2006/main" count="7862" uniqueCount="1556">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</sst>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3FF1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0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3" fillId="6" borderId="0" xfId="0" applyFont="1" applyFill="1"/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49" fontId="8" fillId="6" borderId="0" xfId="1" applyNumberFormat="1" applyFont="1" applyFill="1" applyBorder="1" applyAlignment="1">
      <alignment horizontal="left" vertical="top"/>
    </xf>
    <xf numFmtId="0" fontId="9" fillId="6" borderId="0" xfId="0" applyFont="1" applyFill="1" applyAlignment="1">
      <alignment horizontal="left" vertical="top" wrapText="1"/>
    </xf>
    <xf numFmtId="0" fontId="9" fillId="6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C-0000-FFFF-FFFF00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276" zoomScale="121" zoomScaleNormal="120" workbookViewId="0">
      <selection activeCell="E288" sqref="E28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1139</v>
      </c>
      <c r="L1" s="2" t="s">
        <v>1139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1121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1218</v>
      </c>
      <c r="AY1" s="6" t="s">
        <v>1218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1122</v>
      </c>
      <c r="E2" s="11" t="s">
        <v>1123</v>
      </c>
      <c r="F2" s="11" t="s">
        <v>1124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1125</v>
      </c>
      <c r="L2" s="11" t="s">
        <v>1126</v>
      </c>
      <c r="M2" s="11" t="s">
        <v>1127</v>
      </c>
      <c r="N2" s="11" t="s">
        <v>1128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1129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1130</v>
      </c>
      <c r="AK2" s="16" t="s">
        <v>1131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1219</v>
      </c>
      <c r="AY2" s="16" t="s">
        <v>1215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1132</v>
      </c>
      <c r="BH2" s="16" t="s">
        <v>1158</v>
      </c>
      <c r="BI2" s="16" t="s">
        <v>1157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1133</v>
      </c>
      <c r="N3" s="21" t="s">
        <v>1134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1216</v>
      </c>
      <c r="AY3" s="27" t="s">
        <v>1217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1419</v>
      </c>
      <c r="BF3" s="28" t="s">
        <v>19</v>
      </c>
      <c r="BG3" s="27" t="s">
        <v>23</v>
      </c>
      <c r="BH3" s="27" t="s">
        <v>1159</v>
      </c>
      <c r="BI3" s="27" t="s">
        <v>1156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1183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1171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1259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1177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1259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1334</v>
      </c>
      <c r="O10" s="31"/>
      <c r="P10" s="30"/>
      <c r="T10" s="37"/>
      <c r="U10" s="30"/>
      <c r="V10" s="31" t="s">
        <v>1173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1180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1259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1245</v>
      </c>
      <c r="O14" s="31"/>
      <c r="P14" s="30"/>
      <c r="T14" s="37"/>
      <c r="U14" s="30"/>
      <c r="V14" s="31" t="s">
        <v>1175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1259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1247</v>
      </c>
      <c r="O16" s="31"/>
      <c r="P16" s="30"/>
      <c r="T16" s="37"/>
      <c r="U16" s="30"/>
      <c r="V16" s="31" t="s">
        <v>1172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1259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1247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1336</v>
      </c>
      <c r="O18" s="31"/>
      <c r="P18" s="30"/>
      <c r="T18" s="37"/>
      <c r="U18" s="30"/>
      <c r="V18" s="31" t="s">
        <v>1174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1337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1338</v>
      </c>
      <c r="O20" s="31"/>
      <c r="P20" s="30"/>
      <c r="T20" s="37"/>
      <c r="U20" s="30"/>
      <c r="V20" s="31" t="s">
        <v>1173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1338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1179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1259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1165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1166</v>
      </c>
      <c r="O24" s="31"/>
      <c r="P24" s="30"/>
      <c r="T24" s="37"/>
      <c r="U24" s="30"/>
      <c r="V24" s="31" t="s">
        <v>1182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1183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1220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1166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1550</v>
      </c>
      <c r="D26" s="30" t="s">
        <v>27</v>
      </c>
      <c r="E26" s="30" t="s">
        <v>1168</v>
      </c>
      <c r="F26" s="36" t="str">
        <f>IF(ISBLANK(Table2[[#This Row],[unique_id]]), "", PROPER(SUBSTITUTE(Table2[[#This Row],[unique_id]], "_", " ")))</f>
        <v>Utility Temperature</v>
      </c>
      <c r="G26" s="30" t="s">
        <v>1167</v>
      </c>
      <c r="H26" s="30" t="s">
        <v>87</v>
      </c>
      <c r="I26" s="30" t="s">
        <v>30</v>
      </c>
      <c r="K26" s="30" t="s">
        <v>1169</v>
      </c>
      <c r="O26" s="31"/>
      <c r="P26" s="30"/>
      <c r="T26" s="37"/>
      <c r="U26" s="30"/>
      <c r="V26" s="31" t="s">
        <v>1181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1552</v>
      </c>
      <c r="BD26" s="30" t="s">
        <v>1553</v>
      </c>
      <c r="BF26" s="30" t="s">
        <v>989</v>
      </c>
      <c r="BG26" s="30" t="s">
        <v>28</v>
      </c>
      <c r="BL26" s="30" t="s">
        <v>1135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1550</v>
      </c>
      <c r="D27" s="30" t="s">
        <v>27</v>
      </c>
      <c r="E27" s="30" t="s">
        <v>1169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1167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1160</v>
      </c>
      <c r="O28" s="31"/>
      <c r="P28" s="30"/>
      <c r="T28" s="37"/>
      <c r="U28" s="30" t="s">
        <v>436</v>
      </c>
      <c r="V28" s="31" t="s">
        <v>1176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1160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1339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1340</v>
      </c>
      <c r="O30" s="31"/>
      <c r="P30" s="30"/>
      <c r="T30" s="37"/>
      <c r="U30" s="30"/>
      <c r="V30" s="31" t="s">
        <v>1173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1140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1183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1141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1183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1142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1183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1143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1183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1144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1183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1220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1145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1183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1237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1146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1147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1148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1149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1150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1170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1220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1347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1348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1349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1151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1152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1153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1154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1183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1183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1184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1183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1183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1385</v>
      </c>
      <c r="F94" s="36" t="str">
        <f>IF(ISBLANK(Table2[[#This Row],[unique_id]]), "", PROPER(SUBSTITUTE(Table2[[#This Row],[unique_id]], "_", " ")))</f>
        <v>Home Started</v>
      </c>
      <c r="G94" s="30" t="s">
        <v>1386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1358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1359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1379</v>
      </c>
      <c r="F103" s="36" t="str">
        <f>IF(ISBLANK(Table2[[#This Row],[unique_id]]), "", PROPER(SUBSTITUTE(Table2[[#This Row],[unique_id]], "_", " ")))</f>
        <v>Edwin Wakeup</v>
      </c>
      <c r="G103" s="30" t="s">
        <v>1377</v>
      </c>
      <c r="H103" s="30" t="s">
        <v>311</v>
      </c>
      <c r="I103" s="30" t="s">
        <v>132</v>
      </c>
      <c r="J103" s="30" t="s">
        <v>1382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1380</v>
      </c>
      <c r="F104" s="36" t="str">
        <f>IF(ISBLANK(Table2[[#This Row],[unique_id]]), "", PROPER(SUBSTITUTE(Table2[[#This Row],[unique_id]], "_", " ")))</f>
        <v>Edwin Playtime</v>
      </c>
      <c r="G104" s="30" t="s">
        <v>1387</v>
      </c>
      <c r="H104" s="30" t="s">
        <v>311</v>
      </c>
      <c r="I104" s="30" t="s">
        <v>132</v>
      </c>
      <c r="J104" s="30" t="s">
        <v>1383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1381</v>
      </c>
      <c r="F105" s="36" t="str">
        <f>IF(ISBLANK(Table2[[#This Row],[unique_id]]), "", PROPER(SUBSTITUTE(Table2[[#This Row],[unique_id]], "_", " ")))</f>
        <v>Edwin Goodnight</v>
      </c>
      <c r="G105" s="30" t="s">
        <v>1378</v>
      </c>
      <c r="H105" s="30" t="s">
        <v>311</v>
      </c>
      <c r="I105" s="30" t="s">
        <v>132</v>
      </c>
      <c r="J105" s="30" t="s">
        <v>1384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579</v>
      </c>
      <c r="C106" s="54" t="s">
        <v>808</v>
      </c>
      <c r="D106" s="54" t="s">
        <v>148</v>
      </c>
      <c r="E106" s="55" t="s">
        <v>1391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135</v>
      </c>
      <c r="H106" s="54" t="s">
        <v>1330</v>
      </c>
      <c r="I106" s="54" t="s">
        <v>132</v>
      </c>
      <c r="O106" s="57" t="s">
        <v>788</v>
      </c>
      <c r="P106" s="54" t="s">
        <v>165</v>
      </c>
      <c r="Q106" s="54" t="s">
        <v>761</v>
      </c>
      <c r="R106" s="54" t="s">
        <v>771</v>
      </c>
      <c r="S106" s="54" t="str">
        <f>Table2[[#This Row],[friendly_name]]</f>
        <v>Coffee Machine</v>
      </c>
      <c r="T106" s="55" t="s">
        <v>1066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134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135</v>
      </c>
      <c r="BC106" s="59" t="s">
        <v>360</v>
      </c>
      <c r="BD106" s="54" t="s">
        <v>233</v>
      </c>
      <c r="BF106" s="54" t="s">
        <v>361</v>
      </c>
      <c r="BG106" s="54" t="s">
        <v>206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579</v>
      </c>
      <c r="C107" s="54" t="s">
        <v>233</v>
      </c>
      <c r="D107" s="54" t="s">
        <v>134</v>
      </c>
      <c r="E107" s="54" t="s">
        <v>1392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135</v>
      </c>
      <c r="H107" s="54" t="s">
        <v>1330</v>
      </c>
      <c r="I107" s="54" t="s">
        <v>132</v>
      </c>
      <c r="J107" s="54" t="s">
        <v>135</v>
      </c>
      <c r="M107" s="54" t="s">
        <v>257</v>
      </c>
      <c r="O107" s="57" t="s">
        <v>788</v>
      </c>
      <c r="P107" s="54" t="s">
        <v>165</v>
      </c>
      <c r="Q107" s="54" t="s">
        <v>761</v>
      </c>
      <c r="R107" s="54" t="s">
        <v>771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247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135</v>
      </c>
      <c r="BC107" s="54" t="s">
        <v>360</v>
      </c>
      <c r="BD107" s="54" t="s">
        <v>233</v>
      </c>
      <c r="BF107" s="54" t="s">
        <v>361</v>
      </c>
      <c r="BG107" s="54" t="s">
        <v>206</v>
      </c>
      <c r="BJ107" s="54" t="s">
        <v>977</v>
      </c>
      <c r="BK107" s="54" t="s">
        <v>1260</v>
      </c>
      <c r="BL107" s="54" t="s">
        <v>346</v>
      </c>
      <c r="BM107" s="54" t="s">
        <v>1301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1260</v>
      </c>
      <c r="BL109" s="30" t="s">
        <v>353</v>
      </c>
      <c r="BM109" s="30" t="s">
        <v>1311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1260</v>
      </c>
      <c r="BL110" s="30" t="s">
        <v>371</v>
      </c>
      <c r="BM110" s="30" t="s">
        <v>1278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1260</v>
      </c>
      <c r="BL111" s="30" t="s">
        <v>372</v>
      </c>
      <c r="BM111" s="30" t="s">
        <v>1279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1260</v>
      </c>
      <c r="BL112" s="30" t="s">
        <v>375</v>
      </c>
      <c r="BM112" s="30" t="s">
        <v>1280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1260</v>
      </c>
      <c r="BL114" s="30" t="s">
        <v>921</v>
      </c>
      <c r="BM114" s="30" t="s">
        <v>1282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1260</v>
      </c>
      <c r="BL117" s="30" t="s">
        <v>376</v>
      </c>
      <c r="BM117" s="30" t="s">
        <v>1283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1260</v>
      </c>
      <c r="BL119" s="30" t="s">
        <v>373</v>
      </c>
      <c r="BM119" s="30" t="s">
        <v>1284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1260</v>
      </c>
      <c r="BL120" s="30" t="s">
        <v>374</v>
      </c>
      <c r="BM120" s="39" t="s">
        <v>1285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1328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1321</v>
      </c>
      <c r="BA131" s="30" t="str">
        <f>IF(ISBLANK(Table2[[#This Row],[device_model]]), "", Table2[[#This Row],[device_suggested_area]])</f>
        <v>Home</v>
      </c>
      <c r="BB131" s="30" t="s">
        <v>1325</v>
      </c>
      <c r="BC131" s="30" t="s">
        <v>1322</v>
      </c>
      <c r="BD131" s="30" t="s">
        <v>1321</v>
      </c>
      <c r="BF131" s="30" t="s">
        <v>1323</v>
      </c>
      <c r="BG131" s="30" t="s">
        <v>165</v>
      </c>
      <c r="BK131" s="30" t="s">
        <v>1259</v>
      </c>
      <c r="BL131" s="46" t="s">
        <v>1324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1551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1507</v>
      </c>
      <c r="BD161" s="30" t="s">
        <v>377</v>
      </c>
      <c r="BE161" s="30" t="s">
        <v>1420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1507</v>
      </c>
      <c r="BD162" s="30" t="s">
        <v>377</v>
      </c>
      <c r="BE162" s="30" t="s">
        <v>1420</v>
      </c>
      <c r="BF162" s="30" t="s">
        <v>488</v>
      </c>
      <c r="BG162" s="30" t="s">
        <v>194</v>
      </c>
      <c r="BI162" s="30" t="s">
        <v>687</v>
      </c>
      <c r="BL162" s="30" t="s">
        <v>1505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1500</v>
      </c>
      <c r="F163" s="36" t="str">
        <f>IF(ISBLANK(Table2[[#This Row],[unique_id]]), "", PROPER(SUBSTITUTE(Table2[[#This Row],[unique_id]], "_", " ")))</f>
        <v>Lounge Reading</v>
      </c>
      <c r="G163" s="30" t="s">
        <v>1513</v>
      </c>
      <c r="H163" s="30" t="s">
        <v>139</v>
      </c>
      <c r="I163" s="30" t="s">
        <v>132</v>
      </c>
      <c r="J163" s="30" t="s">
        <v>1503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1503</v>
      </c>
      <c r="BC163" s="30" t="s">
        <v>1506</v>
      </c>
      <c r="BD163" s="30" t="s">
        <v>377</v>
      </c>
      <c r="BE163" s="30" t="s">
        <v>1420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1501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1504</v>
      </c>
      <c r="BC164" s="30" t="s">
        <v>1506</v>
      </c>
      <c r="BD164" s="30" t="s">
        <v>377</v>
      </c>
      <c r="BE164" s="30" t="s">
        <v>1420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1551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1551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1227</v>
      </c>
      <c r="F180" s="36" t="str">
        <f>IF(ISBLANK(Table2[[#This Row],[unique_id]]), "", PROPER(SUBSTITUTE(Table2[[#This Row],[unique_id]], "_", " ")))</f>
        <v>Kitchen Bench Lights Plug</v>
      </c>
      <c r="G180" s="30" t="s">
        <v>1228</v>
      </c>
      <c r="H180" s="30" t="s">
        <v>139</v>
      </c>
      <c r="I180" s="30" t="s">
        <v>132</v>
      </c>
      <c r="J180" s="30" t="s">
        <v>1230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1229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1260</v>
      </c>
      <c r="BL180" s="30" t="s">
        <v>919</v>
      </c>
      <c r="BM180" s="30" t="s">
        <v>1286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1551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1551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579</v>
      </c>
      <c r="C200" s="54" t="s">
        <v>808</v>
      </c>
      <c r="D200" s="54" t="s">
        <v>148</v>
      </c>
      <c r="E200" s="55" t="s">
        <v>1393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295</v>
      </c>
      <c r="H200" s="54" t="s">
        <v>139</v>
      </c>
      <c r="I200" s="54" t="s">
        <v>132</v>
      </c>
      <c r="O200" s="57" t="s">
        <v>788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134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727</v>
      </c>
      <c r="BC200" s="54" t="s">
        <v>360</v>
      </c>
      <c r="BD200" s="54" t="s">
        <v>233</v>
      </c>
      <c r="BF200" s="54" t="s">
        <v>361</v>
      </c>
      <c r="BG200" s="54" t="s">
        <v>357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579</v>
      </c>
      <c r="C201" s="54" t="s">
        <v>233</v>
      </c>
      <c r="D201" s="54" t="s">
        <v>134</v>
      </c>
      <c r="E201" s="54" t="s">
        <v>1394</v>
      </c>
      <c r="F201" s="56" t="str">
        <f>IF(ISBLANK(Table2[[#This Row],[unique_id]]), "", PROPER(SUBSTITUTE(Table2[[#This Row],[unique_id]], "_", " ")))</f>
        <v>Broken Deck Festoons Plug</v>
      </c>
      <c r="G201" s="54" t="s">
        <v>295</v>
      </c>
      <c r="H201" s="54" t="s">
        <v>139</v>
      </c>
      <c r="I201" s="54" t="s">
        <v>132</v>
      </c>
      <c r="O201" s="57" t="s">
        <v>788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292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727</v>
      </c>
      <c r="BC201" s="54" t="s">
        <v>360</v>
      </c>
      <c r="BD201" s="54" t="s">
        <v>233</v>
      </c>
      <c r="BF201" s="54" t="s">
        <v>361</v>
      </c>
      <c r="BG201" s="54" t="s">
        <v>357</v>
      </c>
      <c r="BJ201" s="54" t="s">
        <v>976</v>
      </c>
      <c r="BK201" s="54" t="s">
        <v>1260</v>
      </c>
      <c r="BL201" s="54" t="s">
        <v>561</v>
      </c>
      <c r="BM201" s="54" t="s">
        <v>1287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1260</v>
      </c>
      <c r="BL203" s="30" t="s">
        <v>1052</v>
      </c>
      <c r="BM203" s="30" t="s">
        <v>1288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1202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579</v>
      </c>
      <c r="C205" s="54" t="s">
        <v>808</v>
      </c>
      <c r="D205" s="54" t="s">
        <v>148</v>
      </c>
      <c r="E205" s="55" t="s">
        <v>1395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558</v>
      </c>
      <c r="H205" s="54" t="s">
        <v>139</v>
      </c>
      <c r="I205" s="54" t="s">
        <v>132</v>
      </c>
      <c r="O205" s="57" t="s">
        <v>788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134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727</v>
      </c>
      <c r="BC205" s="54" t="s">
        <v>360</v>
      </c>
      <c r="BD205" s="54" t="s">
        <v>233</v>
      </c>
      <c r="BF205" s="54" t="s">
        <v>361</v>
      </c>
      <c r="BG205" s="54" t="s">
        <v>559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579</v>
      </c>
      <c r="C206" s="54" t="s">
        <v>233</v>
      </c>
      <c r="D206" s="54" t="s">
        <v>134</v>
      </c>
      <c r="E206" s="54" t="s">
        <v>1396</v>
      </c>
      <c r="F206" s="56" t="str">
        <f>IF(ISBLANK(Table2[[#This Row],[unique_id]]), "", PROPER(SUBSTITUTE(Table2[[#This Row],[unique_id]], "_", " ")))</f>
        <v>Broken Landing Festoons Plug</v>
      </c>
      <c r="G206" s="54" t="s">
        <v>558</v>
      </c>
      <c r="H206" s="54" t="s">
        <v>139</v>
      </c>
      <c r="I206" s="54" t="s">
        <v>132</v>
      </c>
      <c r="O206" s="57" t="s">
        <v>788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292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727</v>
      </c>
      <c r="BC206" s="54" t="s">
        <v>360</v>
      </c>
      <c r="BD206" s="54" t="s">
        <v>233</v>
      </c>
      <c r="BF206" s="54" t="s">
        <v>361</v>
      </c>
      <c r="BG206" s="54" t="s">
        <v>559</v>
      </c>
      <c r="BJ206" s="54" t="s">
        <v>976</v>
      </c>
      <c r="BK206" s="54" t="s">
        <v>1260</v>
      </c>
      <c r="BL206" s="54" t="s">
        <v>560</v>
      </c>
      <c r="BM206" s="54" t="s">
        <v>1289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1260</v>
      </c>
      <c r="BL208" s="30" t="s">
        <v>1051</v>
      </c>
      <c r="BM208" s="30" t="s">
        <v>1290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1420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1420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1420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1420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1420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1260</v>
      </c>
      <c r="BL224" s="30" t="s">
        <v>350</v>
      </c>
      <c r="BM224" s="30" t="s">
        <v>1291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1164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1164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1260</v>
      </c>
      <c r="BL226" s="30" t="s">
        <v>442</v>
      </c>
      <c r="BM226" s="30" t="s">
        <v>1292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1260</v>
      </c>
      <c r="BL230" s="30" t="s">
        <v>1045</v>
      </c>
      <c r="BM230" s="30" t="s">
        <v>1293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1155</v>
      </c>
      <c r="H233" s="30" t="s">
        <v>1329</v>
      </c>
      <c r="I233" s="30" t="s">
        <v>132</v>
      </c>
      <c r="K233" s="30" t="s">
        <v>1163</v>
      </c>
      <c r="O233" s="31"/>
      <c r="P233" s="30"/>
      <c r="T233" s="37"/>
      <c r="U233" s="30" t="s">
        <v>436</v>
      </c>
      <c r="V233" s="31" t="s">
        <v>1178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1163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1155</v>
      </c>
      <c r="H234" s="30" t="s">
        <v>1329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1164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1164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1259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s="63" customFormat="1" ht="16" customHeight="1" x14ac:dyDescent="0.2">
      <c r="A282" s="63">
        <v>2500</v>
      </c>
      <c r="B282" s="63" t="s">
        <v>26</v>
      </c>
      <c r="C282" s="63" t="s">
        <v>150</v>
      </c>
      <c r="D282" s="63" t="s">
        <v>606</v>
      </c>
      <c r="E282" s="63" t="s">
        <v>1326</v>
      </c>
      <c r="F282" s="64" t="str">
        <f>IF(ISBLANK(Table2[[#This Row],[unique_id]]), "", PROPER(SUBSTITUTE(Table2[[#This Row],[unique_id]], "_", " ")))</f>
        <v>Google Assistant Synchronize Devices</v>
      </c>
      <c r="G282" s="63" t="s">
        <v>1186</v>
      </c>
      <c r="H282" s="63" t="s">
        <v>607</v>
      </c>
      <c r="I282" s="63" t="s">
        <v>291</v>
      </c>
      <c r="M282" s="63" t="s">
        <v>257</v>
      </c>
      <c r="O282" s="65"/>
      <c r="T282" s="66"/>
      <c r="V282" s="65"/>
      <c r="W282" s="65"/>
      <c r="X282" s="65"/>
      <c r="Y282" s="65"/>
      <c r="Z282" s="65"/>
      <c r="AA282" s="65"/>
      <c r="AG282" s="65"/>
      <c r="AH282" s="65"/>
      <c r="AR282" s="69"/>
      <c r="AT282" s="67"/>
      <c r="AU282" s="65"/>
      <c r="AV282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63" t="str">
        <f>IF(ISBLANK(Table2[[#This Row],[device_model]]), "", Table2[[#This Row],[device_suggested_area]])</f>
        <v/>
      </c>
      <c r="BF282" s="65"/>
      <c r="BN282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s="63" customFormat="1" ht="16" customHeight="1" x14ac:dyDescent="0.2">
      <c r="A283" s="63">
        <v>2501</v>
      </c>
      <c r="B283" s="63" t="s">
        <v>579</v>
      </c>
      <c r="C283" s="63" t="s">
        <v>1555</v>
      </c>
      <c r="D283" s="63" t="s">
        <v>27</v>
      </c>
      <c r="E283" s="63" t="s">
        <v>279</v>
      </c>
      <c r="F283" s="64" t="str">
        <f>IF(ISBLANK(Table2[[#This Row],[unique_id]]), "", PROPER(SUBSTITUTE(Table2[[#This Row],[unique_id]], "_", " ")))</f>
        <v>Network Internet Uptime</v>
      </c>
      <c r="G283" s="63" t="s">
        <v>286</v>
      </c>
      <c r="H283" s="63" t="s">
        <v>719</v>
      </c>
      <c r="I283" s="63" t="s">
        <v>291</v>
      </c>
      <c r="M283" s="63" t="s">
        <v>136</v>
      </c>
      <c r="O283" s="65"/>
      <c r="T283" s="66"/>
      <c r="V283" s="65"/>
      <c r="W283" s="65"/>
      <c r="X283" s="65"/>
      <c r="Y283" s="65"/>
      <c r="Z283" s="65"/>
      <c r="AA283" s="65"/>
      <c r="AB283" s="63" t="s">
        <v>31</v>
      </c>
      <c r="AC283" s="63" t="s">
        <v>280</v>
      </c>
      <c r="AE283" s="63" t="s">
        <v>288</v>
      </c>
      <c r="AF283" s="63">
        <v>200</v>
      </c>
      <c r="AG283" s="65" t="s">
        <v>34</v>
      </c>
      <c r="AH283" s="65"/>
      <c r="AI283" s="63" t="s">
        <v>1138</v>
      </c>
      <c r="AJ283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homeassistant/sensor/networks/network_internet_uptime/config</v>
      </c>
      <c r="AK283" s="63" t="str">
        <f>IF(ISBLANK(Table2[[#This Row],[index]]),  "", _xlfn.CONCAT("telegraf/macmini-meg/", LOWER(Table2[[#This Row],[device_via_device]])))</f>
        <v>telegraf/macmini-meg/networks</v>
      </c>
      <c r="AS283" s="63">
        <v>1</v>
      </c>
      <c r="AT283" s="67"/>
      <c r="AV283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63" t="str">
        <f>IF(ISBLANK(Table2[[#This Row],[device_model]]), "", Table2[[#This Row],[device_suggested_area]])</f>
        <v>Rack</v>
      </c>
      <c r="BB283" s="63" t="s">
        <v>1117</v>
      </c>
      <c r="BC283" s="63" t="s">
        <v>1119</v>
      </c>
      <c r="BD283" s="63" t="s">
        <v>1118</v>
      </c>
      <c r="BF283" s="63" t="s">
        <v>989</v>
      </c>
      <c r="BG283" s="63" t="s">
        <v>28</v>
      </c>
      <c r="BN283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s="63" customFormat="1" ht="16" customHeight="1" x14ac:dyDescent="0.2">
      <c r="A284" s="63">
        <v>2502</v>
      </c>
      <c r="B284" s="63" t="s">
        <v>579</v>
      </c>
      <c r="C284" s="63" t="s">
        <v>1555</v>
      </c>
      <c r="D284" s="63" t="s">
        <v>27</v>
      </c>
      <c r="E284" s="63" t="s">
        <v>275</v>
      </c>
      <c r="F284" s="64" t="str">
        <f>IF(ISBLANK(Table2[[#This Row],[unique_id]]), "", PROPER(SUBSTITUTE(Table2[[#This Row],[unique_id]], "_", " ")))</f>
        <v>Network Internet Ping</v>
      </c>
      <c r="G284" s="63" t="s">
        <v>276</v>
      </c>
      <c r="H284" s="63" t="s">
        <v>719</v>
      </c>
      <c r="I284" s="63" t="s">
        <v>291</v>
      </c>
      <c r="M284" s="63" t="s">
        <v>136</v>
      </c>
      <c r="O284" s="65"/>
      <c r="T284" s="66"/>
      <c r="V284" s="65"/>
      <c r="W284" s="65"/>
      <c r="X284" s="65"/>
      <c r="Y284" s="65"/>
      <c r="Z284" s="65"/>
      <c r="AA284" s="65"/>
      <c r="AB284" s="63" t="s">
        <v>31</v>
      </c>
      <c r="AC284" s="63" t="s">
        <v>281</v>
      </c>
      <c r="AE284" s="63" t="s">
        <v>287</v>
      </c>
      <c r="AF284" s="63">
        <v>200</v>
      </c>
      <c r="AG284" s="65" t="s">
        <v>34</v>
      </c>
      <c r="AH284" s="65"/>
      <c r="AI284" s="63" t="s">
        <v>1138</v>
      </c>
      <c r="AJ284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homeassistant/sensor/networks/network_internet_ping/config</v>
      </c>
      <c r="AK284" s="63" t="str">
        <f>IF(ISBLANK(Table2[[#This Row],[index]]),  "", _xlfn.CONCAT("telegraf/macmini-meg/", LOWER(Table2[[#This Row],[device_via_device]])))</f>
        <v>telegraf/macmini-meg/networks</v>
      </c>
      <c r="AR284" s="68" t="s">
        <v>1223</v>
      </c>
      <c r="AS284" s="63">
        <v>1</v>
      </c>
      <c r="AT284" s="67"/>
      <c r="AV284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63" t="str">
        <f>IF(ISBLANK(Table2[[#This Row],[device_model]]), "", Table2[[#This Row],[device_suggested_area]])</f>
        <v>Rack</v>
      </c>
      <c r="BB284" s="63" t="s">
        <v>1117</v>
      </c>
      <c r="BC284" s="63" t="s">
        <v>1119</v>
      </c>
      <c r="BD284" s="63" t="s">
        <v>1118</v>
      </c>
      <c r="BF284" s="63" t="s">
        <v>989</v>
      </c>
      <c r="BG284" s="63" t="s">
        <v>28</v>
      </c>
      <c r="BN284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s="63" customFormat="1" ht="16" customHeight="1" x14ac:dyDescent="0.2">
      <c r="A285" s="63">
        <v>2503</v>
      </c>
      <c r="B285" s="63" t="s">
        <v>579</v>
      </c>
      <c r="C285" s="63" t="s">
        <v>1555</v>
      </c>
      <c r="D285" s="63" t="s">
        <v>27</v>
      </c>
      <c r="E285" s="63" t="s">
        <v>273</v>
      </c>
      <c r="F285" s="64" t="str">
        <f>IF(ISBLANK(Table2[[#This Row],[unique_id]]), "", PROPER(SUBSTITUTE(Table2[[#This Row],[unique_id]], "_", " ")))</f>
        <v>Network Internet Upload</v>
      </c>
      <c r="G285" s="63" t="s">
        <v>277</v>
      </c>
      <c r="H285" s="63" t="s">
        <v>719</v>
      </c>
      <c r="I285" s="63" t="s">
        <v>291</v>
      </c>
      <c r="M285" s="63" t="s">
        <v>136</v>
      </c>
      <c r="O285" s="65"/>
      <c r="T285" s="66"/>
      <c r="V285" s="65"/>
      <c r="W285" s="65"/>
      <c r="X285" s="65"/>
      <c r="Y285" s="65"/>
      <c r="Z285" s="65"/>
      <c r="AA285" s="65"/>
      <c r="AB285" s="63" t="s">
        <v>31</v>
      </c>
      <c r="AC285" s="63" t="s">
        <v>282</v>
      </c>
      <c r="AD285" s="63" t="s">
        <v>718</v>
      </c>
      <c r="AE285" s="63" t="s">
        <v>289</v>
      </c>
      <c r="AF285" s="63">
        <v>200</v>
      </c>
      <c r="AG285" s="65" t="s">
        <v>34</v>
      </c>
      <c r="AH285" s="65"/>
      <c r="AI285" s="63" t="s">
        <v>1138</v>
      </c>
      <c r="AJ285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homeassistant/sensor/networks/network_internet_upload/config</v>
      </c>
      <c r="AK285" s="63" t="str">
        <f>IF(ISBLANK(Table2[[#This Row],[index]]),  "", _xlfn.CONCAT("telegraf/macmini-meg/", LOWER(Table2[[#This Row],[device_via_device]])))</f>
        <v>telegraf/macmini-meg/networks</v>
      </c>
      <c r="AR285" s="68" t="s">
        <v>1224</v>
      </c>
      <c r="AS285" s="63">
        <v>1</v>
      </c>
      <c r="AT285" s="67"/>
      <c r="AV285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63" t="str">
        <f>IF(ISBLANK(Table2[[#This Row],[device_model]]), "", Table2[[#This Row],[device_suggested_area]])</f>
        <v>Rack</v>
      </c>
      <c r="BB285" s="63" t="s">
        <v>1117</v>
      </c>
      <c r="BC285" s="63" t="s">
        <v>1119</v>
      </c>
      <c r="BD285" s="63" t="s">
        <v>1118</v>
      </c>
      <c r="BF285" s="63" t="s">
        <v>989</v>
      </c>
      <c r="BG285" s="63" t="s">
        <v>28</v>
      </c>
      <c r="BN285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s="63" customFormat="1" ht="16" customHeight="1" x14ac:dyDescent="0.2">
      <c r="A286" s="63">
        <v>2504</v>
      </c>
      <c r="B286" s="63" t="s">
        <v>579</v>
      </c>
      <c r="C286" s="63" t="s">
        <v>1555</v>
      </c>
      <c r="D286" s="63" t="s">
        <v>27</v>
      </c>
      <c r="E286" s="63" t="s">
        <v>274</v>
      </c>
      <c r="F286" s="64" t="str">
        <f>IF(ISBLANK(Table2[[#This Row],[unique_id]]), "", PROPER(SUBSTITUTE(Table2[[#This Row],[unique_id]], "_", " ")))</f>
        <v>Network Internet Download</v>
      </c>
      <c r="G286" s="63" t="s">
        <v>278</v>
      </c>
      <c r="H286" s="63" t="s">
        <v>719</v>
      </c>
      <c r="I286" s="63" t="s">
        <v>291</v>
      </c>
      <c r="M286" s="63" t="s">
        <v>136</v>
      </c>
      <c r="O286" s="65"/>
      <c r="T286" s="66"/>
      <c r="V286" s="65"/>
      <c r="W286" s="65"/>
      <c r="X286" s="65"/>
      <c r="Y286" s="65"/>
      <c r="Z286" s="65"/>
      <c r="AA286" s="65"/>
      <c r="AB286" s="63" t="s">
        <v>31</v>
      </c>
      <c r="AC286" s="63" t="s">
        <v>282</v>
      </c>
      <c r="AD286" s="63" t="s">
        <v>718</v>
      </c>
      <c r="AE286" s="63" t="s">
        <v>290</v>
      </c>
      <c r="AF286" s="63">
        <v>200</v>
      </c>
      <c r="AG286" s="65" t="s">
        <v>34</v>
      </c>
      <c r="AH286" s="65"/>
      <c r="AI286" s="63" t="s">
        <v>1138</v>
      </c>
      <c r="AJ286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homeassistant/sensor/networks/network_internet_download/config</v>
      </c>
      <c r="AK286" s="63" t="str">
        <f>IF(ISBLANK(Table2[[#This Row],[index]]),  "", _xlfn.CONCAT("telegraf/macmini-meg/", LOWER(Table2[[#This Row],[device_via_device]])))</f>
        <v>telegraf/macmini-meg/networks</v>
      </c>
      <c r="AR286" s="68" t="s">
        <v>1225</v>
      </c>
      <c r="AS286" s="63">
        <v>1</v>
      </c>
      <c r="AT286" s="67"/>
      <c r="AV28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63" t="str">
        <f>IF(ISBLANK(Table2[[#This Row],[device_model]]), "", Table2[[#This Row],[device_suggested_area]])</f>
        <v>Rack</v>
      </c>
      <c r="BB286" s="63" t="s">
        <v>1117</v>
      </c>
      <c r="BC286" s="63" t="s">
        <v>1119</v>
      </c>
      <c r="BD286" s="63" t="s">
        <v>1118</v>
      </c>
      <c r="BF286" s="63" t="s">
        <v>989</v>
      </c>
      <c r="BG286" s="63" t="s">
        <v>28</v>
      </c>
      <c r="BN28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s="63" customFormat="1" ht="16" customHeight="1" x14ac:dyDescent="0.2">
      <c r="A287" s="63">
        <v>2505</v>
      </c>
      <c r="B287" s="63" t="s">
        <v>579</v>
      </c>
      <c r="C287" s="63" t="s">
        <v>1555</v>
      </c>
      <c r="D287" s="63" t="s">
        <v>27</v>
      </c>
      <c r="E287" s="63" t="s">
        <v>1221</v>
      </c>
      <c r="F287" s="64" t="str">
        <f>IF(ISBLANK(Table2[[#This Row],[unique_id]]), "", PROPER(SUBSTITUTE(Table2[[#This Row],[unique_id]], "_", " ")))</f>
        <v>Network Certificate Expiry</v>
      </c>
      <c r="G287" s="63" t="s">
        <v>716</v>
      </c>
      <c r="H287" s="63" t="s">
        <v>719</v>
      </c>
      <c r="I287" s="63" t="s">
        <v>291</v>
      </c>
      <c r="M287" s="63" t="s">
        <v>136</v>
      </c>
      <c r="O287" s="65"/>
      <c r="T287" s="66"/>
      <c r="V287" s="65"/>
      <c r="W287" s="65"/>
      <c r="X287" s="65"/>
      <c r="Y287" s="65"/>
      <c r="Z287" s="65"/>
      <c r="AA287" s="65"/>
      <c r="AB287" s="63" t="s">
        <v>31</v>
      </c>
      <c r="AC287" s="63" t="s">
        <v>280</v>
      </c>
      <c r="AE287" s="63" t="s">
        <v>717</v>
      </c>
      <c r="AF287" s="63">
        <v>200</v>
      </c>
      <c r="AG287" s="65" t="s">
        <v>34</v>
      </c>
      <c r="AH287" s="65"/>
      <c r="AI287" s="63" t="s">
        <v>1138</v>
      </c>
      <c r="AJ287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homeassistant/sensor/networks/network_certificate_expiry/config</v>
      </c>
      <c r="AK287" s="63" t="str">
        <f>IF(ISBLANK(Table2[[#This Row],[index]]),  "", _xlfn.CONCAT("telegraf/macmini-meg/", LOWER(Table2[[#This Row],[device_via_device]])))</f>
        <v>telegraf/macmini-meg/networks</v>
      </c>
      <c r="AR287" s="68" t="s">
        <v>1226</v>
      </c>
      <c r="AS287" s="63">
        <v>1</v>
      </c>
      <c r="AT287" s="67"/>
      <c r="AV287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63" t="str">
        <f>IF(ISBLANK(Table2[[#This Row],[device_model]]), "", Table2[[#This Row],[device_suggested_area]])</f>
        <v>Rack</v>
      </c>
      <c r="BB287" s="63" t="s">
        <v>1117</v>
      </c>
      <c r="BC287" s="63" t="s">
        <v>1119</v>
      </c>
      <c r="BD287" s="63" t="s">
        <v>1118</v>
      </c>
      <c r="BF287" s="63" t="s">
        <v>989</v>
      </c>
      <c r="BG287" s="63" t="s">
        <v>28</v>
      </c>
      <c r="BN287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s="63" customFormat="1" ht="16" customHeight="1" x14ac:dyDescent="0.2">
      <c r="A288" s="63">
        <v>2506</v>
      </c>
      <c r="B288" s="63" t="s">
        <v>579</v>
      </c>
      <c r="C288" s="63" t="s">
        <v>1555</v>
      </c>
      <c r="D288" s="63" t="s">
        <v>27</v>
      </c>
      <c r="E288" s="63" t="s">
        <v>1196</v>
      </c>
      <c r="F288" s="63" t="str">
        <f>IF(ISBLANK(Table2[[#This Row],[unique_id]]), "", PROPER(SUBSTITUTE(Table2[[#This Row],[unique_id]], "_", " ")))</f>
        <v>Deck Wifi Access Point Experience</v>
      </c>
      <c r="G288" s="63" t="s">
        <v>1199</v>
      </c>
      <c r="H288" s="63" t="s">
        <v>1195</v>
      </c>
      <c r="I288" s="63" t="s">
        <v>291</v>
      </c>
      <c r="M288" s="63" t="s">
        <v>136</v>
      </c>
      <c r="O288" s="65"/>
      <c r="T288" s="66"/>
      <c r="V288" s="65"/>
      <c r="W288" s="65"/>
      <c r="X288" s="65"/>
      <c r="Y288" s="65"/>
      <c r="Z288" s="65"/>
      <c r="AA288" s="65"/>
      <c r="AB288" s="63" t="s">
        <v>31</v>
      </c>
      <c r="AC288" s="63" t="s">
        <v>32</v>
      </c>
      <c r="AD288" s="63" t="s">
        <v>1198</v>
      </c>
      <c r="AF288" s="63">
        <v>200</v>
      </c>
      <c r="AG288" s="65" t="s">
        <v>34</v>
      </c>
      <c r="AH288" s="65"/>
      <c r="AI288" s="63" t="s">
        <v>1138</v>
      </c>
      <c r="AJ288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homeassistant/sensor/networks/deck_wifi_access_point_experience/config</v>
      </c>
      <c r="AK288" s="63" t="str">
        <f>IF(ISBLANK(Table2[[#This Row],[index]]),  "", _xlfn.CONCAT("telegraf/macmini-meg/", LOWER(Table2[[#This Row],[device_via_device]])))</f>
        <v>telegraf/macmini-meg/networks</v>
      </c>
      <c r="AR288" s="68" t="s">
        <v>1183</v>
      </c>
      <c r="AS288" s="63">
        <v>1</v>
      </c>
      <c r="AT288" s="67"/>
      <c r="AV288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63" t="str">
        <f>IF(ISBLANK(Table2[[#This Row],[device_model]]), "", Table2[[#This Row],[device_suggested_area]])</f>
        <v>Rack</v>
      </c>
      <c r="BB288" s="63" t="s">
        <v>1117</v>
      </c>
      <c r="BC288" s="63" t="s">
        <v>1119</v>
      </c>
      <c r="BD288" s="63" t="s">
        <v>1118</v>
      </c>
      <c r="BF288" s="63" t="s">
        <v>989</v>
      </c>
      <c r="BG288" s="63" t="s">
        <v>28</v>
      </c>
      <c r="BN288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s="63" customFormat="1" ht="16" customHeight="1" x14ac:dyDescent="0.2">
      <c r="A289" s="63">
        <v>2507</v>
      </c>
      <c r="B289" s="63" t="s">
        <v>579</v>
      </c>
      <c r="C289" s="63" t="s">
        <v>1555</v>
      </c>
      <c r="D289" s="63" t="s">
        <v>27</v>
      </c>
      <c r="E289" s="63" t="s">
        <v>1197</v>
      </c>
      <c r="F289" s="63" t="str">
        <f>IF(ISBLANK(Table2[[#This Row],[unique_id]]), "", PROPER(SUBSTITUTE(Table2[[#This Row],[unique_id]], "_", " ")))</f>
        <v>Hallway Wifi Access Point Experience</v>
      </c>
      <c r="G289" s="63" t="s">
        <v>1200</v>
      </c>
      <c r="H289" s="63" t="s">
        <v>1195</v>
      </c>
      <c r="I289" s="63" t="s">
        <v>291</v>
      </c>
      <c r="M289" s="63" t="s">
        <v>136</v>
      </c>
      <c r="O289" s="65"/>
      <c r="T289" s="66"/>
      <c r="V289" s="65"/>
      <c r="W289" s="65"/>
      <c r="X289" s="65"/>
      <c r="Y289" s="65"/>
      <c r="Z289" s="65"/>
      <c r="AA289" s="65"/>
      <c r="AB289" s="63" t="s">
        <v>31</v>
      </c>
      <c r="AC289" s="63" t="s">
        <v>32</v>
      </c>
      <c r="AD289" s="63" t="s">
        <v>1198</v>
      </c>
      <c r="AF289" s="63">
        <v>200</v>
      </c>
      <c r="AG289" s="65" t="s">
        <v>34</v>
      </c>
      <c r="AH289" s="65"/>
      <c r="AI289" s="63" t="s">
        <v>1138</v>
      </c>
      <c r="AJ289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homeassistant/sensor/networks/hallway_wifi_access_point_experience/config</v>
      </c>
      <c r="AK289" s="63" t="str">
        <f>IF(ISBLANK(Table2[[#This Row],[index]]),  "", _xlfn.CONCAT("telegraf/macmini-meg/", LOWER(Table2[[#This Row],[device_via_device]])))</f>
        <v>telegraf/macmini-meg/networks</v>
      </c>
      <c r="AR289" s="68" t="s">
        <v>1183</v>
      </c>
      <c r="AS289" s="63">
        <v>1</v>
      </c>
      <c r="AT289" s="67"/>
      <c r="AV289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63" t="str">
        <f>IF(ISBLANK(Table2[[#This Row],[device_model]]), "", Table2[[#This Row],[device_suggested_area]])</f>
        <v>Rack</v>
      </c>
      <c r="BB289" s="63" t="s">
        <v>1117</v>
      </c>
      <c r="BC289" s="63" t="s">
        <v>1119</v>
      </c>
      <c r="BD289" s="63" t="s">
        <v>1118</v>
      </c>
      <c r="BF289" s="63" t="s">
        <v>989</v>
      </c>
      <c r="BG289" s="63" t="s">
        <v>28</v>
      </c>
      <c r="BN289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s="63" customFormat="1" ht="16" customHeight="1" x14ac:dyDescent="0.2">
      <c r="A290" s="63">
        <v>2508</v>
      </c>
      <c r="B290" s="63" t="s">
        <v>579</v>
      </c>
      <c r="C290" s="63" t="s">
        <v>150</v>
      </c>
      <c r="D290" s="63" t="s">
        <v>310</v>
      </c>
      <c r="E290" s="63" t="s">
        <v>713</v>
      </c>
      <c r="F290" s="64" t="str">
        <f>IF(ISBLANK(Table2[[#This Row],[unique_id]]), "", PROPER(SUBSTITUTE(Table2[[#This Row],[unique_id]], "_", " ")))</f>
        <v>Network Refresh Zigbee Router Lqi</v>
      </c>
      <c r="G290" s="63" t="s">
        <v>714</v>
      </c>
      <c r="H290" s="63" t="s">
        <v>711</v>
      </c>
      <c r="I290" s="63" t="s">
        <v>291</v>
      </c>
      <c r="M290" s="63" t="s">
        <v>136</v>
      </c>
      <c r="O290" s="65"/>
      <c r="T290" s="66"/>
      <c r="V290" s="65"/>
      <c r="W290" s="65"/>
      <c r="X290" s="65"/>
      <c r="Y290" s="65"/>
      <c r="Z290" s="65"/>
      <c r="AA290" s="65"/>
      <c r="AE290" s="63" t="s">
        <v>715</v>
      </c>
      <c r="AG290" s="65"/>
      <c r="AH290" s="65"/>
      <c r="AR290" s="69"/>
      <c r="AT290" s="67"/>
      <c r="AU290" s="65"/>
      <c r="AV290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63" t="str">
        <f>IF(ISBLANK(Table2[[#This Row],[device_model]]), "", Table2[[#This Row],[device_suggested_area]])</f>
        <v/>
      </c>
      <c r="BF290" s="65"/>
      <c r="BN290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s="63" customFormat="1" ht="16" customHeight="1" x14ac:dyDescent="0.2">
      <c r="A291" s="63">
        <v>2509</v>
      </c>
      <c r="B291" s="63" t="s">
        <v>26</v>
      </c>
      <c r="C291" s="63" t="s">
        <v>450</v>
      </c>
      <c r="D291" s="63" t="s">
        <v>27</v>
      </c>
      <c r="E291" s="63" t="s">
        <v>706</v>
      </c>
      <c r="F291" s="64" t="str">
        <f>IF(ISBLANK(Table2[[#This Row],[unique_id]]), "", PROPER(SUBSTITUTE(Table2[[#This Row],[unique_id]], "_", " ")))</f>
        <v>Template Driveway Repeater Linkquality Percentage</v>
      </c>
      <c r="G291" s="63" t="s">
        <v>700</v>
      </c>
      <c r="H291" s="63" t="s">
        <v>711</v>
      </c>
      <c r="I291" s="63" t="s">
        <v>291</v>
      </c>
      <c r="M291" s="63" t="s">
        <v>136</v>
      </c>
      <c r="O291" s="65"/>
      <c r="T291" s="66"/>
      <c r="V291" s="65"/>
      <c r="W291" s="65"/>
      <c r="X291" s="65"/>
      <c r="Y291" s="65"/>
      <c r="Z291" s="65"/>
      <c r="AA291" s="65"/>
      <c r="AG291" s="65"/>
      <c r="AH291" s="65"/>
      <c r="AR291" s="69"/>
      <c r="AT291" s="67"/>
      <c r="AU291" s="65"/>
      <c r="AV291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63" t="str">
        <f>IF(ISBLANK(Table2[[#This Row],[device_model]]), "", Table2[[#This Row],[device_suggested_area]])</f>
        <v/>
      </c>
      <c r="BF291" s="65"/>
      <c r="BN291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s="63" customFormat="1" ht="16" customHeight="1" x14ac:dyDescent="0.2">
      <c r="A292" s="63">
        <v>2510</v>
      </c>
      <c r="B292" s="63" t="s">
        <v>26</v>
      </c>
      <c r="C292" s="63" t="s">
        <v>450</v>
      </c>
      <c r="D292" s="63" t="s">
        <v>27</v>
      </c>
      <c r="E292" s="63" t="s">
        <v>707</v>
      </c>
      <c r="F292" s="64" t="str">
        <f>IF(ISBLANK(Table2[[#This Row],[unique_id]]), "", PROPER(SUBSTITUTE(Table2[[#This Row],[unique_id]], "_", " ")))</f>
        <v>Template Landing Repeater Linkquality Percentage</v>
      </c>
      <c r="G292" s="63" t="s">
        <v>701</v>
      </c>
      <c r="H292" s="63" t="s">
        <v>711</v>
      </c>
      <c r="I292" s="63" t="s">
        <v>291</v>
      </c>
      <c r="M292" s="63" t="s">
        <v>136</v>
      </c>
      <c r="O292" s="65"/>
      <c r="T292" s="66"/>
      <c r="V292" s="65"/>
      <c r="W292" s="65"/>
      <c r="X292" s="65"/>
      <c r="Y292" s="65"/>
      <c r="Z292" s="65"/>
      <c r="AA292" s="65"/>
      <c r="AG292" s="65"/>
      <c r="AH292" s="65"/>
      <c r="AR292" s="69"/>
      <c r="AT292" s="67"/>
      <c r="AU292" s="65"/>
      <c r="AV292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63" t="str">
        <f>IF(ISBLANK(Table2[[#This Row],[device_model]]), "", Table2[[#This Row],[device_suggested_area]])</f>
        <v/>
      </c>
      <c r="BF292" s="65"/>
      <c r="BN292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s="63" customFormat="1" ht="16" customHeight="1" x14ac:dyDescent="0.2">
      <c r="A293" s="63">
        <v>2511</v>
      </c>
      <c r="B293" s="63" t="s">
        <v>26</v>
      </c>
      <c r="C293" s="63" t="s">
        <v>450</v>
      </c>
      <c r="D293" s="63" t="s">
        <v>27</v>
      </c>
      <c r="E293" s="63" t="s">
        <v>708</v>
      </c>
      <c r="F293" s="64" t="str">
        <f>IF(ISBLANK(Table2[[#This Row],[unique_id]]), "", PROPER(SUBSTITUTE(Table2[[#This Row],[unique_id]], "_", " ")))</f>
        <v>Template Garden Repeater Linkquality Percentage</v>
      </c>
      <c r="G293" s="63" t="s">
        <v>699</v>
      </c>
      <c r="H293" s="63" t="s">
        <v>711</v>
      </c>
      <c r="I293" s="63" t="s">
        <v>291</v>
      </c>
      <c r="M293" s="63" t="s">
        <v>136</v>
      </c>
      <c r="O293" s="65"/>
      <c r="T293" s="66"/>
      <c r="V293" s="65"/>
      <c r="W293" s="65"/>
      <c r="X293" s="65"/>
      <c r="Y293" s="65"/>
      <c r="Z293" s="65"/>
      <c r="AA293" s="65"/>
      <c r="AG293" s="65"/>
      <c r="AH293" s="65"/>
      <c r="AR293" s="69"/>
      <c r="AT293" s="67"/>
      <c r="AU293" s="65"/>
      <c r="AV293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63" t="str">
        <f>IF(ISBLANK(Table2[[#This Row],[device_model]]), "", Table2[[#This Row],[device_suggested_area]])</f>
        <v/>
      </c>
      <c r="BF293" s="65"/>
      <c r="BN293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s="63" customFormat="1" ht="16" customHeight="1" x14ac:dyDescent="0.2">
      <c r="A294" s="63">
        <v>2512</v>
      </c>
      <c r="B294" s="63" t="s">
        <v>26</v>
      </c>
      <c r="C294" s="63" t="s">
        <v>377</v>
      </c>
      <c r="D294" s="63" t="s">
        <v>27</v>
      </c>
      <c r="E294" s="63" t="s">
        <v>710</v>
      </c>
      <c r="F294" s="64" t="str">
        <f>IF(ISBLANK(Table2[[#This Row],[unique_id]]), "", PROPER(SUBSTITUTE(Table2[[#This Row],[unique_id]], "_", " ")))</f>
        <v>Template Kitchen Fan Outlet Linkquality Percentage</v>
      </c>
      <c r="G294" s="63" t="s">
        <v>614</v>
      </c>
      <c r="H294" s="63" t="s">
        <v>711</v>
      </c>
      <c r="I294" s="63" t="s">
        <v>291</v>
      </c>
      <c r="M294" s="63" t="s">
        <v>136</v>
      </c>
      <c r="O294" s="65"/>
      <c r="T294" s="66"/>
      <c r="V294" s="65"/>
      <c r="W294" s="65"/>
      <c r="X294" s="65"/>
      <c r="Y294" s="65"/>
      <c r="Z294" s="65"/>
      <c r="AA294" s="65"/>
      <c r="AG294" s="65"/>
      <c r="AH294" s="65"/>
      <c r="AR294" s="69"/>
      <c r="AT294" s="67"/>
      <c r="AU294" s="65"/>
      <c r="AV294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63" t="str">
        <f>IF(ISBLANK(Table2[[#This Row],[device_model]]), "", Table2[[#This Row],[device_suggested_area]])</f>
        <v/>
      </c>
      <c r="BF294" s="65"/>
      <c r="BN294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s="63" customFormat="1" ht="16" customHeight="1" x14ac:dyDescent="0.2">
      <c r="A295" s="63">
        <v>2513</v>
      </c>
      <c r="B295" s="63" t="s">
        <v>26</v>
      </c>
      <c r="C295" s="63" t="s">
        <v>377</v>
      </c>
      <c r="D295" s="63" t="s">
        <v>27</v>
      </c>
      <c r="E295" s="63" t="s">
        <v>709</v>
      </c>
      <c r="F295" s="64" t="str">
        <f>IF(ISBLANK(Table2[[#This Row],[unique_id]]), "", PROPER(SUBSTITUTE(Table2[[#This Row],[unique_id]], "_", " ")))</f>
        <v>Template Deck Fans Outlet Linkquality Percentage</v>
      </c>
      <c r="G295" s="63" t="s">
        <v>615</v>
      </c>
      <c r="H295" s="63" t="s">
        <v>711</v>
      </c>
      <c r="I295" s="63" t="s">
        <v>291</v>
      </c>
      <c r="M295" s="63" t="s">
        <v>136</v>
      </c>
      <c r="O295" s="65"/>
      <c r="T295" s="66"/>
      <c r="V295" s="65"/>
      <c r="W295" s="65"/>
      <c r="X295" s="65"/>
      <c r="Y295" s="65"/>
      <c r="Z295" s="65"/>
      <c r="AA295" s="65"/>
      <c r="AG295" s="65"/>
      <c r="AH295" s="65"/>
      <c r="AR295" s="69"/>
      <c r="AT295" s="67"/>
      <c r="AU295" s="65"/>
      <c r="AV295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63" t="str">
        <f>IF(ISBLANK(Table2[[#This Row],[device_model]]), "", Table2[[#This Row],[device_suggested_area]])</f>
        <v/>
      </c>
      <c r="BF295" s="65"/>
      <c r="BN295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s="63" customFormat="1" ht="16" customHeight="1" x14ac:dyDescent="0.2">
      <c r="A296" s="63">
        <v>2514</v>
      </c>
      <c r="B296" s="63" t="s">
        <v>579</v>
      </c>
      <c r="C296" s="63" t="s">
        <v>377</v>
      </c>
      <c r="D296" s="63" t="s">
        <v>27</v>
      </c>
      <c r="E296" s="63" t="s">
        <v>1508</v>
      </c>
      <c r="F296" s="64" t="str">
        <f>IF(ISBLANK(Table2[[#This Row],[unique_id]]), "", PROPER(SUBSTITUTE(Table2[[#This Row],[unique_id]], "_", " ")))</f>
        <v>Template Ada Desk Outlet Linkquality Percentage</v>
      </c>
      <c r="G296" s="63" t="s">
        <v>1510</v>
      </c>
      <c r="H296" s="63" t="s">
        <v>711</v>
      </c>
      <c r="I296" s="63" t="s">
        <v>291</v>
      </c>
      <c r="M296" s="63" t="s">
        <v>136</v>
      </c>
      <c r="O296" s="65"/>
      <c r="T296" s="66"/>
      <c r="V296" s="65"/>
      <c r="W296" s="65"/>
      <c r="X296" s="65"/>
      <c r="Y296" s="65"/>
      <c r="Z296" s="65"/>
      <c r="AA296" s="65"/>
      <c r="AG296" s="65"/>
      <c r="AH296" s="65"/>
      <c r="AR296" s="69"/>
      <c r="AT296" s="67"/>
      <c r="AU296" s="65"/>
      <c r="AV29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63" t="str">
        <f>IF(ISBLANK(Table2[[#This Row],[device_model]]), "", Table2[[#This Row],[device_suggested_area]])</f>
        <v/>
      </c>
      <c r="BF296" s="65"/>
      <c r="BN29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s="63" customFormat="1" ht="16" customHeight="1" x14ac:dyDescent="0.2">
      <c r="A297" s="63">
        <v>2515</v>
      </c>
      <c r="B297" s="63" t="s">
        <v>579</v>
      </c>
      <c r="C297" s="63" t="s">
        <v>377</v>
      </c>
      <c r="D297" s="63" t="s">
        <v>27</v>
      </c>
      <c r="E297" s="63" t="s">
        <v>1509</v>
      </c>
      <c r="F297" s="64" t="str">
        <f>IF(ISBLANK(Table2[[#This Row],[unique_id]]), "", PROPER(SUBSTITUTE(Table2[[#This Row],[unique_id]], "_", " ")))</f>
        <v>Template Edwin Desk Outlet Linkquality Percentage</v>
      </c>
      <c r="G297" s="63" t="s">
        <v>1496</v>
      </c>
      <c r="H297" s="63" t="s">
        <v>711</v>
      </c>
      <c r="I297" s="63" t="s">
        <v>291</v>
      </c>
      <c r="M297" s="63" t="s">
        <v>136</v>
      </c>
      <c r="O297" s="65"/>
      <c r="T297" s="66"/>
      <c r="V297" s="65"/>
      <c r="W297" s="65"/>
      <c r="X297" s="65"/>
      <c r="Y297" s="65"/>
      <c r="Z297" s="65"/>
      <c r="AA297" s="65"/>
      <c r="AG297" s="65"/>
      <c r="AH297" s="65"/>
      <c r="AR297" s="69"/>
      <c r="AT297" s="67"/>
      <c r="AU297" s="65"/>
      <c r="AV297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63" t="str">
        <f>IF(ISBLANK(Table2[[#This Row],[device_model]]), "", Table2[[#This Row],[device_suggested_area]])</f>
        <v/>
      </c>
      <c r="BF297" s="65"/>
      <c r="BN297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s="63" customFormat="1" ht="16" customHeight="1" x14ac:dyDescent="0.2">
      <c r="A298" s="63">
        <v>2516</v>
      </c>
      <c r="B298" s="63" t="s">
        <v>26</v>
      </c>
      <c r="C298" s="63" t="s">
        <v>39</v>
      </c>
      <c r="D298" s="63" t="s">
        <v>27</v>
      </c>
      <c r="E298" s="63" t="s">
        <v>171</v>
      </c>
      <c r="F298" s="64" t="str">
        <f>IF(ISBLANK(Table2[[#This Row],[unique_id]]), "", PROPER(SUBSTITUTE(Table2[[#This Row],[unique_id]], "_", " ")))</f>
        <v>Weatherstation Coms Signal Quality</v>
      </c>
      <c r="G298" s="63" t="s">
        <v>655</v>
      </c>
      <c r="H298" s="63" t="s">
        <v>712</v>
      </c>
      <c r="I298" s="63" t="s">
        <v>291</v>
      </c>
      <c r="O298" s="65"/>
      <c r="T298" s="66"/>
      <c r="V298" s="65"/>
      <c r="W298" s="65"/>
      <c r="X298" s="65"/>
      <c r="Y298" s="65"/>
      <c r="Z298" s="65"/>
      <c r="AA298" s="65"/>
      <c r="AF298" s="63">
        <v>300</v>
      </c>
      <c r="AG298" s="65" t="s">
        <v>34</v>
      </c>
      <c r="AH298" s="65"/>
      <c r="AI298" s="63" t="s">
        <v>86</v>
      </c>
      <c r="AJ298" s="63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63" t="str">
        <f>IF(ISBLANK(Table2[[#This Row],[index]]),  "", _xlfn.CONCAT(LOWER(Table2[[#This Row],[device_via_device]]), "/", Table2[[#This Row],[unique_id]]))</f>
        <v>weewx/weatherstation_coms_signal_quality</v>
      </c>
      <c r="AR298" s="63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63">
        <v>1</v>
      </c>
      <c r="AT298" s="67"/>
      <c r="AV298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63" t="str">
        <f>IF(ISBLANK(Table2[[#This Row],[device_model]]), "", Table2[[#This Row],[device_suggested_area]])</f>
        <v>Wardrobe</v>
      </c>
      <c r="BB298" s="63" t="s">
        <v>1220</v>
      </c>
      <c r="BC298" s="63" t="s">
        <v>36</v>
      </c>
      <c r="BD298" s="63" t="s">
        <v>37</v>
      </c>
      <c r="BF298" s="63" t="s">
        <v>1063</v>
      </c>
      <c r="BG298" s="63" t="s">
        <v>495</v>
      </c>
      <c r="BN298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s="63" customFormat="1" ht="16" customHeight="1" x14ac:dyDescent="0.2">
      <c r="A299" s="63">
        <v>2517</v>
      </c>
      <c r="B299" s="63" t="s">
        <v>26</v>
      </c>
      <c r="C299" s="63" t="s">
        <v>39</v>
      </c>
      <c r="D299" s="63" t="s">
        <v>27</v>
      </c>
      <c r="E299" s="63" t="s">
        <v>705</v>
      </c>
      <c r="F299" s="64" t="str">
        <f>IF(ISBLANK(Table2[[#This Row],[unique_id]]), "", PROPER(SUBSTITUTE(Table2[[#This Row],[unique_id]], "_", " ")))</f>
        <v>Template Weatherstation Coms Signal Quality Percentage</v>
      </c>
      <c r="G299" s="63" t="s">
        <v>655</v>
      </c>
      <c r="H299" s="63" t="s">
        <v>712</v>
      </c>
      <c r="I299" s="63" t="s">
        <v>291</v>
      </c>
      <c r="M299" s="63" t="s">
        <v>136</v>
      </c>
      <c r="O299" s="65"/>
      <c r="T299" s="66"/>
      <c r="V299" s="65"/>
      <c r="W299" s="65"/>
      <c r="X299" s="65"/>
      <c r="Y299" s="65"/>
      <c r="Z299" s="65"/>
      <c r="AA299" s="65"/>
      <c r="AG299" s="65"/>
      <c r="AH299" s="65"/>
      <c r="AR299" s="69"/>
      <c r="AT299" s="67"/>
      <c r="AU299" s="65"/>
      <c r="AV299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63" t="str">
        <f>IF(ISBLANK(Table2[[#This Row],[device_model]]), "", Table2[[#This Row],[device_suggested_area]])</f>
        <v/>
      </c>
      <c r="BF299" s="65"/>
      <c r="BN299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s="63" customFormat="1" ht="16" customHeight="1" x14ac:dyDescent="0.2">
      <c r="A300" s="63">
        <v>2518</v>
      </c>
      <c r="B300" s="63" t="s">
        <v>26</v>
      </c>
      <c r="C300" s="63" t="s">
        <v>440</v>
      </c>
      <c r="D300" s="63" t="s">
        <v>333</v>
      </c>
      <c r="E300" s="63" t="s">
        <v>332</v>
      </c>
      <c r="F300" s="64" t="str">
        <f>IF(ISBLANK(Table2[[#This Row],[unique_id]]), "", PROPER(SUBSTITUTE(Table2[[#This Row],[unique_id]], "_", " ")))</f>
        <v>Column Break</v>
      </c>
      <c r="G300" s="63" t="s">
        <v>329</v>
      </c>
      <c r="H300" s="63" t="s">
        <v>712</v>
      </c>
      <c r="I300" s="63" t="s">
        <v>291</v>
      </c>
      <c r="M300" s="63" t="s">
        <v>330</v>
      </c>
      <c r="N300" s="63" t="s">
        <v>331</v>
      </c>
      <c r="O300" s="65"/>
      <c r="T300" s="66"/>
      <c r="V300" s="65"/>
      <c r="W300" s="65"/>
      <c r="X300" s="65"/>
      <c r="Y300" s="65"/>
      <c r="Z300" s="65"/>
      <c r="AA300" s="65"/>
      <c r="AG300" s="65"/>
      <c r="AH300" s="65"/>
      <c r="AR300" s="69"/>
      <c r="AT300" s="67"/>
      <c r="AU300" s="65"/>
      <c r="AV300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63" t="str">
        <f>IF(ISBLANK(Table2[[#This Row],[device_model]]), "", Table2[[#This Row],[device_suggested_area]])</f>
        <v/>
      </c>
      <c r="BF300" s="65"/>
      <c r="BN300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1188</v>
      </c>
      <c r="D301" s="30" t="s">
        <v>134</v>
      </c>
      <c r="E301" s="30" t="s">
        <v>1516</v>
      </c>
      <c r="F301" s="30" t="str">
        <f>IF(ISBLANK(Table2[[#This Row],[unique_id]]), "", PROPER(SUBSTITUTE(Table2[[#This Row],[unique_id]], "_", " ")))</f>
        <v>Service Plex</v>
      </c>
      <c r="G301" s="30" t="s">
        <v>1189</v>
      </c>
      <c r="H301" s="30" t="s">
        <v>1187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1549</v>
      </c>
      <c r="AF301" s="30">
        <v>6</v>
      </c>
      <c r="AG301" s="31" t="s">
        <v>34</v>
      </c>
      <c r="AH301" s="31"/>
      <c r="AI301" s="30" t="s">
        <v>1477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1548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1188</v>
      </c>
      <c r="BC301" s="30" t="s">
        <v>1514</v>
      </c>
      <c r="BD301" s="30" t="s">
        <v>1118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1188</v>
      </c>
      <c r="D302" s="30" t="s">
        <v>134</v>
      </c>
      <c r="E302" s="30" t="s">
        <v>1517</v>
      </c>
      <c r="F302" s="30" t="str">
        <f>IF(ISBLANK(Table2[[#This Row],[unique_id]]), "", PROPER(SUBSTITUTE(Table2[[#This Row],[unique_id]], "_", " ")))</f>
        <v>Service Sabnzbd</v>
      </c>
      <c r="G302" s="30" t="s">
        <v>1540</v>
      </c>
      <c r="H302" s="30" t="s">
        <v>1187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1549</v>
      </c>
      <c r="AF302" s="30">
        <v>6</v>
      </c>
      <c r="AG302" s="31" t="s">
        <v>34</v>
      </c>
      <c r="AH302" s="31"/>
      <c r="AI302" s="30" t="s">
        <v>1477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1548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1188</v>
      </c>
      <c r="BC302" s="30" t="s">
        <v>1514</v>
      </c>
      <c r="BD302" s="30" t="s">
        <v>1118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1188</v>
      </c>
      <c r="D303" s="30" t="s">
        <v>134</v>
      </c>
      <c r="E303" s="30" t="s">
        <v>1518</v>
      </c>
      <c r="F303" s="30" t="str">
        <f>IF(ISBLANK(Table2[[#This Row],[unique_id]]), "", PROPER(SUBSTITUTE(Table2[[#This Row],[unique_id]], "_", " ")))</f>
        <v>Service Influxdb3</v>
      </c>
      <c r="G303" s="30" t="s">
        <v>1539</v>
      </c>
      <c r="H303" s="30" t="s">
        <v>1187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1549</v>
      </c>
      <c r="AF303" s="30">
        <v>6</v>
      </c>
      <c r="AG303" s="31" t="s">
        <v>34</v>
      </c>
      <c r="AH303" s="31"/>
      <c r="AI303" s="30" t="s">
        <v>1478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1548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1188</v>
      </c>
      <c r="BC303" s="30" t="s">
        <v>1514</v>
      </c>
      <c r="BD303" s="30" t="s">
        <v>1118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1188</v>
      </c>
      <c r="D304" s="30" t="s">
        <v>134</v>
      </c>
      <c r="E304" s="30" t="s">
        <v>1519</v>
      </c>
      <c r="F304" s="30" t="str">
        <f>IF(ISBLANK(Table2[[#This Row],[unique_id]]), "", PROPER(SUBSTITUTE(Table2[[#This Row],[unique_id]], "_", " ")))</f>
        <v>Service Mlflow</v>
      </c>
      <c r="G304" s="30" t="s">
        <v>1541</v>
      </c>
      <c r="H304" s="30" t="s">
        <v>1187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1549</v>
      </c>
      <c r="AF304" s="30">
        <v>6</v>
      </c>
      <c r="AG304" s="31" t="s">
        <v>34</v>
      </c>
      <c r="AH304" s="31"/>
      <c r="AI304" s="30" t="s">
        <v>1478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1548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1188</v>
      </c>
      <c r="BC304" s="30" t="s">
        <v>1514</v>
      </c>
      <c r="BD304" s="30" t="s">
        <v>1118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1188</v>
      </c>
      <c r="D305" s="30" t="s">
        <v>134</v>
      </c>
      <c r="E305" s="30" t="s">
        <v>1520</v>
      </c>
      <c r="F305" s="30" t="str">
        <f>IF(ISBLANK(Table2[[#This Row],[unique_id]]), "", PROPER(SUBSTITUTE(Table2[[#This Row],[unique_id]], "_", " ")))</f>
        <v>Service Mlserver</v>
      </c>
      <c r="G305" s="30" t="s">
        <v>1542</v>
      </c>
      <c r="H305" s="30" t="s">
        <v>1187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1549</v>
      </c>
      <c r="AF305" s="30">
        <v>6</v>
      </c>
      <c r="AG305" s="31" t="s">
        <v>34</v>
      </c>
      <c r="AH305" s="31"/>
      <c r="AI305" s="30" t="s">
        <v>1478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1548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1188</v>
      </c>
      <c r="BC305" s="30" t="s">
        <v>1514</v>
      </c>
      <c r="BD305" s="30" t="s">
        <v>1118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1188</v>
      </c>
      <c r="D306" s="30" t="s">
        <v>134</v>
      </c>
      <c r="E306" s="30" t="s">
        <v>1521</v>
      </c>
      <c r="F306" s="30" t="str">
        <f>IF(ISBLANK(Table2[[#This Row],[unique_id]]), "", PROPER(SUBSTITUTE(Table2[[#This Row],[unique_id]], "_", " ")))</f>
        <v>Service Openra</v>
      </c>
      <c r="G306" s="30" t="s">
        <v>1543</v>
      </c>
      <c r="H306" s="30" t="s">
        <v>1187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1549</v>
      </c>
      <c r="AF306" s="30">
        <v>6</v>
      </c>
      <c r="AG306" s="31" t="s">
        <v>34</v>
      </c>
      <c r="AH306" s="31"/>
      <c r="AI306" s="30" t="s">
        <v>1478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1548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1188</v>
      </c>
      <c r="BC306" s="30" t="s">
        <v>1514</v>
      </c>
      <c r="BD306" s="30" t="s">
        <v>1118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1188</v>
      </c>
      <c r="D307" s="30" t="s">
        <v>134</v>
      </c>
      <c r="E307" s="30" t="s">
        <v>1522</v>
      </c>
      <c r="F307" s="30" t="str">
        <f>IF(ISBLANK(Table2[[#This Row],[unique_id]]), "", PROPER(SUBSTITUTE(Table2[[#This Row],[unique_id]], "_", " ")))</f>
        <v>Service Rhasspy</v>
      </c>
      <c r="G307" s="30" t="s">
        <v>1536</v>
      </c>
      <c r="H307" s="30" t="s">
        <v>1187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1549</v>
      </c>
      <c r="AF307" s="30">
        <v>6</v>
      </c>
      <c r="AG307" s="31" t="s">
        <v>34</v>
      </c>
      <c r="AH307" s="31"/>
      <c r="AI307" s="30" t="s">
        <v>1478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1548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1188</v>
      </c>
      <c r="BC307" s="30" t="s">
        <v>1514</v>
      </c>
      <c r="BD307" s="30" t="s">
        <v>1118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1188</v>
      </c>
      <c r="D308" s="30" t="s">
        <v>134</v>
      </c>
      <c r="E308" s="30" t="s">
        <v>1554</v>
      </c>
      <c r="F308" s="30" t="str">
        <f>IF(ISBLANK(Table2[[#This Row],[unique_id]]), "", PROPER(SUBSTITUTE(Table2[[#This Row],[unique_id]], "_", " ")))</f>
        <v>Service Tempstat</v>
      </c>
      <c r="G308" s="30" t="s">
        <v>1550</v>
      </c>
      <c r="H308" s="30" t="s">
        <v>1187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1549</v>
      </c>
      <c r="AF308" s="30">
        <v>6</v>
      </c>
      <c r="AG308" s="31" t="s">
        <v>34</v>
      </c>
      <c r="AH308" s="31"/>
      <c r="AI308" s="30" t="s">
        <v>1442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1548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1188</v>
      </c>
      <c r="BC308" s="30" t="s">
        <v>1514</v>
      </c>
      <c r="BD308" s="30" t="s">
        <v>1118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1188</v>
      </c>
      <c r="D309" s="30" t="s">
        <v>134</v>
      </c>
      <c r="E309" s="30" t="s">
        <v>1523</v>
      </c>
      <c r="F309" s="30" t="str">
        <f>IF(ISBLANK(Table2[[#This Row],[unique_id]]), "", PROPER(SUBSTITUTE(Table2[[#This Row],[unique_id]], "_", " ")))</f>
        <v>Service Grafana</v>
      </c>
      <c r="G309" s="30" t="s">
        <v>1190</v>
      </c>
      <c r="H309" s="30" t="s">
        <v>1187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1549</v>
      </c>
      <c r="AF309" s="30">
        <v>6</v>
      </c>
      <c r="AG309" s="31" t="s">
        <v>34</v>
      </c>
      <c r="AH309" s="31"/>
      <c r="AI309" s="30" t="s">
        <v>1442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1548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1188</v>
      </c>
      <c r="BC309" s="30" t="s">
        <v>1514</v>
      </c>
      <c r="BD309" s="30" t="s">
        <v>1118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1188</v>
      </c>
      <c r="D310" s="30" t="s">
        <v>134</v>
      </c>
      <c r="E310" s="30" t="s">
        <v>1524</v>
      </c>
      <c r="F310" s="30" t="str">
        <f>IF(ISBLANK(Table2[[#This Row],[unique_id]]), "", PROPER(SUBSTITUTE(Table2[[#This Row],[unique_id]], "_", " ")))</f>
        <v>Service Influxdb</v>
      </c>
      <c r="G310" s="30" t="s">
        <v>1539</v>
      </c>
      <c r="H310" s="30" t="s">
        <v>1187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1549</v>
      </c>
      <c r="AF310" s="30">
        <v>6</v>
      </c>
      <c r="AG310" s="31" t="s">
        <v>34</v>
      </c>
      <c r="AH310" s="31"/>
      <c r="AI310" s="30" t="s">
        <v>1442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1548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1188</v>
      </c>
      <c r="BC310" s="30" t="s">
        <v>1514</v>
      </c>
      <c r="BD310" s="30" t="s">
        <v>1118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1188</v>
      </c>
      <c r="D311" s="30" t="s">
        <v>134</v>
      </c>
      <c r="E311" s="30" t="s">
        <v>1525</v>
      </c>
      <c r="F311" s="30" t="str">
        <f>IF(ISBLANK(Table2[[#This Row],[unique_id]]), "", PROPER(SUBSTITUTE(Table2[[#This Row],[unique_id]], "_", " ")))</f>
        <v>Service Letsencrypt</v>
      </c>
      <c r="G311" s="30" t="s">
        <v>1544</v>
      </c>
      <c r="H311" s="30" t="s">
        <v>1187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1549</v>
      </c>
      <c r="AF311" s="30">
        <v>6</v>
      </c>
      <c r="AG311" s="31" t="s">
        <v>34</v>
      </c>
      <c r="AH311" s="31"/>
      <c r="AI311" s="30" t="s">
        <v>1442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1548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1188</v>
      </c>
      <c r="BC311" s="30" t="s">
        <v>1514</v>
      </c>
      <c r="BD311" s="30" t="s">
        <v>1118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1188</v>
      </c>
      <c r="D312" s="30" t="s">
        <v>134</v>
      </c>
      <c r="E312" s="30" t="s">
        <v>1526</v>
      </c>
      <c r="F312" s="30" t="str">
        <f>IF(ISBLANK(Table2[[#This Row],[unique_id]]), "", PROPER(SUBSTITUTE(Table2[[#This Row],[unique_id]], "_", " ")))</f>
        <v>Service Sonarr</v>
      </c>
      <c r="G312" s="30" t="s">
        <v>1537</v>
      </c>
      <c r="H312" s="30" t="s">
        <v>1187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1549</v>
      </c>
      <c r="AF312" s="30">
        <v>6</v>
      </c>
      <c r="AG312" s="31" t="s">
        <v>34</v>
      </c>
      <c r="AH312" s="31"/>
      <c r="AI312" s="30" t="s">
        <v>1442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1548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1188</v>
      </c>
      <c r="BC312" s="30" t="s">
        <v>1514</v>
      </c>
      <c r="BD312" s="30" t="s">
        <v>1118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1188</v>
      </c>
      <c r="D313" s="30" t="s">
        <v>134</v>
      </c>
      <c r="E313" s="30" t="s">
        <v>1527</v>
      </c>
      <c r="F313" s="30" t="str">
        <f>IF(ISBLANK(Table2[[#This Row],[unique_id]]), "", PROPER(SUBSTITUTE(Table2[[#This Row],[unique_id]], "_", " ")))</f>
        <v>Service Unpoller</v>
      </c>
      <c r="G313" s="30" t="s">
        <v>1538</v>
      </c>
      <c r="H313" s="30" t="s">
        <v>1187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1549</v>
      </c>
      <c r="AF313" s="30">
        <v>6</v>
      </c>
      <c r="AG313" s="31" t="s">
        <v>34</v>
      </c>
      <c r="AH313" s="31"/>
      <c r="AI313" s="30" t="s">
        <v>1442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1548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1188</v>
      </c>
      <c r="BC313" s="30" t="s">
        <v>1514</v>
      </c>
      <c r="BD313" s="30" t="s">
        <v>1118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1188</v>
      </c>
      <c r="D314" s="30" t="s">
        <v>134</v>
      </c>
      <c r="E314" s="30" t="s">
        <v>1528</v>
      </c>
      <c r="F314" s="30" t="str">
        <f>IF(ISBLANK(Table2[[#This Row],[unique_id]]), "", PROPER(SUBSTITUTE(Table2[[#This Row],[unique_id]], "_", " ")))</f>
        <v>Service Wrangle</v>
      </c>
      <c r="G314" s="30" t="s">
        <v>1191</v>
      </c>
      <c r="H314" s="30" t="s">
        <v>1187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1549</v>
      </c>
      <c r="AF314" s="30">
        <v>6</v>
      </c>
      <c r="AG314" s="31" t="s">
        <v>34</v>
      </c>
      <c r="AH314" s="31"/>
      <c r="AI314" s="30" t="s">
        <v>1477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1548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1188</v>
      </c>
      <c r="BC314" s="30" t="s">
        <v>1514</v>
      </c>
      <c r="BD314" s="30" t="s">
        <v>1118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1188</v>
      </c>
      <c r="D315" s="30" t="s">
        <v>134</v>
      </c>
      <c r="E315" s="30" t="s">
        <v>1515</v>
      </c>
      <c r="F315" s="30" t="str">
        <f>IF(ISBLANK(Table2[[#This Row],[unique_id]]), "", PROPER(SUBSTITUTE(Table2[[#This Row],[unique_id]], "_", " ")))</f>
        <v>Service Homeassistant</v>
      </c>
      <c r="G315" s="30" t="s">
        <v>1194</v>
      </c>
      <c r="H315" s="30" t="s">
        <v>1187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1549</v>
      </c>
      <c r="AF315" s="30">
        <v>6</v>
      </c>
      <c r="AG315" s="31" t="s">
        <v>34</v>
      </c>
      <c r="AH315" s="31"/>
      <c r="AI315" s="30" t="s">
        <v>1138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1548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1188</v>
      </c>
      <c r="BC315" s="30" t="s">
        <v>1514</v>
      </c>
      <c r="BD315" s="30" t="s">
        <v>1118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1188</v>
      </c>
      <c r="D316" s="30" t="s">
        <v>134</v>
      </c>
      <c r="E316" s="30" t="s">
        <v>1529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1187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1549</v>
      </c>
      <c r="AF316" s="30">
        <v>6</v>
      </c>
      <c r="AG316" s="31" t="s">
        <v>34</v>
      </c>
      <c r="AH316" s="31"/>
      <c r="AI316" s="30" t="s">
        <v>1138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1548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1188</v>
      </c>
      <c r="BC316" s="30" t="s">
        <v>1514</v>
      </c>
      <c r="BD316" s="30" t="s">
        <v>1118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1188</v>
      </c>
      <c r="D317" s="30" t="s">
        <v>134</v>
      </c>
      <c r="E317" s="30" t="s">
        <v>1530</v>
      </c>
      <c r="F317" s="30" t="str">
        <f>IF(ISBLANK(Table2[[#This Row],[unique_id]]), "", PROPER(SUBSTITUTE(Table2[[#This Row],[unique_id]], "_", " ")))</f>
        <v>Service Mariadb</v>
      </c>
      <c r="G317" s="30" t="s">
        <v>1545</v>
      </c>
      <c r="H317" s="30" t="s">
        <v>1187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1549</v>
      </c>
      <c r="AF317" s="30">
        <v>6</v>
      </c>
      <c r="AG317" s="31" t="s">
        <v>34</v>
      </c>
      <c r="AH317" s="31"/>
      <c r="AI317" s="30" t="s">
        <v>1138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1548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1188</v>
      </c>
      <c r="BC317" s="30" t="s">
        <v>1514</v>
      </c>
      <c r="BD317" s="30" t="s">
        <v>1118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1188</v>
      </c>
      <c r="D318" s="30" t="s">
        <v>134</v>
      </c>
      <c r="E318" s="30" t="s">
        <v>1531</v>
      </c>
      <c r="F318" s="30" t="str">
        <f>IF(ISBLANK(Table2[[#This Row],[unique_id]]), "", PROPER(SUBSTITUTE(Table2[[#This Row],[unique_id]], "_", " ")))</f>
        <v>Service Nginx</v>
      </c>
      <c r="G318" s="30" t="s">
        <v>1192</v>
      </c>
      <c r="H318" s="30" t="s">
        <v>1187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1549</v>
      </c>
      <c r="AF318" s="30">
        <v>6</v>
      </c>
      <c r="AG318" s="31" t="s">
        <v>34</v>
      </c>
      <c r="AH318" s="31"/>
      <c r="AI318" s="30" t="s">
        <v>1138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1548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1188</v>
      </c>
      <c r="BC318" s="30" t="s">
        <v>1514</v>
      </c>
      <c r="BD318" s="30" t="s">
        <v>1118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1188</v>
      </c>
      <c r="D319" s="30" t="s">
        <v>134</v>
      </c>
      <c r="E319" s="30" t="s">
        <v>1532</v>
      </c>
      <c r="F319" s="30" t="str">
        <f>IF(ISBLANK(Table2[[#This Row],[unique_id]]), "", PROPER(SUBSTITUTE(Table2[[#This Row],[unique_id]], "_", " ")))</f>
        <v>Service Postgres</v>
      </c>
      <c r="G319" s="30" t="s">
        <v>1193</v>
      </c>
      <c r="H319" s="30" t="s">
        <v>1187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1549</v>
      </c>
      <c r="AF319" s="30">
        <v>6</v>
      </c>
      <c r="AG319" s="31" t="s">
        <v>34</v>
      </c>
      <c r="AH319" s="31"/>
      <c r="AI319" s="30" t="s">
        <v>1477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1548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1188</v>
      </c>
      <c r="BC319" s="30" t="s">
        <v>1514</v>
      </c>
      <c r="BD319" s="30" t="s">
        <v>1118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1188</v>
      </c>
      <c r="D320" s="30" t="s">
        <v>134</v>
      </c>
      <c r="E320" s="30" t="s">
        <v>1533</v>
      </c>
      <c r="F320" s="30" t="str">
        <f>IF(ISBLANK(Table2[[#This Row],[unique_id]]), "", PROPER(SUBSTITUTE(Table2[[#This Row],[unique_id]], "_", " ")))</f>
        <v>Service Vernemq</v>
      </c>
      <c r="G320" s="30" t="s">
        <v>1546</v>
      </c>
      <c r="H320" s="30" t="s">
        <v>1187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1549</v>
      </c>
      <c r="AF320" s="30">
        <v>6</v>
      </c>
      <c r="AG320" s="31" t="s">
        <v>34</v>
      </c>
      <c r="AH320" s="31"/>
      <c r="AI320" s="30" t="s">
        <v>1138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1548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1188</v>
      </c>
      <c r="BC320" s="30" t="s">
        <v>1514</v>
      </c>
      <c r="BD320" s="30" t="s">
        <v>1118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1188</v>
      </c>
      <c r="D321" s="30" t="s">
        <v>134</v>
      </c>
      <c r="E321" s="30" t="s">
        <v>1534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1187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1549</v>
      </c>
      <c r="AF321" s="30">
        <v>6</v>
      </c>
      <c r="AG321" s="31" t="s">
        <v>34</v>
      </c>
      <c r="AH321" s="31"/>
      <c r="AI321" s="30" t="s">
        <v>1445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1548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1188</v>
      </c>
      <c r="BC321" s="30" t="s">
        <v>1514</v>
      </c>
      <c r="BD321" s="30" t="s">
        <v>1118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1188</v>
      </c>
      <c r="D322" s="30" t="s">
        <v>134</v>
      </c>
      <c r="E322" s="30" t="s">
        <v>1535</v>
      </c>
      <c r="F322" s="30" t="str">
        <f>IF(ISBLANK(Table2[[#This Row],[unique_id]]), "", PROPER(SUBSTITUTE(Table2[[#This Row],[unique_id]], "_", " ")))</f>
        <v>Service Zigbee2Mqtt</v>
      </c>
      <c r="G322" s="30" t="s">
        <v>1547</v>
      </c>
      <c r="H322" s="30" t="s">
        <v>1187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1549</v>
      </c>
      <c r="AF322" s="30">
        <v>6</v>
      </c>
      <c r="AG322" s="31" t="s">
        <v>34</v>
      </c>
      <c r="AH322" s="31"/>
      <c r="AI322" s="30" t="s">
        <v>1445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1548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1188</v>
      </c>
      <c r="BC322" s="30" t="s">
        <v>1514</v>
      </c>
      <c r="BD322" s="30" t="s">
        <v>1118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1187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1205</v>
      </c>
      <c r="D324" s="30" t="s">
        <v>27</v>
      </c>
      <c r="E324" s="30" t="s">
        <v>1211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1206</v>
      </c>
      <c r="H324" s="30" t="s">
        <v>1208</v>
      </c>
      <c r="I324" s="30" t="s">
        <v>291</v>
      </c>
      <c r="K324" s="30" t="s">
        <v>1169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1550</v>
      </c>
      <c r="D325" s="30" t="s">
        <v>27</v>
      </c>
      <c r="E325" s="30" t="s">
        <v>1114</v>
      </c>
      <c r="F325" s="36" t="str">
        <f>IF(ISBLANK(Table2[[#This Row],[unique_id]]), "", PROPER(SUBSTITUTE(Table2[[#This Row],[unique_id]], "_", " ")))</f>
        <v>Rack Top Temperature</v>
      </c>
      <c r="G325" s="30" t="s">
        <v>1116</v>
      </c>
      <c r="H325" s="30" t="s">
        <v>1208</v>
      </c>
      <c r="I325" s="30" t="s">
        <v>291</v>
      </c>
      <c r="K325" s="30" t="s">
        <v>1161</v>
      </c>
      <c r="O325" s="31"/>
      <c r="P325" s="30"/>
      <c r="T325" s="37"/>
      <c r="U325" s="30"/>
      <c r="V325" s="31" t="s">
        <v>1181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1442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"/data"))</f>
        <v>tempstat/data</v>
      </c>
      <c r="AL325" s="30" t="str">
        <f>IF(ISBLANK(Table2[[#This Row],[index]]), "", _xlfn.CONCAT(LOWER(Table2[[#This Row],[device_via_device]]), "/command"))</f>
        <v>tempstat/command</v>
      </c>
      <c r="AM325" s="30" t="str">
        <f>IF(ISBLANK(Table2[[#This Row],[index]]), "", _xlfn.CONCAT(LOWER(Table2[[#This Row],[device_via_device]]), "/status"))</f>
        <v>tempstat/status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1552</v>
      </c>
      <c r="BD325" s="30" t="s">
        <v>1553</v>
      </c>
      <c r="BF325" s="30" t="s">
        <v>989</v>
      </c>
      <c r="BG325" s="30" t="s">
        <v>28</v>
      </c>
      <c r="BL325" s="30" t="s">
        <v>1137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1550</v>
      </c>
      <c r="D326" s="30" t="s">
        <v>27</v>
      </c>
      <c r="E326" s="30" t="s">
        <v>1161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1116</v>
      </c>
      <c r="H326" s="30" t="s">
        <v>1208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1550</v>
      </c>
      <c r="D327" s="30" t="s">
        <v>27</v>
      </c>
      <c r="E327" s="30" t="s">
        <v>1115</v>
      </c>
      <c r="F327" s="36" t="str">
        <f>IF(ISBLANK(Table2[[#This Row],[unique_id]]), "", PROPER(SUBSTITUTE(Table2[[#This Row],[unique_id]], "_", " ")))</f>
        <v>Rack Bottom Temperature</v>
      </c>
      <c r="G327" s="30" t="s">
        <v>1120</v>
      </c>
      <c r="H327" s="30" t="s">
        <v>1208</v>
      </c>
      <c r="I327" s="30" t="s">
        <v>291</v>
      </c>
      <c r="K327" s="30" t="s">
        <v>1162</v>
      </c>
      <c r="O327" s="31"/>
      <c r="P327" s="30"/>
      <c r="T327" s="37"/>
      <c r="U327" s="30"/>
      <c r="V327" s="31" t="s">
        <v>1181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1442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"/data"))</f>
        <v>tempstat/data</v>
      </c>
      <c r="AL327" s="30" t="str">
        <f>IF(ISBLANK(Table2[[#This Row],[index]]), "", _xlfn.CONCAT(LOWER(Table2[[#This Row],[device_via_device]]), "/command"))</f>
        <v>tempstat/command</v>
      </c>
      <c r="AM327" s="30" t="str">
        <f>IF(ISBLANK(Table2[[#This Row],[index]]), "", _xlfn.CONCAT(LOWER(Table2[[#This Row],[device_via_device]]), "/status"))</f>
        <v>tempstat/status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1552</v>
      </c>
      <c r="BD327" s="30" t="s">
        <v>1553</v>
      </c>
      <c r="BF327" s="30" t="s">
        <v>989</v>
      </c>
      <c r="BG327" s="30" t="s">
        <v>28</v>
      </c>
      <c r="BL327" s="30" t="s">
        <v>1136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1550</v>
      </c>
      <c r="D328" s="30" t="s">
        <v>27</v>
      </c>
      <c r="E328" s="30" t="s">
        <v>1162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1120</v>
      </c>
      <c r="H328" s="30" t="s">
        <v>1208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1188</v>
      </c>
      <c r="D329" s="30" t="s">
        <v>27</v>
      </c>
      <c r="E329" s="30" t="s">
        <v>1471</v>
      </c>
      <c r="F329" s="30" t="str">
        <f>IF(ISBLANK(Table2[[#This Row],[unique_id]]), "", PROPER(SUBSTITUTE(Table2[[#This Row],[unique_id]], "_", " ")))</f>
        <v>Host Mad Temperature</v>
      </c>
      <c r="G329" s="30" t="s">
        <v>1475</v>
      </c>
      <c r="H329" s="30" t="s">
        <v>1208</v>
      </c>
      <c r="I329" s="30" t="s">
        <v>291</v>
      </c>
      <c r="K329" s="30" t="s">
        <v>1472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1477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1188</v>
      </c>
      <c r="BC329" s="30" t="s">
        <v>1514</v>
      </c>
      <c r="BD329" s="30" t="s">
        <v>1118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1188</v>
      </c>
      <c r="D330" s="30" t="s">
        <v>27</v>
      </c>
      <c r="E330" s="30" t="s">
        <v>1472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1475</v>
      </c>
      <c r="H330" s="30" t="s">
        <v>1208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1188</v>
      </c>
      <c r="D331" s="30" t="s">
        <v>27</v>
      </c>
      <c r="E331" s="30" t="s">
        <v>1473</v>
      </c>
      <c r="F331" s="30" t="str">
        <f>IF(ISBLANK(Table2[[#This Row],[unique_id]]), "", PROPER(SUBSTITUTE(Table2[[#This Row],[unique_id]], "_", " ")))</f>
        <v>Host Max Temperature</v>
      </c>
      <c r="G331" s="30" t="s">
        <v>1476</v>
      </c>
      <c r="H331" s="30" t="s">
        <v>1208</v>
      </c>
      <c r="I331" s="30" t="s">
        <v>291</v>
      </c>
      <c r="K331" s="30" t="s">
        <v>1474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1478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1188</v>
      </c>
      <c r="BC331" s="30" t="s">
        <v>1514</v>
      </c>
      <c r="BD331" s="30" t="s">
        <v>1118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1188</v>
      </c>
      <c r="D332" s="30" t="s">
        <v>27</v>
      </c>
      <c r="E332" s="30" t="s">
        <v>1474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1476</v>
      </c>
      <c r="H332" s="30" t="s">
        <v>1208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1188</v>
      </c>
      <c r="D333" s="30" t="s">
        <v>27</v>
      </c>
      <c r="E333" s="30" t="s">
        <v>1436</v>
      </c>
      <c r="F333" s="30" t="str">
        <f>IF(ISBLANK(Table2[[#This Row],[unique_id]]), "", PROPER(SUBSTITUTE(Table2[[#This Row],[unique_id]], "_", " ")))</f>
        <v>Host May Temperature</v>
      </c>
      <c r="G333" s="30" t="s">
        <v>1435</v>
      </c>
      <c r="H333" s="30" t="s">
        <v>1208</v>
      </c>
      <c r="I333" s="30" t="s">
        <v>291</v>
      </c>
      <c r="K333" s="30" t="s">
        <v>1437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1442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1188</v>
      </c>
      <c r="BC333" s="30" t="s">
        <v>1514</v>
      </c>
      <c r="BD333" s="30" t="s">
        <v>1118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1188</v>
      </c>
      <c r="D334" s="30" t="s">
        <v>27</v>
      </c>
      <c r="E334" s="30" t="s">
        <v>1437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1435</v>
      </c>
      <c r="H334" s="30" t="s">
        <v>1208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1188</v>
      </c>
      <c r="D335" s="30" t="s">
        <v>27</v>
      </c>
      <c r="E335" s="30" t="s">
        <v>1201</v>
      </c>
      <c r="F335" s="30" t="str">
        <f>IF(ISBLANK(Table2[[#This Row],[unique_id]]), "", PROPER(SUBSTITUTE(Table2[[#This Row],[unique_id]], "_", " ")))</f>
        <v>Host Meg Temperature</v>
      </c>
      <c r="G335" s="30" t="s">
        <v>1204</v>
      </c>
      <c r="H335" s="30" t="s">
        <v>1208</v>
      </c>
      <c r="I335" s="30" t="s">
        <v>291</v>
      </c>
      <c r="K335" s="30" t="s">
        <v>1203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1138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1188</v>
      </c>
      <c r="BC335" s="30" t="s">
        <v>1514</v>
      </c>
      <c r="BD335" s="30" t="s">
        <v>1118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1188</v>
      </c>
      <c r="D336" s="30" t="s">
        <v>27</v>
      </c>
      <c r="E336" s="30" t="s">
        <v>1203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1204</v>
      </c>
      <c r="H336" s="30" t="s">
        <v>1208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1205</v>
      </c>
      <c r="D337" s="30" t="s">
        <v>27</v>
      </c>
      <c r="E337" s="30" t="s">
        <v>1213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1210</v>
      </c>
      <c r="H337" s="30" t="s">
        <v>1209</v>
      </c>
      <c r="I337" s="30" t="s">
        <v>291</v>
      </c>
      <c r="K337" s="30" t="s">
        <v>1160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1205</v>
      </c>
      <c r="D338" s="30" t="s">
        <v>27</v>
      </c>
      <c r="E338" s="30" t="s">
        <v>1212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1421</v>
      </c>
      <c r="H338" s="30" t="s">
        <v>1207</v>
      </c>
      <c r="I338" s="30" t="s">
        <v>291</v>
      </c>
      <c r="K338" s="30" t="s">
        <v>1166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1188</v>
      </c>
      <c r="D339" s="30" t="s">
        <v>27</v>
      </c>
      <c r="E339" s="30" t="s">
        <v>1448</v>
      </c>
      <c r="F339" s="30" t="str">
        <f>IF(ISBLANK(Table2[[#This Row],[unique_id]]), "", PROPER(SUBSTITUTE(Table2[[#This Row],[unique_id]], "_", " ")))</f>
        <v>Host Jen Temperature</v>
      </c>
      <c r="G339" s="30" t="s">
        <v>1449</v>
      </c>
      <c r="H339" s="30" t="s">
        <v>1207</v>
      </c>
      <c r="I339" s="30" t="s">
        <v>291</v>
      </c>
      <c r="K339" s="30" t="s">
        <v>1444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1445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1188</v>
      </c>
      <c r="BC339" s="30" t="s">
        <v>1514</v>
      </c>
      <c r="BD339" s="30" t="s">
        <v>1118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1188</v>
      </c>
      <c r="D340" s="30" t="s">
        <v>27</v>
      </c>
      <c r="E340" s="30" t="s">
        <v>1444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1449</v>
      </c>
      <c r="H340" s="30" t="s">
        <v>1207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1207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1185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1185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1185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1185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1185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8" customFormat="1" ht="16" customHeight="1" x14ac:dyDescent="0.2">
      <c r="A347" s="30">
        <v>2565</v>
      </c>
      <c r="B347" s="48" t="s">
        <v>26</v>
      </c>
      <c r="C347" s="48" t="s">
        <v>150</v>
      </c>
      <c r="D347" s="48" t="s">
        <v>27</v>
      </c>
      <c r="E347" s="48" t="s">
        <v>657</v>
      </c>
      <c r="F347" s="49" t="str">
        <f>IF(ISBLANK(Table2[[#This Row],[unique_id]]), "", PROPER(SUBSTITUTE(Table2[[#This Row],[unique_id]], "_", " ")))</f>
        <v>Template Weatherstation Console Battery Percent Int</v>
      </c>
      <c r="G347" s="48" t="s">
        <v>655</v>
      </c>
      <c r="H347" s="48" t="s">
        <v>1185</v>
      </c>
      <c r="I347" s="48" t="s">
        <v>291</v>
      </c>
      <c r="M347" s="48" t="s">
        <v>136</v>
      </c>
      <c r="O347" s="50"/>
      <c r="T347" s="51"/>
      <c r="V347" s="50"/>
      <c r="W347" s="50"/>
      <c r="X347" s="50"/>
      <c r="Y347" s="50"/>
      <c r="Z347" s="50"/>
      <c r="AA347" s="50"/>
      <c r="AB347" s="48" t="s">
        <v>31</v>
      </c>
      <c r="AC347" s="48" t="s">
        <v>32</v>
      </c>
      <c r="AD347" s="48" t="s">
        <v>656</v>
      </c>
      <c r="AG347" s="50"/>
      <c r="AH347" s="50"/>
      <c r="AR347" s="52"/>
      <c r="AT347" s="53"/>
      <c r="AU347" s="50"/>
      <c r="AV34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8" t="str">
        <f>IF(ISBLANK(Table2[[#This Row],[device_model]]), "", Table2[[#This Row],[device_suggested_area]])</f>
        <v/>
      </c>
      <c r="BF347" s="50"/>
      <c r="BN34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8" customFormat="1" ht="16" customHeight="1" x14ac:dyDescent="0.2">
      <c r="A348" s="30">
        <v>2566</v>
      </c>
      <c r="B348" s="48" t="s">
        <v>26</v>
      </c>
      <c r="C348" s="48" t="s">
        <v>39</v>
      </c>
      <c r="D348" s="48" t="s">
        <v>27</v>
      </c>
      <c r="E348" s="48" t="s">
        <v>170</v>
      </c>
      <c r="F348" s="49" t="str">
        <f>IF(ISBLANK(Table2[[#This Row],[unique_id]]), "", PROPER(SUBSTITUTE(Table2[[#This Row],[unique_id]], "_", " ")))</f>
        <v>Weatherstation Console Battery Voltage</v>
      </c>
      <c r="G348" s="48" t="s">
        <v>464</v>
      </c>
      <c r="H348" s="48" t="s">
        <v>1185</v>
      </c>
      <c r="I348" s="48" t="s">
        <v>291</v>
      </c>
      <c r="O348" s="50"/>
      <c r="T348" s="51"/>
      <c r="V348" s="50" t="s">
        <v>1222</v>
      </c>
      <c r="W348" s="50"/>
      <c r="X348" s="50"/>
      <c r="Y348" s="50"/>
      <c r="Z348" s="50"/>
      <c r="AA348" s="50"/>
      <c r="AB348" s="48" t="s">
        <v>31</v>
      </c>
      <c r="AC348" s="48" t="s">
        <v>83</v>
      </c>
      <c r="AD348" s="48" t="s">
        <v>84</v>
      </c>
      <c r="AE348" s="48" t="s">
        <v>272</v>
      </c>
      <c r="AF348" s="48">
        <v>300</v>
      </c>
      <c r="AG348" s="50" t="s">
        <v>34</v>
      </c>
      <c r="AH348" s="50"/>
      <c r="AI348" s="48" t="s">
        <v>85</v>
      </c>
      <c r="AJ348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8" t="str">
        <f>IF(ISBLANK(Table2[[#This Row],[index]]),  "", _xlfn.CONCAT(LOWER(Table2[[#This Row],[device_via_device]]), "/", Table2[[#This Row],[unique_id]]))</f>
        <v>weewx/weatherstation_console_battery_voltage</v>
      </c>
      <c r="AR348" s="52" t="s">
        <v>1183</v>
      </c>
      <c r="AS348" s="48">
        <v>1</v>
      </c>
      <c r="AT348" s="53"/>
      <c r="AV348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8" t="str">
        <f>IF(ISBLANK(Table2[[#This Row],[device_model]]), "", Table2[[#This Row],[device_suggested_area]])</f>
        <v>Wardrobe</v>
      </c>
      <c r="BB348" s="48" t="s">
        <v>1220</v>
      </c>
      <c r="BC348" s="48" t="s">
        <v>36</v>
      </c>
      <c r="BD348" s="48" t="s">
        <v>37</v>
      </c>
      <c r="BF348" s="48" t="s">
        <v>1063</v>
      </c>
      <c r="BG348" s="48" t="s">
        <v>495</v>
      </c>
      <c r="BN348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1354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1185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1355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1185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1356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1185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1357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1185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1185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1185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1185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1479</v>
      </c>
      <c r="F357" s="36" t="str">
        <f>IF(ISBLANK(Table2[[#This Row],[unique_id]]), "", PROPER(SUBSTITUTE(Table2[[#This Row],[unique_id]], "_", " ")))</f>
        <v>Rack Printer Plug</v>
      </c>
      <c r="G357" s="30" t="s">
        <v>1494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1260</v>
      </c>
      <c r="BL357" s="30" t="s">
        <v>1499</v>
      </c>
      <c r="BM357" s="30" t="s">
        <v>1495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1489</v>
      </c>
      <c r="F358" s="36" t="str">
        <f>IF(ISBLANK(Table2[[#This Row],[unique_id]]), "", PROPER(SUBSTITUTE(Table2[[#This Row],[unique_id]], "_", " ")))</f>
        <v>Rack Screen Plug</v>
      </c>
      <c r="G358" s="30" t="s">
        <v>1482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1483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1486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1260</v>
      </c>
      <c r="BL358" s="30" t="s">
        <v>1491</v>
      </c>
      <c r="BM358" s="30" t="s">
        <v>1487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1463</v>
      </c>
      <c r="F359" s="36" t="str">
        <f>IF(ISBLANK(Table2[[#This Row],[unique_id]]), "", PROPER(SUBSTITUTE(Table2[[#This Row],[unique_id]], "_", " ")))</f>
        <v>Rack Backup Plug</v>
      </c>
      <c r="G359" s="30" t="s">
        <v>1481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1484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1485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1260</v>
      </c>
      <c r="BL359" s="30" t="s">
        <v>1490</v>
      </c>
      <c r="BM359" s="30" t="s">
        <v>1488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1260</v>
      </c>
      <c r="BL360" s="30" t="s">
        <v>589</v>
      </c>
      <c r="BM360" s="30" t="s">
        <v>1314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1260</v>
      </c>
      <c r="BL362" s="30" t="s">
        <v>349</v>
      </c>
      <c r="BM362" s="30" t="s">
        <v>1294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4" customFormat="1" ht="16" customHeight="1" x14ac:dyDescent="0.2">
      <c r="A363" s="30">
        <v>2581</v>
      </c>
      <c r="B363" s="54" t="s">
        <v>579</v>
      </c>
      <c r="C363" s="54" t="s">
        <v>808</v>
      </c>
      <c r="D363" s="54" t="s">
        <v>148</v>
      </c>
      <c r="E363" s="55" t="s">
        <v>1397</v>
      </c>
      <c r="F363" s="56" t="str">
        <f>IF(ISBLANK(Table2[[#This Row],[unique_id]]), "", PROPER(SUBSTITUTE(Table2[[#This Row],[unique_id]], "_", " ")))</f>
        <v>Broken Template Lounge Sub Plug Proxy</v>
      </c>
      <c r="G363" s="54" t="s">
        <v>792</v>
      </c>
      <c r="H363" s="54" t="s">
        <v>526</v>
      </c>
      <c r="I363" s="54" t="s">
        <v>291</v>
      </c>
      <c r="O363" s="57" t="s">
        <v>788</v>
      </c>
      <c r="P363" s="54" t="s">
        <v>165</v>
      </c>
      <c r="Q363" s="54" t="s">
        <v>760</v>
      </c>
      <c r="R363" s="60" t="s">
        <v>745</v>
      </c>
      <c r="S363" s="54" t="str">
        <f>Table2[[#This Row],[friendly_name]]</f>
        <v>Lounge Sub</v>
      </c>
      <c r="T363" s="55" t="s">
        <v>1067</v>
      </c>
      <c r="V363" s="57"/>
      <c r="W363" s="57"/>
      <c r="X363" s="57"/>
      <c r="Y363" s="57"/>
      <c r="Z363" s="57"/>
      <c r="AA363" s="57"/>
      <c r="AG363" s="57"/>
      <c r="AH363" s="57"/>
      <c r="AR363" s="59"/>
      <c r="AT363" s="61"/>
      <c r="AU363" s="54" t="s">
        <v>134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Lounge</v>
      </c>
      <c r="BB363" s="54" t="s">
        <v>1020</v>
      </c>
      <c r="BC363" s="59" t="s">
        <v>360</v>
      </c>
      <c r="BD363" s="54" t="s">
        <v>233</v>
      </c>
      <c r="BF363" s="54" t="s">
        <v>361</v>
      </c>
      <c r="BG363" s="54" t="s">
        <v>194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579</v>
      </c>
      <c r="C364" s="54" t="s">
        <v>233</v>
      </c>
      <c r="D364" s="54" t="s">
        <v>134</v>
      </c>
      <c r="E364" s="54" t="s">
        <v>1398</v>
      </c>
      <c r="F364" s="56" t="str">
        <f>IF(ISBLANK(Table2[[#This Row],[unique_id]]), "", PROPER(SUBSTITUTE(Table2[[#This Row],[unique_id]], "_", " ")))</f>
        <v>Broken Lounge Sub Plug</v>
      </c>
      <c r="G364" s="54" t="s">
        <v>792</v>
      </c>
      <c r="H364" s="54" t="s">
        <v>526</v>
      </c>
      <c r="I364" s="54" t="s">
        <v>291</v>
      </c>
      <c r="M364" s="54" t="s">
        <v>257</v>
      </c>
      <c r="O364" s="57" t="s">
        <v>788</v>
      </c>
      <c r="P364" s="54" t="s">
        <v>165</v>
      </c>
      <c r="Q364" s="54" t="s">
        <v>760</v>
      </c>
      <c r="R364" s="60" t="s">
        <v>745</v>
      </c>
      <c r="S364" s="54" t="str">
        <f>Table2[[#This Row],[friendly_name]]</f>
        <v>Lounge Sub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793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Lounge</v>
      </c>
      <c r="BB364" s="54" t="s">
        <v>1020</v>
      </c>
      <c r="BC364" s="59" t="s">
        <v>360</v>
      </c>
      <c r="BD364" s="54" t="s">
        <v>233</v>
      </c>
      <c r="BF364" s="54" t="s">
        <v>361</v>
      </c>
      <c r="BG364" s="54" t="s">
        <v>194</v>
      </c>
      <c r="BJ364" s="54" t="s">
        <v>976</v>
      </c>
      <c r="BK364" s="54" t="s">
        <v>1260</v>
      </c>
      <c r="BL364" s="54" t="s">
        <v>340</v>
      </c>
      <c r="BM364" s="54" t="s">
        <v>1295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4" customFormat="1" ht="16" customHeight="1" x14ac:dyDescent="0.2">
      <c r="A365" s="30">
        <v>2583</v>
      </c>
      <c r="B365" s="54" t="s">
        <v>579</v>
      </c>
      <c r="C365" s="54" t="s">
        <v>808</v>
      </c>
      <c r="D365" s="54" t="s">
        <v>148</v>
      </c>
      <c r="E365" s="55" t="s">
        <v>1399</v>
      </c>
      <c r="F365" s="56" t="str">
        <f>IF(ISBLANK(Table2[[#This Row],[unique_id]]), "", PROPER(SUBSTITUTE(Table2[[#This Row],[unique_id]], "_", " ")))</f>
        <v>Broken Template Study Outlet Plug Proxy</v>
      </c>
      <c r="G365" s="54" t="s">
        <v>226</v>
      </c>
      <c r="H365" s="54" t="s">
        <v>526</v>
      </c>
      <c r="I365" s="54" t="s">
        <v>291</v>
      </c>
      <c r="O365" s="57" t="s">
        <v>788</v>
      </c>
      <c r="P365" s="54" t="s">
        <v>165</v>
      </c>
      <c r="Q365" s="54" t="s">
        <v>760</v>
      </c>
      <c r="R365" s="54" t="s">
        <v>526</v>
      </c>
      <c r="S365" s="54" t="str">
        <f>Table2[[#This Row],[friendly_name]]</f>
        <v>Study Outlet</v>
      </c>
      <c r="T365" s="55" t="s">
        <v>1066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134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Study</v>
      </c>
      <c r="BB365" s="54" t="s">
        <v>1018</v>
      </c>
      <c r="BC365" s="59" t="s">
        <v>360</v>
      </c>
      <c r="BD365" s="54" t="s">
        <v>233</v>
      </c>
      <c r="BF365" s="54" t="s">
        <v>361</v>
      </c>
      <c r="BG365" s="54" t="s">
        <v>356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customHeight="1" x14ac:dyDescent="0.2">
      <c r="A366" s="30">
        <v>2584</v>
      </c>
      <c r="B366" s="54" t="s">
        <v>579</v>
      </c>
      <c r="C366" s="54" t="s">
        <v>233</v>
      </c>
      <c r="D366" s="54" t="s">
        <v>134</v>
      </c>
      <c r="E366" s="54" t="s">
        <v>1400</v>
      </c>
      <c r="F366" s="56" t="str">
        <f>IF(ISBLANK(Table2[[#This Row],[unique_id]]), "", PROPER(SUBSTITUTE(Table2[[#This Row],[unique_id]], "_", " ")))</f>
        <v>Broken Study Outlet Plug</v>
      </c>
      <c r="G366" s="54" t="s">
        <v>226</v>
      </c>
      <c r="H366" s="54" t="s">
        <v>526</v>
      </c>
      <c r="I366" s="54" t="s">
        <v>291</v>
      </c>
      <c r="M366" s="54" t="s">
        <v>257</v>
      </c>
      <c r="O366" s="57" t="s">
        <v>788</v>
      </c>
      <c r="P366" s="54" t="s">
        <v>165</v>
      </c>
      <c r="Q366" s="54" t="s">
        <v>760</v>
      </c>
      <c r="R366" s="54" t="s">
        <v>526</v>
      </c>
      <c r="S366" s="54" t="str">
        <f>Table2[[#This Row],[friendly_name]]</f>
        <v>Study Outlet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251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Study</v>
      </c>
      <c r="BB366" s="54" t="s">
        <v>1018</v>
      </c>
      <c r="BC366" s="59" t="s">
        <v>360</v>
      </c>
      <c r="BD366" s="54" t="s">
        <v>233</v>
      </c>
      <c r="BF366" s="54" t="s">
        <v>361</v>
      </c>
      <c r="BG366" s="54" t="s">
        <v>356</v>
      </c>
      <c r="BJ366" s="54" t="s">
        <v>976</v>
      </c>
      <c r="BK366" s="54" t="s">
        <v>1260</v>
      </c>
      <c r="BL366" s="54" t="s">
        <v>351</v>
      </c>
      <c r="BM366" s="54" t="s">
        <v>1296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4" customFormat="1" ht="16" customHeight="1" x14ac:dyDescent="0.2">
      <c r="A367" s="30">
        <v>2585</v>
      </c>
      <c r="B367" s="54" t="s">
        <v>579</v>
      </c>
      <c r="C367" s="54" t="s">
        <v>808</v>
      </c>
      <c r="D367" s="54" t="s">
        <v>148</v>
      </c>
      <c r="E367" s="55" t="s">
        <v>1401</v>
      </c>
      <c r="F367" s="56" t="str">
        <f>IF(ISBLANK(Table2[[#This Row],[unique_id]]), "", PROPER(SUBSTITUTE(Table2[[#This Row],[unique_id]], "_", " ")))</f>
        <v>Broken Template Office Outlet Plug Proxy</v>
      </c>
      <c r="G367" s="54" t="s">
        <v>225</v>
      </c>
      <c r="H367" s="54" t="s">
        <v>526</v>
      </c>
      <c r="I367" s="54" t="s">
        <v>291</v>
      </c>
      <c r="O367" s="57" t="s">
        <v>788</v>
      </c>
      <c r="P367" s="54" t="s">
        <v>165</v>
      </c>
      <c r="Q367" s="54" t="s">
        <v>760</v>
      </c>
      <c r="R367" s="54" t="s">
        <v>526</v>
      </c>
      <c r="S367" s="54" t="str">
        <f>Table2[[#This Row],[friendly_name]]</f>
        <v>Office Outlet</v>
      </c>
      <c r="T367" s="55" t="s">
        <v>1066</v>
      </c>
      <c r="V367" s="57"/>
      <c r="W367" s="57"/>
      <c r="X367" s="57"/>
      <c r="Y367" s="57"/>
      <c r="Z367" s="57"/>
      <c r="AA367" s="57"/>
      <c r="AG367" s="57"/>
      <c r="AH367" s="57"/>
      <c r="AT367" s="58"/>
      <c r="AU367" s="54" t="s">
        <v>134</v>
      </c>
      <c r="AV36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4" t="str">
        <f>IF(ISBLANK(Table2[[#This Row],[device_model]]), "", Table2[[#This Row],[device_suggested_area]])</f>
        <v>Office</v>
      </c>
      <c r="BB367" s="54" t="s">
        <v>1018</v>
      </c>
      <c r="BC367" s="59" t="s">
        <v>360</v>
      </c>
      <c r="BD367" s="54" t="s">
        <v>233</v>
      </c>
      <c r="BF367" s="54" t="s">
        <v>361</v>
      </c>
      <c r="BG367" s="54" t="s">
        <v>212</v>
      </c>
      <c r="BN36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4" customFormat="1" ht="16" customHeight="1" x14ac:dyDescent="0.2">
      <c r="A368" s="30">
        <v>2586</v>
      </c>
      <c r="B368" s="54" t="s">
        <v>579</v>
      </c>
      <c r="C368" s="54" t="s">
        <v>233</v>
      </c>
      <c r="D368" s="54" t="s">
        <v>134</v>
      </c>
      <c r="E368" s="54" t="s">
        <v>1402</v>
      </c>
      <c r="F368" s="56" t="str">
        <f>IF(ISBLANK(Table2[[#This Row],[unique_id]]), "", PROPER(SUBSTITUTE(Table2[[#This Row],[unique_id]], "_", " ")))</f>
        <v>Broken Office Outlet Plug</v>
      </c>
      <c r="G368" s="54" t="s">
        <v>225</v>
      </c>
      <c r="H368" s="54" t="s">
        <v>526</v>
      </c>
      <c r="I368" s="54" t="s">
        <v>291</v>
      </c>
      <c r="M368" s="54" t="s">
        <v>257</v>
      </c>
      <c r="O368" s="57" t="s">
        <v>788</v>
      </c>
      <c r="P368" s="54" t="s">
        <v>165</v>
      </c>
      <c r="Q368" s="54" t="s">
        <v>760</v>
      </c>
      <c r="R368" s="54" t="s">
        <v>526</v>
      </c>
      <c r="S368" s="54" t="str">
        <f>Table2[[#This Row],[friendly_name]]</f>
        <v>Office Outlet</v>
      </c>
      <c r="T36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7"/>
      <c r="W368" s="57"/>
      <c r="X368" s="57"/>
      <c r="Y368" s="57"/>
      <c r="Z368" s="57"/>
      <c r="AA368" s="57"/>
      <c r="AE368" s="54" t="s">
        <v>251</v>
      </c>
      <c r="AG368" s="57"/>
      <c r="AH368" s="57"/>
      <c r="AT368" s="58"/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4" t="str">
        <f>IF(ISBLANK(Table2[[#This Row],[device_model]]), "", Table2[[#This Row],[device_suggested_area]])</f>
        <v>Office</v>
      </c>
      <c r="BB368" s="54" t="s">
        <v>1018</v>
      </c>
      <c r="BC368" s="59" t="s">
        <v>360</v>
      </c>
      <c r="BD368" s="54" t="s">
        <v>233</v>
      </c>
      <c r="BF368" s="54" t="s">
        <v>361</v>
      </c>
      <c r="BG368" s="54" t="s">
        <v>212</v>
      </c>
      <c r="BJ368" s="54" t="s">
        <v>977</v>
      </c>
      <c r="BK368" s="54" t="s">
        <v>1260</v>
      </c>
      <c r="BL368" s="54" t="s">
        <v>352</v>
      </c>
      <c r="BM368" s="54" t="s">
        <v>1297</v>
      </c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4" customFormat="1" ht="16" customHeight="1" x14ac:dyDescent="0.2">
      <c r="A369" s="30">
        <v>2587</v>
      </c>
      <c r="B369" s="54" t="s">
        <v>579</v>
      </c>
      <c r="C369" s="54" t="s">
        <v>808</v>
      </c>
      <c r="D369" s="54" t="s">
        <v>148</v>
      </c>
      <c r="E369" s="55" t="s">
        <v>1403</v>
      </c>
      <c r="F369" s="56" t="str">
        <f>IF(ISBLANK(Table2[[#This Row],[unique_id]]), "", PROPER(SUBSTITUTE(Table2[[#This Row],[unique_id]], "_", " ")))</f>
        <v>Broken Template Kitchen Dish Washer Plug Proxy</v>
      </c>
      <c r="G369" s="54" t="s">
        <v>228</v>
      </c>
      <c r="H369" s="54" t="s">
        <v>526</v>
      </c>
      <c r="I369" s="54" t="s">
        <v>291</v>
      </c>
      <c r="O369" s="57" t="s">
        <v>788</v>
      </c>
      <c r="P369" s="54" t="s">
        <v>165</v>
      </c>
      <c r="Q369" s="54" t="s">
        <v>761</v>
      </c>
      <c r="R369" s="54" t="s">
        <v>771</v>
      </c>
      <c r="S369" s="54" t="str">
        <f>Table2[[#This Row],[friendly_name]]</f>
        <v>Dish Washer</v>
      </c>
      <c r="T369" s="55" t="s">
        <v>1066</v>
      </c>
      <c r="V369" s="57"/>
      <c r="W369" s="57"/>
      <c r="X369" s="57"/>
      <c r="Y369" s="57"/>
      <c r="Z369" s="57"/>
      <c r="AA369" s="57"/>
      <c r="AG369" s="57"/>
      <c r="AH369" s="57"/>
      <c r="AT369" s="58"/>
      <c r="AU369" s="54" t="s">
        <v>134</v>
      </c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Kitchen</v>
      </c>
      <c r="BB369" s="54" t="s">
        <v>228</v>
      </c>
      <c r="BC369" s="59" t="s">
        <v>360</v>
      </c>
      <c r="BD369" s="54" t="s">
        <v>233</v>
      </c>
      <c r="BF369" s="54" t="s">
        <v>361</v>
      </c>
      <c r="BG369" s="54" t="s">
        <v>206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4" customFormat="1" ht="16" customHeight="1" x14ac:dyDescent="0.2">
      <c r="A370" s="30">
        <v>2588</v>
      </c>
      <c r="B370" s="54" t="s">
        <v>579</v>
      </c>
      <c r="C370" s="54" t="s">
        <v>233</v>
      </c>
      <c r="D370" s="54" t="s">
        <v>134</v>
      </c>
      <c r="E370" s="54" t="s">
        <v>1404</v>
      </c>
      <c r="F370" s="56" t="str">
        <f>IF(ISBLANK(Table2[[#This Row],[unique_id]]), "", PROPER(SUBSTITUTE(Table2[[#This Row],[unique_id]], "_", " ")))</f>
        <v>Broken Kitchen Dish Washer Plug</v>
      </c>
      <c r="G370" s="54" t="s">
        <v>228</v>
      </c>
      <c r="H370" s="54" t="s">
        <v>526</v>
      </c>
      <c r="I370" s="54" t="s">
        <v>291</v>
      </c>
      <c r="M370" s="54" t="s">
        <v>257</v>
      </c>
      <c r="O370" s="57" t="s">
        <v>788</v>
      </c>
      <c r="P370" s="54" t="s">
        <v>165</v>
      </c>
      <c r="Q370" s="54" t="s">
        <v>761</v>
      </c>
      <c r="R370" s="54" t="s">
        <v>771</v>
      </c>
      <c r="S370" s="54" t="str">
        <f>Table2[[#This Row],[friendly_name]]</f>
        <v>Dish Washer</v>
      </c>
      <c r="T37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7"/>
      <c r="W370" s="57"/>
      <c r="X370" s="57"/>
      <c r="Y370" s="57"/>
      <c r="Z370" s="57"/>
      <c r="AA370" s="57"/>
      <c r="AE370" s="54" t="s">
        <v>244</v>
      </c>
      <c r="AG370" s="57"/>
      <c r="AH370" s="57"/>
      <c r="AT370" s="58"/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Kitchen</v>
      </c>
      <c r="BB370" s="54" t="s">
        <v>228</v>
      </c>
      <c r="BC370" s="59" t="s">
        <v>360</v>
      </c>
      <c r="BD370" s="54" t="s">
        <v>233</v>
      </c>
      <c r="BF370" s="54" t="s">
        <v>361</v>
      </c>
      <c r="BG370" s="54" t="s">
        <v>206</v>
      </c>
      <c r="BJ370" s="54" t="s">
        <v>977</v>
      </c>
      <c r="BK370" s="54" t="s">
        <v>1260</v>
      </c>
      <c r="BL370" s="54" t="s">
        <v>343</v>
      </c>
      <c r="BM370" s="54" t="s">
        <v>1298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1260</v>
      </c>
      <c r="BL372" s="30" t="s">
        <v>355</v>
      </c>
      <c r="BM372" s="30" t="s">
        <v>1309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4" customFormat="1" ht="16" customHeight="1" x14ac:dyDescent="0.2">
      <c r="A373" s="30">
        <v>2591</v>
      </c>
      <c r="B373" s="54" t="s">
        <v>579</v>
      </c>
      <c r="C373" s="54" t="s">
        <v>808</v>
      </c>
      <c r="D373" s="54" t="s">
        <v>148</v>
      </c>
      <c r="E373" s="55" t="s">
        <v>1405</v>
      </c>
      <c r="F373" s="56" t="str">
        <f>IF(ISBLANK(Table2[[#This Row],[unique_id]]), "", PROPER(SUBSTITUTE(Table2[[#This Row],[unique_id]], "_", " ")))</f>
        <v>Broken Template Laundry Clothes Dryer Plug Proxy</v>
      </c>
      <c r="G373" s="54" t="s">
        <v>229</v>
      </c>
      <c r="H373" s="54" t="s">
        <v>526</v>
      </c>
      <c r="I373" s="54" t="s">
        <v>291</v>
      </c>
      <c r="O373" s="57" t="s">
        <v>788</v>
      </c>
      <c r="P373" s="54" t="s">
        <v>165</v>
      </c>
      <c r="Q373" s="54" t="s">
        <v>761</v>
      </c>
      <c r="R373" s="54" t="s">
        <v>771</v>
      </c>
      <c r="S373" s="54" t="str">
        <f>Table2[[#This Row],[friendly_name]]</f>
        <v>Clothes Dryer</v>
      </c>
      <c r="T373" s="55" t="s">
        <v>1066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134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229</v>
      </c>
      <c r="BC373" s="59" t="s">
        <v>360</v>
      </c>
      <c r="BD373" s="54" t="s">
        <v>233</v>
      </c>
      <c r="BF373" s="54" t="s">
        <v>361</v>
      </c>
      <c r="BG373" s="54" t="s">
        <v>213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579</v>
      </c>
      <c r="C374" s="54" t="s">
        <v>233</v>
      </c>
      <c r="D374" s="54" t="s">
        <v>134</v>
      </c>
      <c r="E374" s="54" t="s">
        <v>1406</v>
      </c>
      <c r="F374" s="56" t="str">
        <f>IF(ISBLANK(Table2[[#This Row],[unique_id]]), "", PROPER(SUBSTITUTE(Table2[[#This Row],[unique_id]], "_", " ")))</f>
        <v>Broken Laundry Clothes Dryer Plug</v>
      </c>
      <c r="G374" s="54" t="s">
        <v>229</v>
      </c>
      <c r="H374" s="54" t="s">
        <v>526</v>
      </c>
      <c r="I374" s="54" t="s">
        <v>291</v>
      </c>
      <c r="M374" s="54" t="s">
        <v>257</v>
      </c>
      <c r="O374" s="57" t="s">
        <v>788</v>
      </c>
      <c r="P374" s="54" t="s">
        <v>165</v>
      </c>
      <c r="Q374" s="54" t="s">
        <v>761</v>
      </c>
      <c r="R374" s="54" t="s">
        <v>771</v>
      </c>
      <c r="S374" s="54" t="str">
        <f>Table2[[#This Row],[friendly_name]]</f>
        <v>Clothes Dryer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245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229</v>
      </c>
      <c r="BC374" s="59" t="s">
        <v>360</v>
      </c>
      <c r="BD374" s="54" t="s">
        <v>233</v>
      </c>
      <c r="BF374" s="54" t="s">
        <v>361</v>
      </c>
      <c r="BG374" s="54" t="s">
        <v>213</v>
      </c>
      <c r="BJ374" s="54" t="s">
        <v>976</v>
      </c>
      <c r="BK374" s="54" t="s">
        <v>1260</v>
      </c>
      <c r="BL374" s="54" t="s">
        <v>344</v>
      </c>
      <c r="BM374" s="54" t="s">
        <v>1299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4" customFormat="1" ht="16" customHeight="1" x14ac:dyDescent="0.2">
      <c r="A375" s="30">
        <v>2593</v>
      </c>
      <c r="B375" s="54" t="s">
        <v>579</v>
      </c>
      <c r="C375" s="54" t="s">
        <v>808</v>
      </c>
      <c r="D375" s="54" t="s">
        <v>148</v>
      </c>
      <c r="E375" s="55" t="s">
        <v>1407</v>
      </c>
      <c r="F375" s="56" t="str">
        <f>IF(ISBLANK(Table2[[#This Row],[unique_id]]), "", PROPER(SUBSTITUTE(Table2[[#This Row],[unique_id]], "_", " ")))</f>
        <v>Broken Template Laundry Washing Machine Plug Proxy</v>
      </c>
      <c r="G375" s="54" t="s">
        <v>227</v>
      </c>
      <c r="H375" s="54" t="s">
        <v>526</v>
      </c>
      <c r="I375" s="54" t="s">
        <v>291</v>
      </c>
      <c r="O375" s="57" t="s">
        <v>788</v>
      </c>
      <c r="P375" s="54" t="s">
        <v>165</v>
      </c>
      <c r="Q375" s="54" t="s">
        <v>761</v>
      </c>
      <c r="R375" s="54" t="s">
        <v>771</v>
      </c>
      <c r="S375" s="54" t="str">
        <f>Table2[[#This Row],[friendly_name]]</f>
        <v>Washing Machine</v>
      </c>
      <c r="T375" s="55" t="s">
        <v>1066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134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227</v>
      </c>
      <c r="BC375" s="59" t="s">
        <v>360</v>
      </c>
      <c r="BD375" s="54" t="s">
        <v>233</v>
      </c>
      <c r="BF375" s="54" t="s">
        <v>361</v>
      </c>
      <c r="BG375" s="54" t="s">
        <v>213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579</v>
      </c>
      <c r="C376" s="54" t="s">
        <v>233</v>
      </c>
      <c r="D376" s="54" t="s">
        <v>134</v>
      </c>
      <c r="E376" s="54" t="s">
        <v>1408</v>
      </c>
      <c r="F376" s="56" t="str">
        <f>IF(ISBLANK(Table2[[#This Row],[unique_id]]), "", PROPER(SUBSTITUTE(Table2[[#This Row],[unique_id]], "_", " ")))</f>
        <v>Broken Laundry Washing Machine Plug</v>
      </c>
      <c r="G376" s="54" t="s">
        <v>227</v>
      </c>
      <c r="H376" s="54" t="s">
        <v>526</v>
      </c>
      <c r="I376" s="54" t="s">
        <v>291</v>
      </c>
      <c r="M376" s="54" t="s">
        <v>257</v>
      </c>
      <c r="O376" s="57" t="s">
        <v>788</v>
      </c>
      <c r="P376" s="54" t="s">
        <v>165</v>
      </c>
      <c r="Q376" s="54" t="s">
        <v>761</v>
      </c>
      <c r="R376" s="54" t="s">
        <v>771</v>
      </c>
      <c r="S376" s="54" t="str">
        <f>Table2[[#This Row],[friendly_name]]</f>
        <v>Washing Machine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246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227</v>
      </c>
      <c r="BC376" s="59" t="s">
        <v>360</v>
      </c>
      <c r="BD376" s="54" t="s">
        <v>233</v>
      </c>
      <c r="BF376" s="54" t="s">
        <v>361</v>
      </c>
      <c r="BG376" s="54" t="s">
        <v>213</v>
      </c>
      <c r="BJ376" s="54" t="s">
        <v>976</v>
      </c>
      <c r="BK376" s="54" t="s">
        <v>1260</v>
      </c>
      <c r="BL376" s="54" t="s">
        <v>345</v>
      </c>
      <c r="BM376" s="54" t="s">
        <v>1300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1493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1492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2" t="s">
        <v>1260</v>
      </c>
      <c r="BL378" s="62" t="s">
        <v>1464</v>
      </c>
      <c r="BM378" s="62" t="s">
        <v>1465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1260</v>
      </c>
      <c r="BL380" s="30" t="s">
        <v>347</v>
      </c>
      <c r="BM380" s="30" t="s">
        <v>1302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1389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1390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1390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1388</v>
      </c>
      <c r="F382" s="36" t="str">
        <f>IF(ISBLANK(Table2[[#This Row],[unique_id]]), "", PROPER(SUBSTITUTE(Table2[[#This Row],[unique_id]], "_", " ")))</f>
        <v>Garden Sewerage Blower Plug</v>
      </c>
      <c r="G382" s="30" t="s">
        <v>1390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1390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1260</v>
      </c>
      <c r="BL382" s="36" t="s">
        <v>363</v>
      </c>
      <c r="BM382" s="36" t="s">
        <v>1281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4" customFormat="1" ht="16" customHeight="1" x14ac:dyDescent="0.2">
      <c r="A383" s="30">
        <v>2601</v>
      </c>
      <c r="B383" s="54" t="s">
        <v>579</v>
      </c>
      <c r="C383" s="54" t="s">
        <v>808</v>
      </c>
      <c r="D383" s="54" t="s">
        <v>148</v>
      </c>
      <c r="E383" s="55" t="s">
        <v>1409</v>
      </c>
      <c r="F383" s="56" t="str">
        <f>IF(ISBLANK(Table2[[#This Row],[unique_id]]), "", PROPER(SUBSTITUTE(Table2[[#This Row],[unique_id]], "_", " ")))</f>
        <v>Broken Template Study Battery Charger Plug Proxy</v>
      </c>
      <c r="G383" s="54" t="s">
        <v>231</v>
      </c>
      <c r="H383" s="54" t="s">
        <v>526</v>
      </c>
      <c r="I383" s="54" t="s">
        <v>291</v>
      </c>
      <c r="O383" s="57" t="s">
        <v>788</v>
      </c>
      <c r="P383" s="54" t="s">
        <v>165</v>
      </c>
      <c r="Q383" s="54" t="s">
        <v>760</v>
      </c>
      <c r="R383" s="54" t="s">
        <v>526</v>
      </c>
      <c r="S383" s="54" t="str">
        <f>Table2[[#This Row],[friendly_name]]</f>
        <v>Battery Charger</v>
      </c>
      <c r="T383" s="55" t="s">
        <v>1066</v>
      </c>
      <c r="V383" s="57"/>
      <c r="W383" s="57"/>
      <c r="X383" s="57"/>
      <c r="Y383" s="57"/>
      <c r="Z383" s="57"/>
      <c r="AA383" s="57"/>
      <c r="AG383" s="57"/>
      <c r="AH383" s="57"/>
      <c r="AT383" s="58"/>
      <c r="AU383" s="54" t="s">
        <v>134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Study</v>
      </c>
      <c r="BB383" s="54" t="s">
        <v>231</v>
      </c>
      <c r="BC383" s="59" t="s">
        <v>360</v>
      </c>
      <c r="BD383" s="54" t="s">
        <v>233</v>
      </c>
      <c r="BF383" s="54" t="s">
        <v>361</v>
      </c>
      <c r="BG383" s="54" t="s">
        <v>356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579</v>
      </c>
      <c r="C384" s="54" t="s">
        <v>233</v>
      </c>
      <c r="D384" s="54" t="s">
        <v>134</v>
      </c>
      <c r="E384" s="54" t="s">
        <v>1410</v>
      </c>
      <c r="F384" s="56" t="str">
        <f>IF(ISBLANK(Table2[[#This Row],[unique_id]]), "", PROPER(SUBSTITUTE(Table2[[#This Row],[unique_id]], "_", " ")))</f>
        <v>Broken Study Battery Charger Plug</v>
      </c>
      <c r="G384" s="54" t="s">
        <v>231</v>
      </c>
      <c r="H384" s="54" t="s">
        <v>526</v>
      </c>
      <c r="I384" s="54" t="s">
        <v>291</v>
      </c>
      <c r="M384" s="54" t="s">
        <v>257</v>
      </c>
      <c r="O384" s="57" t="s">
        <v>788</v>
      </c>
      <c r="P384" s="54" t="s">
        <v>165</v>
      </c>
      <c r="Q384" s="54" t="s">
        <v>760</v>
      </c>
      <c r="R384" s="54" t="s">
        <v>526</v>
      </c>
      <c r="S384" s="54" t="str">
        <f>Table2[[#This Row],[friendly_name]]</f>
        <v>Battery Charger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255</v>
      </c>
      <c r="AG384" s="57"/>
      <c r="AH384" s="57"/>
      <c r="AT384" s="58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Study</v>
      </c>
      <c r="BB384" s="54" t="s">
        <v>231</v>
      </c>
      <c r="BC384" s="59" t="s">
        <v>360</v>
      </c>
      <c r="BD384" s="54" t="s">
        <v>233</v>
      </c>
      <c r="BF384" s="54" t="s">
        <v>361</v>
      </c>
      <c r="BG384" s="54" t="s">
        <v>356</v>
      </c>
      <c r="BJ384" s="54" t="s">
        <v>976</v>
      </c>
      <c r="BK384" s="54" t="s">
        <v>1260</v>
      </c>
      <c r="BL384" s="54" t="s">
        <v>341</v>
      </c>
      <c r="BM384" s="54" t="s">
        <v>1303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4" customFormat="1" ht="16" customHeight="1" x14ac:dyDescent="0.2">
      <c r="A385" s="30">
        <v>2603</v>
      </c>
      <c r="B385" s="54" t="s">
        <v>579</v>
      </c>
      <c r="C385" s="54" t="s">
        <v>808</v>
      </c>
      <c r="D385" s="54" t="s">
        <v>148</v>
      </c>
      <c r="E385" s="55" t="s">
        <v>1411</v>
      </c>
      <c r="F385" s="56" t="str">
        <f>IF(ISBLANK(Table2[[#This Row],[unique_id]]), "", PROPER(SUBSTITUTE(Table2[[#This Row],[unique_id]], "_", " ")))</f>
        <v>Broken Template Laundry Vacuum Charger Plug Proxy</v>
      </c>
      <c r="G385" s="54" t="s">
        <v>230</v>
      </c>
      <c r="H385" s="54" t="s">
        <v>526</v>
      </c>
      <c r="I385" s="54" t="s">
        <v>291</v>
      </c>
      <c r="O385" s="57" t="s">
        <v>788</v>
      </c>
      <c r="P385" s="54" t="s">
        <v>165</v>
      </c>
      <c r="Q385" s="54" t="s">
        <v>760</v>
      </c>
      <c r="R385" s="54" t="s">
        <v>526</v>
      </c>
      <c r="S385" s="54" t="str">
        <f>Table2[[#This Row],[friendly_name]]</f>
        <v>Vacuum Charger</v>
      </c>
      <c r="T385" s="55" t="s">
        <v>1066</v>
      </c>
      <c r="V385" s="57"/>
      <c r="W385" s="57"/>
      <c r="X385" s="57"/>
      <c r="Y385" s="57"/>
      <c r="Z385" s="57"/>
      <c r="AA385" s="57"/>
      <c r="AG385" s="57"/>
      <c r="AH385" s="57"/>
      <c r="AT385" s="58"/>
      <c r="AU385" s="54" t="s">
        <v>134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Laundry</v>
      </c>
      <c r="BB385" s="54" t="s">
        <v>230</v>
      </c>
      <c r="BC385" s="59" t="s">
        <v>360</v>
      </c>
      <c r="BD385" s="54" t="s">
        <v>233</v>
      </c>
      <c r="BF385" s="54" t="s">
        <v>361</v>
      </c>
      <c r="BG385" s="54" t="s">
        <v>213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customHeight="1" x14ac:dyDescent="0.2">
      <c r="A386" s="30">
        <v>2604</v>
      </c>
      <c r="B386" s="54" t="s">
        <v>579</v>
      </c>
      <c r="C386" s="54" t="s">
        <v>233</v>
      </c>
      <c r="D386" s="54" t="s">
        <v>134</v>
      </c>
      <c r="E386" s="54" t="s">
        <v>1412</v>
      </c>
      <c r="F386" s="56" t="str">
        <f>IF(ISBLANK(Table2[[#This Row],[unique_id]]), "", PROPER(SUBSTITUTE(Table2[[#This Row],[unique_id]], "_", " ")))</f>
        <v>Broken Laundry Vacuum Charger Plug</v>
      </c>
      <c r="G386" s="54" t="s">
        <v>230</v>
      </c>
      <c r="H386" s="54" t="s">
        <v>526</v>
      </c>
      <c r="I386" s="54" t="s">
        <v>291</v>
      </c>
      <c r="M386" s="54" t="s">
        <v>257</v>
      </c>
      <c r="O386" s="57" t="s">
        <v>788</v>
      </c>
      <c r="P386" s="54" t="s">
        <v>165</v>
      </c>
      <c r="Q386" s="54" t="s">
        <v>760</v>
      </c>
      <c r="R386" s="54" t="s">
        <v>526</v>
      </c>
      <c r="S386" s="54" t="str">
        <f>Table2[[#This Row],[friendly_name]]</f>
        <v>Vacuum Charger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255</v>
      </c>
      <c r="AG386" s="57"/>
      <c r="AH386" s="57"/>
      <c r="AT386" s="58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Laundry</v>
      </c>
      <c r="BB386" s="54" t="s">
        <v>230</v>
      </c>
      <c r="BC386" s="59" t="s">
        <v>360</v>
      </c>
      <c r="BD386" s="54" t="s">
        <v>233</v>
      </c>
      <c r="BF386" s="54" t="s">
        <v>361</v>
      </c>
      <c r="BG386" s="54" t="s">
        <v>213</v>
      </c>
      <c r="BJ386" s="54" t="s">
        <v>977</v>
      </c>
      <c r="BK386" s="54" t="s">
        <v>1260</v>
      </c>
      <c r="BL386" s="54" t="s">
        <v>342</v>
      </c>
      <c r="BM386" s="54" t="s">
        <v>1304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4" customFormat="1" ht="16" customHeight="1" x14ac:dyDescent="0.2">
      <c r="A387" s="30">
        <v>2605</v>
      </c>
      <c r="B387" s="54" t="s">
        <v>579</v>
      </c>
      <c r="C387" s="54" t="s">
        <v>808</v>
      </c>
      <c r="D387" s="54" t="s">
        <v>148</v>
      </c>
      <c r="E387" s="55" t="s">
        <v>1413</v>
      </c>
      <c r="F387" s="56" t="str">
        <f>IF(ISBLANK(Table2[[#This Row],[unique_id]]), "", PROPER(SUBSTITUTE(Table2[[#This Row],[unique_id]], "_", " ")))</f>
        <v>Broken Template Ada Tablet Plug Proxy</v>
      </c>
      <c r="G387" s="54" t="s">
        <v>821</v>
      </c>
      <c r="H387" s="54" t="s">
        <v>526</v>
      </c>
      <c r="I387" s="54" t="s">
        <v>291</v>
      </c>
      <c r="O387" s="57" t="s">
        <v>788</v>
      </c>
      <c r="P387" s="54" t="s">
        <v>165</v>
      </c>
      <c r="Q387" s="54" t="s">
        <v>760</v>
      </c>
      <c r="R387" s="60" t="s">
        <v>745</v>
      </c>
      <c r="S387" s="54" t="str">
        <f>Table2[[#This Row],[friendly_name]]</f>
        <v>Ada Tablet</v>
      </c>
      <c r="T387" s="55" t="s">
        <v>1066</v>
      </c>
      <c r="V387" s="57"/>
      <c r="W387" s="57"/>
      <c r="X387" s="57"/>
      <c r="Y387" s="57"/>
      <c r="Z387" s="57"/>
      <c r="AA387" s="57"/>
      <c r="AG387" s="57"/>
      <c r="AH387" s="57"/>
      <c r="AR387" s="59"/>
      <c r="AT387" s="61"/>
      <c r="AU387" s="54" t="s">
        <v>134</v>
      </c>
      <c r="AV38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4" t="str">
        <f>IF(ISBLANK(Table2[[#This Row],[device_model]]), "", Table2[[#This Row],[device_suggested_area]])</f>
        <v>Lounge</v>
      </c>
      <c r="BB387" s="54" t="s">
        <v>821</v>
      </c>
      <c r="BC387" s="59" t="s">
        <v>360</v>
      </c>
      <c r="BD387" s="54" t="s">
        <v>233</v>
      </c>
      <c r="BF387" s="54" t="s">
        <v>361</v>
      </c>
      <c r="BG387" s="54" t="s">
        <v>194</v>
      </c>
      <c r="BN38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4" customFormat="1" ht="16" customHeight="1" x14ac:dyDescent="0.2">
      <c r="A388" s="30">
        <v>2606</v>
      </c>
      <c r="B388" s="54" t="s">
        <v>579</v>
      </c>
      <c r="C388" s="54" t="s">
        <v>233</v>
      </c>
      <c r="D388" s="54" t="s">
        <v>134</v>
      </c>
      <c r="E388" s="54" t="s">
        <v>1414</v>
      </c>
      <c r="F388" s="56" t="str">
        <f>IF(ISBLANK(Table2[[#This Row],[unique_id]]), "", PROPER(SUBSTITUTE(Table2[[#This Row],[unique_id]], "_", " ")))</f>
        <v>Broken Ada Tablet Plug</v>
      </c>
      <c r="G388" s="54" t="s">
        <v>821</v>
      </c>
      <c r="H388" s="54" t="s">
        <v>526</v>
      </c>
      <c r="I388" s="54" t="s">
        <v>291</v>
      </c>
      <c r="M388" s="54" t="s">
        <v>257</v>
      </c>
      <c r="O388" s="57" t="s">
        <v>788</v>
      </c>
      <c r="P388" s="54" t="s">
        <v>165</v>
      </c>
      <c r="Q388" s="54" t="s">
        <v>760</v>
      </c>
      <c r="R388" s="60" t="s">
        <v>745</v>
      </c>
      <c r="S388" s="54" t="str">
        <f>Table2[[#This Row],[friendly_name]]</f>
        <v>Ada Tablet</v>
      </c>
      <c r="T38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7"/>
      <c r="W388" s="57"/>
      <c r="X388" s="57"/>
      <c r="Y388" s="57"/>
      <c r="Z388" s="57"/>
      <c r="AA388" s="57"/>
      <c r="AE388" s="54" t="s">
        <v>822</v>
      </c>
      <c r="AG388" s="57"/>
      <c r="AH388" s="57"/>
      <c r="AR388" s="59"/>
      <c r="AT388" s="61"/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4" t="str">
        <f>IF(ISBLANK(Table2[[#This Row],[device_model]]), "", Table2[[#This Row],[device_suggested_area]])</f>
        <v>Lounge</v>
      </c>
      <c r="BB388" s="54" t="s">
        <v>821</v>
      </c>
      <c r="BC388" s="59" t="s">
        <v>360</v>
      </c>
      <c r="BD388" s="54" t="s">
        <v>233</v>
      </c>
      <c r="BF388" s="54" t="s">
        <v>361</v>
      </c>
      <c r="BG388" s="54" t="s">
        <v>194</v>
      </c>
      <c r="BJ388" s="54" t="s">
        <v>976</v>
      </c>
      <c r="BK388" s="54" t="s">
        <v>1260</v>
      </c>
      <c r="BL388" s="54" t="s">
        <v>800</v>
      </c>
      <c r="BM388" s="54" t="s">
        <v>1305</v>
      </c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1511</v>
      </c>
      <c r="F391" s="36" t="str">
        <f>IF(ISBLANK(Table2[[#This Row],[unique_id]]), "", PROPER(SUBSTITUTE(Table2[[#This Row],[unique_id]], "_", " ")))</f>
        <v>Ada Desk Outlet</v>
      </c>
      <c r="G391" s="30" t="s">
        <v>1510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1498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1512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1497</v>
      </c>
      <c r="F392" s="36" t="str">
        <f>IF(ISBLANK(Table2[[#This Row],[unique_id]]), "", PROPER(SUBSTITUTE(Table2[[#This Row],[unique_id]], "_", " ")))</f>
        <v>Edwin Desk Outlet</v>
      </c>
      <c r="G392" s="30" t="s">
        <v>1496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1498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4" customFormat="1" ht="16" customHeight="1" x14ac:dyDescent="0.2">
      <c r="A393" s="30">
        <v>2611</v>
      </c>
      <c r="B393" s="54" t="s">
        <v>579</v>
      </c>
      <c r="C393" s="54" t="s">
        <v>808</v>
      </c>
      <c r="D393" s="54" t="s">
        <v>148</v>
      </c>
      <c r="E393" s="55" t="s">
        <v>1438</v>
      </c>
      <c r="F393" s="56" t="str">
        <f>IF(ISBLANK(Table2[[#This Row],[unique_id]]), "", PROPER(SUBSTITUTE(Table2[[#This Row],[unique_id]], "_", " ")))</f>
        <v>Broken Template Server May Plug Proxy</v>
      </c>
      <c r="G393" s="54" t="s">
        <v>1439</v>
      </c>
      <c r="H393" s="54" t="s">
        <v>526</v>
      </c>
      <c r="I393" s="54" t="s">
        <v>291</v>
      </c>
      <c r="O393" s="57" t="s">
        <v>788</v>
      </c>
      <c r="R393" s="54" t="s">
        <v>801</v>
      </c>
      <c r="S393" s="54" t="str">
        <f>Table2[[#This Row],[friendly_name]]</f>
        <v>Server May</v>
      </c>
      <c r="T393" s="55" t="s">
        <v>1066</v>
      </c>
      <c r="V393" s="57"/>
      <c r="W393" s="57"/>
      <c r="X393" s="57"/>
      <c r="Y393" s="57"/>
      <c r="Z393" s="57"/>
      <c r="AA393" s="57"/>
      <c r="AG393" s="57"/>
      <c r="AH393" s="57"/>
      <c r="AR393" s="59"/>
      <c r="AT393" s="61"/>
      <c r="AU393" s="54" t="s">
        <v>134</v>
      </c>
      <c r="AV39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4" t="str">
        <f>IF(ISBLANK(Table2[[#This Row],[device_model]]), "", Table2[[#This Row],[device_suggested_area]])</f>
        <v>Rack</v>
      </c>
      <c r="BB393" s="54" t="s">
        <v>1443</v>
      </c>
      <c r="BC393" s="59" t="s">
        <v>360</v>
      </c>
      <c r="BD393" s="54" t="s">
        <v>233</v>
      </c>
      <c r="BF393" s="54" t="s">
        <v>361</v>
      </c>
      <c r="BG393" s="54" t="s">
        <v>28</v>
      </c>
      <c r="BN39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579</v>
      </c>
      <c r="C394" s="54" t="s">
        <v>233</v>
      </c>
      <c r="D394" s="54" t="s">
        <v>134</v>
      </c>
      <c r="E394" s="54" t="s">
        <v>1440</v>
      </c>
      <c r="F394" s="56" t="str">
        <f>IF(ISBLANK(Table2[[#This Row],[unique_id]]), "", PROPER(SUBSTITUTE(Table2[[#This Row],[unique_id]], "_", " ")))</f>
        <v>Broken Server May Plug</v>
      </c>
      <c r="G394" s="54" t="s">
        <v>1439</v>
      </c>
      <c r="H394" s="54" t="s">
        <v>526</v>
      </c>
      <c r="I394" s="54" t="s">
        <v>291</v>
      </c>
      <c r="M394" s="54" t="s">
        <v>257</v>
      </c>
      <c r="O394" s="57" t="s">
        <v>788</v>
      </c>
      <c r="R394" s="54" t="s">
        <v>801</v>
      </c>
      <c r="S394" s="54" t="str">
        <f>Table2[[#This Row],[friendly_name]]</f>
        <v>Server May</v>
      </c>
      <c r="T39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7"/>
      <c r="W394" s="57"/>
      <c r="X394" s="57"/>
      <c r="Y394" s="57"/>
      <c r="Z394" s="57"/>
      <c r="AA394" s="57"/>
      <c r="AE394" s="54" t="s">
        <v>252</v>
      </c>
      <c r="AG394" s="57"/>
      <c r="AH394" s="57"/>
      <c r="AR394" s="59"/>
      <c r="AT394" s="61"/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1443</v>
      </c>
      <c r="BC394" s="59" t="s">
        <v>360</v>
      </c>
      <c r="BD394" s="54" t="s">
        <v>233</v>
      </c>
      <c r="BF394" s="54" t="s">
        <v>361</v>
      </c>
      <c r="BG394" s="54" t="s">
        <v>28</v>
      </c>
      <c r="BJ394" s="54" t="s">
        <v>977</v>
      </c>
      <c r="BK394" s="54" t="s">
        <v>1260</v>
      </c>
      <c r="BL394" s="54" t="s">
        <v>804</v>
      </c>
      <c r="BM394" s="54" t="s">
        <v>1306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4" customFormat="1" ht="16" customHeight="1" x14ac:dyDescent="0.2">
      <c r="A395" s="30">
        <v>2613</v>
      </c>
      <c r="B395" s="54" t="s">
        <v>579</v>
      </c>
      <c r="C395" s="54" t="s">
        <v>808</v>
      </c>
      <c r="D395" s="54" t="s">
        <v>148</v>
      </c>
      <c r="E395" s="55" t="s">
        <v>1415</v>
      </c>
      <c r="F395" s="56" t="str">
        <f>IF(ISBLANK(Table2[[#This Row],[unique_id]]), "", PROPER(SUBSTITUTE(Table2[[#This Row],[unique_id]], "_", " ")))</f>
        <v>Broken Template Server Meg Plug Proxy</v>
      </c>
      <c r="G395" s="59" t="s">
        <v>805</v>
      </c>
      <c r="H395" s="54" t="s">
        <v>526</v>
      </c>
      <c r="I395" s="54" t="s">
        <v>291</v>
      </c>
      <c r="O395" s="57" t="s">
        <v>788</v>
      </c>
      <c r="R395" s="54" t="s">
        <v>801</v>
      </c>
      <c r="S395" s="54" t="str">
        <f>Table2[[#This Row],[friendly_name]]</f>
        <v>Server Meg</v>
      </c>
      <c r="T395" s="55" t="s">
        <v>1066</v>
      </c>
      <c r="V395" s="57"/>
      <c r="W395" s="57"/>
      <c r="X395" s="57"/>
      <c r="Y395" s="57"/>
      <c r="Z395" s="57"/>
      <c r="AA395" s="57"/>
      <c r="AG395" s="57"/>
      <c r="AH395" s="57"/>
      <c r="AR395" s="59"/>
      <c r="AT395" s="61"/>
      <c r="AU395" s="54" t="s">
        <v>134</v>
      </c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1059</v>
      </c>
      <c r="BC395" s="59" t="s">
        <v>360</v>
      </c>
      <c r="BD395" s="54" t="s">
        <v>233</v>
      </c>
      <c r="BF395" s="54" t="s">
        <v>361</v>
      </c>
      <c r="BG395" s="54" t="s">
        <v>28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579</v>
      </c>
      <c r="C396" s="54" t="s">
        <v>233</v>
      </c>
      <c r="D396" s="54" t="s">
        <v>134</v>
      </c>
      <c r="E396" s="54" t="s">
        <v>1416</v>
      </c>
      <c r="F396" s="56" t="str">
        <f>IF(ISBLANK(Table2[[#This Row],[unique_id]]), "", PROPER(SUBSTITUTE(Table2[[#This Row],[unique_id]], "_", " ")))</f>
        <v>Broken Server Meg Plug</v>
      </c>
      <c r="G396" s="59" t="s">
        <v>805</v>
      </c>
      <c r="H396" s="54" t="s">
        <v>526</v>
      </c>
      <c r="I396" s="54" t="s">
        <v>291</v>
      </c>
      <c r="M396" s="54" t="s">
        <v>257</v>
      </c>
      <c r="O396" s="57" t="s">
        <v>788</v>
      </c>
      <c r="R396" s="54" t="s">
        <v>801</v>
      </c>
      <c r="S396" s="54" t="str">
        <f>Table2[[#This Row],[friendly_name]]</f>
        <v>Server Meg</v>
      </c>
      <c r="T39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7"/>
      <c r="W396" s="57"/>
      <c r="X396" s="57"/>
      <c r="Y396" s="57"/>
      <c r="Z396" s="57"/>
      <c r="AA396" s="57"/>
      <c r="AE396" s="54" t="s">
        <v>252</v>
      </c>
      <c r="AG396" s="57"/>
      <c r="AH396" s="57"/>
      <c r="AR396" s="59"/>
      <c r="AT396" s="61"/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1059</v>
      </c>
      <c r="BC396" s="59" t="s">
        <v>360</v>
      </c>
      <c r="BD396" s="54" t="s">
        <v>233</v>
      </c>
      <c r="BF396" s="54" t="s">
        <v>361</v>
      </c>
      <c r="BG396" s="54" t="s">
        <v>28</v>
      </c>
      <c r="BJ396" s="54" t="s">
        <v>977</v>
      </c>
      <c r="BK396" s="54" t="s">
        <v>1260</v>
      </c>
      <c r="BL396" s="54" t="s">
        <v>803</v>
      </c>
      <c r="BM396" s="54" t="s">
        <v>1307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1446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1450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1451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1447</v>
      </c>
      <c r="F398" s="36" t="str">
        <f>IF(ISBLANK(Table2[[#This Row],[unique_id]]), "", PROPER(SUBSTITUTE(Table2[[#This Row],[unique_id]], "_", " ")))</f>
        <v>Server Jen Plug</v>
      </c>
      <c r="G398" s="30" t="s">
        <v>1450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1451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1260</v>
      </c>
      <c r="BL398" s="30" t="s">
        <v>348</v>
      </c>
      <c r="BM398" s="30" t="s">
        <v>1308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1260</v>
      </c>
      <c r="BL400" s="30" t="s">
        <v>914</v>
      </c>
      <c r="BM400" s="30" t="s">
        <v>1310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1430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1260</v>
      </c>
      <c r="BL404" s="41" t="s">
        <v>979</v>
      </c>
      <c r="BM404" s="30" t="s">
        <v>1312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1430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1430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4" customFormat="1" ht="16" customHeight="1" x14ac:dyDescent="0.2">
      <c r="A407" s="30">
        <v>2625</v>
      </c>
      <c r="B407" s="54" t="s">
        <v>579</v>
      </c>
      <c r="C407" s="54" t="s">
        <v>808</v>
      </c>
      <c r="D407" s="54" t="s">
        <v>148</v>
      </c>
      <c r="E407" s="55" t="s">
        <v>1417</v>
      </c>
      <c r="F407" s="56" t="str">
        <f>IF(ISBLANK(Table2[[#This Row],[unique_id]]), "", PROPER(SUBSTITUTE(Table2[[#This Row],[unique_id]], "_", " ")))</f>
        <v>Broken Template Rack Internet Modem Plug Proxy</v>
      </c>
      <c r="G407" s="54" t="s">
        <v>221</v>
      </c>
      <c r="H407" s="54" t="s">
        <v>526</v>
      </c>
      <c r="I407" s="54" t="s">
        <v>291</v>
      </c>
      <c r="O407" s="57" t="s">
        <v>788</v>
      </c>
      <c r="R407" s="54" t="s">
        <v>802</v>
      </c>
      <c r="S407" s="54" t="str">
        <f>Table2[[#This Row],[friendly_name]]</f>
        <v>Internet Modem</v>
      </c>
      <c r="T407" s="55" t="s">
        <v>1066</v>
      </c>
      <c r="V407" s="57"/>
      <c r="W407" s="57"/>
      <c r="X407" s="57"/>
      <c r="Y407" s="57"/>
      <c r="Z407" s="57"/>
      <c r="AA407" s="57"/>
      <c r="AG407" s="57"/>
      <c r="AH407" s="57"/>
      <c r="AT407" s="58"/>
      <c r="AU407" s="54" t="s">
        <v>134</v>
      </c>
      <c r="AV4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4" t="str">
        <f>IF(ISBLANK(Table2[[#This Row],[device_model]]), "", Table2[[#This Row],[device_suggested_area]])</f>
        <v>Rack</v>
      </c>
      <c r="BB407" s="54" t="s">
        <v>1023</v>
      </c>
      <c r="BC407" s="59" t="s">
        <v>360</v>
      </c>
      <c r="BD407" s="54" t="s">
        <v>233</v>
      </c>
      <c r="BF407" s="54" t="s">
        <v>361</v>
      </c>
      <c r="BG407" s="54" t="s">
        <v>28</v>
      </c>
      <c r="BN4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4" customFormat="1" ht="16" customHeight="1" x14ac:dyDescent="0.2">
      <c r="A408" s="30">
        <v>2626</v>
      </c>
      <c r="B408" s="54" t="s">
        <v>579</v>
      </c>
      <c r="C408" s="54" t="s">
        <v>233</v>
      </c>
      <c r="D408" s="54" t="s">
        <v>134</v>
      </c>
      <c r="E408" s="54" t="s">
        <v>1418</v>
      </c>
      <c r="F408" s="56" t="str">
        <f>IF(ISBLANK(Table2[[#This Row],[unique_id]]), "", PROPER(SUBSTITUTE(Table2[[#This Row],[unique_id]], "_", " ")))</f>
        <v>Broken Rack Internet Modem Plug</v>
      </c>
      <c r="G408" s="54" t="s">
        <v>221</v>
      </c>
      <c r="H408" s="54" t="s">
        <v>526</v>
      </c>
      <c r="I408" s="54" t="s">
        <v>291</v>
      </c>
      <c r="M408" s="54" t="s">
        <v>257</v>
      </c>
      <c r="O408" s="57" t="s">
        <v>788</v>
      </c>
      <c r="R408" s="54" t="s">
        <v>802</v>
      </c>
      <c r="S408" s="54" t="str">
        <f>Table2[[#This Row],[friendly_name]]</f>
        <v>Internet Modem</v>
      </c>
      <c r="T40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7"/>
      <c r="W408" s="57"/>
      <c r="X408" s="57"/>
      <c r="Y408" s="57"/>
      <c r="Z408" s="57"/>
      <c r="AA408" s="57"/>
      <c r="AE408" s="54" t="s">
        <v>254</v>
      </c>
      <c r="AG408" s="57"/>
      <c r="AH408" s="57"/>
      <c r="AT408" s="58"/>
      <c r="AV40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4" t="str">
        <f>IF(ISBLANK(Table2[[#This Row],[device_model]]), "", Table2[[#This Row],[device_suggested_area]])</f>
        <v>Rack</v>
      </c>
      <c r="BB408" s="54" t="s">
        <v>1023</v>
      </c>
      <c r="BC408" s="59" t="s">
        <v>360</v>
      </c>
      <c r="BD408" s="54" t="s">
        <v>233</v>
      </c>
      <c r="BF408" s="54" t="s">
        <v>361</v>
      </c>
      <c r="BG408" s="54" t="s">
        <v>28</v>
      </c>
      <c r="BJ408" s="54" t="s">
        <v>976</v>
      </c>
      <c r="BK408" s="54" t="s">
        <v>1260</v>
      </c>
      <c r="BL408" s="54" t="s">
        <v>354</v>
      </c>
      <c r="BM408" s="54" t="s">
        <v>1313</v>
      </c>
      <c r="BN40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1502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1259</v>
      </c>
      <c r="BL435" s="41" t="s">
        <v>420</v>
      </c>
      <c r="BM435" s="39" t="s">
        <v>1261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1259</v>
      </c>
      <c r="BL436" s="41" t="s">
        <v>419</v>
      </c>
      <c r="BM436" s="39" t="s">
        <v>1262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1259</v>
      </c>
      <c r="BL437" s="41" t="s">
        <v>637</v>
      </c>
      <c r="BM437" s="39" t="s">
        <v>1263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1259</v>
      </c>
      <c r="BL438" s="41" t="s">
        <v>730</v>
      </c>
      <c r="BM438" s="39" t="s">
        <v>1264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1259</v>
      </c>
      <c r="BL439" s="41" t="s">
        <v>417</v>
      </c>
      <c r="BM439" s="39" t="s">
        <v>1265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1259</v>
      </c>
      <c r="BL440" s="41" t="s">
        <v>418</v>
      </c>
      <c r="BM440" s="39" t="s">
        <v>1266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1259</v>
      </c>
      <c r="BL441" s="41" t="s">
        <v>1238</v>
      </c>
      <c r="BM441" s="39" t="s">
        <v>1267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1259</v>
      </c>
      <c r="BL442" s="41" t="s">
        <v>1239</v>
      </c>
      <c r="BM442" s="39" t="s">
        <v>1270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1259</v>
      </c>
      <c r="BL443" s="41" t="s">
        <v>581</v>
      </c>
      <c r="BM443" s="39" t="s">
        <v>1268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1259</v>
      </c>
      <c r="BL444" s="41" t="s">
        <v>399</v>
      </c>
      <c r="BM444" s="39" t="s">
        <v>1269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1259</v>
      </c>
      <c r="BL445" s="41" t="s">
        <v>421</v>
      </c>
      <c r="BM445" s="39" t="s">
        <v>1271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1259</v>
      </c>
      <c r="BL447" s="30" t="s">
        <v>585</v>
      </c>
      <c r="BM447" s="39" t="s">
        <v>1272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1259</v>
      </c>
      <c r="BL449" s="30" t="s">
        <v>368</v>
      </c>
      <c r="BM449" s="39" t="s">
        <v>1273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1259</v>
      </c>
      <c r="BL450" s="37" t="s">
        <v>367</v>
      </c>
      <c r="BM450" s="39" t="s">
        <v>1274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1259</v>
      </c>
      <c r="BL452" s="30" t="s">
        <v>366</v>
      </c>
      <c r="BM452" s="39" t="s">
        <v>1275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1318</v>
      </c>
      <c r="F453" s="36" t="str">
        <f>IF(ISBLANK(Table2[[#This Row],[unique_id]]), "", PROPER(SUBSTITUTE(Table2[[#This Row],[unique_id]], "_", " ")))</f>
        <v>Parents Homepod</v>
      </c>
      <c r="G453" s="30" t="s">
        <v>1319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1320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1259</v>
      </c>
      <c r="BL453" s="41" t="s">
        <v>400</v>
      </c>
      <c r="BM453" s="39" t="s">
        <v>1276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1331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1431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1260</v>
      </c>
      <c r="BL472" s="30" t="s">
        <v>383</v>
      </c>
      <c r="BM472" s="30" t="s">
        <v>1315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1332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1431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1260</v>
      </c>
      <c r="BL474" s="30" t="s">
        <v>384</v>
      </c>
      <c r="BM474" s="30" t="s">
        <v>1316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1432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1253</v>
      </c>
      <c r="BL476" s="30" t="s">
        <v>405</v>
      </c>
      <c r="BM476" s="30" t="s">
        <v>1254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1433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1253</v>
      </c>
      <c r="BL477" s="30" t="s">
        <v>611</v>
      </c>
      <c r="BM477" s="30" t="s">
        <v>1255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1433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1253</v>
      </c>
      <c r="BL478" s="30" t="s">
        <v>406</v>
      </c>
      <c r="BM478" s="30" t="s">
        <v>1469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1433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1468</v>
      </c>
      <c r="BD479" s="30" t="s">
        <v>234</v>
      </c>
      <c r="BF479" s="30" t="s">
        <v>1065</v>
      </c>
      <c r="BG479" s="30" t="s">
        <v>403</v>
      </c>
      <c r="BK479" s="30" t="s">
        <v>1253</v>
      </c>
      <c r="BL479" s="30" t="s">
        <v>1470</v>
      </c>
      <c r="BM479" s="30" t="s">
        <v>1256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1434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1376</v>
      </c>
      <c r="BD480" s="30" t="s">
        <v>234</v>
      </c>
      <c r="BF480" s="30" t="s">
        <v>1064</v>
      </c>
      <c r="BG480" s="30" t="s">
        <v>404</v>
      </c>
      <c r="BK480" s="30" t="s">
        <v>1253</v>
      </c>
      <c r="BL480" s="30" t="s">
        <v>1375</v>
      </c>
      <c r="BM480" s="30" t="s">
        <v>1257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1434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1427</v>
      </c>
      <c r="BK481" s="30" t="s">
        <v>1253</v>
      </c>
      <c r="BL481" s="30" t="s">
        <v>1429</v>
      </c>
      <c r="BM481" s="30" t="s">
        <v>1258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1434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1426</v>
      </c>
      <c r="BK482" s="30" t="s">
        <v>1253</v>
      </c>
      <c r="BL482" s="30" t="s">
        <v>407</v>
      </c>
      <c r="BM482" s="30" t="s">
        <v>1428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1361</v>
      </c>
      <c r="BA483" s="30" t="str">
        <f>IF(ISBLANK(Table2[[#This Row],[device_model]]), "", Table2[[#This Row],[device_suggested_area]])</f>
        <v>Rack</v>
      </c>
      <c r="BB483" s="30" t="s">
        <v>1372</v>
      </c>
      <c r="BC483" s="30" t="s">
        <v>1363</v>
      </c>
      <c r="BD483" s="30" t="s">
        <v>1361</v>
      </c>
      <c r="BF483" s="30" t="s">
        <v>1369</v>
      </c>
      <c r="BG483" s="30" t="s">
        <v>28</v>
      </c>
      <c r="BL483" s="41"/>
      <c r="BM483" s="30" t="s">
        <v>1371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1361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1362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1361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1363</v>
      </c>
      <c r="BD484" s="30" t="s">
        <v>1361</v>
      </c>
      <c r="BF484" s="30" t="s">
        <v>1369</v>
      </c>
      <c r="BG484" s="30" t="s">
        <v>28</v>
      </c>
      <c r="BL484" s="41"/>
      <c r="BM484" s="30" t="s">
        <v>1364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1365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1366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1365</v>
      </c>
      <c r="BA485" s="30" t="str">
        <f>IF(ISBLANK(Table2[[#This Row],[device_model]]), "", Table2[[#This Row],[device_suggested_area]])</f>
        <v>Rack</v>
      </c>
      <c r="BB485" s="30" t="s">
        <v>1367</v>
      </c>
      <c r="BC485" s="30" t="s">
        <v>1368</v>
      </c>
      <c r="BD485" s="30" t="s">
        <v>1365</v>
      </c>
      <c r="BF485" s="30" t="s">
        <v>1369</v>
      </c>
      <c r="BG485" s="30" t="s">
        <v>28</v>
      </c>
      <c r="BL485" s="41"/>
      <c r="BM485" s="30" t="s">
        <v>1370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1259</v>
      </c>
      <c r="BL486" s="41" t="s">
        <v>432</v>
      </c>
      <c r="BM486" s="30" t="s">
        <v>1277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1452</v>
      </c>
      <c r="BC487" s="30" t="s">
        <v>1034</v>
      </c>
      <c r="BD487" s="30" t="s">
        <v>554</v>
      </c>
      <c r="BF487" s="62" t="s">
        <v>1456</v>
      </c>
      <c r="BG487" s="30" t="s">
        <v>495</v>
      </c>
      <c r="BK487" s="30" t="s">
        <v>401</v>
      </c>
      <c r="BL487" s="30" t="s">
        <v>553</v>
      </c>
      <c r="BM487" s="30" t="s">
        <v>1252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1454</v>
      </c>
      <c r="BC488" s="30" t="s">
        <v>1455</v>
      </c>
      <c r="BD488" s="30" t="s">
        <v>554</v>
      </c>
      <c r="BF488" s="62" t="s">
        <v>1456</v>
      </c>
      <c r="BG488" s="30" t="s">
        <v>1453</v>
      </c>
      <c r="BL488" s="30" t="s">
        <v>1460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1457</v>
      </c>
      <c r="BC489" s="30" t="s">
        <v>1458</v>
      </c>
      <c r="BD489" s="30" t="s">
        <v>264</v>
      </c>
      <c r="BF489" s="62" t="s">
        <v>1462</v>
      </c>
      <c r="BG489" s="30" t="s">
        <v>28</v>
      </c>
      <c r="BK489" s="30" t="s">
        <v>401</v>
      </c>
      <c r="BL489" s="41" t="s">
        <v>1461</v>
      </c>
      <c r="BM489" s="30" t="s">
        <v>1248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1459</v>
      </c>
      <c r="BC490" s="30" t="s">
        <v>1032</v>
      </c>
      <c r="BD490" s="30" t="s">
        <v>264</v>
      </c>
      <c r="BF490" s="62" t="s">
        <v>1466</v>
      </c>
      <c r="BG490" s="30" t="s">
        <v>28</v>
      </c>
      <c r="BK490" s="30" t="s">
        <v>401</v>
      </c>
      <c r="BL490" s="46" t="s">
        <v>1467</v>
      </c>
      <c r="BM490" s="30" t="s">
        <v>1249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1441</v>
      </c>
      <c r="BC491" s="30" t="s">
        <v>1032</v>
      </c>
      <c r="BD491" s="30" t="s">
        <v>264</v>
      </c>
      <c r="BF491" s="62" t="s">
        <v>1456</v>
      </c>
      <c r="BG491" s="30" t="s">
        <v>28</v>
      </c>
      <c r="BK491" s="30" t="s">
        <v>401</v>
      </c>
      <c r="BL491" s="46" t="s">
        <v>1327</v>
      </c>
      <c r="BM491" s="30" t="s">
        <v>1250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2" t="s">
        <v>1456</v>
      </c>
      <c r="BG492" s="30" t="s">
        <v>28</v>
      </c>
      <c r="BK492" s="30" t="s">
        <v>401</v>
      </c>
      <c r="BL492" s="30" t="s">
        <v>587</v>
      </c>
      <c r="BM492" s="30" t="s">
        <v>1251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1260</v>
      </c>
      <c r="BL493" s="30" t="s">
        <v>379</v>
      </c>
      <c r="BM493" s="30" t="s">
        <v>1317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2026-07-27T01:33:20Z</dcterms:modified>
</cp:coreProperties>
</file>