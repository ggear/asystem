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ABFD90DC-FB5D-104F-8F12-A65C21033EBF}" xr6:coauthVersionLast="47" xr6:coauthVersionMax="47" xr10:uidLastSave="{00000000-0000-0000-0000-000000000000}"/>
  <bookViews>
    <workbookView xWindow="6000" yWindow="3720" windowWidth="42040" windowHeight="2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388" i="1" l="1"/>
  <c r="S387" i="1"/>
  <c r="S388" i="1"/>
  <c r="F387" i="1"/>
  <c r="F388" i="1"/>
  <c r="BN396" i="1"/>
  <c r="BA396" i="1"/>
  <c r="AW396" i="1" s="1"/>
  <c r="AV396" i="1" s="1"/>
  <c r="AT396" i="1"/>
  <c r="AM396" i="1"/>
  <c r="AL396" i="1"/>
  <c r="AK396" i="1"/>
  <c r="AJ396" i="1"/>
  <c r="F396" i="1"/>
  <c r="BN395" i="1"/>
  <c r="BA395" i="1"/>
  <c r="AW395" i="1" s="1"/>
  <c r="AT395" i="1"/>
  <c r="AM395" i="1"/>
  <c r="AL395" i="1"/>
  <c r="AK395" i="1"/>
  <c r="AJ395" i="1"/>
  <c r="F395" i="1"/>
  <c r="BN313" i="1"/>
  <c r="BA313" i="1"/>
  <c r="AW313" i="1" s="1"/>
  <c r="AK313" i="1"/>
  <c r="AJ313" i="1"/>
  <c r="F313" i="1"/>
  <c r="BN312" i="1"/>
  <c r="BA312" i="1"/>
  <c r="AW312" i="1" s="1"/>
  <c r="AK312" i="1"/>
  <c r="AJ312" i="1"/>
  <c r="F312" i="1"/>
  <c r="BN327" i="1"/>
  <c r="BA327" i="1"/>
  <c r="AX327" i="1"/>
  <c r="AK327" i="1"/>
  <c r="AJ327" i="1"/>
  <c r="F327" i="1"/>
  <c r="AY327" i="1" s="1"/>
  <c r="BN326" i="1"/>
  <c r="BA326" i="1"/>
  <c r="AW326" i="1" s="1"/>
  <c r="AK326" i="1"/>
  <c r="AJ326" i="1"/>
  <c r="F326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A471" i="1"/>
  <c r="BN472" i="1"/>
  <c r="BB472" i="1"/>
  <c r="AW472" i="1" s="1"/>
  <c r="BA472" i="1"/>
  <c r="F472" i="1"/>
  <c r="BA388" i="1"/>
  <c r="AW388" i="1" s="1"/>
  <c r="AV388" i="1" s="1"/>
  <c r="BA387" i="1"/>
  <c r="AW387" i="1" s="1"/>
  <c r="AV387" i="1" s="1"/>
  <c r="S382" i="1"/>
  <c r="S381" i="1"/>
  <c r="BN473" i="1"/>
  <c r="BB473" i="1"/>
  <c r="AW473" i="1" s="1"/>
  <c r="BA473" i="1"/>
  <c r="F473" i="1"/>
  <c r="BN485" i="1"/>
  <c r="BA485" i="1"/>
  <c r="AW485" i="1"/>
  <c r="AX485" i="1" s="1"/>
  <c r="AK485" i="1"/>
  <c r="AJ485" i="1"/>
  <c r="F485" i="1"/>
  <c r="BN484" i="1"/>
  <c r="BA484" i="1"/>
  <c r="AW484" i="1"/>
  <c r="AX484" i="1" s="1"/>
  <c r="AK484" i="1"/>
  <c r="AJ484" i="1"/>
  <c r="F484" i="1"/>
  <c r="BA482" i="1"/>
  <c r="BA481" i="1"/>
  <c r="BN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AV466" i="1"/>
  <c r="AV451" i="1"/>
  <c r="AV456" i="1"/>
  <c r="AV464" i="1"/>
  <c r="BB474" i="1"/>
  <c r="AW474" i="1" s="1"/>
  <c r="AV474" i="1" s="1"/>
  <c r="BN474" i="1"/>
  <c r="BA474" i="1"/>
  <c r="F474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1" i="1"/>
  <c r="AW361" i="1" s="1"/>
  <c r="BA362" i="1"/>
  <c r="AW362" i="1" s="1"/>
  <c r="S362" i="1"/>
  <c r="S361" i="1"/>
  <c r="BN362" i="1"/>
  <c r="T362" i="1"/>
  <c r="F362" i="1"/>
  <c r="BN361" i="1"/>
  <c r="T361" i="1"/>
  <c r="F361" i="1"/>
  <c r="BN399" i="1"/>
  <c r="AW399" i="1"/>
  <c r="AX399" i="1" s="1"/>
  <c r="T399" i="1"/>
  <c r="S399" i="1"/>
  <c r="F399" i="1"/>
  <c r="BN398" i="1"/>
  <c r="AW398" i="1"/>
  <c r="AV398" i="1" s="1"/>
  <c r="T398" i="1"/>
  <c r="S398" i="1"/>
  <c r="F39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6" i="1"/>
  <c r="BA476" i="1"/>
  <c r="AW476" i="1"/>
  <c r="AX476" i="1" s="1"/>
  <c r="F476" i="1"/>
  <c r="BN478" i="1"/>
  <c r="BA478" i="1"/>
  <c r="AW478" i="1"/>
  <c r="AX478" i="1" s="1"/>
  <c r="F478" i="1"/>
  <c r="AW477" i="1"/>
  <c r="AX477" i="1" s="1"/>
  <c r="BN477" i="1"/>
  <c r="BA477" i="1"/>
  <c r="F477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35" i="1"/>
  <c r="BA435" i="1"/>
  <c r="AW435" i="1" s="1"/>
  <c r="AX435" i="1" s="1"/>
  <c r="F435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0" i="1"/>
  <c r="BA220" i="1"/>
  <c r="AW220" i="1"/>
  <c r="AX220" i="1" s="1"/>
  <c r="AV220" i="1"/>
  <c r="F220" i="1"/>
  <c r="AR294" i="1"/>
  <c r="AR92" i="1"/>
  <c r="AR91" i="1"/>
  <c r="AR90" i="1"/>
  <c r="AR89" i="1"/>
  <c r="AR87" i="1"/>
  <c r="AR86" i="1"/>
  <c r="AR83" i="1"/>
  <c r="AR84" i="1"/>
  <c r="BN314" i="1"/>
  <c r="BA314" i="1"/>
  <c r="AW314" i="1" s="1"/>
  <c r="AK314" i="1"/>
  <c r="AJ314" i="1"/>
  <c r="F314" i="1"/>
  <c r="BN329" i="1"/>
  <c r="BA329" i="1"/>
  <c r="AX329" i="1"/>
  <c r="AK329" i="1"/>
  <c r="AJ329" i="1"/>
  <c r="F329" i="1"/>
  <c r="AY329" i="1" s="1"/>
  <c r="BN328" i="1"/>
  <c r="BA328" i="1"/>
  <c r="AW328" i="1" s="1"/>
  <c r="AV328" i="1" s="1"/>
  <c r="AK328" i="1"/>
  <c r="AJ328" i="1"/>
  <c r="F328" i="1"/>
  <c r="BA483" i="1"/>
  <c r="AW482" i="1"/>
  <c r="AX482" i="1" s="1"/>
  <c r="AW483" i="1"/>
  <c r="AX483" i="1" s="1"/>
  <c r="F482" i="1"/>
  <c r="AJ482" i="1"/>
  <c r="AK482" i="1"/>
  <c r="BN482" i="1"/>
  <c r="F483" i="1"/>
  <c r="AJ483" i="1"/>
  <c r="AK483" i="1"/>
  <c r="BN483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BN382" i="1"/>
  <c r="AW382" i="1"/>
  <c r="AX382" i="1" s="1"/>
  <c r="T382" i="1"/>
  <c r="F382" i="1"/>
  <c r="BN381" i="1"/>
  <c r="AW381" i="1"/>
  <c r="AX381" i="1" s="1"/>
  <c r="T381" i="1"/>
  <c r="F381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2" i="1"/>
  <c r="AX319" i="1"/>
  <c r="AX321" i="1"/>
  <c r="AX323" i="1"/>
  <c r="AX331" i="1"/>
  <c r="AX332" i="1"/>
  <c r="AX333" i="1"/>
  <c r="AX33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1" i="1"/>
  <c r="F232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1" i="1"/>
  <c r="F222" i="1"/>
  <c r="F223" i="1"/>
  <c r="F224" i="1"/>
  <c r="F225" i="1"/>
  <c r="F226" i="1"/>
  <c r="F227" i="1"/>
  <c r="F228" i="1"/>
  <c r="F229" i="1"/>
  <c r="F230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5" i="1"/>
  <c r="F316" i="1"/>
  <c r="F317" i="1"/>
  <c r="F318" i="1"/>
  <c r="F319" i="1"/>
  <c r="F320" i="1"/>
  <c r="F321" i="1"/>
  <c r="F322" i="1"/>
  <c r="F323" i="1"/>
  <c r="F330" i="1"/>
  <c r="F331" i="1"/>
  <c r="AY331" i="1" s="1"/>
  <c r="F332" i="1"/>
  <c r="AY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9" i="1"/>
  <c r="F390" i="1"/>
  <c r="F391" i="1"/>
  <c r="F392" i="1"/>
  <c r="F393" i="1"/>
  <c r="F394" i="1"/>
  <c r="F397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63" i="1"/>
  <c r="F464" i="1"/>
  <c r="F465" i="1"/>
  <c r="F466" i="1"/>
  <c r="F467" i="1"/>
  <c r="F468" i="1"/>
  <c r="F469" i="1"/>
  <c r="F470" i="1"/>
  <c r="F471" i="1"/>
  <c r="F475" i="1"/>
  <c r="F479" i="1"/>
  <c r="F486" i="1"/>
  <c r="F487" i="1"/>
  <c r="AJ342" i="1"/>
  <c r="AJ294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2" i="1"/>
  <c r="AJ320" i="1"/>
  <c r="AJ26" i="1"/>
  <c r="AJ316" i="1"/>
  <c r="AJ315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386" i="1"/>
  <c r="AJ385" i="1"/>
  <c r="AJ384" i="1"/>
  <c r="AJ334" i="1"/>
  <c r="AJ330" i="1"/>
  <c r="AJ286" i="1"/>
  <c r="AJ285" i="1"/>
  <c r="AJ284" i="1"/>
  <c r="AJ283" i="1"/>
  <c r="AJ282" i="1"/>
  <c r="AJ281" i="1"/>
  <c r="AJ280" i="1"/>
  <c r="AJ397" i="1"/>
  <c r="AJ206" i="1"/>
  <c r="AJ231" i="1"/>
  <c r="AJ116" i="1"/>
  <c r="AJ115" i="1"/>
  <c r="AJ114" i="1"/>
  <c r="AJ178" i="1"/>
  <c r="AJ230" i="1"/>
  <c r="AJ229" i="1"/>
  <c r="AJ228" i="1"/>
  <c r="AJ202" i="1"/>
  <c r="AJ201" i="1"/>
  <c r="AJ28" i="1"/>
  <c r="AJ226" i="1"/>
  <c r="AJ225" i="1"/>
  <c r="AJ224" i="1"/>
  <c r="AJ392" i="1"/>
  <c r="AJ391" i="1"/>
  <c r="AJ390" i="1"/>
  <c r="BA36" i="1"/>
  <c r="BA390" i="1"/>
  <c r="BA26" i="1"/>
  <c r="BN332" i="1"/>
  <c r="BA332" i="1"/>
  <c r="AK332" i="1"/>
  <c r="AJ332" i="1"/>
  <c r="AJ333" i="1"/>
  <c r="AK333" i="1"/>
  <c r="BA333" i="1"/>
  <c r="BN333" i="1"/>
  <c r="AJ319" i="1"/>
  <c r="AK319" i="1"/>
  <c r="BA319" i="1"/>
  <c r="BN319" i="1"/>
  <c r="BN316" i="1"/>
  <c r="BA316" i="1"/>
  <c r="AW316" i="1" s="1"/>
  <c r="AK316" i="1"/>
  <c r="BN323" i="1"/>
  <c r="BA323" i="1"/>
  <c r="AK323" i="1"/>
  <c r="AJ323" i="1"/>
  <c r="BN322" i="1"/>
  <c r="BA322" i="1"/>
  <c r="AW322" i="1" s="1"/>
  <c r="AV322" i="1" s="1"/>
  <c r="AR322" i="1"/>
  <c r="AK322" i="1"/>
  <c r="BN321" i="1"/>
  <c r="BA321" i="1"/>
  <c r="AK321" i="1"/>
  <c r="AJ321" i="1"/>
  <c r="BN320" i="1"/>
  <c r="BA320" i="1"/>
  <c r="AW320" i="1" s="1"/>
  <c r="AV320" i="1" s="1"/>
  <c r="AR320" i="1"/>
  <c r="AK320" i="1"/>
  <c r="AJ331" i="1"/>
  <c r="AK331" i="1"/>
  <c r="BA331" i="1"/>
  <c r="BN331" i="1"/>
  <c r="AJ335" i="1"/>
  <c r="AK335" i="1"/>
  <c r="BA335" i="1"/>
  <c r="BN335" i="1"/>
  <c r="AR54" i="1"/>
  <c r="AR44" i="1"/>
  <c r="BN330" i="1"/>
  <c r="BA330" i="1"/>
  <c r="AW330" i="1" s="1"/>
  <c r="AV330" i="1" s="1"/>
  <c r="AK330" i="1"/>
  <c r="BA334" i="1"/>
  <c r="AW334" i="1" s="1"/>
  <c r="AK334" i="1"/>
  <c r="BN334" i="1"/>
  <c r="BN286" i="1"/>
  <c r="BA286" i="1"/>
  <c r="AW286" i="1" s="1"/>
  <c r="AV286" i="1" s="1"/>
  <c r="AK286" i="1"/>
  <c r="BN285" i="1"/>
  <c r="BA285" i="1"/>
  <c r="AW285" i="1" s="1"/>
  <c r="AV285" i="1" s="1"/>
  <c r="AK285" i="1"/>
  <c r="AK315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BN315" i="1"/>
  <c r="BA315" i="1"/>
  <c r="AW315" i="1" s="1"/>
  <c r="BN311" i="1"/>
  <c r="BA311" i="1"/>
  <c r="AW311" i="1" s="1"/>
  <c r="BN310" i="1"/>
  <c r="BA310" i="1"/>
  <c r="AW310" i="1" s="1"/>
  <c r="AV310" i="1" s="1"/>
  <c r="BN309" i="1"/>
  <c r="BA309" i="1"/>
  <c r="AW309" i="1" s="1"/>
  <c r="AV309" i="1" s="1"/>
  <c r="BN308" i="1"/>
  <c r="BA308" i="1"/>
  <c r="AW308" i="1" s="1"/>
  <c r="AV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BN302" i="1"/>
  <c r="BA302" i="1"/>
  <c r="AW302" i="1" s="1"/>
  <c r="BN301" i="1"/>
  <c r="BA301" i="1"/>
  <c r="AW301" i="1" s="1"/>
  <c r="BN300" i="1"/>
  <c r="BA300" i="1"/>
  <c r="AW300" i="1" s="1"/>
  <c r="AV300" i="1" s="1"/>
  <c r="BN299" i="1"/>
  <c r="BA299" i="1"/>
  <c r="AW299" i="1" s="1"/>
  <c r="AV299" i="1" s="1"/>
  <c r="BN298" i="1"/>
  <c r="BA298" i="1"/>
  <c r="AW298" i="1" s="1"/>
  <c r="AV298" i="1" s="1"/>
  <c r="BN297" i="1"/>
  <c r="BA297" i="1"/>
  <c r="AW297" i="1" s="1"/>
  <c r="AV297" i="1" s="1"/>
  <c r="BN296" i="1"/>
  <c r="BA296" i="1"/>
  <c r="AW296" i="1" s="1"/>
  <c r="AV296" i="1" s="1"/>
  <c r="BN317" i="1"/>
  <c r="BA317" i="1"/>
  <c r="AW317" i="1"/>
  <c r="AX317" i="1" s="1"/>
  <c r="AV317" i="1"/>
  <c r="BN318" i="1"/>
  <c r="BA318" i="1"/>
  <c r="AW318" i="1"/>
  <c r="AX318" i="1" s="1"/>
  <c r="AV318" i="1"/>
  <c r="AR77" i="1"/>
  <c r="AR76" i="1"/>
  <c r="AR75" i="1"/>
  <c r="AR74" i="1"/>
  <c r="AR73" i="1"/>
  <c r="AR72" i="1"/>
  <c r="AR26" i="1"/>
  <c r="AX395" i="1" l="1"/>
  <c r="AX396" i="1"/>
  <c r="AV395" i="1"/>
  <c r="AY395" i="1"/>
  <c r="AY396" i="1"/>
  <c r="AX312" i="1"/>
  <c r="AY313" i="1"/>
  <c r="AV312" i="1"/>
  <c r="AY312" i="1"/>
  <c r="AX313" i="1"/>
  <c r="AV313" i="1"/>
  <c r="AX326" i="1"/>
  <c r="AV326" i="1"/>
  <c r="AY326" i="1"/>
  <c r="AX324" i="1"/>
  <c r="AY324" i="1"/>
  <c r="AV324" i="1"/>
  <c r="AY472" i="1"/>
  <c r="AV472" i="1"/>
  <c r="AX472" i="1"/>
  <c r="AX473" i="1"/>
  <c r="AV473" i="1"/>
  <c r="AY473" i="1"/>
  <c r="AY485" i="1"/>
  <c r="AV485" i="1"/>
  <c r="AY480" i="1"/>
  <c r="AV480" i="1"/>
  <c r="AY484" i="1"/>
  <c r="AV484" i="1"/>
  <c r="AY481" i="1"/>
  <c r="AV481" i="1"/>
  <c r="AV476" i="1"/>
  <c r="AY127" i="1"/>
  <c r="AY474" i="1"/>
  <c r="AX474" i="1"/>
  <c r="AV127" i="1"/>
  <c r="AY128" i="1"/>
  <c r="AV128" i="1"/>
  <c r="AY42" i="1"/>
  <c r="AY109" i="1"/>
  <c r="AY108" i="1"/>
  <c r="AV108" i="1"/>
  <c r="AX108" i="1"/>
  <c r="AV109" i="1"/>
  <c r="AY361" i="1"/>
  <c r="AX362" i="1"/>
  <c r="AV362" i="1"/>
  <c r="AY362" i="1"/>
  <c r="AX361" i="1"/>
  <c r="AV361" i="1"/>
  <c r="AY399" i="1"/>
  <c r="AV399" i="1"/>
  <c r="AX398" i="1"/>
  <c r="AY398" i="1"/>
  <c r="AY476" i="1"/>
  <c r="AY478" i="1"/>
  <c r="AY477" i="1"/>
  <c r="AY462" i="1"/>
  <c r="AX107" i="1"/>
  <c r="AV107" i="1"/>
  <c r="AY107" i="1"/>
  <c r="AX106" i="1"/>
  <c r="AV106" i="1"/>
  <c r="AY106" i="1"/>
  <c r="AY56" i="1"/>
  <c r="AY460" i="1"/>
  <c r="AY459" i="1"/>
  <c r="AY457" i="1"/>
  <c r="AY458" i="1"/>
  <c r="AY461" i="1"/>
  <c r="AY435" i="1"/>
  <c r="AV435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0" i="1"/>
  <c r="AY314" i="1"/>
  <c r="AX314" i="1"/>
  <c r="AV314" i="1"/>
  <c r="AX328" i="1"/>
  <c r="AY328" i="1"/>
  <c r="AY483" i="1"/>
  <c r="AV483" i="1"/>
  <c r="AV482" i="1"/>
  <c r="AY482" i="1"/>
  <c r="AY41" i="1"/>
  <c r="AY43" i="1"/>
  <c r="AY382" i="1"/>
  <c r="AY381" i="1"/>
  <c r="AV381" i="1"/>
  <c r="AV382" i="1"/>
  <c r="AX315" i="1"/>
  <c r="AX301" i="1"/>
  <c r="AX311" i="1"/>
  <c r="AX316" i="1"/>
  <c r="AX297" i="1"/>
  <c r="AX309" i="1"/>
  <c r="AX302" i="1"/>
  <c r="AX303" i="1"/>
  <c r="AX298" i="1"/>
  <c r="AX310" i="1"/>
  <c r="AX306" i="1"/>
  <c r="AX307" i="1"/>
  <c r="AX300" i="1"/>
  <c r="AX285" i="1"/>
  <c r="AX299" i="1"/>
  <c r="AX304" i="1"/>
  <c r="AX305" i="1"/>
  <c r="AX334" i="1"/>
  <c r="AX330" i="1"/>
  <c r="AX320" i="1"/>
  <c r="AX296" i="1"/>
  <c r="AX308" i="1"/>
  <c r="AX286" i="1"/>
  <c r="AX322" i="1"/>
  <c r="AY15" i="1"/>
  <c r="AY330" i="1"/>
  <c r="AV334" i="1"/>
  <c r="AY334" i="1"/>
  <c r="AY300" i="1"/>
  <c r="AY299" i="1"/>
  <c r="AV311" i="1"/>
  <c r="AY311" i="1"/>
  <c r="AY320" i="1"/>
  <c r="AV303" i="1"/>
  <c r="AY303" i="1"/>
  <c r="AY297" i="1"/>
  <c r="AV304" i="1"/>
  <c r="AY304" i="1"/>
  <c r="AV305" i="1"/>
  <c r="AY305" i="1"/>
  <c r="AV315" i="1"/>
  <c r="AY315" i="1"/>
  <c r="AY286" i="1"/>
  <c r="AV307" i="1"/>
  <c r="AY307" i="1"/>
  <c r="AV301" i="1"/>
  <c r="AY301" i="1"/>
  <c r="AV316" i="1"/>
  <c r="AY316" i="1"/>
  <c r="AY310" i="1"/>
  <c r="AY285" i="1"/>
  <c r="AV302" i="1"/>
  <c r="AY302" i="1"/>
  <c r="AV306" i="1"/>
  <c r="AY306" i="1"/>
  <c r="AY17" i="1"/>
  <c r="AY5" i="1"/>
  <c r="AY25" i="1"/>
  <c r="AY13" i="1"/>
  <c r="AY27" i="1"/>
  <c r="AY31" i="1"/>
  <c r="AY19" i="1"/>
  <c r="AY7" i="1"/>
  <c r="AY318" i="1"/>
  <c r="AY298" i="1"/>
  <c r="AY323" i="1"/>
  <c r="AY309" i="1"/>
  <c r="AY322" i="1"/>
  <c r="AY308" i="1"/>
  <c r="AY296" i="1"/>
  <c r="AY232" i="1"/>
  <c r="AY23" i="1"/>
  <c r="AY11" i="1"/>
  <c r="AY321" i="1"/>
  <c r="AY21" i="1"/>
  <c r="AY9" i="1"/>
  <c r="AY335" i="1"/>
  <c r="AY319" i="1"/>
  <c r="AY333" i="1"/>
  <c r="AY317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2" i="1"/>
  <c r="BA232" i="1"/>
  <c r="AK232" i="1"/>
  <c r="AJ232" i="1"/>
  <c r="BN231" i="1"/>
  <c r="BA231" i="1"/>
  <c r="AW231" i="1" s="1"/>
  <c r="AX231" i="1" s="1"/>
  <c r="AM231" i="1"/>
  <c r="AK231" i="1"/>
  <c r="BN22" i="1"/>
  <c r="BN16" i="1"/>
  <c r="BN14" i="1"/>
  <c r="BN12" i="1"/>
  <c r="BN8" i="1"/>
  <c r="BN6" i="1"/>
  <c r="BN4" i="1"/>
  <c r="BA4" i="1"/>
  <c r="AW4" i="1" s="1"/>
  <c r="AX4" i="1" s="1"/>
  <c r="AK4" i="1"/>
  <c r="AK284" i="1"/>
  <c r="AK283" i="1"/>
  <c r="AK282" i="1"/>
  <c r="AK281" i="1"/>
  <c r="AK280" i="1"/>
  <c r="AK397" i="1"/>
  <c r="AK390" i="1"/>
  <c r="AK384" i="1"/>
  <c r="AK228" i="1"/>
  <c r="AK224" i="1"/>
  <c r="AK206" i="1"/>
  <c r="AK201" i="1"/>
  <c r="AK178" i="1"/>
  <c r="AK114" i="1"/>
  <c r="AK392" i="1"/>
  <c r="AK391" i="1"/>
  <c r="AK386" i="1"/>
  <c r="AK385" i="1"/>
  <c r="AK230" i="1"/>
  <c r="AK229" i="1"/>
  <c r="AK226" i="1"/>
  <c r="AK225" i="1"/>
  <c r="AK202" i="1"/>
  <c r="AK116" i="1"/>
  <c r="AK115" i="1"/>
  <c r="AM114" i="1"/>
  <c r="AK342" i="1"/>
  <c r="AK294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397" i="1"/>
  <c r="AM392" i="1"/>
  <c r="AM391" i="1"/>
  <c r="AM390" i="1"/>
  <c r="AM386" i="1"/>
  <c r="AM385" i="1"/>
  <c r="AM384" i="1"/>
  <c r="AM230" i="1"/>
  <c r="AM229" i="1"/>
  <c r="AM228" i="1"/>
  <c r="AM226" i="1"/>
  <c r="AM225" i="1"/>
  <c r="AM224" i="1"/>
  <c r="AM206" i="1"/>
  <c r="AM202" i="1"/>
  <c r="AM201" i="1"/>
  <c r="AM178" i="1"/>
  <c r="AM116" i="1"/>
  <c r="AM115" i="1"/>
  <c r="AW468" i="1"/>
  <c r="AX468" i="1" s="1"/>
  <c r="AW466" i="1"/>
  <c r="AX466" i="1" s="1"/>
  <c r="AW464" i="1"/>
  <c r="AX464" i="1" s="1"/>
  <c r="AW463" i="1"/>
  <c r="AX463" i="1" s="1"/>
  <c r="AV463" i="1"/>
  <c r="AW456" i="1"/>
  <c r="AX456" i="1" s="1"/>
  <c r="AW453" i="1"/>
  <c r="AX453" i="1" s="1"/>
  <c r="AV453" i="1"/>
  <c r="AW452" i="1"/>
  <c r="AX452" i="1" s="1"/>
  <c r="AV452" i="1"/>
  <c r="AW451" i="1"/>
  <c r="AX451" i="1" s="1"/>
  <c r="AW448" i="1"/>
  <c r="AX448" i="1" s="1"/>
  <c r="AV448" i="1"/>
  <c r="AW447" i="1"/>
  <c r="AX447" i="1" s="1"/>
  <c r="AV447" i="1"/>
  <c r="AW439" i="1"/>
  <c r="AX439" i="1" s="1"/>
  <c r="AV439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95" i="1"/>
  <c r="AX295" i="1" s="1"/>
  <c r="AV295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8" i="1"/>
  <c r="AX288" i="1" s="1"/>
  <c r="AV288" i="1"/>
  <c r="AW287" i="1"/>
  <c r="AX287" i="1" s="1"/>
  <c r="AV287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234" i="1"/>
  <c r="AX234" i="1" s="1"/>
  <c r="AV234" i="1"/>
  <c r="AW233" i="1"/>
  <c r="AX233" i="1" s="1"/>
  <c r="AV233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9" i="1"/>
  <c r="AV469" i="1" s="1"/>
  <c r="AW479" i="1"/>
  <c r="AW486" i="1"/>
  <c r="AX486" i="1" s="1"/>
  <c r="BA468" i="1"/>
  <c r="BA466" i="1"/>
  <c r="BA464" i="1"/>
  <c r="BA463" i="1"/>
  <c r="BA456" i="1"/>
  <c r="BA453" i="1"/>
  <c r="BA452" i="1"/>
  <c r="BA451" i="1"/>
  <c r="BA448" i="1"/>
  <c r="BA447" i="1"/>
  <c r="BA439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7" i="1"/>
  <c r="BA406" i="1"/>
  <c r="BA350" i="1"/>
  <c r="BA349" i="1"/>
  <c r="BA348" i="1"/>
  <c r="BA347" i="1"/>
  <c r="BA341" i="1"/>
  <c r="BA340" i="1"/>
  <c r="BA339" i="1"/>
  <c r="BA338" i="1"/>
  <c r="BA337" i="1"/>
  <c r="BA336" i="1"/>
  <c r="BA295" i="1"/>
  <c r="BA293" i="1"/>
  <c r="BA292" i="1"/>
  <c r="BA291" i="1"/>
  <c r="BA290" i="1"/>
  <c r="BA289" i="1"/>
  <c r="BA288" i="1"/>
  <c r="BA287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234" i="1"/>
  <c r="BA233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4" i="1"/>
  <c r="BA449" i="1"/>
  <c r="BA487" i="1"/>
  <c r="BA279" i="1"/>
  <c r="AW279" i="1" s="1"/>
  <c r="AX279" i="1" s="1"/>
  <c r="BA475" i="1"/>
  <c r="BA470" i="1"/>
  <c r="BA469" i="1"/>
  <c r="BA467" i="1"/>
  <c r="BA465" i="1"/>
  <c r="BA394" i="1"/>
  <c r="AW394" i="1" s="1"/>
  <c r="AX394" i="1" s="1"/>
  <c r="BA393" i="1"/>
  <c r="AW393" i="1" s="1"/>
  <c r="AX39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222" i="1"/>
  <c r="AW222" i="1" s="1"/>
  <c r="AX222" i="1" s="1"/>
  <c r="BA221" i="1"/>
  <c r="AW221" i="1" s="1"/>
  <c r="AX221" i="1" s="1"/>
  <c r="BA204" i="1"/>
  <c r="AW204" i="1" s="1"/>
  <c r="AX204" i="1" s="1"/>
  <c r="BA203" i="1"/>
  <c r="AW203" i="1" s="1"/>
  <c r="AX203" i="1" s="1"/>
  <c r="BA199" i="1"/>
  <c r="AW199" i="1" s="1"/>
  <c r="AX199" i="1" s="1"/>
  <c r="BA198" i="1"/>
  <c r="AW198" i="1" s="1"/>
  <c r="AX198" i="1" s="1"/>
  <c r="BA445" i="1"/>
  <c r="AW445" i="1" s="1"/>
  <c r="AX445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55" i="1"/>
  <c r="BA450" i="1"/>
  <c r="BA397" i="1"/>
  <c r="BA392" i="1"/>
  <c r="AW392" i="1" s="1"/>
  <c r="AX392" i="1" s="1"/>
  <c r="BA391" i="1"/>
  <c r="AW391" i="1" s="1"/>
  <c r="AX391" i="1" s="1"/>
  <c r="AW390" i="1"/>
  <c r="AX390" i="1" s="1"/>
  <c r="BA389" i="1"/>
  <c r="AW389" i="1" s="1"/>
  <c r="AX389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2" i="1"/>
  <c r="AW202" i="1" s="1"/>
  <c r="AX202" i="1" s="1"/>
  <c r="BA201" i="1"/>
  <c r="AW201" i="1" s="1"/>
  <c r="AX201" i="1" s="1"/>
  <c r="BA200" i="1"/>
  <c r="AW200" i="1" s="1"/>
  <c r="AX200" i="1" s="1"/>
  <c r="BA178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402" i="1"/>
  <c r="BA401" i="1"/>
  <c r="BA400" i="1"/>
  <c r="BA219" i="1"/>
  <c r="BA218" i="1"/>
  <c r="BA217" i="1"/>
  <c r="BA216" i="1"/>
  <c r="BA215" i="1"/>
  <c r="BA214" i="1"/>
  <c r="BA213" i="1"/>
  <c r="BA212" i="1"/>
  <c r="BA211" i="1"/>
  <c r="BA210" i="1"/>
  <c r="BA209" i="1"/>
  <c r="BA208" i="1"/>
  <c r="BA207" i="1"/>
  <c r="BA197" i="1"/>
  <c r="BA196" i="1"/>
  <c r="BA191" i="1"/>
  <c r="BA190" i="1"/>
  <c r="BA186" i="1"/>
  <c r="BA185" i="1"/>
  <c r="BA184" i="1"/>
  <c r="BA183" i="1"/>
  <c r="BA182" i="1"/>
  <c r="BA181" i="1"/>
  <c r="BA180" i="1"/>
  <c r="BA179" i="1"/>
  <c r="BA177" i="1"/>
  <c r="BA176" i="1"/>
  <c r="BA175" i="1"/>
  <c r="BA174" i="1"/>
  <c r="BA173" i="1"/>
  <c r="BA172" i="1"/>
  <c r="BA171" i="1"/>
  <c r="BA166" i="1"/>
  <c r="BA165" i="1"/>
  <c r="BA164" i="1"/>
  <c r="BA163" i="1"/>
  <c r="BA162" i="1"/>
  <c r="BA161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9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6" i="1"/>
  <c r="AW436" i="1" s="1"/>
  <c r="AX436" i="1" s="1"/>
  <c r="BA284" i="1"/>
  <c r="AW284" i="1" s="1"/>
  <c r="AX284" i="1" s="1"/>
  <c r="BA283" i="1"/>
  <c r="AW283" i="1" s="1"/>
  <c r="AX283" i="1" s="1"/>
  <c r="BA282" i="1"/>
  <c r="AW282" i="1" s="1"/>
  <c r="AX282" i="1" s="1"/>
  <c r="BA281" i="1"/>
  <c r="AW281" i="1" s="1"/>
  <c r="AX281" i="1" s="1"/>
  <c r="BA280" i="1"/>
  <c r="AW280" i="1" s="1"/>
  <c r="AX280" i="1" s="1"/>
  <c r="BA405" i="1"/>
  <c r="BA404" i="1"/>
  <c r="BA403" i="1"/>
  <c r="BA195" i="1"/>
  <c r="BA194" i="1"/>
  <c r="BA193" i="1"/>
  <c r="BA192" i="1"/>
  <c r="BA189" i="1"/>
  <c r="BA188" i="1"/>
  <c r="BA187" i="1"/>
  <c r="BA170" i="1"/>
  <c r="BA169" i="1"/>
  <c r="BA168" i="1"/>
  <c r="BA167" i="1"/>
  <c r="BA148" i="1"/>
  <c r="BA147" i="1"/>
  <c r="BA146" i="1"/>
  <c r="BA438" i="1"/>
  <c r="AW438" i="1" s="1"/>
  <c r="AX438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342" i="1"/>
  <c r="AW342" i="1" s="1"/>
  <c r="AX342" i="1" s="1"/>
  <c r="BA294" i="1"/>
  <c r="AW294" i="1" s="1"/>
  <c r="AX294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6" i="1"/>
  <c r="BA446" i="1"/>
  <c r="BA437" i="1"/>
  <c r="AW437" i="1" s="1"/>
  <c r="AX437" i="1" s="1"/>
  <c r="S366" i="1"/>
  <c r="S365" i="1"/>
  <c r="S364" i="1"/>
  <c r="S360" i="1"/>
  <c r="S390" i="1"/>
  <c r="S389" i="1"/>
  <c r="S384" i="1"/>
  <c r="S383" i="1"/>
  <c r="S380" i="1"/>
  <c r="S379" i="1"/>
  <c r="S378" i="1"/>
  <c r="S377" i="1"/>
  <c r="S374" i="1"/>
  <c r="S373" i="1"/>
  <c r="S372" i="1"/>
  <c r="S358" i="1"/>
  <c r="S356" i="1"/>
  <c r="S394" i="1"/>
  <c r="S393" i="1"/>
  <c r="T228" i="1"/>
  <c r="T224" i="1"/>
  <c r="T390" i="1"/>
  <c r="T384" i="1"/>
  <c r="T114" i="1"/>
  <c r="S441" i="1"/>
  <c r="S442" i="1"/>
  <c r="S445" i="1"/>
  <c r="S444" i="1"/>
  <c r="S352" i="1"/>
  <c r="S351" i="1"/>
  <c r="S354" i="1"/>
  <c r="S353" i="1"/>
  <c r="S376" i="1"/>
  <c r="S375" i="1"/>
  <c r="T368" i="1"/>
  <c r="T370" i="1"/>
  <c r="T222" i="1"/>
  <c r="T352" i="1"/>
  <c r="T366" i="1"/>
  <c r="T364" i="1"/>
  <c r="T360" i="1"/>
  <c r="T380" i="1"/>
  <c r="T378" i="1"/>
  <c r="T356" i="1"/>
  <c r="T372" i="1"/>
  <c r="T358" i="1"/>
  <c r="T374" i="1"/>
  <c r="T394" i="1"/>
  <c r="T354" i="1"/>
  <c r="T376" i="1"/>
  <c r="S430" i="1"/>
  <c r="S432" i="1"/>
  <c r="S433" i="1"/>
  <c r="S443" i="1"/>
  <c r="S431" i="1"/>
  <c r="S429" i="1"/>
  <c r="S428" i="1"/>
  <c r="S371" i="1"/>
  <c r="S355" i="1"/>
  <c r="S357" i="1"/>
  <c r="S359" i="1"/>
  <c r="S363" i="1"/>
  <c r="BB475" i="1"/>
  <c r="AW475" i="1" s="1"/>
  <c r="BB471" i="1"/>
  <c r="AW471" i="1" s="1"/>
  <c r="BB470" i="1"/>
  <c r="AW470" i="1" s="1"/>
  <c r="BB467" i="1"/>
  <c r="AW467" i="1" s="1"/>
  <c r="BB465" i="1"/>
  <c r="AW465" i="1" s="1"/>
  <c r="AZ487" i="1"/>
  <c r="AW487" i="1" s="1"/>
  <c r="AX487" i="1" s="1"/>
  <c r="AZ454" i="1"/>
  <c r="AW454" i="1" s="1"/>
  <c r="AX454" i="1" s="1"/>
  <c r="AZ449" i="1"/>
  <c r="AW449" i="1" s="1"/>
  <c r="AX449" i="1" s="1"/>
  <c r="AZ455" i="1"/>
  <c r="AW455" i="1" s="1"/>
  <c r="AX455" i="1" s="1"/>
  <c r="AZ450" i="1"/>
  <c r="AW450" i="1" s="1"/>
  <c r="AX450" i="1" s="1"/>
  <c r="AZ402" i="1"/>
  <c r="AW402" i="1" s="1"/>
  <c r="AX402" i="1" s="1"/>
  <c r="AZ401" i="1"/>
  <c r="AW401" i="1" s="1"/>
  <c r="AX401" i="1" s="1"/>
  <c r="AZ400" i="1"/>
  <c r="AW400" i="1" s="1"/>
  <c r="AX40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208" i="1"/>
  <c r="AW208" i="1" s="1"/>
  <c r="AX208" i="1" s="1"/>
  <c r="AZ207" i="1"/>
  <c r="AW207" i="1" s="1"/>
  <c r="AX207" i="1" s="1"/>
  <c r="AZ197" i="1"/>
  <c r="AW197" i="1" s="1"/>
  <c r="AX197" i="1" s="1"/>
  <c r="AZ196" i="1"/>
  <c r="AW196" i="1" s="1"/>
  <c r="AX196" i="1" s="1"/>
  <c r="AZ191" i="1"/>
  <c r="AW191" i="1" s="1"/>
  <c r="AX191" i="1" s="1"/>
  <c r="AZ190" i="1"/>
  <c r="AW190" i="1" s="1"/>
  <c r="AX190" i="1" s="1"/>
  <c r="AZ186" i="1"/>
  <c r="AW186" i="1" s="1"/>
  <c r="AX186" i="1" s="1"/>
  <c r="AZ185" i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80" i="1"/>
  <c r="AW180" i="1" s="1"/>
  <c r="AX180" i="1" s="1"/>
  <c r="AZ179" i="1"/>
  <c r="AW179" i="1" s="1"/>
  <c r="AX179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72" i="1"/>
  <c r="AW172" i="1" s="1"/>
  <c r="AX172" i="1" s="1"/>
  <c r="AZ171" i="1"/>
  <c r="AW171" i="1" s="1"/>
  <c r="AX171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62" i="1"/>
  <c r="AW162" i="1" s="1"/>
  <c r="AX162" i="1" s="1"/>
  <c r="AZ161" i="1"/>
  <c r="AW161" i="1" s="1"/>
  <c r="AX161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5" i="1"/>
  <c r="AW405" i="1" s="1"/>
  <c r="AX405" i="1" s="1"/>
  <c r="AZ404" i="1"/>
  <c r="AW404" i="1" s="1"/>
  <c r="AX404" i="1" s="1"/>
  <c r="AZ403" i="1"/>
  <c r="AW403" i="1" s="1"/>
  <c r="AX403" i="1" s="1"/>
  <c r="AZ195" i="1"/>
  <c r="AW195" i="1" s="1"/>
  <c r="AX195" i="1" s="1"/>
  <c r="AZ194" i="1"/>
  <c r="AW194" i="1" s="1"/>
  <c r="AX194" i="1" s="1"/>
  <c r="AZ193" i="1"/>
  <c r="AW193" i="1" s="1"/>
  <c r="AX193" i="1" s="1"/>
  <c r="AZ192" i="1"/>
  <c r="AW192" i="1" s="1"/>
  <c r="AX192" i="1" s="1"/>
  <c r="AZ189" i="1"/>
  <c r="AW189" i="1" s="1"/>
  <c r="AX189" i="1" s="1"/>
  <c r="AZ188" i="1"/>
  <c r="AW188" i="1" s="1"/>
  <c r="AX188" i="1" s="1"/>
  <c r="AZ187" i="1"/>
  <c r="AW187" i="1" s="1"/>
  <c r="AX187" i="1" s="1"/>
  <c r="AZ170" i="1"/>
  <c r="AW170" i="1" s="1"/>
  <c r="AX170" i="1" s="1"/>
  <c r="AZ169" i="1"/>
  <c r="AW169" i="1" s="1"/>
  <c r="AX169" i="1" s="1"/>
  <c r="AZ168" i="1"/>
  <c r="AW168" i="1" s="1"/>
  <c r="AX168" i="1" s="1"/>
  <c r="AZ167" i="1"/>
  <c r="AW167" i="1" s="1"/>
  <c r="AX167" i="1" s="1"/>
  <c r="AZ148" i="1"/>
  <c r="AW148" i="1" s="1"/>
  <c r="AX148" i="1" s="1"/>
  <c r="AZ147" i="1"/>
  <c r="AW147" i="1" s="1"/>
  <c r="AX147" i="1" s="1"/>
  <c r="AZ146" i="1"/>
  <c r="AW146" i="1" s="1"/>
  <c r="AX146" i="1" s="1"/>
  <c r="R200" i="1"/>
  <c r="S200" i="1" s="1"/>
  <c r="BN206" i="1"/>
  <c r="AT206" i="1"/>
  <c r="AL206" i="1"/>
  <c r="R206" i="1"/>
  <c r="S206" i="1" s="1"/>
  <c r="BN205" i="1"/>
  <c r="R205" i="1"/>
  <c r="S205" i="1" s="1"/>
  <c r="BN202" i="1"/>
  <c r="BN201" i="1"/>
  <c r="AT201" i="1"/>
  <c r="AL201" i="1"/>
  <c r="R201" i="1"/>
  <c r="S201" i="1" s="1"/>
  <c r="BN200" i="1"/>
  <c r="BN230" i="1"/>
  <c r="BN229" i="1"/>
  <c r="BN228" i="1"/>
  <c r="AT228" i="1"/>
  <c r="AL228" i="1"/>
  <c r="R228" i="1"/>
  <c r="J228" i="1"/>
  <c r="BN227" i="1"/>
  <c r="R227" i="1"/>
  <c r="S369" i="1"/>
  <c r="S367" i="1"/>
  <c r="R178" i="1"/>
  <c r="S178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3" i="1"/>
  <c r="BN204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1" i="1"/>
  <c r="BN222" i="1"/>
  <c r="BN223" i="1"/>
  <c r="BN224" i="1"/>
  <c r="BN225" i="1"/>
  <c r="BN226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7" i="1"/>
  <c r="BN288" i="1"/>
  <c r="BN289" i="1"/>
  <c r="BN290" i="1"/>
  <c r="BN291" i="1"/>
  <c r="BN292" i="1"/>
  <c r="BN293" i="1"/>
  <c r="BN294" i="1"/>
  <c r="BN29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57" i="1"/>
  <c r="BN358" i="1"/>
  <c r="BN359" i="1"/>
  <c r="BN360" i="1"/>
  <c r="BN363" i="1"/>
  <c r="BN364" i="1"/>
  <c r="BN365" i="1"/>
  <c r="BN366" i="1"/>
  <c r="BN367" i="1"/>
  <c r="BN368" i="1"/>
  <c r="BN369" i="1"/>
  <c r="BN370" i="1"/>
  <c r="BN371" i="1"/>
  <c r="BN372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9" i="1"/>
  <c r="BN390" i="1"/>
  <c r="BN391" i="1"/>
  <c r="BN392" i="1"/>
  <c r="BN393" i="1"/>
  <c r="BN394" i="1"/>
  <c r="BN397" i="1"/>
  <c r="BN400" i="1"/>
  <c r="BN401" i="1"/>
  <c r="BN402" i="1"/>
  <c r="BN403" i="1"/>
  <c r="BN404" i="1"/>
  <c r="BN405" i="1"/>
  <c r="BN406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63" i="1"/>
  <c r="BN464" i="1"/>
  <c r="BN465" i="1"/>
  <c r="BN466" i="1"/>
  <c r="BN467" i="1"/>
  <c r="BN468" i="1"/>
  <c r="BN469" i="1"/>
  <c r="BN470" i="1"/>
  <c r="BN471" i="1"/>
  <c r="BN475" i="1"/>
  <c r="BN479" i="1"/>
  <c r="BN486" i="1"/>
  <c r="BN487" i="1"/>
  <c r="AT390" i="1"/>
  <c r="AL390" i="1"/>
  <c r="R114" i="1"/>
  <c r="S114" i="1" s="1"/>
  <c r="R113" i="1"/>
  <c r="S113" i="1" s="1"/>
  <c r="AT114" i="1"/>
  <c r="AL114" i="1"/>
  <c r="AT384" i="1"/>
  <c r="AL384" i="1"/>
  <c r="AT397" i="1"/>
  <c r="AL397" i="1"/>
  <c r="AT178" i="1"/>
  <c r="AL178" i="1"/>
  <c r="AL224" i="1"/>
  <c r="AT224" i="1"/>
  <c r="R224" i="1"/>
  <c r="J224" i="1"/>
  <c r="R223" i="1"/>
  <c r="R189" i="1"/>
  <c r="S189" i="1" s="1"/>
  <c r="R188" i="1"/>
  <c r="S188" i="1" s="1"/>
  <c r="R148" i="1"/>
  <c r="S148" i="1" s="1"/>
  <c r="R147" i="1"/>
  <c r="S147" i="1" s="1"/>
  <c r="R170" i="1"/>
  <c r="S170" i="1" s="1"/>
  <c r="R168" i="1"/>
  <c r="S168" i="1" s="1"/>
  <c r="R195" i="1"/>
  <c r="S195" i="1" s="1"/>
  <c r="R194" i="1"/>
  <c r="S194" i="1" s="1"/>
  <c r="R193" i="1"/>
  <c r="S193" i="1" s="1"/>
  <c r="T204" i="1"/>
  <c r="T199" i="1"/>
  <c r="T440" i="1"/>
  <c r="T203" i="1"/>
  <c r="T198" i="1"/>
  <c r="S370" i="1"/>
  <c r="S368" i="1"/>
  <c r="R221" i="1"/>
  <c r="R222" i="1"/>
  <c r="R218" i="1"/>
  <c r="S218" i="1" s="1"/>
  <c r="R217" i="1"/>
  <c r="S217" i="1" s="1"/>
  <c r="R211" i="1"/>
  <c r="S211" i="1" s="1"/>
  <c r="R210" i="1"/>
  <c r="S210" i="1" s="1"/>
  <c r="R209" i="1"/>
  <c r="S209" i="1" s="1"/>
  <c r="R208" i="1"/>
  <c r="S208" i="1" s="1"/>
  <c r="R197" i="1"/>
  <c r="S197" i="1" s="1"/>
  <c r="R191" i="1"/>
  <c r="S191" i="1" s="1"/>
  <c r="R186" i="1"/>
  <c r="S186" i="1" s="1"/>
  <c r="R184" i="1"/>
  <c r="S184" i="1" s="1"/>
  <c r="R182" i="1"/>
  <c r="S182" i="1" s="1"/>
  <c r="R180" i="1"/>
  <c r="S180" i="1" s="1"/>
  <c r="R177" i="1"/>
  <c r="S177" i="1" s="1"/>
  <c r="R176" i="1"/>
  <c r="S176" i="1" s="1"/>
  <c r="R175" i="1"/>
  <c r="S175" i="1" s="1"/>
  <c r="R174" i="1"/>
  <c r="S174" i="1" s="1"/>
  <c r="R172" i="1"/>
  <c r="S172" i="1" s="1"/>
  <c r="R166" i="1"/>
  <c r="S166" i="1" s="1"/>
  <c r="R165" i="1"/>
  <c r="S165" i="1" s="1"/>
  <c r="R164" i="1"/>
  <c r="S164" i="1" s="1"/>
  <c r="R162" i="1"/>
  <c r="S162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2" i="1"/>
  <c r="AT171" i="1"/>
  <c r="AT405" i="1"/>
  <c r="AT404" i="1"/>
  <c r="AT487" i="1"/>
  <c r="AT403" i="1"/>
  <c r="AT402" i="1"/>
  <c r="AT401" i="1"/>
  <c r="AT400" i="1"/>
  <c r="AT219" i="1"/>
  <c r="AT218" i="1"/>
  <c r="AT217" i="1"/>
  <c r="AT216" i="1"/>
  <c r="AT215" i="1"/>
  <c r="AT214" i="1"/>
  <c r="AT213" i="1"/>
  <c r="AT212" i="1"/>
  <c r="AT211" i="1"/>
  <c r="AT210" i="1"/>
  <c r="AT209" i="1"/>
  <c r="AT208" i="1"/>
  <c r="AT207" i="1"/>
  <c r="AT197" i="1"/>
  <c r="AT196" i="1"/>
  <c r="AT191" i="1"/>
  <c r="AT190" i="1"/>
  <c r="AT186" i="1"/>
  <c r="AT185" i="1"/>
  <c r="AT184" i="1"/>
  <c r="AT183" i="1"/>
  <c r="AT182" i="1"/>
  <c r="AT181" i="1"/>
  <c r="AT180" i="1"/>
  <c r="AT179" i="1"/>
  <c r="AT177" i="1"/>
  <c r="AT176" i="1"/>
  <c r="AT175" i="1"/>
  <c r="AT174" i="1"/>
  <c r="AT173" i="1"/>
  <c r="AT166" i="1"/>
  <c r="AT165" i="1"/>
  <c r="AT164" i="1"/>
  <c r="AT163" i="1"/>
  <c r="AT162" i="1"/>
  <c r="AT161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0" i="1" l="1"/>
  <c r="AV470" i="1"/>
  <c r="AX471" i="1"/>
  <c r="AV471" i="1"/>
  <c r="AX479" i="1"/>
  <c r="AV479" i="1"/>
  <c r="AX465" i="1"/>
  <c r="AV465" i="1"/>
  <c r="AX475" i="1"/>
  <c r="AV475" i="1"/>
  <c r="AX467" i="1"/>
  <c r="AV467" i="1"/>
  <c r="AX469" i="1"/>
  <c r="AW446" i="1"/>
  <c r="AX446" i="1" s="1"/>
  <c r="AY342" i="1"/>
  <c r="AY224" i="1"/>
  <c r="AY390" i="1"/>
  <c r="AV402" i="1"/>
  <c r="AV166" i="1"/>
  <c r="AY47" i="1"/>
  <c r="AV120" i="1"/>
  <c r="AY337" i="1"/>
  <c r="AY213" i="1"/>
  <c r="AY214" i="1"/>
  <c r="AY95" i="1"/>
  <c r="AY101" i="1"/>
  <c r="AY338" i="1"/>
  <c r="AY349" i="1"/>
  <c r="AV81" i="1"/>
  <c r="AY8" i="1"/>
  <c r="AY355" i="1"/>
  <c r="AV142" i="1"/>
  <c r="AV190" i="1"/>
  <c r="AY228" i="1"/>
  <c r="AY198" i="1"/>
  <c r="AY231" i="1"/>
  <c r="AY152" i="1"/>
  <c r="AV445" i="1"/>
  <c r="AY448" i="1"/>
  <c r="AY140" i="1"/>
  <c r="AY73" i="1"/>
  <c r="AV432" i="1"/>
  <c r="AY432" i="1"/>
  <c r="AY229" i="1"/>
  <c r="AY486" i="1"/>
  <c r="AY96" i="1"/>
  <c r="AY287" i="1"/>
  <c r="AY293" i="1"/>
  <c r="AY350" i="1"/>
  <c r="AY410" i="1"/>
  <c r="AY422" i="1"/>
  <c r="AY4" i="1"/>
  <c r="AY28" i="1"/>
  <c r="AY26" i="1"/>
  <c r="AV165" i="1"/>
  <c r="AY165" i="1"/>
  <c r="AY366" i="1"/>
  <c r="AY465" i="1"/>
  <c r="AY86" i="1"/>
  <c r="AY176" i="1"/>
  <c r="AY217" i="1"/>
  <c r="AY74" i="1"/>
  <c r="AY87" i="1"/>
  <c r="AV433" i="1"/>
  <c r="AY433" i="1"/>
  <c r="AV200" i="1"/>
  <c r="AY200" i="1"/>
  <c r="AY203" i="1"/>
  <c r="AY352" i="1"/>
  <c r="AY425" i="1"/>
  <c r="AY454" i="1"/>
  <c r="AY89" i="1"/>
  <c r="AV434" i="1"/>
  <c r="AY434" i="1"/>
  <c r="AY68" i="1"/>
  <c r="AV201" i="1"/>
  <c r="AY201" i="1"/>
  <c r="AY204" i="1"/>
  <c r="AY360" i="1"/>
  <c r="AV372" i="1"/>
  <c r="AY238" i="1"/>
  <c r="AY244" i="1"/>
  <c r="AY250" i="1"/>
  <c r="AY262" i="1"/>
  <c r="AY274" i="1"/>
  <c r="AY340" i="1"/>
  <c r="AY411" i="1"/>
  <c r="AY423" i="1"/>
  <c r="AV294" i="1"/>
  <c r="AV455" i="1"/>
  <c r="AY367" i="1"/>
  <c r="AY186" i="1"/>
  <c r="AV188" i="1"/>
  <c r="AY188" i="1"/>
  <c r="AY471" i="1"/>
  <c r="AY437" i="1"/>
  <c r="AV32" i="1"/>
  <c r="AV281" i="1"/>
  <c r="AY281" i="1"/>
  <c r="AV69" i="1"/>
  <c r="AY69" i="1"/>
  <c r="AY202" i="1"/>
  <c r="AY384" i="1"/>
  <c r="AY363" i="1"/>
  <c r="AY373" i="1"/>
  <c r="AY393" i="1"/>
  <c r="AV154" i="1"/>
  <c r="AV189" i="1"/>
  <c r="AY189" i="1"/>
  <c r="AY150" i="1"/>
  <c r="AV400" i="1"/>
  <c r="AY400" i="1"/>
  <c r="AV282" i="1"/>
  <c r="AY282" i="1"/>
  <c r="AY70" i="1"/>
  <c r="AV112" i="1"/>
  <c r="AY112" i="1"/>
  <c r="AY205" i="1"/>
  <c r="AY239" i="1"/>
  <c r="AY251" i="1"/>
  <c r="AY263" i="1"/>
  <c r="AY275" i="1"/>
  <c r="AY424" i="1"/>
  <c r="AY463" i="1"/>
  <c r="AY376" i="1"/>
  <c r="AV167" i="1"/>
  <c r="AY167" i="1"/>
  <c r="AY75" i="1"/>
  <c r="AY164" i="1"/>
  <c r="AV92" i="1"/>
  <c r="AY92" i="1"/>
  <c r="AV283" i="1"/>
  <c r="AY283" i="1"/>
  <c r="AY71" i="1"/>
  <c r="AY117" i="1"/>
  <c r="AY206" i="1"/>
  <c r="AY386" i="1"/>
  <c r="AV444" i="1"/>
  <c r="AY444" i="1"/>
  <c r="AY365" i="1"/>
  <c r="AY375" i="1"/>
  <c r="AY62" i="1"/>
  <c r="AY403" i="1"/>
  <c r="AY467" i="1"/>
  <c r="AY479" i="1"/>
  <c r="AY404" i="1"/>
  <c r="AV145" i="1"/>
  <c r="AY197" i="1"/>
  <c r="AY18" i="1"/>
  <c r="AY55" i="1"/>
  <c r="AV110" i="1"/>
  <c r="AY345" i="1"/>
  <c r="AV179" i="1"/>
  <c r="AY438" i="1"/>
  <c r="AY85" i="1"/>
  <c r="AY181" i="1"/>
  <c r="AY193" i="1"/>
  <c r="AY450" i="1"/>
  <c r="AY133" i="1"/>
  <c r="AY235" i="1"/>
  <c r="AY271" i="1"/>
  <c r="AY414" i="1"/>
  <c r="AY451" i="1"/>
  <c r="AY49" i="1"/>
  <c r="AY63" i="1"/>
  <c r="AV346" i="1"/>
  <c r="AY48" i="1"/>
  <c r="AY247" i="1"/>
  <c r="AV156" i="1"/>
  <c r="AY50" i="1"/>
  <c r="AY356" i="1"/>
  <c r="AY368" i="1"/>
  <c r="AY380" i="1"/>
  <c r="AY236" i="1"/>
  <c r="AY415" i="1"/>
  <c r="AY427" i="1"/>
  <c r="AY6" i="1"/>
  <c r="AY426" i="1"/>
  <c r="AY168" i="1"/>
  <c r="AV157" i="1"/>
  <c r="AY12" i="1"/>
  <c r="AY357" i="1"/>
  <c r="AV169" i="1"/>
  <c r="AV191" i="1"/>
  <c r="AY468" i="1"/>
  <c r="AY237" i="1"/>
  <c r="AY249" i="1"/>
  <c r="AY261" i="1"/>
  <c r="AY159" i="1"/>
  <c r="AY383" i="1"/>
  <c r="AV111" i="1"/>
  <c r="AY221" i="1"/>
  <c r="AY51" i="1"/>
  <c r="AY135" i="1"/>
  <c r="AY209" i="1"/>
  <c r="AV359" i="1"/>
  <c r="AY347" i="1"/>
  <c r="AY30" i="1"/>
  <c r="AY273" i="1"/>
  <c r="AV371" i="1"/>
  <c r="AY147" i="1"/>
  <c r="AY171" i="1"/>
  <c r="AY292" i="1"/>
  <c r="AY37" i="1"/>
  <c r="AY44" i="1"/>
  <c r="AY54" i="1"/>
  <c r="AY83" i="1"/>
  <c r="AY84" i="1"/>
  <c r="AY35" i="1"/>
  <c r="AY36" i="1"/>
  <c r="AY391" i="1"/>
  <c r="AY392" i="1"/>
  <c r="AY115" i="1"/>
  <c r="AW178" i="1"/>
  <c r="AX178" i="1" s="1"/>
  <c r="AY90" i="1"/>
  <c r="AY33" i="1"/>
  <c r="AY385" i="1"/>
  <c r="AY78" i="1"/>
  <c r="AW397" i="1"/>
  <c r="AX397" i="1" s="1"/>
  <c r="AY225" i="1"/>
  <c r="AY401" i="1"/>
  <c r="AY257" i="1"/>
  <c r="AY233" i="1"/>
  <c r="AY449" i="1"/>
  <c r="AY210" i="1"/>
  <c r="AY61" i="1"/>
  <c r="AY466" i="1"/>
  <c r="AY143" i="1"/>
  <c r="AY408" i="1"/>
  <c r="AY20" i="1"/>
  <c r="AY248" i="1"/>
  <c r="AY364" i="1"/>
  <c r="AV174" i="1"/>
  <c r="AV431" i="1"/>
  <c r="AV158" i="1"/>
  <c r="AY158" i="1"/>
  <c r="AV175" i="1"/>
  <c r="AV216" i="1"/>
  <c r="AY216" i="1"/>
  <c r="AY14" i="1"/>
  <c r="AY52" i="1"/>
  <c r="AV66" i="1"/>
  <c r="AV279" i="1"/>
  <c r="AY160" i="1"/>
  <c r="AY416" i="1"/>
  <c r="AV4" i="1"/>
  <c r="AV28" i="1"/>
  <c r="AY67" i="1"/>
  <c r="AY222" i="1"/>
  <c r="AY369" i="1"/>
  <c r="AY32" i="1"/>
  <c r="AY155" i="1"/>
  <c r="AY295" i="1"/>
  <c r="AY111" i="1"/>
  <c r="AY260" i="1"/>
  <c r="AY412" i="1"/>
  <c r="AY72" i="1"/>
  <c r="AY227" i="1"/>
  <c r="AY374" i="1"/>
  <c r="AY138" i="1"/>
  <c r="AY99" i="1"/>
  <c r="AY80" i="1"/>
  <c r="AY409" i="1"/>
  <c r="AY65" i="1"/>
  <c r="AV170" i="1"/>
  <c r="AY170" i="1"/>
  <c r="AV196" i="1"/>
  <c r="AV16" i="1"/>
  <c r="AY53" i="1"/>
  <c r="AY230" i="1"/>
  <c r="AY440" i="1"/>
  <c r="AY79" i="1"/>
  <c r="AY46" i="1"/>
  <c r="AY464" i="1"/>
  <c r="AY272" i="1"/>
  <c r="AY475" i="1"/>
  <c r="AY358" i="1"/>
  <c r="AY441" i="1"/>
  <c r="AY456" i="1"/>
  <c r="AY184" i="1"/>
  <c r="AY177" i="1"/>
  <c r="AY370" i="1"/>
  <c r="AY161" i="1"/>
  <c r="AV197" i="1"/>
  <c r="AY218" i="1"/>
  <c r="AV55" i="1"/>
  <c r="AY97" i="1"/>
  <c r="AY288" i="1"/>
  <c r="AY417" i="1"/>
  <c r="AY439" i="1"/>
  <c r="AY58" i="1"/>
  <c r="AY212" i="1"/>
  <c r="AY359" i="1"/>
  <c r="AY469" i="1"/>
  <c r="AY144" i="1"/>
  <c r="AY284" i="1"/>
  <c r="AY436" i="1"/>
  <c r="AY402" i="1"/>
  <c r="AY339" i="1"/>
  <c r="AY487" i="1"/>
  <c r="AY279" i="1"/>
  <c r="AY199" i="1"/>
  <c r="AY66" i="1"/>
  <c r="AY91" i="1"/>
  <c r="AY405" i="1"/>
  <c r="AY149" i="1"/>
  <c r="AY207" i="1"/>
  <c r="AY219" i="1"/>
  <c r="AY76" i="1"/>
  <c r="AV442" i="1"/>
  <c r="AV221" i="1"/>
  <c r="AY256" i="1"/>
  <c r="AY371" i="1"/>
  <c r="AY336" i="1"/>
  <c r="AY156" i="1"/>
  <c r="AY447" i="1"/>
  <c r="AY413" i="1"/>
  <c r="AY351" i="1"/>
  <c r="AY211" i="1"/>
  <c r="AY153" i="1"/>
  <c r="AY242" i="1"/>
  <c r="AY162" i="1"/>
  <c r="AV134" i="1"/>
  <c r="AY134" i="1"/>
  <c r="AV150" i="1"/>
  <c r="AV163" i="1"/>
  <c r="AV180" i="1"/>
  <c r="AY180" i="1"/>
  <c r="AV208" i="1"/>
  <c r="AY38" i="1"/>
  <c r="AY98" i="1"/>
  <c r="AY289" i="1"/>
  <c r="AY341" i="1"/>
  <c r="AY268" i="1"/>
  <c r="AY420" i="1"/>
  <c r="AY81" i="1"/>
  <c r="AY234" i="1"/>
  <c r="AY348" i="1"/>
  <c r="AY10" i="1"/>
  <c r="AY266" i="1"/>
  <c r="AY174" i="1"/>
  <c r="AY243" i="1"/>
  <c r="AY102" i="1"/>
  <c r="AV116" i="1"/>
  <c r="AV192" i="1"/>
  <c r="AY192" i="1"/>
  <c r="AV151" i="1"/>
  <c r="AV209" i="1"/>
  <c r="AV78" i="1"/>
  <c r="AY280" i="1"/>
  <c r="AY246" i="1"/>
  <c r="AY59" i="1"/>
  <c r="AY22" i="1"/>
  <c r="AY470" i="1"/>
  <c r="AY145" i="1"/>
  <c r="AY442" i="1"/>
  <c r="AY269" i="1"/>
  <c r="AY245" i="1"/>
  <c r="AY16" i="1"/>
  <c r="AY196" i="1"/>
  <c r="AY100" i="1"/>
  <c r="AY255" i="1"/>
  <c r="AY136" i="1"/>
  <c r="AY182" i="1"/>
  <c r="AV343" i="1"/>
  <c r="AY389" i="1"/>
  <c r="AY40" i="1"/>
  <c r="AY88" i="1"/>
  <c r="AY240" i="1"/>
  <c r="AY252" i="1"/>
  <c r="AY264" i="1"/>
  <c r="AY276" i="1"/>
  <c r="AY443" i="1"/>
  <c r="AY258" i="1"/>
  <c r="AY372" i="1"/>
  <c r="AY34" i="1"/>
  <c r="AY190" i="1"/>
  <c r="AY157" i="1"/>
  <c r="AY406" i="1"/>
  <c r="AY418" i="1"/>
  <c r="AY394" i="1"/>
  <c r="AY116" i="1"/>
  <c r="AY291" i="1"/>
  <c r="AY45" i="1"/>
  <c r="AY118" i="1"/>
  <c r="AV146" i="1"/>
  <c r="AY146" i="1"/>
  <c r="AY194" i="1"/>
  <c r="AY137" i="1"/>
  <c r="AY183" i="1"/>
  <c r="AV344" i="1"/>
  <c r="AY353" i="1"/>
  <c r="AY377" i="1"/>
  <c r="AY455" i="1"/>
  <c r="AY119" i="1"/>
  <c r="AY270" i="1"/>
  <c r="AY82" i="1"/>
  <c r="AY169" i="1"/>
  <c r="AY453" i="1"/>
  <c r="AY346" i="1"/>
  <c r="AY39" i="1"/>
  <c r="AY254" i="1"/>
  <c r="AY139" i="1"/>
  <c r="AY344" i="1"/>
  <c r="AY215" i="1"/>
  <c r="AY195" i="1"/>
  <c r="AY428" i="1"/>
  <c r="AY113" i="1"/>
  <c r="AV391" i="1"/>
  <c r="AY354" i="1"/>
  <c r="AY378" i="1"/>
  <c r="AY241" i="1"/>
  <c r="AY253" i="1"/>
  <c r="AY265" i="1"/>
  <c r="AY277" i="1"/>
  <c r="AY24" i="1"/>
  <c r="AY142" i="1"/>
  <c r="AY93" i="1"/>
  <c r="AY60" i="1"/>
  <c r="AY179" i="1"/>
  <c r="AY267" i="1"/>
  <c r="AY208" i="1"/>
  <c r="AY141" i="1"/>
  <c r="AY278" i="1"/>
  <c r="AY151" i="1"/>
  <c r="AY57" i="1"/>
  <c r="AY223" i="1"/>
  <c r="AY148" i="1"/>
  <c r="AY172" i="1"/>
  <c r="AY429" i="1"/>
  <c r="AY114" i="1"/>
  <c r="AV392" i="1"/>
  <c r="AV355" i="1"/>
  <c r="AV367" i="1"/>
  <c r="AV379" i="1"/>
  <c r="AY154" i="1"/>
  <c r="AY294" i="1"/>
  <c r="AY445" i="1"/>
  <c r="AY110" i="1"/>
  <c r="AY259" i="1"/>
  <c r="AY226" i="1"/>
  <c r="AY191" i="1"/>
  <c r="AY187" i="1"/>
  <c r="AY421" i="1"/>
  <c r="AY290" i="1"/>
  <c r="AY379" i="1"/>
  <c r="AY163" i="1"/>
  <c r="AY419" i="1"/>
  <c r="AY173" i="1"/>
  <c r="AV454" i="1"/>
  <c r="AV54" i="1"/>
  <c r="AV430" i="1"/>
  <c r="AY64" i="1"/>
  <c r="AV115" i="1"/>
  <c r="AV356" i="1"/>
  <c r="AV368" i="1"/>
  <c r="AV380" i="1"/>
  <c r="AY452" i="1"/>
  <c r="AY166" i="1"/>
  <c r="AY120" i="1"/>
  <c r="AY431" i="1"/>
  <c r="AY407" i="1"/>
  <c r="AY343" i="1"/>
  <c r="AY77" i="1"/>
  <c r="AY430" i="1"/>
  <c r="AY175" i="1"/>
  <c r="AV65" i="1"/>
  <c r="AV159" i="1"/>
  <c r="AV217" i="1"/>
  <c r="AV53" i="1"/>
  <c r="AV440" i="1"/>
  <c r="AV218" i="1"/>
  <c r="AV76" i="1"/>
  <c r="AV438" i="1"/>
  <c r="AV135" i="1"/>
  <c r="AV181" i="1"/>
  <c r="AV193" i="1"/>
  <c r="AV136" i="1"/>
  <c r="AV182" i="1"/>
  <c r="AV137" i="1"/>
  <c r="AV183" i="1"/>
  <c r="AV147" i="1"/>
  <c r="AV171" i="1"/>
  <c r="AV50" i="1"/>
  <c r="AV84" i="1"/>
  <c r="AV52" i="1"/>
  <c r="AV230" i="1"/>
  <c r="AV405" i="1"/>
  <c r="AV202" i="1"/>
  <c r="AV215" i="1"/>
  <c r="AV12" i="1"/>
  <c r="AV203" i="1"/>
  <c r="AV75" i="1"/>
  <c r="AV33" i="1"/>
  <c r="AV22" i="1"/>
  <c r="AV205" i="1"/>
  <c r="AV385" i="1"/>
  <c r="AV364" i="1"/>
  <c r="AV374" i="1"/>
  <c r="AV214" i="1"/>
  <c r="AV64" i="1"/>
  <c r="AV34" i="1"/>
  <c r="AV59" i="1"/>
  <c r="AV206" i="1"/>
  <c r="AV386" i="1"/>
  <c r="AV351" i="1"/>
  <c r="AV365" i="1"/>
  <c r="AV375" i="1"/>
  <c r="AV231" i="1"/>
  <c r="AV74" i="1"/>
  <c r="AV284" i="1"/>
  <c r="AV60" i="1"/>
  <c r="AV389" i="1"/>
  <c r="AV352" i="1"/>
  <c r="AV366" i="1"/>
  <c r="AV376" i="1"/>
  <c r="AV10" i="1"/>
  <c r="AV86" i="1"/>
  <c r="AV229" i="1"/>
  <c r="AV403" i="1"/>
  <c r="AV87" i="1"/>
  <c r="AV404" i="1"/>
  <c r="AV280" i="1"/>
  <c r="AV450" i="1"/>
  <c r="AV36" i="1"/>
  <c r="AV342" i="1"/>
  <c r="AV436" i="1"/>
  <c r="AV390" i="1"/>
  <c r="AV353" i="1"/>
  <c r="AV377" i="1"/>
  <c r="AV48" i="1"/>
  <c r="AV62" i="1"/>
  <c r="AV345" i="1"/>
  <c r="AV113" i="1"/>
  <c r="AV354" i="1"/>
  <c r="AV378" i="1"/>
  <c r="AV487" i="1"/>
  <c r="AV228" i="1"/>
  <c r="AV14" i="1"/>
  <c r="AV486" i="1"/>
  <c r="AV26" i="1"/>
  <c r="AV82" i="1"/>
  <c r="AV114" i="1"/>
  <c r="AV226" i="1"/>
  <c r="AV51" i="1"/>
  <c r="AV6" i="1"/>
  <c r="AV143" i="1"/>
  <c r="AV383" i="1"/>
  <c r="AV57" i="1"/>
  <c r="AV58" i="1"/>
  <c r="AV70" i="1"/>
  <c r="AV212" i="1"/>
  <c r="AV164" i="1"/>
  <c r="AV401" i="1"/>
  <c r="AV45" i="1"/>
  <c r="AV71" i="1"/>
  <c r="AV117" i="1"/>
  <c r="AV429" i="1"/>
  <c r="AV46" i="1"/>
  <c r="AV119" i="1"/>
  <c r="AV428" i="1"/>
  <c r="AV194" i="1"/>
  <c r="AV47" i="1"/>
  <c r="AV224" i="1"/>
  <c r="AV83" i="1"/>
  <c r="AV195" i="1"/>
  <c r="AV225" i="1"/>
  <c r="AV144" i="1"/>
  <c r="AV441" i="1"/>
  <c r="AV360" i="1"/>
  <c r="AV437" i="1"/>
  <c r="AV384" i="1"/>
  <c r="AV363" i="1"/>
  <c r="AV141" i="1"/>
  <c r="AV173" i="1"/>
  <c r="AV186" i="1"/>
  <c r="AV227" i="1"/>
  <c r="AV72" i="1"/>
  <c r="AV198" i="1"/>
  <c r="AV357" i="1"/>
  <c r="AV369" i="1"/>
  <c r="AV73" i="1"/>
  <c r="AV199" i="1"/>
  <c r="AV358" i="1"/>
  <c r="AV370" i="1"/>
  <c r="AV176" i="1"/>
  <c r="AV67" i="1"/>
  <c r="AV187" i="1"/>
  <c r="AV161" i="1"/>
  <c r="AV177" i="1"/>
  <c r="AV89" i="1"/>
  <c r="AV18" i="1"/>
  <c r="AV68" i="1"/>
  <c r="AV204" i="1"/>
  <c r="AV90" i="1"/>
  <c r="AV20" i="1"/>
  <c r="AV373" i="1"/>
  <c r="AV393" i="1"/>
  <c r="AV77" i="1"/>
  <c r="AV91" i="1"/>
  <c r="AV443" i="1"/>
  <c r="AV222" i="1"/>
  <c r="AV394" i="1"/>
  <c r="AV152" i="1"/>
  <c r="AV210" i="1"/>
  <c r="AV35" i="1"/>
  <c r="AV79" i="1"/>
  <c r="AV223" i="1"/>
  <c r="AV30" i="1"/>
  <c r="AV153" i="1"/>
  <c r="AV211" i="1"/>
  <c r="AV80" i="1"/>
  <c r="AV61" i="1"/>
  <c r="AV139" i="1"/>
  <c r="AV184" i="1"/>
  <c r="AV37" i="1"/>
  <c r="AV24" i="1"/>
  <c r="AV148" i="1"/>
  <c r="AV44" i="1"/>
  <c r="AV8" i="1"/>
  <c r="AV49" i="1"/>
  <c r="AV63" i="1"/>
  <c r="AV149" i="1"/>
  <c r="AV162" i="1"/>
  <c r="AW185" i="1"/>
  <c r="AX185" i="1" s="1"/>
  <c r="AV213" i="1"/>
  <c r="AV140" i="1"/>
  <c r="AV207" i="1"/>
  <c r="AV155" i="1"/>
  <c r="AV449" i="1"/>
  <c r="AV219" i="1"/>
  <c r="AV172" i="1"/>
  <c r="AV168" i="1"/>
  <c r="AY446" i="1" l="1"/>
  <c r="AV446" i="1"/>
  <c r="AY178" i="1"/>
  <c r="AY397" i="1"/>
  <c r="AV178" i="1"/>
  <c r="AV397" i="1"/>
  <c r="AY185" i="1"/>
  <c r="AV185" i="1"/>
</calcChain>
</file>

<file path=xl/sharedStrings.xml><?xml version="1.0" encoding="utf-8"?>
<sst xmlns="http://schemas.openxmlformats.org/spreadsheetml/2006/main" count="7788" uniqueCount="1551">
  <si>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</si>
  <si>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</si>
  <si>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</si>
  <si>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</si>
  <si>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</si>
  <si>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</si>
  <si>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</si>
  <si>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</si>
  <si>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</si>
  <si>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</si>
  <si>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</si>
  <si>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</si>
  <si>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</si>
  <si>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</si>
  <si>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</si>
  <si>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</si>
  <si>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</si>
  <si>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</si>
  <si>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</si>
  <si>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</si>
  <si>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</si>
  <si>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</si>
  <si>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</si>
  <si>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</si>
  <si>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</si>
  <si>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</si>
  <si>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</si>
  <si>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</si>
  <si>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</si>
  <si>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</si>
  <si>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</si>
  <si>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</si>
  <si>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</si>
  <si>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</si>
  <si>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</si>
  <si>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</si>
  <si>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</si>
  <si>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</si>
  <si>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</si>
  <si>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</si>
  <si>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</si>
  <si>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</si>
  <si>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</si>
  <si>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</si>
  <si>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</si>
  <si>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</si>
  <si>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</si>
  <si>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</si>
  <si>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</si>
  <si>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</si>
  <si>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</si>
  <si>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</si>
  <si>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</si>
  <si>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</si>
  <si>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</si>
  <si>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</si>
  <si>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</si>
  <si>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</si>
  <si>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</si>
  <si>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</si>
  <si>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</si>
  <si>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</si>
  <si>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</si>
  <si>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</si>
  <si>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</si>
  <si>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</si>
  <si>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</si>
  <si>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</si>
  <si>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</si>
  <si>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</si>
  <si>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</si>
  <si>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</si>
  <si>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</si>
  <si>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</si>
  <si>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</si>
  <si>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</si>
  <si>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</si>
  <si>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</si>
  <si>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</si>
  <si>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</si>
  <si>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</si>
  <si>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</si>
  <si>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</si>
  <si>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</si>
  <si>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</si>
  <si>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</si>
  <si>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</si>
  <si>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</si>
  <si>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</si>
  <si>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</si>
  <si>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</si>
  <si>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</si>
  <si>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</si>
  <si>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</si>
  <si>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</si>
  <si>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</si>
  <si>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</si>
  <si>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</si>
  <si>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</si>
  <si>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</si>
  <si>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</si>
  <si>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</si>
  <si>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</si>
  <si>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</si>
  <si>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</si>
  <si>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</si>
  <si>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</si>
  <si>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</si>
  <si>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</si>
  <si>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</si>
  <si>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</si>
  <si>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</si>
  <si>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</si>
  <si>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</si>
  <si>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</si>
  <si>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</si>
  <si>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</si>
  <si>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</si>
  <si>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</si>
  <si>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</si>
  <si>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</si>
  <si>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</si>
  <si>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</si>
  <si>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</si>
  <si>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</si>
  <si>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</si>
  <si>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</si>
  <si>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</si>
  <si>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</si>
  <si>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</si>
  <si>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</si>
  <si>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</si>
  <si>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</si>
  <si>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</si>
  <si>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</si>
  <si>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</si>
  <si>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</si>
  <si>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</si>
  <si>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</si>
  <si>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</si>
  <si>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</si>
  <si>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</si>
  <si>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</si>
  <si>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</si>
  <si>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</si>
  <si>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</si>
  <si>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</si>
  <si>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</si>
  <si>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</si>
  <si>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</si>
  <si>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</si>
  <si>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</si>
  <si>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</si>
  <si>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</si>
  <si>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</si>
  <si>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</si>
  <si>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</si>
  <si>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</si>
  <si>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</si>
  <si>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</si>
  <si>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</si>
  <si>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</si>
  <si>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</si>
  <si>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</si>
  <si>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</si>
  <si>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</si>
  <si>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</si>
  <si>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</si>
  <si>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</si>
  <si>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</si>
  <si>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</si>
  <si>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</si>
  <si>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</si>
  <si>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</si>
  <si>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</si>
  <si>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</si>
  <si>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</si>
  <si>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</si>
  <si>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</si>
  <si>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</si>
  <si>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</si>
  <si>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</si>
  <si>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</si>
  <si>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</si>
  <si>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</si>
  <si>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</si>
  <si>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</si>
  <si>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</si>
  <si>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</si>
  <si>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</si>
  <si>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</si>
  <si>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</si>
  <si>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</si>
  <si>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</si>
  <si>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</si>
  <si>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</si>
  <si>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</si>
  <si>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</si>
  <si>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</si>
  <si>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</si>
  <si>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</si>
  <si>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</si>
  <si>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</si>
  <si>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</si>
  <si>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</si>
  <si>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</si>
  <si>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</si>
  <si>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</si>
  <si>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</si>
  <si>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</si>
  <si>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</si>
  <si>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</si>
  <si>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</si>
  <si>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</si>
  <si>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</si>
  <si>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</si>
  <si>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</si>
  <si>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</si>
  <si>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</si>
  <si>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</si>
  <si>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</si>
  <si>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</si>
  <si>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</si>
  <si>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</si>
  <si>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</si>
  <si>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</si>
  <si>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</si>
  <si>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</si>
  <si>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</si>
  <si>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</si>
  <si>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</si>
  <si>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</si>
  <si>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</si>
  <si>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</si>
  <si>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</si>
  <si>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</si>
  <si>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</si>
  <si>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</si>
  <si>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</si>
  <si>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</si>
  <si>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</si>
  <si>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</si>
  <si>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</si>
  <si>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</si>
  <si>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</si>
  <si>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</si>
  <si>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</si>
  <si>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</si>
  <si>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</si>
  <si>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</si>
  <si>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</si>
  <si>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</si>
  <si>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</si>
  <si>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</si>
  <si>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</si>
  <si>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</si>
  <si>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</si>
  <si>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</si>
  <si>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</si>
  <si>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</si>
  <si>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</si>
  <si>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</si>
  <si>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</si>
  <si>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</si>
  <si>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</si>
  <si>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</si>
  <si>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</si>
  <si>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</si>
  <si>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</si>
  <si>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</si>
  <si>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</si>
  <si>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</si>
  <si>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</si>
  <si>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</si>
  <si>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</si>
  <si>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</si>
  <si>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</si>
  <si>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</si>
  <si>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</si>
  <si>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</si>
  <si>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</si>
  <si>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</si>
  <si>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</si>
  <si>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</si>
  <si>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</si>
  <si>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</si>
  <si>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</si>
  <si>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</si>
  <si>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</si>
  <si>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</si>
  <si>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</si>
  <si>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</si>
  <si>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</si>
  <si>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</si>
  <si>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</si>
  <si>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</si>
  <si>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</si>
  <si>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</si>
  <si>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</si>
  <si>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</si>
  <si>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</si>
  <si>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</si>
  <si>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</si>
  <si>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</si>
  <si>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</si>
  <si>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</si>
  <si>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</si>
  <si>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</si>
  <si>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</si>
  <si>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</si>
  <si>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</si>
  <si>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</si>
  <si>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</si>
  <si>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</si>
  <si>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</si>
  <si>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</si>
  <si>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</si>
  <si>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</si>
  <si>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</si>
  <si>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</si>
  <si>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</si>
  <si>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</si>
  <si>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</si>
  <si>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</si>
  <si>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</si>
  <si>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</si>
  <si>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</si>
  <si>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</si>
  <si>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</si>
  <si>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</si>
  <si>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</si>
  <si>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</si>
  <si>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</si>
  <si>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</si>
  <si>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</si>
  <si>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</si>
  <si>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</si>
  <si>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</si>
  <si>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</si>
  <si>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</si>
  <si>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</si>
  <si>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</si>
  <si>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</si>
  <si>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</si>
  <si>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</si>
  <si>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</si>
  <si>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</si>
  <si>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ac:84:c6:54:96:50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</si>
  <si>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</si>
  <si>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</si>
  <si>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</si>
  <si>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</si>
  <si>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</si>
  <si>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</si>
  <si>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</si>
  <si>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</si>
  <si>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</si>
  <si>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</si>
  <si>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</si>
  <si>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</si>
  <si>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</si>
  <si>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</si>
  <si>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</si>
  <si>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</si>
  <si>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</si>
  <si>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</si>
  <si>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</si>
  <si>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</si>
  <si>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</si>
  <si>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</si>
  <si>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</si>
  <si>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</si>
  <si>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</si>
  <si>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</si>
  <si>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</si>
  <si>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</si>
  <si>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</si>
  <si>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</si>
  <si>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</si>
  <si>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</si>
  <si>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</si>
  <si>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</si>
  <si>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</si>
  <si>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</si>
  <si>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</si>
  <si>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</si>
  <si>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</si>
  <si>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</si>
  <si>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</si>
  <si>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</si>
  <si>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</si>
  <si>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</si>
  <si>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</si>
  <si>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</si>
  <si>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</si>
  <si>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</si>
  <si>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</si>
  <si>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</si>
  <si>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</si>
  <si>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</si>
  <si>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</si>
  <si>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</si>
  <si>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</si>
  <si>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</si>
  <si>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</si>
  <si>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</si>
  <si>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</si>
  <si>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</si>
  <si>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</si>
  <si>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</si>
  <si>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</si>
  <si>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</si>
  <si>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</si>
  <si>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</si>
  <si>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</si>
  <si>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</si>
  <si>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</si>
  <si>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</si>
  <si>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</si>
  <si>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</si>
  <si>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</si>
  <si>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</si>
  <si>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</si>
  <si>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</si>
  <si>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</si>
  <si>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</si>
  <si>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</si>
  <si>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</si>
  <si>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</si>
  <si>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</si>
  <si>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</si>
  <si>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</si>
  <si>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</si>
  <si>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</si>
  <si>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</si>
  <si>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</si>
  <si>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</si>
  <si>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</si>
  <si>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</si>
  <si>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</si>
  <si>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</si>
  <si>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</si>
  <si>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</si>
  <si>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</si>
  <si>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</si>
  <si>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</si>
  <si>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</si>
  <si>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</si>
  <si>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</si>
  <si>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</si>
  <si>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</si>
  <si>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</si>
  <si>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</si>
  <si>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</si>
  <si>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</si>
  <si>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</si>
  <si>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</si>
  <si>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</si>
  <si>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</si>
  <si>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</si>
  <si>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</si>
  <si>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</si>
  <si>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</si>
  <si>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</si>
  <si>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</si>
  <si>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</si>
  <si>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</si>
  <si>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</si>
  <si>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</si>
  <si>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</si>
  <si>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</si>
  <si>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</si>
  <si>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</si>
  <si>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</si>
  <si>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</si>
  <si>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</si>
  <si>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</si>
  <si>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</si>
  <si>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</si>
  <si>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</si>
  <si>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</si>
  <si>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</si>
  <si>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</si>
  <si>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</si>
  <si>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</si>
  <si>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</si>
  <si>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</si>
  <si>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</si>
  <si>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</si>
  <si>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</si>
  <si>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</si>
  <si>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</si>
  <si>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</si>
  <si>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</si>
  <si>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</si>
  <si>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</si>
  <si>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</si>
  <si>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</si>
  <si>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</si>
  <si>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</si>
  <si>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</si>
  <si>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</si>
  <si>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</si>
  <si>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</si>
  <si>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</si>
  <si>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</si>
  <si>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</si>
  <si>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</si>
  <si>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</si>
  <si>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</si>
  <si>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</si>
  <si>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</si>
  <si>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</si>
  <si>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</si>
  <si>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</si>
  <si>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</si>
  <si>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</si>
  <si>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</si>
  <si>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</si>
  <si>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</si>
  <si>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</si>
  <si>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</si>
  <si>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</si>
  <si>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</si>
  <si>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</si>
  <si>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</si>
  <si>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</si>
  <si>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</si>
  <si>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</si>
  <si>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</si>
  <si>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</si>
  <si>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</si>
  <si>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</si>
  <si>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</si>
  <si>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</si>
  <si>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</si>
  <si>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</si>
  <si>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</si>
  <si>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</si>
  <si>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</si>
  <si>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</si>
  <si>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</si>
  <si>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</si>
  <si>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</si>
  <si>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</si>
  <si>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</si>
  <si>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</si>
  <si>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</si>
  <si>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</si>
  <si>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</si>
  <si>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</si>
  <si>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</si>
  <si>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</si>
  <si>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</si>
  <si>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</si>
  <si>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</si>
  <si>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</si>
  <si>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</si>
  <si>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</si>
  <si>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</si>
  <si>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</si>
  <si>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</si>
  <si>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</si>
  <si>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</si>
  <si>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</si>
  <si>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</si>
  <si>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</si>
  <si>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</si>
  <si>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</si>
  <si>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</si>
  <si>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</si>
  <si>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</si>
  <si>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</si>
  <si>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</si>
  <si>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</si>
  <si>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</si>
  <si>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</si>
  <si>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</si>
  <si>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</si>
  <si>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</si>
  <si>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</si>
  <si>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</si>
  <si>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</si>
  <si>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</si>
  <si>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</si>
  <si>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</si>
  <si>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</si>
  <si>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</si>
  <si>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</si>
  <si>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</si>
  <si>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</si>
  <si>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</si>
  <si>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</si>
  <si>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</si>
  <si>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</si>
  <si>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</si>
  <si>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</si>
  <si>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</si>
  <si>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</si>
  <si>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</si>
  <si>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</si>
  <si>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</si>
  <si>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</si>
  <si>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</si>
  <si>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</si>
  <si>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</si>
  <si>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</si>
  <si>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</si>
  <si>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</si>
  <si>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</si>
  <si>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</si>
  <si>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</si>
  <si>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</si>
  <si>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edwin_wardrobe_outlet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</si>
  <si>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</si>
  <si>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</si>
  <si>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</si>
  <si>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</si>
  <si>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</si>
  <si>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</si>
  <si>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</si>
  <si>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</si>
  <si>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</si>
  <si>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</si>
  <si>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</si>
  <si>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</si>
  <si>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</si>
  <si>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</si>
  <si>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</si>
  <si>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</si>
  <si>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</si>
  <si>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</si>
  <si>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</si>
  <si>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</si>
  <si>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</si>
  <si>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</si>
  <si>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</si>
  <si>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</si>
  <si>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</si>
  <si>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</si>
  <si>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</si>
  <si>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</si>
  <si>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</si>
  <si>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</si>
  <si>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</si>
  <si>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</si>
  <si>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</si>
  <si>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</si>
  <si>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</si>
  <si>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</si>
  <si>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</si>
  <si>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</si>
  <si>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</si>
  <si>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</si>
  <si>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</si>
  <si>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</si>
  <si>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</si>
  <si>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</si>
  <si>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</si>
  <si>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</si>
  <si>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</si>
  <si>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</si>
  <si>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</si>
  <si>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</si>
  <si>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</si>
  <si>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</si>
  <si>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</si>
  <si>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</si>
  <si>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</si>
  <si>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</si>
  <si>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</si>
  <si>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</si>
  <si>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</si>
  <si>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</si>
  <si>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</si>
  <si>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</si>
  <si>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</si>
  <si>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</si>
  <si>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</si>
  <si>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</si>
  <si>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</si>
  <si>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</si>
  <si>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</si>
  <si>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</si>
  <si>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</si>
  <si>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</si>
  <si>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</si>
  <si>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</si>
  <si>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</si>
  <si>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</si>
  <si>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</si>
  <si>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</si>
  <si>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</si>
  <si>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</si>
  <si>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</si>
  <si>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</si>
  <si>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</si>
  <si>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</si>
  <si>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</si>
  <si>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</si>
  <si>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</si>
  <si>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</si>
  <si>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</si>
  <si>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</si>
  <si>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</si>
  <si>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</si>
  <si>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</si>
  <si>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Edwin Wardrobe Outlet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</si>
  <si>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</si>
  <si>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</si>
  <si>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</si>
  <si>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</si>
  <si>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</si>
  <si>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</si>
  <si>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template_edwin_wardrobe_outlet_linkquality_percentage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</si>
  <si>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</si>
  <si>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</si>
  <si>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</si>
  <si>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</si>
  <si>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</si>
  <si>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</si>
  <si>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</si>
  <si>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</si>
  <si>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</si>
  <si>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</si>
  <si>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</si>
  <si>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</si>
  <si>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</si>
  <si>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</si>
  <si>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</si>
  <si>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</si>
  <si>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</si>
  <si>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</si>
  <si>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</si>
  <si>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</si>
  <si>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</si>
  <si>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</si>
  <si>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</si>
  <si>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</si>
  <si>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</si>
  <si>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</si>
  <si>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</si>
  <si>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</si>
  <si>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</si>
  <si>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</si>
  <si>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</si>
  <si>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</si>
  <si>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</si>
  <si>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</si>
  <si>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</si>
  <si>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</si>
  <si>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</si>
  <si>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</si>
  <si>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</si>
  <si>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</si>
  <si>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</si>
  <si>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</si>
  <si>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</si>
  <si>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</si>
  <si>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</si>
  <si>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</si>
  <si>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</si>
  <si>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</si>
  <si>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</si>
  <si>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</si>
  <si>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</si>
  <si>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</si>
  <si>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</si>
  <si>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</si>
  <si>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</si>
  <si>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</si>
  <si>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</si>
  <si>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</si>
  <si>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</si>
  <si>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</si>
  <si>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</si>
  <si>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</si>
  <si>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</si>
  <si>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</si>
  <si>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</si>
  <si>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</si>
  <si>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</si>
  <si>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</si>
  <si>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</si>
  <si>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</si>
  <si>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</si>
  <si>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</si>
  <si>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</si>
  <si>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</si>
  <si>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</si>
  <si>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</si>
  <si>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</si>
  <si>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</si>
  <si>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</si>
  <si>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</si>
  <si>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</si>
  <si>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</si>
  <si>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</si>
  <si>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</si>
  <si>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</si>
  <si>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</si>
  <si>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</si>
  <si>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</si>
  <si>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</si>
  <si>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</si>
  <si>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</si>
  <si>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</si>
  <si>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</si>
  <si>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</si>
  <si>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</si>
  <si>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</si>
  <si>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</si>
  <si>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</si>
  <si>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</si>
  <si>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</si>
  <si>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</si>
  <si>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</si>
  <si>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</si>
  <si>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</si>
  <si>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</si>
  <si>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</si>
  <si>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</si>
  <si>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</si>
  <si>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</si>
  <si>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</si>
  <si>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</si>
  <si>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</si>
  <si>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</si>
  <si>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</si>
  <si>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</si>
  <si>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</si>
  <si>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</si>
  <si>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</si>
  <si>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</si>
  <si>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</si>
  <si>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</si>
  <si>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</si>
  <si>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</si>
  <si>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</si>
  <si>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</si>
  <si>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</si>
  <si>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</si>
  <si>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</si>
  <si>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</si>
  <si>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</si>
  <si>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</si>
  <si>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</si>
  <si>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</si>
  <si>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</si>
  <si>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</si>
  <si>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</si>
  <si>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</si>
  <si>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</si>
  <si>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</si>
  <si>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</si>
  <si>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</si>
  <si>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</si>
  <si>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</si>
  <si>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</si>
  <si>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</si>
  <si>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</si>
  <si>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</si>
  <si>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</si>
  <si>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</si>
  <si>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</si>
  <si>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</si>
  <si>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</si>
  <si>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</si>
  <si>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</si>
  <si>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</si>
  <si>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</si>
  <si>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</si>
  <si>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</si>
  <si>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</si>
  <si>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</si>
  <si>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</si>
  <si>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</si>
  <si>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</si>
  <si>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</si>
  <si>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</si>
  <si>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</si>
  <si>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</si>
  <si>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</si>
  <si>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</si>
  <si>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</si>
  <si>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</si>
  <si>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</si>
  <si>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</si>
  <si>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</si>
  <si>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</si>
  <si>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</si>
  <si>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</si>
  <si>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</si>
  <si>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</si>
  <si>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</si>
  <si>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</si>
  <si>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</si>
  <si>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</si>
  <si>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</si>
  <si>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</si>
  <si>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</si>
  <si>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</si>
  <si>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</si>
  <si>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</si>
  <si>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</si>
  <si>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</si>
  <si>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</si>
  <si>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</si>
  <si>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</si>
  <si>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</si>
  <si>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</si>
  <si>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</si>
  <si>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</si>
  <si>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</si>
  <si>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</si>
  <si>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</si>
  <si>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</si>
  <si>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</si>
  <si>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</si>
  <si>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</si>
  <si>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</si>
  <si>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</si>
  <si>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</si>
  <si>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</si>
  <si>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</si>
  <si>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</si>
  <si>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</si>
  <si>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</si>
  <si>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</si>
  <si>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</si>
  <si>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</si>
  <si>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</si>
  <si>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</si>
  <si>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</si>
  <si>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</si>
  <si>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</si>
  <si>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</si>
  <si>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</si>
  <si>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</si>
  <si>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</si>
  <si>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</si>
  <si>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</si>
  <si>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</si>
  <si>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</si>
  <si>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</si>
  <si>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</si>
  <si>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</si>
  <si>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</si>
  <si>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</si>
  <si>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</si>
  <si>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</si>
  <si>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</si>
  <si>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</si>
  <si>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</si>
  <si>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</si>
  <si>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</si>
  <si>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</si>
  <si>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</si>
  <si>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</si>
  <si>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</si>
  <si>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</si>
  <si>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</si>
  <si>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</si>
  <si>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</si>
  <si>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</si>
  <si>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</si>
  <si>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</si>
  <si>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</si>
  <si>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</si>
  <si>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</si>
  <si>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</si>
  <si>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</si>
  <si>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</si>
  <si>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</si>
  <si>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</si>
  <si>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</si>
  <si>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</si>
  <si>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</si>
  <si>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</si>
  <si>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</si>
  <si>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</si>
  <si>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</si>
  <si>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</si>
  <si>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</si>
  <si>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</si>
  <si>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</si>
  <si>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</si>
  <si>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</si>
  <si>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</si>
  <si>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</si>
  <si>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</si>
  <si>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</si>
  <si>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</si>
  <si>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</si>
  <si>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</si>
  <si>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</si>
  <si>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</si>
  <si>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</si>
  <si>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</si>
  <si>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</si>
  <si>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</si>
  <si>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</si>
  <si>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</si>
  <si>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</si>
  <si>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</si>
  <si>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</si>
  <si>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</si>
  <si>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</si>
  <si>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</si>
  <si>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</si>
  <si>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</si>
  <si>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</si>
  <si>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</si>
  <si>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</si>
  <si>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</si>
  <si>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</si>
  <si>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</si>
  <si>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</si>
  <si>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</si>
  <si>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</si>
  <si>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</si>
  <si>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Wardrobe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</si>
  <si>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</si>
  <si>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</si>
  <si>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</si>
  <si>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</si>
  <si>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</si>
  <si>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</si>
  <si>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</si>
  <si>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</si>
  <si>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</si>
  <si>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</si>
  <si>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</si>
  <si>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</si>
  <si>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</si>
  <si>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</si>
  <si>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</si>
  <si>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</si>
  <si>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</si>
  <si>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</si>
  <si>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</si>
  <si>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</si>
  <si>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</si>
  <si>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</si>
  <si>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</si>
  <si>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</si>
  <si>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</si>
  <si>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</si>
  <si>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</si>
  <si>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</si>
  <si>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</si>
  <si>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</si>
  <si>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</si>
  <si>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</si>
  <si>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</si>
  <si>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</si>
  <si>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</si>
  <si>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</si>
  <si>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</si>
  <si>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</si>
  <si>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</si>
  <si>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</si>
  <si>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</si>
  <si>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</si>
  <si>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</si>
  <si>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</si>
  <si>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</si>
  <si>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</si>
  <si>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</si>
  <si>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</si>
  <si>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</si>
  <si>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</si>
  <si>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</si>
  <si>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</si>
  <si>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</si>
  <si>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</si>
  <si>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</si>
  <si>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</si>
  <si>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</si>
  <si>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</si>
  <si>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</si>
  <si>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</si>
  <si>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</si>
  <si>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</si>
  <si>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</si>
  <si>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</si>
  <si>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</si>
  <si>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</si>
  <si>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</si>
  <si>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</si>
  <si>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</si>
  <si>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</si>
  <si>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</si>
  <si>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</si>
  <si>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</si>
  <si>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</si>
  <si>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</si>
  <si>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</si>
  <si>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</si>
  <si>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</si>
  <si>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</si>
  <si>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</si>
  <si>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</si>
  <si>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</si>
  <si>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</si>
  <si>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</si>
  <si>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</si>
  <si>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</si>
  <si>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</si>
  <si>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</si>
  <si>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</si>
  <si>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</si>
  <si>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</si>
  <si>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</si>
  <si>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</si>
  <si>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</si>
  <si>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</si>
  <si>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</si>
  <si>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</si>
  <si>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</si>
  <si>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</si>
  <si>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</si>
  <si>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</si>
  <si>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</si>
  <si>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</si>
  <si>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</si>
  <si>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</si>
  <si>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</si>
  <si>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</si>
  <si>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</si>
  <si>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</si>
  <si>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</si>
  <si>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</si>
  <si>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</si>
  <si>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</si>
  <si>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</si>
  <si>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</si>
  <si>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</si>
  <si>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</si>
  <si>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</si>
  <si>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</si>
  <si>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</si>
  <si>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</si>
  <si>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</si>
  <si>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</si>
  <si>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</si>
  <si>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</si>
  <si>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</si>
  <si>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</si>
  <si>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</si>
  <si>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</si>
  <si>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</si>
  <si>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</si>
  <si>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</si>
  <si>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</si>
  <si>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</si>
  <si>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</si>
  <si>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</si>
  <si>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</si>
  <si>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</si>
  <si>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</si>
  <si>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</si>
  <si>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</si>
  <si>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</si>
  <si>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</si>
  <si>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</si>
  <si>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</si>
  <si>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</si>
  <si>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</si>
  <si>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</si>
  <si>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</si>
  <si>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</si>
  <si>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</si>
  <si>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</si>
  <si>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</si>
  <si>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</si>
  <si>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</si>
  <si>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</si>
  <si>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</si>
  <si>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</si>
  <si>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</si>
  <si>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</si>
  <si>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</si>
  <si>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</si>
  <si>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</si>
  <si>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</si>
  <si>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</si>
  <si>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</si>
  <si>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</si>
  <si>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</si>
  <si>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</si>
  <si>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</si>
  <si>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</si>
  <si>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</si>
  <si>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</si>
  <si>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</si>
  <si>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</si>
  <si>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</si>
  <si>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</si>
  <si>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</si>
  <si>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</si>
  <si>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</si>
  <si>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</si>
  <si>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</si>
  <si>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</si>
  <si>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</si>
  <si>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</si>
  <si>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</si>
  <si>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</si>
  <si>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</si>
  <si>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</si>
  <si>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</si>
  <si>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</si>
  <si>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</si>
  <si>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</si>
  <si>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</si>
  <si>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</si>
  <si>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</si>
  <si>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</si>
  <si>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</si>
  <si>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</si>
  <si>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</si>
  <si>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</si>
  <si>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</si>
  <si>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</si>
  <si>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</si>
  <si>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</si>
  <si>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</si>
  <si>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</si>
  <si>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</si>
  <si>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</si>
  <si>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</si>
  <si>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</si>
  <si>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</si>
  <si>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</si>
  <si>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</si>
  <si>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</si>
  <si>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</si>
  <si>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</si>
  <si>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</si>
  <si>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</si>
  <si>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</si>
  <si>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</si>
  <si>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</si>
  <si>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</si>
  <si>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</si>
  <si>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</si>
  <si>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</si>
  <si>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</si>
  <si>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</si>
  <si>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</si>
  <si>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</si>
  <si>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</si>
  <si>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</si>
  <si>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</si>
  <si>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</si>
  <si>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</si>
  <si>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</si>
  <si>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</si>
  <si>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</si>
  <si>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</si>
  <si>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</si>
  <si>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</si>
  <si>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</si>
  <si>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</si>
  <si>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</si>
  <si>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</si>
  <si>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</si>
  <si>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</si>
  <si>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</si>
  <si>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</si>
  <si>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</si>
  <si>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</si>
  <si>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</si>
  <si>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</si>
  <si>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</si>
  <si>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</si>
  <si>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</si>
  <si>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</si>
  <si>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</si>
  <si>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</si>
  <si>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</si>
  <si>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</si>
  <si>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</si>
  <si>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</si>
  <si>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</si>
  <si>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</si>
  <si>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</si>
  <si>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</si>
  <si>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</si>
  <si>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</si>
  <si>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</si>
  <si>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</si>
  <si>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</si>
  <si>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</si>
  <si>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</si>
  <si>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</si>
  <si>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</si>
  <si>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</si>
  <si>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</si>
  <si>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</si>
  <si>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</si>
  <si>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</si>
  <si>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</si>
  <si>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</si>
  <si>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</si>
  <si>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</si>
  <si>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</si>
  <si>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</si>
  <si>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</si>
  <si>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</si>
  <si>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</si>
  <si>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</si>
  <si>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</si>
  <si>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</si>
  <si>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</si>
  <si>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</si>
  <si>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</si>
  <si>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</si>
  <si>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</si>
  <si>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</si>
  <si>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</si>
  <si>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</si>
  <si>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</si>
  <si>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</si>
  <si>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</si>
  <si>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</si>
  <si>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</si>
  <si>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</si>
  <si>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</si>
  <si>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</si>
  <si>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</si>
  <si>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</si>
  <si>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</si>
  <si>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</si>
  <si>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</si>
  <si>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</si>
  <si>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</si>
  <si>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</si>
  <si>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</si>
  <si>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</si>
  <si>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</si>
  <si>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</si>
  <si>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10.0.4.77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</si>
  <si>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</si>
  <si>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</si>
  <si>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</si>
  <si>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</si>
  <si>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</si>
  <si>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</si>
  <si>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</si>
  <si>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</si>
  <si>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</si>
  <si>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</si>
  <si>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</si>
  <si>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</si>
  <si>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</si>
  <si>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</si>
  <si>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</si>
  <si>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</si>
  <si>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</si>
  <si>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</si>
  <si>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</si>
  <si>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</si>
  <si>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</si>
  <si>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</si>
  <si>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</si>
  <si>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</si>
  <si>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</si>
  <si>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</si>
  <si>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</si>
  <si>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</si>
  <si>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</si>
  <si>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</si>
  <si>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</si>
  <si>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</si>
  <si>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</si>
  <si>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</si>
  <si>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</si>
  <si>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</si>
  <si>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</si>
  <si>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</si>
  <si>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</si>
  <si>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</si>
  <si>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</si>
  <si>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</si>
  <si>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</si>
  <si>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</si>
  <si>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</si>
  <si>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</si>
  <si>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</si>
  <si>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</si>
  <si>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</si>
  <si>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</si>
  <si>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</si>
  <si>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</si>
  <si>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</si>
  <si>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</si>
  <si>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</si>
  <si>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</si>
  <si>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</si>
  <si>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</si>
  <si>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</si>
  <si>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</si>
  <si>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</si>
  <si>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</si>
  <si>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</si>
  <si>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</si>
  <si>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</si>
  <si>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</si>
  <si>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</si>
  <si>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</si>
  <si>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</si>
  <si>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</si>
  <si>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</si>
  <si>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</si>
  <si>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</si>
  <si>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</si>
  <si>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</si>
  <si>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</si>
  <si>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</si>
  <si>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</si>
  <si>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</si>
  <si>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</si>
  <si>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</si>
  <si>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</si>
  <si>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</si>
  <si>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</si>
  <si>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</si>
  <si>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</si>
  <si>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</si>
  <si>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</si>
  <si>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</si>
  <si>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Garden Sewerage Blower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</si>
  <si>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</si>
  <si>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</si>
  <si>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</si>
  <si>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</si>
  <si>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</si>
  <si>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</si>
  <si>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</si>
  <si>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</si>
  <si>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</si>
  <si>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</si>
  <si>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</si>
  <si>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</si>
  <si>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</si>
  <si>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</si>
  <si>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</si>
  <si>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</si>
  <si>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</si>
  <si>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</si>
  <si>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</si>
  <si>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</si>
  <si>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</si>
  <si>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</si>
  <si>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</si>
  <si>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</si>
  <si>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</si>
  <si>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</si>
  <si>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</si>
  <si>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</si>
  <si>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</si>
  <si>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</si>
  <si>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</si>
  <si>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</si>
  <si>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</si>
  <si>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</si>
  <si>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</si>
  <si>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</si>
  <si>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</si>
  <si>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</si>
  <si>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</si>
  <si>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</si>
  <si>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</si>
  <si>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</si>
  <si>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</si>
  <si>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</si>
  <si>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</si>
  <si>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</si>
  <si>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</si>
  <si>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</si>
  <si>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</si>
  <si>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</si>
  <si>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</si>
  <si>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</si>
  <si>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</si>
  <si>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</si>
  <si>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</si>
  <si>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</si>
  <si>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</si>
  <si>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</si>
  <si>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</si>
  <si>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</si>
  <si>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</si>
  <si>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</si>
  <si>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</si>
  <si>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</si>
  <si>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</si>
  <si>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</si>
  <si>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</si>
  <si>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</si>
  <si>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</si>
  <si>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</si>
  <si>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</si>
  <si>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</si>
  <si>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</si>
  <si>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</si>
  <si>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</si>
  <si>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</si>
  <si>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</si>
  <si>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</si>
  <si>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</si>
  <si>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</si>
  <si>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</si>
  <si>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broken_template_kitchen_fridge_plug_proxy</t>
  </si>
  <si>
    <t>broken_kitchen_fridge_plug</t>
  </si>
  <si>
    <t xml:space="preserve">standby_power: 1.54
unavailable_power: 0
fixed:
  power: 2.19
</t>
  </si>
  <si>
    <t>[["mac", "50:d4:f7:3a:5a:e3"], ["ip", "10.0.4.93"]]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</si>
  <si>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</si>
  <si>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</si>
  <si>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</si>
  <si>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</si>
  <si>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</si>
  <si>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</si>
  <si>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</si>
  <si>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</si>
  <si>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</si>
  <si>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</si>
  <si>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</si>
  <si>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</si>
  <si>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</si>
  <si>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</si>
  <si>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</si>
  <si>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</si>
  <si>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</si>
  <si>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</si>
  <si>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</si>
  <si>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</si>
  <si>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</si>
  <si>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template_rack_printer_plug_proxy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</si>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</sst>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  <font>
      <u/>
      <sz val="12"/>
      <color rgb="FF4472C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13" fillId="6" borderId="11" xfId="0" applyFont="1" applyFill="1" applyBorder="1" applyAlignment="1">
      <alignment horizontal="left" vertical="top"/>
    </xf>
    <xf numFmtId="0" fontId="13" fillId="6" borderId="10" xfId="0" applyFont="1" applyFill="1" applyBorder="1" applyAlignment="1">
      <alignment horizontal="left" vertical="top"/>
    </xf>
    <xf numFmtId="0" fontId="13" fillId="6" borderId="10" xfId="0" applyFont="1" applyFill="1" applyBorder="1" applyAlignment="1">
      <alignment horizontal="left" vertical="top" wrapText="1"/>
    </xf>
    <xf numFmtId="49" fontId="13" fillId="6" borderId="10" xfId="0" applyNumberFormat="1" applyFont="1" applyFill="1" applyBorder="1" applyAlignment="1">
      <alignment horizontal="left" vertical="top"/>
    </xf>
    <xf numFmtId="49" fontId="14" fillId="6" borderId="10" xfId="0" applyNumberFormat="1" applyFont="1" applyFill="1" applyBorder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3" fillId="6" borderId="12" xfId="0" applyFont="1" applyFill="1" applyBorder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49" fontId="3" fillId="6" borderId="0" xfId="0" applyNumberFormat="1" applyFont="1" applyFill="1" applyAlignment="1">
      <alignment horizontal="left" vertical="top"/>
    </xf>
    <xf numFmtId="0" fontId="3" fillId="6" borderId="0" xfId="0" applyFont="1" applyFill="1" applyAlignment="1">
      <alignment horizontal="left" vertical="top" wrapText="1"/>
    </xf>
    <xf numFmtId="0" fontId="9" fillId="6" borderId="0" xfId="0" applyFont="1" applyFill="1" applyAlignment="1">
      <alignment horizontal="left" vertical="top"/>
    </xf>
    <xf numFmtId="0" fontId="3" fillId="6" borderId="0" xfId="0" applyFont="1" applyFill="1"/>
    <xf numFmtId="0" fontId="10" fillId="6" borderId="0" xfId="1" applyNumberFormat="1" applyFont="1" applyFill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49" fontId="3" fillId="0" borderId="0" xfId="0" applyNumberFormat="1" applyFont="1" applyBorder="1" applyAlignment="1">
      <alignment horizontal="left" vertical="top"/>
    </xf>
    <xf numFmtId="0" fontId="3" fillId="0" borderId="0" xfId="0" applyFont="1" applyBorder="1" applyAlignment="1">
      <alignment horizontal="left" vertical="top" wrapText="1"/>
    </xf>
    <xf numFmtId="49" fontId="8" fillId="0" borderId="0" xfId="0" applyNumberFormat="1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5092CD"/>
      <color rgb="FF5CAEDB"/>
      <color rgb="FFF251FF"/>
      <color rgb="FF03FF15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7" totalsRowShown="0" headerRowDxfId="68" dataDxfId="66" headerRowBorderDxfId="67">
  <autoFilter ref="A3:BN487" xr:uid="{00000000-0009-0000-0100-000002000000}"/>
  <sortState xmlns:xlrd2="http://schemas.microsoft.com/office/spreadsheetml/2017/richdata2" ref="A4:BN487">
    <sortCondition ref="A3:A487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7"/>
  <sheetViews>
    <sheetView tabSelected="1" topLeftCell="A378" zoomScale="120" zoomScaleNormal="120" workbookViewId="0">
      <selection activeCell="A386" sqref="A386:XFD38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470</v>
      </c>
      <c r="K1" s="2" t="s">
        <v>1148</v>
      </c>
      <c r="L1" s="2" t="s">
        <v>1148</v>
      </c>
      <c r="M1" s="2" t="s">
        <v>268</v>
      </c>
      <c r="N1" s="2" t="s">
        <v>269</v>
      </c>
      <c r="O1" s="3" t="s">
        <v>750</v>
      </c>
      <c r="P1" s="4" t="s">
        <v>750</v>
      </c>
      <c r="Q1" s="4" t="s">
        <v>750</v>
      </c>
      <c r="R1" s="4" t="s">
        <v>750</v>
      </c>
      <c r="S1" s="4" t="s">
        <v>750</v>
      </c>
      <c r="T1" s="5" t="s">
        <v>751</v>
      </c>
      <c r="U1" s="4" t="s">
        <v>268</v>
      </c>
      <c r="V1" s="3" t="s">
        <v>268</v>
      </c>
      <c r="W1" s="6" t="s">
        <v>484</v>
      </c>
      <c r="X1" s="6" t="s">
        <v>484</v>
      </c>
      <c r="Y1" s="6" t="s">
        <v>484</v>
      </c>
      <c r="Z1" s="6" t="s">
        <v>550</v>
      </c>
      <c r="AA1" s="6" t="s">
        <v>895</v>
      </c>
      <c r="AB1" s="6" t="s">
        <v>186</v>
      </c>
      <c r="AC1" s="6" t="s">
        <v>187</v>
      </c>
      <c r="AD1" s="7" t="s">
        <v>188</v>
      </c>
      <c r="AE1" s="7" t="s">
        <v>1130</v>
      </c>
      <c r="AF1" s="6" t="s">
        <v>186</v>
      </c>
      <c r="AG1" s="6" t="s">
        <v>186</v>
      </c>
      <c r="AH1" s="6" t="s">
        <v>896</v>
      </c>
      <c r="AI1" s="6" t="s">
        <v>186</v>
      </c>
      <c r="AJ1" s="6" t="s">
        <v>186</v>
      </c>
      <c r="AK1" s="6" t="s">
        <v>186</v>
      </c>
      <c r="AL1" s="6" t="s">
        <v>896</v>
      </c>
      <c r="AM1" s="6" t="s">
        <v>896</v>
      </c>
      <c r="AN1" s="6" t="s">
        <v>896</v>
      </c>
      <c r="AO1" s="6" t="s">
        <v>896</v>
      </c>
      <c r="AP1" s="6" t="s">
        <v>896</v>
      </c>
      <c r="AQ1" s="6" t="s">
        <v>896</v>
      </c>
      <c r="AR1" s="6" t="s">
        <v>186</v>
      </c>
      <c r="AS1" s="6" t="s">
        <v>186</v>
      </c>
      <c r="AT1" s="6" t="s">
        <v>186</v>
      </c>
      <c r="AU1" s="6" t="s">
        <v>802</v>
      </c>
      <c r="AV1" s="6" t="s">
        <v>450</v>
      </c>
      <c r="AW1" s="6" t="s">
        <v>450</v>
      </c>
      <c r="AX1" s="6" t="s">
        <v>1259</v>
      </c>
      <c r="AY1" s="6" t="s">
        <v>1259</v>
      </c>
      <c r="AZ1" s="6" t="s">
        <v>802</v>
      </c>
      <c r="BA1" s="6" t="s">
        <v>450</v>
      </c>
      <c r="BB1" s="6" t="s">
        <v>450</v>
      </c>
      <c r="BC1" s="6" t="s">
        <v>450</v>
      </c>
      <c r="BD1" s="6" t="s">
        <v>450</v>
      </c>
      <c r="BE1" s="6" t="s">
        <v>751</v>
      </c>
      <c r="BF1" s="6" t="s">
        <v>450</v>
      </c>
      <c r="BG1" s="6" t="s">
        <v>450</v>
      </c>
      <c r="BH1" s="6" t="s">
        <v>695</v>
      </c>
      <c r="BI1" s="6" t="s">
        <v>695</v>
      </c>
      <c r="BJ1" s="6" t="s">
        <v>802</v>
      </c>
      <c r="BK1" s="6" t="s">
        <v>450</v>
      </c>
      <c r="BL1" s="6" t="s">
        <v>691</v>
      </c>
      <c r="BM1" s="6" t="s">
        <v>450</v>
      </c>
      <c r="BN1" s="6" t="s">
        <v>692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1131</v>
      </c>
      <c r="E2" s="11" t="s">
        <v>1132</v>
      </c>
      <c r="F2" s="11" t="s">
        <v>1133</v>
      </c>
      <c r="G2" s="11" t="s">
        <v>183</v>
      </c>
      <c r="H2" s="11" t="s">
        <v>151</v>
      </c>
      <c r="I2" s="11" t="s">
        <v>152</v>
      </c>
      <c r="J2" s="12" t="s">
        <v>475</v>
      </c>
      <c r="K2" s="11" t="s">
        <v>1134</v>
      </c>
      <c r="L2" s="11" t="s">
        <v>1135</v>
      </c>
      <c r="M2" s="11" t="s">
        <v>1136</v>
      </c>
      <c r="N2" s="11" t="s">
        <v>1137</v>
      </c>
      <c r="O2" s="13" t="s">
        <v>791</v>
      </c>
      <c r="P2" s="12" t="s">
        <v>795</v>
      </c>
      <c r="Q2" s="12" t="s">
        <v>752</v>
      </c>
      <c r="R2" s="12" t="s">
        <v>752</v>
      </c>
      <c r="S2" s="12" t="s">
        <v>753</v>
      </c>
      <c r="T2" s="12" t="s">
        <v>754</v>
      </c>
      <c r="U2" s="12" t="s">
        <v>471</v>
      </c>
      <c r="V2" s="14" t="s">
        <v>1417</v>
      </c>
      <c r="W2" s="14" t="s">
        <v>492</v>
      </c>
      <c r="X2" s="14" t="s">
        <v>493</v>
      </c>
      <c r="Y2" s="15" t="s">
        <v>485</v>
      </c>
      <c r="Z2" s="14" t="s">
        <v>551</v>
      </c>
      <c r="AA2" s="14" t="s">
        <v>894</v>
      </c>
      <c r="AB2" s="15" t="s">
        <v>153</v>
      </c>
      <c r="AC2" s="15" t="s">
        <v>154</v>
      </c>
      <c r="AD2" s="15" t="s">
        <v>177</v>
      </c>
      <c r="AE2" s="16" t="s">
        <v>1138</v>
      </c>
      <c r="AF2" s="16" t="s">
        <v>155</v>
      </c>
      <c r="AG2" s="16" t="s">
        <v>156</v>
      </c>
      <c r="AH2" s="16" t="s">
        <v>900</v>
      </c>
      <c r="AI2" s="16" t="s">
        <v>157</v>
      </c>
      <c r="AJ2" s="17" t="s">
        <v>1139</v>
      </c>
      <c r="AK2" s="16" t="s">
        <v>1140</v>
      </c>
      <c r="AL2" s="16" t="s">
        <v>897</v>
      </c>
      <c r="AM2" s="16" t="s">
        <v>907</v>
      </c>
      <c r="AN2" s="16" t="s">
        <v>916</v>
      </c>
      <c r="AO2" s="16" t="s">
        <v>917</v>
      </c>
      <c r="AP2" s="16" t="s">
        <v>912</v>
      </c>
      <c r="AQ2" s="16" t="s">
        <v>913</v>
      </c>
      <c r="AR2" s="15" t="s">
        <v>158</v>
      </c>
      <c r="AS2" s="16" t="s">
        <v>523</v>
      </c>
      <c r="AT2" s="18" t="s">
        <v>163</v>
      </c>
      <c r="AU2" s="18" t="s">
        <v>987</v>
      </c>
      <c r="AV2" s="16" t="s">
        <v>339</v>
      </c>
      <c r="AW2" s="16" t="s">
        <v>160</v>
      </c>
      <c r="AX2" s="16" t="s">
        <v>1260</v>
      </c>
      <c r="AY2" s="16" t="s">
        <v>1256</v>
      </c>
      <c r="AZ2" s="16" t="s">
        <v>1066</v>
      </c>
      <c r="BA2" s="16" t="s">
        <v>1067</v>
      </c>
      <c r="BB2" s="16" t="s">
        <v>1068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1141</v>
      </c>
      <c r="BH2" s="16" t="s">
        <v>1167</v>
      </c>
      <c r="BI2" s="16" t="s">
        <v>1166</v>
      </c>
      <c r="BJ2" s="16" t="s">
        <v>803</v>
      </c>
      <c r="BK2" s="16" t="s">
        <v>693</v>
      </c>
      <c r="BL2" s="16" t="s">
        <v>690</v>
      </c>
      <c r="BM2" s="16" t="s">
        <v>338</v>
      </c>
      <c r="BN2" s="18" t="s">
        <v>694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472</v>
      </c>
      <c r="K3" s="21" t="s">
        <v>675</v>
      </c>
      <c r="L3" s="21" t="s">
        <v>676</v>
      </c>
      <c r="M3" s="21" t="s">
        <v>1142</v>
      </c>
      <c r="N3" s="21" t="s">
        <v>1143</v>
      </c>
      <c r="O3" s="23" t="s">
        <v>790</v>
      </c>
      <c r="P3" s="22" t="s">
        <v>755</v>
      </c>
      <c r="Q3" s="22" t="s">
        <v>756</v>
      </c>
      <c r="R3" s="24" t="s">
        <v>757</v>
      </c>
      <c r="S3" s="24" t="s">
        <v>758</v>
      </c>
      <c r="T3" s="25" t="s">
        <v>748</v>
      </c>
      <c r="U3" s="22" t="s">
        <v>469</v>
      </c>
      <c r="V3" s="26" t="s">
        <v>313</v>
      </c>
      <c r="W3" s="26" t="s">
        <v>546</v>
      </c>
      <c r="X3" s="26" t="s">
        <v>547</v>
      </c>
      <c r="Y3" s="26" t="s">
        <v>548</v>
      </c>
      <c r="Z3" s="26" t="s">
        <v>549</v>
      </c>
      <c r="AA3" s="26" t="s">
        <v>893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899</v>
      </c>
      <c r="AI3" s="27" t="s">
        <v>13</v>
      </c>
      <c r="AJ3" s="27" t="s">
        <v>14</v>
      </c>
      <c r="AK3" s="27" t="s">
        <v>15</v>
      </c>
      <c r="AL3" s="27" t="s">
        <v>898</v>
      </c>
      <c r="AM3" s="27" t="s">
        <v>906</v>
      </c>
      <c r="AN3" s="27" t="s">
        <v>914</v>
      </c>
      <c r="AO3" s="27" t="s">
        <v>915</v>
      </c>
      <c r="AP3" s="27" t="s">
        <v>908</v>
      </c>
      <c r="AQ3" s="27" t="s">
        <v>909</v>
      </c>
      <c r="AR3" s="27" t="s">
        <v>16</v>
      </c>
      <c r="AS3" s="27" t="s">
        <v>17</v>
      </c>
      <c r="AT3" s="28" t="s">
        <v>24</v>
      </c>
      <c r="AU3" s="28" t="s">
        <v>986</v>
      </c>
      <c r="AV3" s="27" t="s">
        <v>20</v>
      </c>
      <c r="AW3" s="27" t="s">
        <v>18</v>
      </c>
      <c r="AX3" s="27" t="s">
        <v>1257</v>
      </c>
      <c r="AY3" s="27" t="s">
        <v>1258</v>
      </c>
      <c r="AZ3" s="27" t="s">
        <v>1062</v>
      </c>
      <c r="BA3" s="27" t="s">
        <v>1063</v>
      </c>
      <c r="BB3" s="27" t="s">
        <v>1064</v>
      </c>
      <c r="BC3" s="27" t="s">
        <v>21</v>
      </c>
      <c r="BD3" s="27" t="s">
        <v>22</v>
      </c>
      <c r="BE3" s="27" t="s">
        <v>1463</v>
      </c>
      <c r="BF3" s="28" t="s">
        <v>19</v>
      </c>
      <c r="BG3" s="27" t="s">
        <v>23</v>
      </c>
      <c r="BH3" s="27" t="s">
        <v>1168</v>
      </c>
      <c r="BI3" s="27" t="s">
        <v>1165</v>
      </c>
      <c r="BJ3" s="27" t="s">
        <v>801</v>
      </c>
      <c r="BK3" s="27" t="s">
        <v>399</v>
      </c>
      <c r="BL3" s="27" t="s">
        <v>336</v>
      </c>
      <c r="BM3" s="27" t="s">
        <v>337</v>
      </c>
      <c r="BN3" s="28" t="s">
        <v>365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479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1192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423</v>
      </c>
      <c r="BC4" s="30" t="s">
        <v>36</v>
      </c>
      <c r="BD4" s="30" t="s">
        <v>37</v>
      </c>
      <c r="BE4" s="30"/>
      <c r="BF4" s="30" t="s">
        <v>1069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437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594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595</v>
      </c>
      <c r="O6" s="31"/>
      <c r="P6" s="30"/>
      <c r="T6" s="37"/>
      <c r="U6" s="30"/>
      <c r="V6" s="31" t="s">
        <v>1180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997</v>
      </c>
      <c r="BC6" s="30" t="s">
        <v>995</v>
      </c>
      <c r="BD6" s="30" t="s">
        <v>128</v>
      </c>
      <c r="BF6" s="30" t="s">
        <v>424</v>
      </c>
      <c r="BG6" s="30" t="s">
        <v>130</v>
      </c>
      <c r="BK6" s="38" t="s">
        <v>1300</v>
      </c>
      <c r="BL6" s="37" t="s">
        <v>431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733</v>
      </c>
      <c r="M7" s="30" t="s">
        <v>90</v>
      </c>
      <c r="O7" s="31"/>
      <c r="P7" s="30"/>
      <c r="T7" s="37"/>
      <c r="U7" s="30" t="s">
        <v>437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596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597</v>
      </c>
      <c r="O8" s="31"/>
      <c r="P8" s="30"/>
      <c r="T8" s="37"/>
      <c r="U8" s="30"/>
      <c r="V8" s="31" t="s">
        <v>1186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997</v>
      </c>
      <c r="BC8" s="30" t="s">
        <v>995</v>
      </c>
      <c r="BD8" s="30" t="s">
        <v>128</v>
      </c>
      <c r="BF8" s="30" t="s">
        <v>424</v>
      </c>
      <c r="BG8" s="30" t="s">
        <v>127</v>
      </c>
      <c r="BK8" s="38" t="s">
        <v>1300</v>
      </c>
      <c r="BL8" s="30" t="s">
        <v>430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733</v>
      </c>
      <c r="M9" s="30" t="s">
        <v>90</v>
      </c>
      <c r="O9" s="31"/>
      <c r="P9" s="30"/>
      <c r="T9" s="37"/>
      <c r="U9" s="30" t="s">
        <v>437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1376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1377</v>
      </c>
      <c r="O10" s="31"/>
      <c r="P10" s="30"/>
      <c r="T10" s="37"/>
      <c r="U10" s="30"/>
      <c r="V10" s="31" t="s">
        <v>1182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996</v>
      </c>
      <c r="BC10" s="30" t="s">
        <v>998</v>
      </c>
      <c r="BD10" s="30" t="s">
        <v>128</v>
      </c>
      <c r="BF10" s="30" t="s">
        <v>425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1377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437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598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599</v>
      </c>
      <c r="O12" s="31"/>
      <c r="P12" s="30"/>
      <c r="T12" s="37"/>
      <c r="U12" s="30"/>
      <c r="V12" s="31" t="s">
        <v>1189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997</v>
      </c>
      <c r="BC12" s="30" t="s">
        <v>995</v>
      </c>
      <c r="BD12" s="30" t="s">
        <v>128</v>
      </c>
      <c r="BF12" s="30" t="s">
        <v>424</v>
      </c>
      <c r="BG12" s="30" t="s">
        <v>192</v>
      </c>
      <c r="BK12" s="38" t="s">
        <v>1300</v>
      </c>
      <c r="BL12" s="30" t="s">
        <v>426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437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1285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1286</v>
      </c>
      <c r="O14" s="31"/>
      <c r="P14" s="30"/>
      <c r="T14" s="37"/>
      <c r="U14" s="30"/>
      <c r="V14" s="31" t="s">
        <v>1184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997</v>
      </c>
      <c r="BC14" s="30" t="s">
        <v>998</v>
      </c>
      <c r="BD14" s="30" t="s">
        <v>128</v>
      </c>
      <c r="BF14" s="30" t="s">
        <v>425</v>
      </c>
      <c r="BG14" s="30" t="s">
        <v>212</v>
      </c>
      <c r="BK14" s="38" t="s">
        <v>1300</v>
      </c>
      <c r="BL14" s="30" t="s">
        <v>427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1286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437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1287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1288</v>
      </c>
      <c r="O16" s="31"/>
      <c r="P16" s="30"/>
      <c r="T16" s="37"/>
      <c r="U16" s="30"/>
      <c r="V16" s="31" t="s">
        <v>1181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997</v>
      </c>
      <c r="BC16" s="30" t="s">
        <v>998</v>
      </c>
      <c r="BD16" s="30" t="s">
        <v>128</v>
      </c>
      <c r="BF16" s="30" t="s">
        <v>425</v>
      </c>
      <c r="BG16" s="30" t="s">
        <v>206</v>
      </c>
      <c r="BK16" s="30" t="s">
        <v>1300</v>
      </c>
      <c r="BL16" s="30" t="s">
        <v>429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1288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437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1378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1379</v>
      </c>
      <c r="O18" s="31"/>
      <c r="P18" s="30"/>
      <c r="T18" s="37"/>
      <c r="U18" s="30"/>
      <c r="V18" s="31" t="s">
        <v>1183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996</v>
      </c>
      <c r="BC18" s="30" t="s">
        <v>998</v>
      </c>
      <c r="BD18" s="30" t="s">
        <v>128</v>
      </c>
      <c r="BF18" s="30" t="s">
        <v>425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1379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437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1380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1381</v>
      </c>
      <c r="O20" s="31"/>
      <c r="P20" s="30"/>
      <c r="T20" s="37"/>
      <c r="U20" s="30"/>
      <c r="V20" s="31" t="s">
        <v>1182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996</v>
      </c>
      <c r="BC20" s="30" t="s">
        <v>998</v>
      </c>
      <c r="BD20" s="30" t="s">
        <v>128</v>
      </c>
      <c r="BF20" s="30" t="s">
        <v>425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1381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437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592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593</v>
      </c>
      <c r="O22" s="31"/>
      <c r="P22" s="30"/>
      <c r="T22" s="37"/>
      <c r="U22" s="30"/>
      <c r="V22" s="31" t="s">
        <v>1188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997</v>
      </c>
      <c r="BC22" s="30" t="s">
        <v>995</v>
      </c>
      <c r="BD22" s="30" t="s">
        <v>128</v>
      </c>
      <c r="BF22" s="30" t="s">
        <v>424</v>
      </c>
      <c r="BG22" s="30" t="s">
        <v>213</v>
      </c>
      <c r="BK22" s="30" t="s">
        <v>1300</v>
      </c>
      <c r="BL22" s="37" t="s">
        <v>428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437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1174</v>
      </c>
      <c r="F24" s="36" t="str">
        <f>IF(ISBLANK(Table2[[#This Row],[unique_id]]), "", PROPER(SUBSTITUTE(Table2[[#This Row],[unique_id]], "_", " ")))</f>
        <v>Wardrobe Temperature</v>
      </c>
      <c r="G24" s="30" t="s">
        <v>496</v>
      </c>
      <c r="H24" s="30" t="s">
        <v>87</v>
      </c>
      <c r="I24" s="30" t="s">
        <v>30</v>
      </c>
      <c r="K24" s="30" t="s">
        <v>1175</v>
      </c>
      <c r="O24" s="31"/>
      <c r="P24" s="30"/>
      <c r="T24" s="37"/>
      <c r="U24" s="30"/>
      <c r="V24" s="31" t="s">
        <v>1191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1192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1261</v>
      </c>
      <c r="BC24" s="30" t="s">
        <v>36</v>
      </c>
      <c r="BD24" s="30" t="s">
        <v>37</v>
      </c>
      <c r="BF24" s="30" t="s">
        <v>1069</v>
      </c>
      <c r="BG24" s="30" t="s">
        <v>496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1175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496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437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496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1120</v>
      </c>
      <c r="D26" s="30" t="s">
        <v>27</v>
      </c>
      <c r="E26" s="30" t="s">
        <v>1177</v>
      </c>
      <c r="F26" s="36" t="str">
        <f>IF(ISBLANK(Table2[[#This Row],[unique_id]]), "", PROPER(SUBSTITUTE(Table2[[#This Row],[unique_id]], "_", " ")))</f>
        <v>Utility Temperature</v>
      </c>
      <c r="G26" s="30" t="s">
        <v>1176</v>
      </c>
      <c r="H26" s="30" t="s">
        <v>87</v>
      </c>
      <c r="I26" s="30" t="s">
        <v>30</v>
      </c>
      <c r="K26" s="30" t="s">
        <v>1178</v>
      </c>
      <c r="O26" s="31"/>
      <c r="P26" s="30"/>
      <c r="T26" s="37"/>
      <c r="U26" s="30"/>
      <c r="V26" s="31" t="s">
        <v>1190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1487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1124</v>
      </c>
      <c r="BD26" s="30" t="s">
        <v>1120</v>
      </c>
      <c r="BF26" s="30" t="s">
        <v>1125</v>
      </c>
      <c r="BG26" s="30" t="s">
        <v>28</v>
      </c>
      <c r="BL26" s="30" t="s">
        <v>1144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1120</v>
      </c>
      <c r="D27" s="30" t="s">
        <v>27</v>
      </c>
      <c r="E27" s="30" t="s">
        <v>1178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1176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437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697</v>
      </c>
      <c r="D28" s="30" t="s">
        <v>27</v>
      </c>
      <c r="E28" s="30" t="s">
        <v>1052</v>
      </c>
      <c r="F28" s="36" t="str">
        <f>IF(ISBLANK(Table2[[#This Row],[unique_id]]), "", PROPER(SUBSTITUTE(Table2[[#This Row],[unique_id]], "_", " ")))</f>
        <v>Deck Festoons Plug Temperature</v>
      </c>
      <c r="G28" s="30" t="s">
        <v>404</v>
      </c>
      <c r="H28" s="30" t="s">
        <v>87</v>
      </c>
      <c r="I28" s="30" t="s">
        <v>30</v>
      </c>
      <c r="K28" s="30" t="s">
        <v>1169</v>
      </c>
      <c r="O28" s="31"/>
      <c r="P28" s="30"/>
      <c r="T28" s="37"/>
      <c r="U28" s="30" t="s">
        <v>437</v>
      </c>
      <c r="V28" s="31" t="s">
        <v>1185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901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920</v>
      </c>
      <c r="AO28" s="30" t="s">
        <v>921</v>
      </c>
      <c r="AP28" s="30" t="s">
        <v>910</v>
      </c>
      <c r="AQ28" s="30" t="s">
        <v>911</v>
      </c>
      <c r="AR28" s="30" t="s">
        <v>1119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731</v>
      </c>
      <c r="BC28" s="30" t="s">
        <v>1116</v>
      </c>
      <c r="BD28" s="30" t="s">
        <v>1115</v>
      </c>
      <c r="BF28" s="30" t="s">
        <v>891</v>
      </c>
      <c r="BG28" s="30" t="s">
        <v>358</v>
      </c>
      <c r="BH28" s="30" t="s">
        <v>404</v>
      </c>
      <c r="BI28" s="30" t="s">
        <v>404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697</v>
      </c>
      <c r="D29" s="30" t="s">
        <v>27</v>
      </c>
      <c r="E29" s="30" t="s">
        <v>1169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404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437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358</v>
      </c>
      <c r="BH29" s="30" t="s">
        <v>404</v>
      </c>
      <c r="BI29" s="30" t="s">
        <v>404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1382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1383</v>
      </c>
      <c r="O30" s="31"/>
      <c r="P30" s="30"/>
      <c r="T30" s="37"/>
      <c r="U30" s="30"/>
      <c r="V30" s="31" t="s">
        <v>1182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996</v>
      </c>
      <c r="BC30" s="30" t="s">
        <v>998</v>
      </c>
      <c r="BD30" s="30" t="s">
        <v>128</v>
      </c>
      <c r="BF30" s="30" t="s">
        <v>425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1383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437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1149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1192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423</v>
      </c>
      <c r="BC32" s="30" t="s">
        <v>36</v>
      </c>
      <c r="BD32" s="30" t="s">
        <v>37</v>
      </c>
      <c r="BF32" s="30" t="s">
        <v>1069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1150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1192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423</v>
      </c>
      <c r="BC33" s="30" t="s">
        <v>36</v>
      </c>
      <c r="BD33" s="30" t="s">
        <v>37</v>
      </c>
      <c r="BF33" s="30" t="s">
        <v>1069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1151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1192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423</v>
      </c>
      <c r="BC34" s="30" t="s">
        <v>36</v>
      </c>
      <c r="BD34" s="30" t="s">
        <v>37</v>
      </c>
      <c r="BF34" s="30" t="s">
        <v>1069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1152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1192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423</v>
      </c>
      <c r="BC35" s="30" t="s">
        <v>36</v>
      </c>
      <c r="BD35" s="30" t="s">
        <v>37</v>
      </c>
      <c r="BF35" s="30" t="s">
        <v>1069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1153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1192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1261</v>
      </c>
      <c r="BC36" s="30" t="s">
        <v>36</v>
      </c>
      <c r="BD36" s="30" t="s">
        <v>37</v>
      </c>
      <c r="BF36" s="30" t="s">
        <v>1069</v>
      </c>
      <c r="BG36" s="30" t="s">
        <v>496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1154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1192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423</v>
      </c>
      <c r="BC37" s="30" t="s">
        <v>36</v>
      </c>
      <c r="BD37" s="30" t="s">
        <v>37</v>
      </c>
      <c r="BF37" s="30" t="s">
        <v>1069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441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451</v>
      </c>
      <c r="D39" s="30" t="s">
        <v>27</v>
      </c>
      <c r="E39" s="30" t="s">
        <v>530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454</v>
      </c>
      <c r="I39" s="30" t="s">
        <v>30</v>
      </c>
      <c r="M39" s="30" t="s">
        <v>90</v>
      </c>
      <c r="O39" s="31"/>
      <c r="P39" s="30"/>
      <c r="T39" s="37"/>
      <c r="U39" s="30" t="s">
        <v>437</v>
      </c>
      <c r="V39" s="31"/>
      <c r="W39" s="31"/>
      <c r="X39" s="31"/>
      <c r="Y39" s="31"/>
      <c r="Z39" s="31"/>
      <c r="AA39" s="31"/>
      <c r="AB39" s="30"/>
      <c r="AC39" s="30"/>
      <c r="AE39" s="30" t="s">
        <v>457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451</v>
      </c>
      <c r="D40" s="30" t="s">
        <v>27</v>
      </c>
      <c r="E40" s="30" t="s">
        <v>455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454</v>
      </c>
      <c r="I40" s="30" t="s">
        <v>30</v>
      </c>
      <c r="M40" s="30" t="s">
        <v>90</v>
      </c>
      <c r="O40" s="31"/>
      <c r="P40" s="30"/>
      <c r="T40" s="37"/>
      <c r="U40" s="30" t="s">
        <v>437</v>
      </c>
      <c r="V40" s="31"/>
      <c r="W40" s="31"/>
      <c r="X40" s="31"/>
      <c r="Y40" s="31"/>
      <c r="Z40" s="31"/>
      <c r="AA40" s="31"/>
      <c r="AB40" s="30"/>
      <c r="AC40" s="30"/>
      <c r="AE40" s="30" t="s">
        <v>457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451</v>
      </c>
      <c r="D41" s="30" t="s">
        <v>27</v>
      </c>
      <c r="E41" s="30" t="s">
        <v>1278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454</v>
      </c>
      <c r="I41" s="30" t="s">
        <v>30</v>
      </c>
      <c r="M41" s="30" t="s">
        <v>90</v>
      </c>
      <c r="O41" s="31"/>
      <c r="P41" s="30"/>
      <c r="T41" s="37"/>
      <c r="U41" s="30" t="s">
        <v>437</v>
      </c>
      <c r="V41" s="31"/>
      <c r="W41" s="31"/>
      <c r="X41" s="31"/>
      <c r="Y41" s="31"/>
      <c r="Z41" s="31"/>
      <c r="AA41" s="31"/>
      <c r="AB41" s="30"/>
      <c r="AC41" s="30"/>
      <c r="AE41" s="30" t="s">
        <v>457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451</v>
      </c>
      <c r="D42" s="30" t="s">
        <v>27</v>
      </c>
      <c r="E42" s="30" t="s">
        <v>1277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454</v>
      </c>
      <c r="I42" s="30" t="s">
        <v>30</v>
      </c>
      <c r="M42" s="30" t="s">
        <v>90</v>
      </c>
      <c r="O42" s="31"/>
      <c r="P42" s="30"/>
      <c r="T42" s="37"/>
      <c r="U42" s="30" t="s">
        <v>437</v>
      </c>
      <c r="V42" s="31"/>
      <c r="W42" s="31"/>
      <c r="X42" s="31"/>
      <c r="Y42" s="31"/>
      <c r="Z42" s="31"/>
      <c r="AA42" s="31"/>
      <c r="AB42" s="30"/>
      <c r="AC42" s="30"/>
      <c r="AE42" s="30" t="s">
        <v>457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580</v>
      </c>
      <c r="C43" s="30" t="s">
        <v>451</v>
      </c>
      <c r="D43" s="30" t="s">
        <v>27</v>
      </c>
      <c r="E43" s="30" t="s">
        <v>1466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454</v>
      </c>
      <c r="I43" s="30" t="s">
        <v>30</v>
      </c>
      <c r="M43" s="30" t="s">
        <v>90</v>
      </c>
      <c r="O43" s="31"/>
      <c r="P43" s="30"/>
      <c r="T43" s="37"/>
      <c r="U43" s="30" t="s">
        <v>437</v>
      </c>
      <c r="V43" s="31"/>
      <c r="W43" s="31"/>
      <c r="X43" s="31"/>
      <c r="Y43" s="31"/>
      <c r="Z43" s="31"/>
      <c r="AA43" s="31"/>
      <c r="AB43" s="30"/>
      <c r="AC43" s="30"/>
      <c r="AE43" s="30" t="s">
        <v>457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1155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437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423</v>
      </c>
      <c r="BC44" s="30" t="s">
        <v>36</v>
      </c>
      <c r="BD44" s="30" t="s">
        <v>37</v>
      </c>
      <c r="BF44" s="30" t="s">
        <v>1069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1156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437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997</v>
      </c>
      <c r="BC45" s="30" t="s">
        <v>995</v>
      </c>
      <c r="BD45" s="30" t="s">
        <v>128</v>
      </c>
      <c r="BF45" s="30" t="s">
        <v>424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1157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437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997</v>
      </c>
      <c r="BC46" s="30" t="s">
        <v>995</v>
      </c>
      <c r="BD46" s="30" t="s">
        <v>128</v>
      </c>
      <c r="BF46" s="30" t="s">
        <v>424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1384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437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996</v>
      </c>
      <c r="BC47" s="30" t="s">
        <v>998</v>
      </c>
      <c r="BD47" s="30" t="s">
        <v>128</v>
      </c>
      <c r="BF47" s="30" t="s">
        <v>425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1158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437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997</v>
      </c>
      <c r="BC48" s="30" t="s">
        <v>995</v>
      </c>
      <c r="BD48" s="30" t="s">
        <v>128</v>
      </c>
      <c r="BF48" s="30" t="s">
        <v>424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1284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437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996</v>
      </c>
      <c r="BC49" s="30" t="s">
        <v>998</v>
      </c>
      <c r="BD49" s="30" t="s">
        <v>128</v>
      </c>
      <c r="BF49" s="30" t="s">
        <v>425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1283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437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996</v>
      </c>
      <c r="BC50" s="30" t="s">
        <v>998</v>
      </c>
      <c r="BD50" s="30" t="s">
        <v>128</v>
      </c>
      <c r="BF50" s="30" t="s">
        <v>425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1385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437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996</v>
      </c>
      <c r="BC51" s="30" t="s">
        <v>998</v>
      </c>
      <c r="BD51" s="30" t="s">
        <v>128</v>
      </c>
      <c r="BF51" s="30" t="s">
        <v>425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1386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437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996</v>
      </c>
      <c r="BC52" s="30" t="s">
        <v>998</v>
      </c>
      <c r="BD52" s="30" t="s">
        <v>128</v>
      </c>
      <c r="BF52" s="30" t="s">
        <v>425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1159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437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997</v>
      </c>
      <c r="BC53" s="30" t="s">
        <v>995</v>
      </c>
      <c r="BD53" s="30" t="s">
        <v>128</v>
      </c>
      <c r="BF53" s="30" t="s">
        <v>424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1179</v>
      </c>
      <c r="F54" s="36" t="str">
        <f>IF(ISBLANK(Table2[[#This Row],[unique_id]]), "", PROPER(SUBSTITUTE(Table2[[#This Row],[unique_id]], "_", " ")))</f>
        <v>Wardrobe Humidity</v>
      </c>
      <c r="G54" s="30" t="s">
        <v>496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437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1261</v>
      </c>
      <c r="BC54" s="30" t="s">
        <v>36</v>
      </c>
      <c r="BD54" s="30" t="s">
        <v>37</v>
      </c>
      <c r="BF54" s="30" t="s">
        <v>1069</v>
      </c>
      <c r="BG54" s="30" t="s">
        <v>496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1387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437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996</v>
      </c>
      <c r="BC55" s="30" t="s">
        <v>998</v>
      </c>
      <c r="BD55" s="30" t="s">
        <v>128</v>
      </c>
      <c r="BF55" s="30" t="s">
        <v>425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441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580</v>
      </c>
      <c r="C57" s="30" t="s">
        <v>128</v>
      </c>
      <c r="D57" s="30" t="s">
        <v>27</v>
      </c>
      <c r="E57" s="30" t="s">
        <v>1388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1416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997</v>
      </c>
      <c r="BC57" s="30" t="s">
        <v>995</v>
      </c>
      <c r="BD57" s="30" t="s">
        <v>128</v>
      </c>
      <c r="BF57" s="30" t="s">
        <v>424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1389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437</v>
      </c>
      <c r="V58" s="31"/>
      <c r="W58" s="31"/>
      <c r="X58" s="31"/>
      <c r="Y58" s="31"/>
      <c r="Z58" s="31"/>
      <c r="AA58" s="31"/>
      <c r="AB58" s="30"/>
      <c r="AC58" s="30"/>
      <c r="AE58" s="30" t="s">
        <v>1416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997</v>
      </c>
      <c r="BC58" s="30" t="s">
        <v>995</v>
      </c>
      <c r="BD58" s="30" t="s">
        <v>128</v>
      </c>
      <c r="BF58" s="30" t="s">
        <v>424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580</v>
      </c>
      <c r="C59" s="30" t="s">
        <v>128</v>
      </c>
      <c r="D59" s="30" t="s">
        <v>27</v>
      </c>
      <c r="E59" s="30" t="s">
        <v>1390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1416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997</v>
      </c>
      <c r="BC59" s="30" t="s">
        <v>995</v>
      </c>
      <c r="BD59" s="30" t="s">
        <v>128</v>
      </c>
      <c r="BF59" s="30" t="s">
        <v>424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1391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437</v>
      </c>
      <c r="V60" s="31"/>
      <c r="W60" s="31"/>
      <c r="X60" s="31"/>
      <c r="Y60" s="31"/>
      <c r="Z60" s="31"/>
      <c r="AA60" s="31"/>
      <c r="AB60" s="30"/>
      <c r="AC60" s="30"/>
      <c r="AE60" s="30" t="s">
        <v>1416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996</v>
      </c>
      <c r="BC60" s="30" t="s">
        <v>998</v>
      </c>
      <c r="BD60" s="30" t="s">
        <v>128</v>
      </c>
      <c r="BF60" s="30" t="s">
        <v>425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1392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437</v>
      </c>
      <c r="V61" s="31"/>
      <c r="W61" s="31"/>
      <c r="X61" s="31"/>
      <c r="Y61" s="31"/>
      <c r="Z61" s="31"/>
      <c r="AA61" s="31"/>
      <c r="AB61" s="30"/>
      <c r="AC61" s="30"/>
      <c r="AE61" s="30" t="s">
        <v>1416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996</v>
      </c>
      <c r="BC61" s="30" t="s">
        <v>998</v>
      </c>
      <c r="BD61" s="30" t="s">
        <v>128</v>
      </c>
      <c r="BF61" s="30" t="s">
        <v>425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1393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437</v>
      </c>
      <c r="V62" s="31"/>
      <c r="W62" s="31"/>
      <c r="X62" s="31"/>
      <c r="Y62" s="31"/>
      <c r="Z62" s="31"/>
      <c r="AA62" s="31"/>
      <c r="AB62" s="30"/>
      <c r="AC62" s="30"/>
      <c r="AE62" s="30" t="s">
        <v>1416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996</v>
      </c>
      <c r="BC62" s="30" t="s">
        <v>998</v>
      </c>
      <c r="BD62" s="30" t="s">
        <v>128</v>
      </c>
      <c r="BF62" s="30" t="s">
        <v>425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1394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437</v>
      </c>
      <c r="V63" s="31"/>
      <c r="W63" s="31"/>
      <c r="X63" s="31"/>
      <c r="Y63" s="31"/>
      <c r="Z63" s="31"/>
      <c r="AA63" s="31"/>
      <c r="AB63" s="30"/>
      <c r="AC63" s="30"/>
      <c r="AE63" s="30" t="s">
        <v>1416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996</v>
      </c>
      <c r="BC63" s="30" t="s">
        <v>998</v>
      </c>
      <c r="BD63" s="30" t="s">
        <v>128</v>
      </c>
      <c r="BF63" s="30" t="s">
        <v>425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1395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437</v>
      </c>
      <c r="V64" s="31"/>
      <c r="W64" s="31"/>
      <c r="X64" s="31"/>
      <c r="Y64" s="31"/>
      <c r="Z64" s="31"/>
      <c r="AA64" s="31"/>
      <c r="AB64" s="30"/>
      <c r="AC64" s="30"/>
      <c r="AE64" s="30" t="s">
        <v>1416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996</v>
      </c>
      <c r="BC64" s="30" t="s">
        <v>998</v>
      </c>
      <c r="BD64" s="30" t="s">
        <v>128</v>
      </c>
      <c r="BF64" s="30" t="s">
        <v>425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580</v>
      </c>
      <c r="C65" s="30" t="s">
        <v>128</v>
      </c>
      <c r="D65" s="30" t="s">
        <v>27</v>
      </c>
      <c r="E65" s="30" t="s">
        <v>1396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1416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997</v>
      </c>
      <c r="BC65" s="30" t="s">
        <v>995</v>
      </c>
      <c r="BD65" s="30" t="s">
        <v>128</v>
      </c>
      <c r="BF65" s="30" t="s">
        <v>424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1160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437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997</v>
      </c>
      <c r="BC66" s="30" t="s">
        <v>995</v>
      </c>
      <c r="BD66" s="30" t="s">
        <v>128</v>
      </c>
      <c r="BF66" s="30" t="s">
        <v>424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1161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437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997</v>
      </c>
      <c r="BC67" s="30" t="s">
        <v>995</v>
      </c>
      <c r="BD67" s="30" t="s">
        <v>128</v>
      </c>
      <c r="BF67" s="30" t="s">
        <v>424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1162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437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997</v>
      </c>
      <c r="BC68" s="30" t="s">
        <v>995</v>
      </c>
      <c r="BD68" s="30" t="s">
        <v>128</v>
      </c>
      <c r="BF68" s="30" t="s">
        <v>424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1282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437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996</v>
      </c>
      <c r="BC69" s="30" t="s">
        <v>998</v>
      </c>
      <c r="BD69" s="30" t="s">
        <v>128</v>
      </c>
      <c r="BF69" s="30" t="s">
        <v>425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1281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437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996</v>
      </c>
      <c r="BC70" s="30" t="s">
        <v>998</v>
      </c>
      <c r="BD70" s="30" t="s">
        <v>128</v>
      </c>
      <c r="BF70" s="30" t="s">
        <v>425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1163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437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997</v>
      </c>
      <c r="BC71" s="30" t="s">
        <v>995</v>
      </c>
      <c r="BD71" s="30" t="s">
        <v>128</v>
      </c>
      <c r="BF71" s="30" t="s">
        <v>424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423</v>
      </c>
      <c r="BC72" s="30" t="s">
        <v>36</v>
      </c>
      <c r="BD72" s="30" t="s">
        <v>37</v>
      </c>
      <c r="BF72" s="30" t="s">
        <v>1069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423</v>
      </c>
      <c r="BC73" s="30" t="s">
        <v>36</v>
      </c>
      <c r="BD73" s="30" t="s">
        <v>37</v>
      </c>
      <c r="BF73" s="30" t="s">
        <v>1069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423</v>
      </c>
      <c r="BC74" s="30" t="s">
        <v>36</v>
      </c>
      <c r="BD74" s="30" t="s">
        <v>37</v>
      </c>
      <c r="BF74" s="30" t="s">
        <v>1069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423</v>
      </c>
      <c r="BC75" s="30" t="s">
        <v>36</v>
      </c>
      <c r="BD75" s="30" t="s">
        <v>37</v>
      </c>
      <c r="BF75" s="30" t="s">
        <v>1069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423</v>
      </c>
      <c r="BC76" s="30" t="s">
        <v>36</v>
      </c>
      <c r="BD76" s="30" t="s">
        <v>37</v>
      </c>
      <c r="BF76" s="30" t="s">
        <v>1069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423</v>
      </c>
      <c r="BC77" s="30" t="s">
        <v>36</v>
      </c>
      <c r="BD77" s="30" t="s">
        <v>37</v>
      </c>
      <c r="BF77" s="30" t="s">
        <v>1069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1192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423</v>
      </c>
      <c r="BC78" s="30" t="s">
        <v>36</v>
      </c>
      <c r="BD78" s="30" t="s">
        <v>37</v>
      </c>
      <c r="BF78" s="30" t="s">
        <v>1069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1192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423</v>
      </c>
      <c r="BC79" s="30" t="s">
        <v>36</v>
      </c>
      <c r="BD79" s="30" t="s">
        <v>37</v>
      </c>
      <c r="BF79" s="30" t="s">
        <v>1069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1193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423</v>
      </c>
      <c r="BC80" s="30" t="s">
        <v>36</v>
      </c>
      <c r="BD80" s="30" t="s">
        <v>37</v>
      </c>
      <c r="BF80" s="30" t="s">
        <v>1069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1192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423</v>
      </c>
      <c r="BC81" s="30" t="s">
        <v>36</v>
      </c>
      <c r="BD81" s="30" t="s">
        <v>37</v>
      </c>
      <c r="BF81" s="30" t="s">
        <v>1069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1192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423</v>
      </c>
      <c r="BC82" s="30" t="s">
        <v>36</v>
      </c>
      <c r="BD82" s="30" t="s">
        <v>37</v>
      </c>
      <c r="BF82" s="30" t="s">
        <v>1069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437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423</v>
      </c>
      <c r="BC83" s="30" t="s">
        <v>36</v>
      </c>
      <c r="BD83" s="30" t="s">
        <v>37</v>
      </c>
      <c r="BF83" s="30" t="s">
        <v>1069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437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423</v>
      </c>
      <c r="BC84" s="30" t="s">
        <v>36</v>
      </c>
      <c r="BD84" s="30" t="s">
        <v>37</v>
      </c>
      <c r="BF84" s="30" t="s">
        <v>1069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441</v>
      </c>
      <c r="D85" s="30" t="s">
        <v>333</v>
      </c>
      <c r="E85" s="30" t="s">
        <v>439</v>
      </c>
      <c r="F85" s="36" t="str">
        <f>IF(ISBLANK(Table2[[#This Row],[unique_id]]), "", PROPER(SUBSTITUTE(Table2[[#This Row],[unique_id]], "_", " ")))</f>
        <v>Graph Break</v>
      </c>
      <c r="G85" s="30" t="s">
        <v>440</v>
      </c>
      <c r="H85" s="30" t="s">
        <v>59</v>
      </c>
      <c r="I85" s="30" t="s">
        <v>59</v>
      </c>
      <c r="O85" s="31"/>
      <c r="P85" s="30"/>
      <c r="T85" s="37"/>
      <c r="U85" s="30" t="s">
        <v>437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437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423</v>
      </c>
      <c r="BC86" s="30" t="s">
        <v>36</v>
      </c>
      <c r="BD86" s="30" t="s">
        <v>37</v>
      </c>
      <c r="BF86" s="30" t="s">
        <v>1069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423</v>
      </c>
      <c r="BC87" s="30" t="s">
        <v>36</v>
      </c>
      <c r="BD87" s="30" t="s">
        <v>37</v>
      </c>
      <c r="BF87" s="30" t="s">
        <v>1069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423</v>
      </c>
      <c r="BC89" s="30" t="s">
        <v>36</v>
      </c>
      <c r="BD89" s="30" t="s">
        <v>37</v>
      </c>
      <c r="BF89" s="30" t="s">
        <v>1069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437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423</v>
      </c>
      <c r="BC90" s="30" t="s">
        <v>36</v>
      </c>
      <c r="BD90" s="30" t="s">
        <v>37</v>
      </c>
      <c r="BF90" s="30" t="s">
        <v>1069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423</v>
      </c>
      <c r="BC91" s="30" t="s">
        <v>36</v>
      </c>
      <c r="BD91" s="30" t="s">
        <v>37</v>
      </c>
      <c r="BF91" s="30" t="s">
        <v>1069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423</v>
      </c>
      <c r="BC92" s="30" t="s">
        <v>36</v>
      </c>
      <c r="BD92" s="30" t="s">
        <v>37</v>
      </c>
      <c r="BF92" s="30" t="s">
        <v>1069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441</v>
      </c>
      <c r="D93" s="30" t="s">
        <v>333</v>
      </c>
      <c r="E93" s="30" t="s">
        <v>439</v>
      </c>
      <c r="F93" s="36" t="str">
        <f>IF(ISBLANK(Table2[[#This Row],[unique_id]]), "", PROPER(SUBSTITUTE(Table2[[#This Row],[unique_id]], "_", " ")))</f>
        <v>Graph Break</v>
      </c>
      <c r="G93" s="30" t="s">
        <v>440</v>
      </c>
      <c r="H93" s="30" t="s">
        <v>59</v>
      </c>
      <c r="I93" s="30" t="s">
        <v>59</v>
      </c>
      <c r="O93" s="31"/>
      <c r="P93" s="30"/>
      <c r="T93" s="37"/>
      <c r="U93" s="30" t="s">
        <v>437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1428</v>
      </c>
      <c r="F94" s="36" t="str">
        <f>IF(ISBLANK(Table2[[#This Row],[unique_id]]), "", PROPER(SUBSTITUTE(Table2[[#This Row],[unique_id]], "_", " ")))</f>
        <v>Home Started</v>
      </c>
      <c r="G94" s="30" t="s">
        <v>1429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653</v>
      </c>
      <c r="F95" s="36" t="str">
        <f>IF(ISBLANK(Table2[[#This Row],[unique_id]]), "", PROPER(SUBSTITUTE(Table2[[#This Row],[unique_id]], "_", " ")))</f>
        <v>Home Security</v>
      </c>
      <c r="G95" s="30" t="s">
        <v>651</v>
      </c>
      <c r="H95" s="30" t="s">
        <v>311</v>
      </c>
      <c r="I95" s="30" t="s">
        <v>132</v>
      </c>
      <c r="J95" s="30" t="s">
        <v>652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666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696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442</v>
      </c>
      <c r="F96" s="36" t="str">
        <f>IF(ISBLANK(Table2[[#This Row],[unique_id]]), "", PROPER(SUBSTITUTE(Table2[[#This Row],[unique_id]], "_", " ")))</f>
        <v>Home Movie</v>
      </c>
      <c r="G96" s="30" t="s">
        <v>447</v>
      </c>
      <c r="H96" s="30" t="s">
        <v>311</v>
      </c>
      <c r="I96" s="30" t="s">
        <v>132</v>
      </c>
      <c r="J96" s="30" t="s">
        <v>476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435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696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478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696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434</v>
      </c>
      <c r="F98" s="36" t="str">
        <f>IF(ISBLANK(Table2[[#This Row],[unique_id]]), "", PROPER(SUBSTITUTE(Table2[[#This Row],[unique_id]], "_", " ")))</f>
        <v>Home Reset</v>
      </c>
      <c r="G98" s="30" t="s">
        <v>448</v>
      </c>
      <c r="H98" s="30" t="s">
        <v>311</v>
      </c>
      <c r="I98" s="30" t="s">
        <v>132</v>
      </c>
      <c r="J98" s="30" t="s">
        <v>477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436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696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670</v>
      </c>
      <c r="D99" s="30" t="s">
        <v>671</v>
      </c>
      <c r="E99" s="30" t="s">
        <v>672</v>
      </c>
      <c r="F99" s="36" t="str">
        <f>IF(ISBLANK(Table2[[#This Row],[unique_id]]), "", PROPER(SUBSTITUTE(Table2[[#This Row],[unique_id]], "_", " ")))</f>
        <v>Home Secure Back Door Off</v>
      </c>
      <c r="G99" s="30" t="s">
        <v>673</v>
      </c>
      <c r="H99" s="30" t="s">
        <v>311</v>
      </c>
      <c r="I99" s="30" t="s">
        <v>132</v>
      </c>
      <c r="K99" s="30" t="s">
        <v>674</v>
      </c>
      <c r="L99" s="30" t="s">
        <v>677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678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670</v>
      </c>
      <c r="D100" s="30" t="s">
        <v>671</v>
      </c>
      <c r="E100" s="30" t="s">
        <v>679</v>
      </c>
      <c r="F100" s="36" t="str">
        <f>IF(ISBLANK(Table2[[#This Row],[unique_id]]), "", PROPER(SUBSTITUTE(Table2[[#This Row],[unique_id]], "_", " ")))</f>
        <v>Home Secure Front Door Off</v>
      </c>
      <c r="G100" s="30" t="s">
        <v>680</v>
      </c>
      <c r="H100" s="30" t="s">
        <v>311</v>
      </c>
      <c r="I100" s="30" t="s">
        <v>132</v>
      </c>
      <c r="K100" s="30" t="s">
        <v>681</v>
      </c>
      <c r="L100" s="30" t="s">
        <v>677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678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670</v>
      </c>
      <c r="D101" s="30" t="s">
        <v>671</v>
      </c>
      <c r="E101" s="30" t="s">
        <v>682</v>
      </c>
      <c r="F101" s="36" t="str">
        <f>IF(ISBLANK(Table2[[#This Row],[unique_id]]), "", PROPER(SUBSTITUTE(Table2[[#This Row],[unique_id]], "_", " ")))</f>
        <v>Home Sleep On</v>
      </c>
      <c r="G101" s="30" t="s">
        <v>1401</v>
      </c>
      <c r="H101" s="30" t="s">
        <v>311</v>
      </c>
      <c r="I101" s="30" t="s">
        <v>132</v>
      </c>
      <c r="K101" s="30" t="s">
        <v>684</v>
      </c>
      <c r="L101" s="30" t="s">
        <v>685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670</v>
      </c>
      <c r="D102" s="30" t="s">
        <v>671</v>
      </c>
      <c r="E102" s="30" t="s">
        <v>683</v>
      </c>
      <c r="F102" s="36" t="str">
        <f>IF(ISBLANK(Table2[[#This Row],[unique_id]]), "", PROPER(SUBSTITUTE(Table2[[#This Row],[unique_id]], "_", " ")))</f>
        <v>Home Sleep Off</v>
      </c>
      <c r="G102" s="30" t="s">
        <v>1402</v>
      </c>
      <c r="H102" s="30" t="s">
        <v>311</v>
      </c>
      <c r="I102" s="30" t="s">
        <v>132</v>
      </c>
      <c r="K102" s="30" t="s">
        <v>684</v>
      </c>
      <c r="L102" s="30" t="s">
        <v>677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686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1422</v>
      </c>
      <c r="F103" s="36" t="str">
        <f>IF(ISBLANK(Table2[[#This Row],[unique_id]]), "", PROPER(SUBSTITUTE(Table2[[#This Row],[unique_id]], "_", " ")))</f>
        <v>Edwin Wakeup</v>
      </c>
      <c r="G103" s="30" t="s">
        <v>1420</v>
      </c>
      <c r="H103" s="30" t="s">
        <v>311</v>
      </c>
      <c r="I103" s="30" t="s">
        <v>132</v>
      </c>
      <c r="J103" s="30" t="s">
        <v>1425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1423</v>
      </c>
      <c r="F104" s="36" t="str">
        <f>IF(ISBLANK(Table2[[#This Row],[unique_id]]), "", PROPER(SUBSTITUTE(Table2[[#This Row],[unique_id]], "_", " ")))</f>
        <v>Edwin Playtime</v>
      </c>
      <c r="G104" s="30" t="s">
        <v>1430</v>
      </c>
      <c r="H104" s="30" t="s">
        <v>311</v>
      </c>
      <c r="I104" s="30" t="s">
        <v>132</v>
      </c>
      <c r="J104" s="30" t="s">
        <v>1426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1424</v>
      </c>
      <c r="F105" s="36" t="str">
        <f>IF(ISBLANK(Table2[[#This Row],[unique_id]]), "", PROPER(SUBSTITUTE(Table2[[#This Row],[unique_id]], "_", " ")))</f>
        <v>Edwin Goodnight</v>
      </c>
      <c r="G105" s="30" t="s">
        <v>1421</v>
      </c>
      <c r="H105" s="30" t="s">
        <v>311</v>
      </c>
      <c r="I105" s="30" t="s">
        <v>132</v>
      </c>
      <c r="J105" s="30" t="s">
        <v>1427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580</v>
      </c>
      <c r="C106" s="55" t="s">
        <v>812</v>
      </c>
      <c r="D106" s="55" t="s">
        <v>148</v>
      </c>
      <c r="E106" s="56" t="s">
        <v>1435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1373</v>
      </c>
      <c r="I106" s="55" t="s">
        <v>132</v>
      </c>
      <c r="O106" s="58" t="s">
        <v>792</v>
      </c>
      <c r="P106" s="55" t="s">
        <v>165</v>
      </c>
      <c r="Q106" s="55" t="s">
        <v>765</v>
      </c>
      <c r="R106" s="55" t="s">
        <v>775</v>
      </c>
      <c r="S106" s="55" t="str">
        <f>Table2[[#This Row],[friendly_name]]</f>
        <v>Coffee Machine</v>
      </c>
      <c r="T106" s="56" t="s">
        <v>1072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361</v>
      </c>
      <c r="BD106" s="55" t="s">
        <v>233</v>
      </c>
      <c r="BF106" s="55" t="s">
        <v>362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580</v>
      </c>
      <c r="C107" s="55" t="s">
        <v>233</v>
      </c>
      <c r="D107" s="55" t="s">
        <v>134</v>
      </c>
      <c r="E107" s="55" t="s">
        <v>1436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1373</v>
      </c>
      <c r="I107" s="55" t="s">
        <v>132</v>
      </c>
      <c r="J107" s="55" t="s">
        <v>135</v>
      </c>
      <c r="M107" s="55" t="s">
        <v>257</v>
      </c>
      <c r="O107" s="58" t="s">
        <v>792</v>
      </c>
      <c r="P107" s="55" t="s">
        <v>165</v>
      </c>
      <c r="Q107" s="55" t="s">
        <v>765</v>
      </c>
      <c r="R107" s="55" t="s">
        <v>775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361</v>
      </c>
      <c r="BD107" s="55" t="s">
        <v>233</v>
      </c>
      <c r="BF107" s="55" t="s">
        <v>362</v>
      </c>
      <c r="BG107" s="55" t="s">
        <v>206</v>
      </c>
      <c r="BJ107" s="55" t="s">
        <v>982</v>
      </c>
      <c r="BK107" s="55" t="s">
        <v>1301</v>
      </c>
      <c r="BL107" s="55" t="s">
        <v>346</v>
      </c>
      <c r="BM107" s="55" t="s">
        <v>1342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812</v>
      </c>
      <c r="D108" s="30" t="s">
        <v>148</v>
      </c>
      <c r="E108" s="37" t="s">
        <v>969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1373</v>
      </c>
      <c r="I108" s="30" t="s">
        <v>132</v>
      </c>
      <c r="O108" s="31" t="s">
        <v>792</v>
      </c>
      <c r="P108" s="30" t="s">
        <v>165</v>
      </c>
      <c r="Q108" s="30" t="s">
        <v>765</v>
      </c>
      <c r="R108" s="30" t="s">
        <v>775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360</v>
      </c>
      <c r="BD108" s="30" t="s">
        <v>233</v>
      </c>
      <c r="BF108" s="30" t="s">
        <v>363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840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1373</v>
      </c>
      <c r="I109" s="30" t="s">
        <v>132</v>
      </c>
      <c r="J109" s="30" t="s">
        <v>135</v>
      </c>
      <c r="M109" s="30" t="s">
        <v>257</v>
      </c>
      <c r="O109" s="31" t="s">
        <v>792</v>
      </c>
      <c r="P109" s="30" t="s">
        <v>165</v>
      </c>
      <c r="Q109" s="30" t="s">
        <v>765</v>
      </c>
      <c r="R109" s="30" t="s">
        <v>775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360</v>
      </c>
      <c r="BD109" s="30" t="s">
        <v>233</v>
      </c>
      <c r="BF109" s="30" t="s">
        <v>363</v>
      </c>
      <c r="BG109" s="30" t="s">
        <v>206</v>
      </c>
      <c r="BJ109" s="30" t="s">
        <v>982</v>
      </c>
      <c r="BK109" s="30" t="s">
        <v>1301</v>
      </c>
      <c r="BL109" s="30" t="s">
        <v>354</v>
      </c>
      <c r="BM109" s="30" t="s">
        <v>1353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411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724</v>
      </c>
      <c r="M110" s="30" t="s">
        <v>136</v>
      </c>
      <c r="O110" s="31" t="s">
        <v>792</v>
      </c>
      <c r="P110" s="30" t="s">
        <v>165</v>
      </c>
      <c r="Q110" s="30" t="s">
        <v>764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759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474</v>
      </c>
      <c r="BC110" s="30" t="s">
        <v>371</v>
      </c>
      <c r="BD110" s="30" t="s">
        <v>133</v>
      </c>
      <c r="BF110" s="30" t="s">
        <v>370</v>
      </c>
      <c r="BG110" s="30" t="s">
        <v>130</v>
      </c>
      <c r="BK110" s="30" t="s">
        <v>1301</v>
      </c>
      <c r="BL110" s="30" t="s">
        <v>372</v>
      </c>
      <c r="BM110" s="30" t="s">
        <v>1319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412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724</v>
      </c>
      <c r="M111" s="30" t="s">
        <v>136</v>
      </c>
      <c r="O111" s="31" t="s">
        <v>792</v>
      </c>
      <c r="P111" s="30" t="s">
        <v>165</v>
      </c>
      <c r="Q111" s="30" t="s">
        <v>764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759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474</v>
      </c>
      <c r="BC111" s="30" t="s">
        <v>371</v>
      </c>
      <c r="BD111" s="30" t="s">
        <v>133</v>
      </c>
      <c r="BF111" s="30" t="s">
        <v>370</v>
      </c>
      <c r="BG111" s="30" t="s">
        <v>127</v>
      </c>
      <c r="BK111" s="30" t="s">
        <v>1301</v>
      </c>
      <c r="BL111" s="30" t="s">
        <v>373</v>
      </c>
      <c r="BM111" s="30" t="s">
        <v>1320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413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474</v>
      </c>
      <c r="M112" s="30" t="s">
        <v>136</v>
      </c>
      <c r="O112" s="31" t="s">
        <v>792</v>
      </c>
      <c r="P112" s="30" t="s">
        <v>165</v>
      </c>
      <c r="Q112" s="30" t="s">
        <v>764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759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474</v>
      </c>
      <c r="BC112" s="30" t="s">
        <v>371</v>
      </c>
      <c r="BD112" s="30" t="s">
        <v>133</v>
      </c>
      <c r="BF112" s="30" t="s">
        <v>370</v>
      </c>
      <c r="BG112" s="30" t="s">
        <v>192</v>
      </c>
      <c r="BK112" s="30" t="s">
        <v>1301</v>
      </c>
      <c r="BL112" s="30" t="s">
        <v>376</v>
      </c>
      <c r="BM112" s="30" t="s">
        <v>1321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812</v>
      </c>
      <c r="D113" s="30" t="s">
        <v>148</v>
      </c>
      <c r="E113" s="37" t="s">
        <v>924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792</v>
      </c>
      <c r="P113" s="30" t="s">
        <v>165</v>
      </c>
      <c r="Q113" s="30" t="s">
        <v>764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1074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474</v>
      </c>
      <c r="BC113" s="30" t="s">
        <v>919</v>
      </c>
      <c r="BD113" s="30" t="s">
        <v>1115</v>
      </c>
      <c r="BF113" s="30" t="s">
        <v>891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697</v>
      </c>
      <c r="D114" s="30" t="s">
        <v>129</v>
      </c>
      <c r="E114" s="30" t="s">
        <v>835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474</v>
      </c>
      <c r="M114" s="30" t="s">
        <v>136</v>
      </c>
      <c r="O114" s="31" t="s">
        <v>792</v>
      </c>
      <c r="P114" s="30" t="s">
        <v>165</v>
      </c>
      <c r="Q114" s="30" t="s">
        <v>764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1112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901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920</v>
      </c>
      <c r="AO114" s="30" t="s">
        <v>921</v>
      </c>
      <c r="AP114" s="30" t="s">
        <v>910</v>
      </c>
      <c r="AQ114" s="30" t="s">
        <v>911</v>
      </c>
      <c r="AR114" s="30" t="s">
        <v>974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474</v>
      </c>
      <c r="BC114" s="30" t="s">
        <v>919</v>
      </c>
      <c r="BD114" s="30" t="s">
        <v>1115</v>
      </c>
      <c r="BF114" s="30" t="s">
        <v>891</v>
      </c>
      <c r="BG114" s="30" t="s">
        <v>206</v>
      </c>
      <c r="BK114" s="30" t="s">
        <v>1301</v>
      </c>
      <c r="BL114" s="30" t="s">
        <v>925</v>
      </c>
      <c r="BM114" s="30" t="s">
        <v>1323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697</v>
      </c>
      <c r="D115" s="30" t="s">
        <v>27</v>
      </c>
      <c r="E115" s="30" t="s">
        <v>926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902</v>
      </c>
      <c r="AF115" s="30">
        <v>10</v>
      </c>
      <c r="AG115" s="31" t="s">
        <v>34</v>
      </c>
      <c r="AH115" s="31" t="s">
        <v>901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920</v>
      </c>
      <c r="AO115" s="30" t="s">
        <v>921</v>
      </c>
      <c r="AP115" s="30" t="s">
        <v>910</v>
      </c>
      <c r="AQ115" s="30" t="s">
        <v>911</v>
      </c>
      <c r="AR115" s="30" t="s">
        <v>1109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474</v>
      </c>
      <c r="BC115" s="30" t="s">
        <v>919</v>
      </c>
      <c r="BD115" s="30" t="s">
        <v>1115</v>
      </c>
      <c r="BF115" s="30" t="s">
        <v>891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697</v>
      </c>
      <c r="D116" s="30" t="s">
        <v>27</v>
      </c>
      <c r="E116" s="30" t="s">
        <v>927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903</v>
      </c>
      <c r="AF116" s="30">
        <v>10</v>
      </c>
      <c r="AG116" s="31" t="s">
        <v>34</v>
      </c>
      <c r="AH116" s="31" t="s">
        <v>901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920</v>
      </c>
      <c r="AO116" s="30" t="s">
        <v>921</v>
      </c>
      <c r="AP116" s="30" t="s">
        <v>910</v>
      </c>
      <c r="AQ116" s="30" t="s">
        <v>911</v>
      </c>
      <c r="AR116" s="30" t="s">
        <v>1110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474</v>
      </c>
      <c r="BC116" s="30" t="s">
        <v>919</v>
      </c>
      <c r="BD116" s="30" t="s">
        <v>1115</v>
      </c>
      <c r="BF116" s="30" t="s">
        <v>891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414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474</v>
      </c>
      <c r="M117" s="30" t="s">
        <v>136</v>
      </c>
      <c r="O117" s="31" t="s">
        <v>792</v>
      </c>
      <c r="P117" s="30" t="s">
        <v>165</v>
      </c>
      <c r="Q117" s="30" t="s">
        <v>764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759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474</v>
      </c>
      <c r="BC117" s="30" t="s">
        <v>371</v>
      </c>
      <c r="BD117" s="30" t="s">
        <v>133</v>
      </c>
      <c r="BF117" s="30" t="s">
        <v>370</v>
      </c>
      <c r="BG117" s="30" t="s">
        <v>194</v>
      </c>
      <c r="BK117" s="30" t="s">
        <v>1301</v>
      </c>
      <c r="BL117" s="30" t="s">
        <v>377</v>
      </c>
      <c r="BM117" s="30" t="s">
        <v>1324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415</v>
      </c>
      <c r="F118" s="36" t="str">
        <f>IF(ISBLANK(Table2[[#This Row],[unique_id]]), "", PROPER(SUBSTITUTE(Table2[[#This Row],[unique_id]], "_", " ")))</f>
        <v>Deck Fan</v>
      </c>
      <c r="G118" s="30" t="s">
        <v>358</v>
      </c>
      <c r="H118" s="30" t="s">
        <v>131</v>
      </c>
      <c r="I118" s="30" t="s">
        <v>132</v>
      </c>
      <c r="J118" s="30" t="s">
        <v>725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358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416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792</v>
      </c>
      <c r="P119" s="30" t="s">
        <v>165</v>
      </c>
      <c r="Q119" s="30" t="s">
        <v>764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759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1022</v>
      </c>
      <c r="BC119" s="30" t="s">
        <v>371</v>
      </c>
      <c r="BD119" s="30" t="s">
        <v>133</v>
      </c>
      <c r="BF119" s="30" t="s">
        <v>370</v>
      </c>
      <c r="BG119" s="30" t="s">
        <v>358</v>
      </c>
      <c r="BK119" s="30" t="s">
        <v>1301</v>
      </c>
      <c r="BL119" s="30" t="s">
        <v>374</v>
      </c>
      <c r="BM119" s="30" t="s">
        <v>1325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417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792</v>
      </c>
      <c r="P120" s="30" t="s">
        <v>165</v>
      </c>
      <c r="Q120" s="30" t="s">
        <v>764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759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1023</v>
      </c>
      <c r="BC120" s="30" t="s">
        <v>371</v>
      </c>
      <c r="BD120" s="30" t="s">
        <v>133</v>
      </c>
      <c r="BF120" s="30" t="s">
        <v>370</v>
      </c>
      <c r="BG120" s="30" t="s">
        <v>358</v>
      </c>
      <c r="BK120" s="30" t="s">
        <v>1301</v>
      </c>
      <c r="BL120" s="30" t="s">
        <v>375</v>
      </c>
      <c r="BM120" s="39" t="s">
        <v>1326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812</v>
      </c>
      <c r="D121" s="30" t="s">
        <v>148</v>
      </c>
      <c r="E121" s="43" t="s">
        <v>811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452</v>
      </c>
      <c r="I121" s="30" t="s">
        <v>132</v>
      </c>
      <c r="O121" s="31" t="s">
        <v>792</v>
      </c>
      <c r="P121" s="30" t="s">
        <v>165</v>
      </c>
      <c r="Q121" s="30" t="s">
        <v>764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813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473</v>
      </c>
      <c r="BC121" s="30" t="s">
        <v>468</v>
      </c>
      <c r="BD121" s="30" t="s">
        <v>451</v>
      </c>
      <c r="BF121" s="30" t="s">
        <v>467</v>
      </c>
      <c r="BG121" s="30" t="s">
        <v>193</v>
      </c>
      <c r="BI121" s="30" t="s">
        <v>689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451</v>
      </c>
      <c r="D122" s="30" t="s">
        <v>129</v>
      </c>
      <c r="E122" s="36" t="s">
        <v>528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452</v>
      </c>
      <c r="I122" s="30" t="s">
        <v>132</v>
      </c>
      <c r="J122" s="30" t="s">
        <v>473</v>
      </c>
      <c r="M122" s="30" t="s">
        <v>136</v>
      </c>
      <c r="O122" s="31"/>
      <c r="P122" s="30"/>
      <c r="T122" s="37"/>
      <c r="U122" s="30"/>
      <c r="V122" s="31"/>
      <c r="W122" s="31" t="s">
        <v>490</v>
      </c>
      <c r="X122" s="31"/>
      <c r="Y122" s="42" t="s">
        <v>760</v>
      </c>
      <c r="Z122" s="42"/>
      <c r="AA122" s="42"/>
      <c r="AB122" s="30"/>
      <c r="AC122" s="30"/>
      <c r="AE122" s="30" t="s">
        <v>453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473</v>
      </c>
      <c r="BC122" s="30" t="s">
        <v>468</v>
      </c>
      <c r="BD122" s="30" t="s">
        <v>451</v>
      </c>
      <c r="BF122" s="30" t="s">
        <v>467</v>
      </c>
      <c r="BG122" s="30" t="s">
        <v>193</v>
      </c>
      <c r="BI122" s="30" t="s">
        <v>689</v>
      </c>
      <c r="BL122" s="30" t="s">
        <v>529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812</v>
      </c>
      <c r="D123" s="30" t="s">
        <v>148</v>
      </c>
      <c r="E123" s="43" t="s">
        <v>810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452</v>
      </c>
      <c r="I123" s="30" t="s">
        <v>132</v>
      </c>
      <c r="O123" s="31" t="s">
        <v>792</v>
      </c>
      <c r="P123" s="30" t="s">
        <v>165</v>
      </c>
      <c r="Q123" s="30" t="s">
        <v>764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813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473</v>
      </c>
      <c r="BC123" s="30" t="s">
        <v>468</v>
      </c>
      <c r="BD123" s="30" t="s">
        <v>451</v>
      </c>
      <c r="BF123" s="30" t="s">
        <v>467</v>
      </c>
      <c r="BG123" s="30" t="s">
        <v>194</v>
      </c>
      <c r="BI123" s="30" t="s">
        <v>689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451</v>
      </c>
      <c r="D124" s="30" t="s">
        <v>129</v>
      </c>
      <c r="E124" s="36" t="s">
        <v>456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452</v>
      </c>
      <c r="I124" s="30" t="s">
        <v>132</v>
      </c>
      <c r="J124" s="30" t="s">
        <v>473</v>
      </c>
      <c r="M124" s="30" t="s">
        <v>136</v>
      </c>
      <c r="O124" s="31"/>
      <c r="P124" s="30"/>
      <c r="T124" s="37"/>
      <c r="U124" s="30"/>
      <c r="V124" s="31"/>
      <c r="W124" s="31" t="s">
        <v>490</v>
      </c>
      <c r="X124" s="31"/>
      <c r="Y124" s="42" t="s">
        <v>760</v>
      </c>
      <c r="Z124" s="42"/>
      <c r="AA124" s="42"/>
      <c r="AB124" s="30"/>
      <c r="AC124" s="30"/>
      <c r="AE124" s="30" t="s">
        <v>453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473</v>
      </c>
      <c r="BC124" s="30" t="s">
        <v>468</v>
      </c>
      <c r="BD124" s="30" t="s">
        <v>451</v>
      </c>
      <c r="BF124" s="30" t="s">
        <v>467</v>
      </c>
      <c r="BG124" s="30" t="s">
        <v>194</v>
      </c>
      <c r="BI124" s="30" t="s">
        <v>689</v>
      </c>
      <c r="BL124" s="30" t="s">
        <v>480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812</v>
      </c>
      <c r="D125" s="30" t="s">
        <v>148</v>
      </c>
      <c r="E125" s="43" t="s">
        <v>1274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452</v>
      </c>
      <c r="I125" s="30" t="s">
        <v>132</v>
      </c>
      <c r="O125" s="31" t="s">
        <v>792</v>
      </c>
      <c r="P125" s="30" t="s">
        <v>165</v>
      </c>
      <c r="Q125" s="30" t="s">
        <v>764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813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473</v>
      </c>
      <c r="BC125" s="30" t="s">
        <v>468</v>
      </c>
      <c r="BD125" s="30" t="s">
        <v>451</v>
      </c>
      <c r="BF125" s="30" t="s">
        <v>467</v>
      </c>
      <c r="BG125" s="30" t="s">
        <v>192</v>
      </c>
      <c r="BI125" s="30" t="s">
        <v>689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451</v>
      </c>
      <c r="D126" s="30" t="s">
        <v>129</v>
      </c>
      <c r="E126" s="36" t="s">
        <v>1275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452</v>
      </c>
      <c r="I126" s="30" t="s">
        <v>132</v>
      </c>
      <c r="J126" s="30" t="s">
        <v>473</v>
      </c>
      <c r="M126" s="30" t="s">
        <v>136</v>
      </c>
      <c r="O126" s="31"/>
      <c r="P126" s="30"/>
      <c r="T126" s="37"/>
      <c r="U126" s="30"/>
      <c r="V126" s="31"/>
      <c r="W126" s="31" t="s">
        <v>490</v>
      </c>
      <c r="X126" s="31"/>
      <c r="Y126" s="42" t="s">
        <v>760</v>
      </c>
      <c r="Z126" s="42"/>
      <c r="AA126" s="42"/>
      <c r="AB126" s="30"/>
      <c r="AC126" s="30"/>
      <c r="AE126" s="30" t="s">
        <v>453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473</v>
      </c>
      <c r="BC126" s="30" t="s">
        <v>468</v>
      </c>
      <c r="BD126" s="30" t="s">
        <v>451</v>
      </c>
      <c r="BF126" s="30" t="s">
        <v>467</v>
      </c>
      <c r="BG126" s="30" t="s">
        <v>192</v>
      </c>
      <c r="BI126" s="30" t="s">
        <v>689</v>
      </c>
      <c r="BL126" s="30" t="s">
        <v>1370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812</v>
      </c>
      <c r="D127" s="30" t="s">
        <v>148</v>
      </c>
      <c r="E127" s="43" t="s">
        <v>1273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452</v>
      </c>
      <c r="I127" s="30" t="s">
        <v>132</v>
      </c>
      <c r="O127" s="31" t="s">
        <v>792</v>
      </c>
      <c r="P127" s="30" t="s">
        <v>165</v>
      </c>
      <c r="Q127" s="30" t="s">
        <v>764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813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473</v>
      </c>
      <c r="BC127" s="30" t="s">
        <v>468</v>
      </c>
      <c r="BD127" s="30" t="s">
        <v>451</v>
      </c>
      <c r="BF127" s="30" t="s">
        <v>467</v>
      </c>
      <c r="BG127" s="30" t="s">
        <v>206</v>
      </c>
      <c r="BI127" s="30" t="s">
        <v>689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451</v>
      </c>
      <c r="D128" s="30" t="s">
        <v>129</v>
      </c>
      <c r="E128" s="36" t="s">
        <v>1272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452</v>
      </c>
      <c r="I128" s="30" t="s">
        <v>132</v>
      </c>
      <c r="J128" s="30" t="s">
        <v>473</v>
      </c>
      <c r="M128" s="30" t="s">
        <v>136</v>
      </c>
      <c r="O128" s="31"/>
      <c r="P128" s="30"/>
      <c r="T128" s="37"/>
      <c r="U128" s="30"/>
      <c r="V128" s="31"/>
      <c r="W128" s="31" t="s">
        <v>490</v>
      </c>
      <c r="X128" s="31"/>
      <c r="Y128" s="42" t="s">
        <v>760</v>
      </c>
      <c r="Z128" s="42"/>
      <c r="AA128" s="42"/>
      <c r="AB128" s="30"/>
      <c r="AC128" s="30"/>
      <c r="AE128" s="30" t="s">
        <v>453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473</v>
      </c>
      <c r="BC128" s="30" t="s">
        <v>468</v>
      </c>
      <c r="BD128" s="30" t="s">
        <v>451</v>
      </c>
      <c r="BF128" s="30" t="s">
        <v>467</v>
      </c>
      <c r="BG128" s="30" t="s">
        <v>206</v>
      </c>
      <c r="BI128" s="30" t="s">
        <v>689</v>
      </c>
      <c r="BL128" s="30" t="s">
        <v>1469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580</v>
      </c>
      <c r="C129" s="30" t="s">
        <v>812</v>
      </c>
      <c r="D129" s="30" t="s">
        <v>148</v>
      </c>
      <c r="E129" s="43" t="s">
        <v>1467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452</v>
      </c>
      <c r="I129" s="30" t="s">
        <v>132</v>
      </c>
      <c r="O129" s="31" t="s">
        <v>792</v>
      </c>
      <c r="P129" s="30" t="s">
        <v>165</v>
      </c>
      <c r="Q129" s="30" t="s">
        <v>764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813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473</v>
      </c>
      <c r="BC129" s="30" t="s">
        <v>468</v>
      </c>
      <c r="BD129" s="30" t="s">
        <v>451</v>
      </c>
      <c r="BF129" s="30" t="s">
        <v>467</v>
      </c>
      <c r="BG129" s="30" t="s">
        <v>206</v>
      </c>
      <c r="BI129" s="30" t="s">
        <v>689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580</v>
      </c>
      <c r="C130" s="30" t="s">
        <v>451</v>
      </c>
      <c r="D130" s="30" t="s">
        <v>129</v>
      </c>
      <c r="E130" s="36" t="s">
        <v>1468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452</v>
      </c>
      <c r="I130" s="30" t="s">
        <v>132</v>
      </c>
      <c r="J130" s="30" t="s">
        <v>473</v>
      </c>
      <c r="M130" s="30" t="s">
        <v>136</v>
      </c>
      <c r="O130" s="31"/>
      <c r="P130" s="30"/>
      <c r="T130" s="37"/>
      <c r="U130" s="30"/>
      <c r="V130" s="31"/>
      <c r="W130" s="31" t="s">
        <v>490</v>
      </c>
      <c r="X130" s="31"/>
      <c r="Y130" s="42" t="s">
        <v>760</v>
      </c>
      <c r="Z130" s="42"/>
      <c r="AA130" s="42"/>
      <c r="AB130" s="30"/>
      <c r="AC130" s="30"/>
      <c r="AE130" s="30" t="s">
        <v>453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473</v>
      </c>
      <c r="BC130" s="30" t="s">
        <v>468</v>
      </c>
      <c r="BD130" s="30" t="s">
        <v>451</v>
      </c>
      <c r="BF130" s="30" t="s">
        <v>467</v>
      </c>
      <c r="BG130" s="30" t="s">
        <v>206</v>
      </c>
      <c r="BI130" s="30" t="s">
        <v>689</v>
      </c>
      <c r="BL130" s="30" t="s">
        <v>1276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1363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1363</v>
      </c>
      <c r="BA131" s="30" t="str">
        <f>IF(ISBLANK(Table2[[#This Row],[device_model]]), "", Table2[[#This Row],[device_suggested_area]])</f>
        <v>Home</v>
      </c>
      <c r="BB131" s="30" t="s">
        <v>1367</v>
      </c>
      <c r="BC131" s="30" t="s">
        <v>1364</v>
      </c>
      <c r="BD131" s="30" t="s">
        <v>1363</v>
      </c>
      <c r="BF131" s="30" t="s">
        <v>1365</v>
      </c>
      <c r="BG131" s="30" t="s">
        <v>165</v>
      </c>
      <c r="BK131" s="30" t="s">
        <v>1300</v>
      </c>
      <c r="BL131" s="46" t="s">
        <v>1366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441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452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411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726</v>
      </c>
      <c r="M133" s="30" t="s">
        <v>136</v>
      </c>
      <c r="O133" s="31" t="s">
        <v>792</v>
      </c>
      <c r="P133" s="30" t="s">
        <v>165</v>
      </c>
      <c r="Q133" s="30" t="s">
        <v>764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777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378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524</v>
      </c>
      <c r="K134" s="30" t="s">
        <v>889</v>
      </c>
      <c r="M134" s="30" t="s">
        <v>136</v>
      </c>
      <c r="O134" s="31"/>
      <c r="P134" s="30"/>
      <c r="T134" s="37"/>
      <c r="U134" s="30"/>
      <c r="V134" s="31"/>
      <c r="W134" s="31" t="s">
        <v>491</v>
      </c>
      <c r="X134" s="47">
        <v>100</v>
      </c>
      <c r="Y134" s="42" t="s">
        <v>762</v>
      </c>
      <c r="Z134" s="42" t="s">
        <v>976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524</v>
      </c>
      <c r="BC134" s="30" t="s">
        <v>566</v>
      </c>
      <c r="BD134" s="30" t="s">
        <v>378</v>
      </c>
      <c r="BE134" s="30" t="s">
        <v>1464</v>
      </c>
      <c r="BF134" s="30" t="s">
        <v>563</v>
      </c>
      <c r="BG134" s="30" t="s">
        <v>130</v>
      </c>
      <c r="BI134" s="30" t="s">
        <v>689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378</v>
      </c>
      <c r="D135" s="30" t="s">
        <v>137</v>
      </c>
      <c r="E135" s="30" t="s">
        <v>928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792</v>
      </c>
      <c r="P135" s="30" t="s">
        <v>165</v>
      </c>
      <c r="Q135" s="30" t="s">
        <v>764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490</v>
      </c>
      <c r="X135" s="47">
        <v>100</v>
      </c>
      <c r="Y135" s="42" t="s">
        <v>760</v>
      </c>
      <c r="Z135" s="42" t="s">
        <v>976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999</v>
      </c>
      <c r="BC135" s="30" t="s">
        <v>566</v>
      </c>
      <c r="BD135" s="30" t="s">
        <v>378</v>
      </c>
      <c r="BE135" s="30" t="s">
        <v>1464</v>
      </c>
      <c r="BF135" s="30" t="s">
        <v>563</v>
      </c>
      <c r="BG135" s="30" t="s">
        <v>130</v>
      </c>
      <c r="BI135" s="30" t="s">
        <v>689</v>
      </c>
      <c r="BL135" s="30" t="s">
        <v>497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580</v>
      </c>
      <c r="C136" s="30" t="s">
        <v>378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524</v>
      </c>
      <c r="K136" s="30" t="s">
        <v>889</v>
      </c>
      <c r="M136" s="30" t="s">
        <v>136</v>
      </c>
      <c r="O136" s="31"/>
      <c r="P136" s="30"/>
      <c r="T136" s="37"/>
      <c r="U136" s="30"/>
      <c r="V136" s="31"/>
      <c r="W136" s="31" t="s">
        <v>491</v>
      </c>
      <c r="X136" s="47">
        <v>101</v>
      </c>
      <c r="Y136" s="42" t="s">
        <v>762</v>
      </c>
      <c r="Z136" s="42" t="s">
        <v>976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524</v>
      </c>
      <c r="BC136" s="30" t="s">
        <v>566</v>
      </c>
      <c r="BD136" s="30" t="s">
        <v>378</v>
      </c>
      <c r="BE136" s="30" t="s">
        <v>1464</v>
      </c>
      <c r="BF136" s="30" t="s">
        <v>563</v>
      </c>
      <c r="BG136" s="30" t="s">
        <v>127</v>
      </c>
      <c r="BI136" s="30" t="s">
        <v>689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580</v>
      </c>
      <c r="C137" s="30" t="s">
        <v>378</v>
      </c>
      <c r="D137" s="30" t="s">
        <v>137</v>
      </c>
      <c r="E137" s="30" t="s">
        <v>929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792</v>
      </c>
      <c r="P137" s="30" t="s">
        <v>165</v>
      </c>
      <c r="Q137" s="30" t="s">
        <v>764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490</v>
      </c>
      <c r="X137" s="47">
        <v>101</v>
      </c>
      <c r="Y137" s="42" t="s">
        <v>760</v>
      </c>
      <c r="Z137" s="42" t="s">
        <v>976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999</v>
      </c>
      <c r="BC137" s="30" t="s">
        <v>566</v>
      </c>
      <c r="BD137" s="30" t="s">
        <v>378</v>
      </c>
      <c r="BE137" s="30" t="s">
        <v>1464</v>
      </c>
      <c r="BF137" s="30" t="s">
        <v>563</v>
      </c>
      <c r="BG137" s="30" t="s">
        <v>127</v>
      </c>
      <c r="BI137" s="30" t="s">
        <v>689</v>
      </c>
      <c r="BL137" s="30" t="s">
        <v>522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412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726</v>
      </c>
      <c r="M138" s="30" t="s">
        <v>136</v>
      </c>
      <c r="O138" s="31" t="s">
        <v>792</v>
      </c>
      <c r="P138" s="30" t="s">
        <v>165</v>
      </c>
      <c r="Q138" s="30" t="s">
        <v>764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778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378</v>
      </c>
      <c r="D139" s="30" t="s">
        <v>137</v>
      </c>
      <c r="E139" s="30" t="s">
        <v>410</v>
      </c>
      <c r="F139" s="36" t="str">
        <f>IF(ISBLANK(Table2[[#This Row],[unique_id]]), "", PROPER(SUBSTITUTE(Table2[[#This Row],[unique_id]], "_", " ")))</f>
        <v>Edwin Night Light</v>
      </c>
      <c r="G139" s="30" t="s">
        <v>409</v>
      </c>
      <c r="H139" s="30" t="s">
        <v>139</v>
      </c>
      <c r="I139" s="30" t="s">
        <v>132</v>
      </c>
      <c r="J139" s="30" t="s">
        <v>525</v>
      </c>
      <c r="K139" s="30" t="s">
        <v>886</v>
      </c>
      <c r="M139" s="30" t="s">
        <v>136</v>
      </c>
      <c r="O139" s="31"/>
      <c r="P139" s="30"/>
      <c r="T139" s="37"/>
      <c r="U139" s="30"/>
      <c r="V139" s="31"/>
      <c r="W139" s="31" t="s">
        <v>491</v>
      </c>
      <c r="X139" s="47">
        <v>102</v>
      </c>
      <c r="Y139" s="42" t="s">
        <v>762</v>
      </c>
      <c r="Z139" s="42" t="s">
        <v>1403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525</v>
      </c>
      <c r="BC139" s="30" t="s">
        <v>488</v>
      </c>
      <c r="BD139" s="30" t="s">
        <v>378</v>
      </c>
      <c r="BE139" s="30" t="s">
        <v>1464</v>
      </c>
      <c r="BF139" s="30" t="s">
        <v>489</v>
      </c>
      <c r="BG139" s="30" t="s">
        <v>127</v>
      </c>
      <c r="BI139" s="30" t="s">
        <v>689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378</v>
      </c>
      <c r="D140" s="30" t="s">
        <v>137</v>
      </c>
      <c r="E140" s="30" t="s">
        <v>930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792</v>
      </c>
      <c r="P140" s="30" t="s">
        <v>165</v>
      </c>
      <c r="Q140" s="30" t="s">
        <v>764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490</v>
      </c>
      <c r="X140" s="47">
        <v>102</v>
      </c>
      <c r="Y140" s="42" t="s">
        <v>760</v>
      </c>
      <c r="Z140" s="42" t="s">
        <v>1403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1000</v>
      </c>
      <c r="BC140" s="30" t="s">
        <v>488</v>
      </c>
      <c r="BD140" s="30" t="s">
        <v>378</v>
      </c>
      <c r="BE140" s="30" t="s">
        <v>1464</v>
      </c>
      <c r="BF140" s="30" t="s">
        <v>489</v>
      </c>
      <c r="BG140" s="30" t="s">
        <v>127</v>
      </c>
      <c r="BI140" s="30" t="s">
        <v>689</v>
      </c>
      <c r="BL140" s="30" t="s">
        <v>498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378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728</v>
      </c>
      <c r="K141" s="30" t="s">
        <v>922</v>
      </c>
      <c r="M141" s="30" t="s">
        <v>136</v>
      </c>
      <c r="O141" s="31"/>
      <c r="P141" s="30"/>
      <c r="T141" s="37"/>
      <c r="U141" s="30"/>
      <c r="V141" s="31"/>
      <c r="W141" s="31" t="s">
        <v>491</v>
      </c>
      <c r="X141" s="47">
        <v>103</v>
      </c>
      <c r="Y141" s="42" t="s">
        <v>762</v>
      </c>
      <c r="Z141" s="42" t="s">
        <v>977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1001</v>
      </c>
      <c r="BC141" s="30" t="s">
        <v>488</v>
      </c>
      <c r="BD141" s="30" t="s">
        <v>378</v>
      </c>
      <c r="BE141" s="30" t="s">
        <v>1464</v>
      </c>
      <c r="BF141" s="30" t="s">
        <v>489</v>
      </c>
      <c r="BG141" s="30" t="s">
        <v>405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378</v>
      </c>
      <c r="D142" s="30" t="s">
        <v>137</v>
      </c>
      <c r="E142" s="30" t="s">
        <v>931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792</v>
      </c>
      <c r="P142" s="30" t="s">
        <v>165</v>
      </c>
      <c r="Q142" s="30" t="s">
        <v>764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490</v>
      </c>
      <c r="X142" s="47">
        <v>103</v>
      </c>
      <c r="Y142" s="42" t="s">
        <v>760</v>
      </c>
      <c r="Z142" s="42" t="s">
        <v>977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1002</v>
      </c>
      <c r="BC142" s="30" t="s">
        <v>488</v>
      </c>
      <c r="BD142" s="30" t="s">
        <v>378</v>
      </c>
      <c r="BE142" s="30" t="s">
        <v>1464</v>
      </c>
      <c r="BF142" s="30" t="s">
        <v>489</v>
      </c>
      <c r="BG142" s="30" t="s">
        <v>405</v>
      </c>
      <c r="BL142" s="30" t="s">
        <v>499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378</v>
      </c>
      <c r="D143" s="30" t="s">
        <v>137</v>
      </c>
      <c r="E143" s="30" t="s">
        <v>932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792</v>
      </c>
      <c r="P143" s="30" t="s">
        <v>165</v>
      </c>
      <c r="Q143" s="30" t="s">
        <v>764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490</v>
      </c>
      <c r="X143" s="47">
        <v>103</v>
      </c>
      <c r="Y143" s="42" t="s">
        <v>760</v>
      </c>
      <c r="Z143" s="42" t="s">
        <v>977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1003</v>
      </c>
      <c r="BC143" s="30" t="s">
        <v>488</v>
      </c>
      <c r="BD143" s="30" t="s">
        <v>378</v>
      </c>
      <c r="BE143" s="30" t="s">
        <v>1464</v>
      </c>
      <c r="BF143" s="30" t="s">
        <v>489</v>
      </c>
      <c r="BG143" s="30" t="s">
        <v>405</v>
      </c>
      <c r="BL143" s="30" t="s">
        <v>500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378</v>
      </c>
      <c r="D144" s="30" t="s">
        <v>137</v>
      </c>
      <c r="E144" s="30" t="s">
        <v>933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792</v>
      </c>
      <c r="P144" s="30" t="s">
        <v>165</v>
      </c>
      <c r="Q144" s="30" t="s">
        <v>764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490</v>
      </c>
      <c r="X144" s="47">
        <v>103</v>
      </c>
      <c r="Y144" s="42" t="s">
        <v>760</v>
      </c>
      <c r="Z144" s="42" t="s">
        <v>977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1004</v>
      </c>
      <c r="BC144" s="30" t="s">
        <v>488</v>
      </c>
      <c r="BD144" s="30" t="s">
        <v>378</v>
      </c>
      <c r="BE144" s="30" t="s">
        <v>1464</v>
      </c>
      <c r="BF144" s="30" t="s">
        <v>489</v>
      </c>
      <c r="BG144" s="30" t="s">
        <v>405</v>
      </c>
      <c r="BL144" s="30" t="s">
        <v>501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378</v>
      </c>
      <c r="D145" s="30" t="s">
        <v>137</v>
      </c>
      <c r="E145" s="30" t="s">
        <v>934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792</v>
      </c>
      <c r="P145" s="30" t="s">
        <v>165</v>
      </c>
      <c r="Q145" s="30" t="s">
        <v>764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490</v>
      </c>
      <c r="X145" s="47">
        <v>103</v>
      </c>
      <c r="Y145" s="42" t="s">
        <v>760</v>
      </c>
      <c r="Z145" s="42" t="s">
        <v>977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1005</v>
      </c>
      <c r="BC145" s="30" t="s">
        <v>488</v>
      </c>
      <c r="BD145" s="30" t="s">
        <v>378</v>
      </c>
      <c r="BE145" s="30" t="s">
        <v>1464</v>
      </c>
      <c r="BF145" s="30" t="s">
        <v>489</v>
      </c>
      <c r="BG145" s="30" t="s">
        <v>405</v>
      </c>
      <c r="BL145" s="30" t="s">
        <v>502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451</v>
      </c>
      <c r="D146" s="30" t="s">
        <v>137</v>
      </c>
      <c r="E146" s="30" t="s">
        <v>857</v>
      </c>
      <c r="F146" s="36" t="str">
        <f>IF(ISBLANK(Table2[[#This Row],[unique_id]]), "", PROPER(SUBSTITUTE(Table2[[#This Row],[unique_id]], "_", " ")))</f>
        <v>Hallway Sconces</v>
      </c>
      <c r="G146" s="30" t="s">
        <v>859</v>
      </c>
      <c r="H146" s="30" t="s">
        <v>139</v>
      </c>
      <c r="I146" s="30" t="s">
        <v>132</v>
      </c>
      <c r="J146" s="30" t="s">
        <v>849</v>
      </c>
      <c r="K146" s="30" t="s">
        <v>922</v>
      </c>
      <c r="M146" s="30" t="s">
        <v>136</v>
      </c>
      <c r="O146" s="31"/>
      <c r="P146" s="30"/>
      <c r="T146" s="37"/>
      <c r="U146" s="30"/>
      <c r="V146" s="31"/>
      <c r="W146" s="31" t="s">
        <v>491</v>
      </c>
      <c r="X146" s="47">
        <v>120</v>
      </c>
      <c r="Y146" s="42" t="s">
        <v>762</v>
      </c>
      <c r="Z146" s="31" t="s">
        <v>978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849</v>
      </c>
      <c r="BC146" s="30" t="s">
        <v>852</v>
      </c>
      <c r="BD146" s="30" t="s">
        <v>451</v>
      </c>
      <c r="BF146" s="30" t="s">
        <v>850</v>
      </c>
      <c r="BG146" s="30" t="s">
        <v>405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451</v>
      </c>
      <c r="D147" s="30" t="s">
        <v>137</v>
      </c>
      <c r="E147" s="30" t="s">
        <v>858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792</v>
      </c>
      <c r="P147" s="30" t="s">
        <v>165</v>
      </c>
      <c r="Q147" s="30" t="s">
        <v>764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490</v>
      </c>
      <c r="X147" s="47">
        <v>120</v>
      </c>
      <c r="Y147" s="42" t="s">
        <v>760</v>
      </c>
      <c r="Z147" s="31" t="s">
        <v>978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988</v>
      </c>
      <c r="BC147" s="30" t="s">
        <v>852</v>
      </c>
      <c r="BD147" s="30" t="s">
        <v>451</v>
      </c>
      <c r="BF147" s="30" t="s">
        <v>850</v>
      </c>
      <c r="BG147" s="30" t="s">
        <v>405</v>
      </c>
      <c r="BL147" s="30" t="s">
        <v>860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451</v>
      </c>
      <c r="D148" s="30" t="s">
        <v>137</v>
      </c>
      <c r="E148" s="30" t="s">
        <v>1255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792</v>
      </c>
      <c r="P148" s="30" t="s">
        <v>165</v>
      </c>
      <c r="Q148" s="30" t="s">
        <v>764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490</v>
      </c>
      <c r="X148" s="47">
        <v>120</v>
      </c>
      <c r="Y148" s="42" t="s">
        <v>760</v>
      </c>
      <c r="Z148" s="31" t="s">
        <v>978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989</v>
      </c>
      <c r="BC148" s="30" t="s">
        <v>852</v>
      </c>
      <c r="BD148" s="30" t="s">
        <v>451</v>
      </c>
      <c r="BF148" s="30" t="s">
        <v>850</v>
      </c>
      <c r="BG148" s="30" t="s">
        <v>405</v>
      </c>
      <c r="BL148" s="30" t="s">
        <v>861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378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728</v>
      </c>
      <c r="K149" s="30" t="s">
        <v>885</v>
      </c>
      <c r="M149" s="30" t="s">
        <v>136</v>
      </c>
      <c r="O149" s="31"/>
      <c r="P149" s="30"/>
      <c r="T149" s="37"/>
      <c r="U149" s="30"/>
      <c r="V149" s="31"/>
      <c r="W149" s="31" t="s">
        <v>491</v>
      </c>
      <c r="X149" s="47">
        <v>104</v>
      </c>
      <c r="Y149" s="42" t="s">
        <v>762</v>
      </c>
      <c r="Z149" s="42" t="s">
        <v>976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1001</v>
      </c>
      <c r="BC149" s="30" t="s">
        <v>488</v>
      </c>
      <c r="BD149" s="30" t="s">
        <v>378</v>
      </c>
      <c r="BE149" s="30" t="s">
        <v>1464</v>
      </c>
      <c r="BF149" s="30" t="s">
        <v>489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378</v>
      </c>
      <c r="D150" s="30" t="s">
        <v>137</v>
      </c>
      <c r="E150" s="30" t="s">
        <v>935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792</v>
      </c>
      <c r="P150" s="30" t="s">
        <v>165</v>
      </c>
      <c r="Q150" s="30" t="s">
        <v>764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490</v>
      </c>
      <c r="X150" s="47">
        <v>104</v>
      </c>
      <c r="Y150" s="42" t="s">
        <v>760</v>
      </c>
      <c r="Z150" s="42" t="s">
        <v>976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1002</v>
      </c>
      <c r="BC150" s="30" t="s">
        <v>488</v>
      </c>
      <c r="BD150" s="30" t="s">
        <v>378</v>
      </c>
      <c r="BE150" s="30" t="s">
        <v>1464</v>
      </c>
      <c r="BF150" s="30" t="s">
        <v>489</v>
      </c>
      <c r="BG150" s="30" t="s">
        <v>193</v>
      </c>
      <c r="BL150" s="30" t="s">
        <v>503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378</v>
      </c>
      <c r="D151" s="30" t="s">
        <v>137</v>
      </c>
      <c r="E151" s="30" t="s">
        <v>936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792</v>
      </c>
      <c r="P151" s="30" t="s">
        <v>165</v>
      </c>
      <c r="Q151" s="30" t="s">
        <v>764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490</v>
      </c>
      <c r="X151" s="47">
        <v>104</v>
      </c>
      <c r="Y151" s="42" t="s">
        <v>760</v>
      </c>
      <c r="Z151" s="42" t="s">
        <v>976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1003</v>
      </c>
      <c r="BC151" s="30" t="s">
        <v>488</v>
      </c>
      <c r="BD151" s="30" t="s">
        <v>378</v>
      </c>
      <c r="BE151" s="30" t="s">
        <v>1464</v>
      </c>
      <c r="BF151" s="30" t="s">
        <v>489</v>
      </c>
      <c r="BG151" s="30" t="s">
        <v>193</v>
      </c>
      <c r="BL151" s="30" t="s">
        <v>504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378</v>
      </c>
      <c r="D152" s="30" t="s">
        <v>137</v>
      </c>
      <c r="E152" s="30" t="s">
        <v>937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792</v>
      </c>
      <c r="P152" s="30" t="s">
        <v>165</v>
      </c>
      <c r="Q152" s="30" t="s">
        <v>764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490</v>
      </c>
      <c r="X152" s="47">
        <v>104</v>
      </c>
      <c r="Y152" s="42" t="s">
        <v>760</v>
      </c>
      <c r="Z152" s="42" t="s">
        <v>976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1004</v>
      </c>
      <c r="BC152" s="30" t="s">
        <v>488</v>
      </c>
      <c r="BD152" s="30" t="s">
        <v>378</v>
      </c>
      <c r="BE152" s="30" t="s">
        <v>1464</v>
      </c>
      <c r="BF152" s="30" t="s">
        <v>489</v>
      </c>
      <c r="BG152" s="30" t="s">
        <v>193</v>
      </c>
      <c r="BL152" s="30" t="s">
        <v>505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378</v>
      </c>
      <c r="D153" s="30" t="s">
        <v>137</v>
      </c>
      <c r="E153" s="30" t="s">
        <v>938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792</v>
      </c>
      <c r="P153" s="30" t="s">
        <v>165</v>
      </c>
      <c r="Q153" s="30" t="s">
        <v>764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490</v>
      </c>
      <c r="X153" s="47">
        <v>104</v>
      </c>
      <c r="Y153" s="42" t="s">
        <v>760</v>
      </c>
      <c r="Z153" s="42" t="s">
        <v>976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1005</v>
      </c>
      <c r="BC153" s="30" t="s">
        <v>488</v>
      </c>
      <c r="BD153" s="30" t="s">
        <v>378</v>
      </c>
      <c r="BE153" s="30" t="s">
        <v>1464</v>
      </c>
      <c r="BF153" s="30" t="s">
        <v>489</v>
      </c>
      <c r="BG153" s="30" t="s">
        <v>193</v>
      </c>
      <c r="BL153" s="30" t="s">
        <v>506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378</v>
      </c>
      <c r="D154" s="30" t="s">
        <v>137</v>
      </c>
      <c r="E154" s="30" t="s">
        <v>939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792</v>
      </c>
      <c r="P154" s="30" t="s">
        <v>165</v>
      </c>
      <c r="Q154" s="30" t="s">
        <v>764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490</v>
      </c>
      <c r="X154" s="47">
        <v>104</v>
      </c>
      <c r="Y154" s="42" t="s">
        <v>760</v>
      </c>
      <c r="Z154" s="42" t="s">
        <v>976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1006</v>
      </c>
      <c r="BC154" s="30" t="s">
        <v>488</v>
      </c>
      <c r="BD154" s="30" t="s">
        <v>378</v>
      </c>
      <c r="BE154" s="30" t="s">
        <v>1464</v>
      </c>
      <c r="BF154" s="30" t="s">
        <v>489</v>
      </c>
      <c r="BG154" s="30" t="s">
        <v>193</v>
      </c>
      <c r="BL154" s="30" t="s">
        <v>507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378</v>
      </c>
      <c r="D155" s="30" t="s">
        <v>137</v>
      </c>
      <c r="E155" s="30" t="s">
        <v>940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792</v>
      </c>
      <c r="P155" s="30" t="s">
        <v>165</v>
      </c>
      <c r="Q155" s="30" t="s">
        <v>764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490</v>
      </c>
      <c r="X155" s="47">
        <v>104</v>
      </c>
      <c r="Y155" s="42" t="s">
        <v>760</v>
      </c>
      <c r="Z155" s="42" t="s">
        <v>976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1007</v>
      </c>
      <c r="BC155" s="30" t="s">
        <v>488</v>
      </c>
      <c r="BD155" s="30" t="s">
        <v>378</v>
      </c>
      <c r="BE155" s="30" t="s">
        <v>1464</v>
      </c>
      <c r="BF155" s="30" t="s">
        <v>489</v>
      </c>
      <c r="BG155" s="30" t="s">
        <v>193</v>
      </c>
      <c r="BL155" s="30" t="s">
        <v>508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378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728</v>
      </c>
      <c r="K156" s="30" t="s">
        <v>885</v>
      </c>
      <c r="M156" s="30" t="s">
        <v>136</v>
      </c>
      <c r="O156" s="31"/>
      <c r="P156" s="30"/>
      <c r="T156" s="37"/>
      <c r="U156" s="30"/>
      <c r="V156" s="31"/>
      <c r="W156" s="31" t="s">
        <v>491</v>
      </c>
      <c r="X156" s="47">
        <v>105</v>
      </c>
      <c r="Y156" s="42" t="s">
        <v>762</v>
      </c>
      <c r="Z156" s="42" t="s">
        <v>976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1001</v>
      </c>
      <c r="BC156" s="30" t="s">
        <v>488</v>
      </c>
      <c r="BD156" s="30" t="s">
        <v>378</v>
      </c>
      <c r="BE156" s="30" t="s">
        <v>1464</v>
      </c>
      <c r="BF156" s="30" t="s">
        <v>489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378</v>
      </c>
      <c r="D157" s="30" t="s">
        <v>137</v>
      </c>
      <c r="E157" s="30" t="s">
        <v>941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792</v>
      </c>
      <c r="P157" s="30" t="s">
        <v>165</v>
      </c>
      <c r="Q157" s="30" t="s">
        <v>764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490</v>
      </c>
      <c r="X157" s="47">
        <v>105</v>
      </c>
      <c r="Y157" s="42" t="s">
        <v>760</v>
      </c>
      <c r="Z157" s="42" t="s">
        <v>976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1002</v>
      </c>
      <c r="BC157" s="30" t="s">
        <v>488</v>
      </c>
      <c r="BD157" s="30" t="s">
        <v>378</v>
      </c>
      <c r="BE157" s="30" t="s">
        <v>1464</v>
      </c>
      <c r="BF157" s="30" t="s">
        <v>489</v>
      </c>
      <c r="BG157" s="30" t="s">
        <v>194</v>
      </c>
      <c r="BL157" s="30" t="s">
        <v>509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378</v>
      </c>
      <c r="D158" s="30" t="s">
        <v>137</v>
      </c>
      <c r="E158" s="30" t="s">
        <v>942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792</v>
      </c>
      <c r="P158" s="30" t="s">
        <v>165</v>
      </c>
      <c r="Q158" s="30" t="s">
        <v>764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490</v>
      </c>
      <c r="X158" s="47">
        <v>105</v>
      </c>
      <c r="Y158" s="42" t="s">
        <v>760</v>
      </c>
      <c r="Z158" s="42" t="s">
        <v>976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1003</v>
      </c>
      <c r="BC158" s="30" t="s">
        <v>488</v>
      </c>
      <c r="BD158" s="30" t="s">
        <v>378</v>
      </c>
      <c r="BE158" s="30" t="s">
        <v>1464</v>
      </c>
      <c r="BF158" s="30" t="s">
        <v>489</v>
      </c>
      <c r="BG158" s="30" t="s">
        <v>194</v>
      </c>
      <c r="BL158" s="30" t="s">
        <v>510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378</v>
      </c>
      <c r="D159" s="30" t="s">
        <v>137</v>
      </c>
      <c r="E159" s="30" t="s">
        <v>943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792</v>
      </c>
      <c r="P159" s="30" t="s">
        <v>165</v>
      </c>
      <c r="Q159" s="30" t="s">
        <v>764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490</v>
      </c>
      <c r="X159" s="47">
        <v>105</v>
      </c>
      <c r="Y159" s="42" t="s">
        <v>760</v>
      </c>
      <c r="Z159" s="42" t="s">
        <v>976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1004</v>
      </c>
      <c r="BC159" s="30" t="s">
        <v>488</v>
      </c>
      <c r="BD159" s="30" t="s">
        <v>378</v>
      </c>
      <c r="BE159" s="30" t="s">
        <v>1464</v>
      </c>
      <c r="BF159" s="30" t="s">
        <v>489</v>
      </c>
      <c r="BG159" s="30" t="s">
        <v>194</v>
      </c>
      <c r="BL159" s="30" t="s">
        <v>511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414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729</v>
      </c>
      <c r="M160" s="30" t="s">
        <v>136</v>
      </c>
      <c r="O160" s="31" t="s">
        <v>792</v>
      </c>
      <c r="P160" s="30" t="s">
        <v>165</v>
      </c>
      <c r="Q160" s="30" t="s">
        <v>764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779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689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378</v>
      </c>
      <c r="D161" s="30" t="s">
        <v>137</v>
      </c>
      <c r="E161" s="30" t="s">
        <v>556</v>
      </c>
      <c r="F161" s="36" t="str">
        <f>IF(ISBLANK(Table2[[#This Row],[unique_id]]), "", PROPER(SUBSTITUTE(Table2[[#This Row],[unique_id]], "_", " ")))</f>
        <v>Lounge Lamp</v>
      </c>
      <c r="G161" s="30" t="s">
        <v>557</v>
      </c>
      <c r="H161" s="30" t="s">
        <v>139</v>
      </c>
      <c r="I161" s="30" t="s">
        <v>132</v>
      </c>
      <c r="J161" s="30" t="s">
        <v>524</v>
      </c>
      <c r="K161" s="30" t="s">
        <v>889</v>
      </c>
      <c r="M161" s="30" t="s">
        <v>136</v>
      </c>
      <c r="O161" s="31"/>
      <c r="P161" s="30"/>
      <c r="T161" s="37"/>
      <c r="U161" s="30"/>
      <c r="V161" s="31"/>
      <c r="W161" s="31" t="s">
        <v>491</v>
      </c>
      <c r="X161" s="47">
        <v>114</v>
      </c>
      <c r="Y161" s="42" t="s">
        <v>762</v>
      </c>
      <c r="Z161" s="42" t="s">
        <v>976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524</v>
      </c>
      <c r="BC161" s="30" t="s">
        <v>488</v>
      </c>
      <c r="BD161" s="30" t="s">
        <v>378</v>
      </c>
      <c r="BE161" s="30" t="s">
        <v>1464</v>
      </c>
      <c r="BF161" s="30" t="s">
        <v>489</v>
      </c>
      <c r="BG161" s="30" t="s">
        <v>194</v>
      </c>
      <c r="BI161" s="30" t="s">
        <v>689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378</v>
      </c>
      <c r="D162" s="30" t="s">
        <v>137</v>
      </c>
      <c r="E162" s="30" t="s">
        <v>944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792</v>
      </c>
      <c r="P162" s="30" t="s">
        <v>165</v>
      </c>
      <c r="Q162" s="30" t="s">
        <v>764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490</v>
      </c>
      <c r="X162" s="47">
        <v>114</v>
      </c>
      <c r="Y162" s="42" t="s">
        <v>760</v>
      </c>
      <c r="Z162" s="42" t="s">
        <v>1403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999</v>
      </c>
      <c r="BC162" s="30" t="s">
        <v>488</v>
      </c>
      <c r="BD162" s="30" t="s">
        <v>378</v>
      </c>
      <c r="BE162" s="30" t="s">
        <v>1464</v>
      </c>
      <c r="BF162" s="30" t="s">
        <v>489</v>
      </c>
      <c r="BG162" s="30" t="s">
        <v>194</v>
      </c>
      <c r="BI162" s="30" t="s">
        <v>689</v>
      </c>
      <c r="BL162" s="30" t="s">
        <v>558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3" spans="1:66" ht="16" customHeight="1" x14ac:dyDescent="0.2">
      <c r="A163" s="30">
        <v>1630</v>
      </c>
      <c r="B163" s="30" t="s">
        <v>26</v>
      </c>
      <c r="C163" s="30" t="s">
        <v>378</v>
      </c>
      <c r="D163" s="30" t="s">
        <v>137</v>
      </c>
      <c r="E163" s="30" t="s">
        <v>299</v>
      </c>
      <c r="F163" s="36" t="str">
        <f>IF(ISBLANK(Table2[[#This Row],[unique_id]]), "", PROPER(SUBSTITUTE(Table2[[#This Row],[unique_id]], "_", " ")))</f>
        <v>Parents Main</v>
      </c>
      <c r="G163" s="30" t="s">
        <v>196</v>
      </c>
      <c r="H163" s="30" t="s">
        <v>139</v>
      </c>
      <c r="I163" s="30" t="s">
        <v>132</v>
      </c>
      <c r="J163" s="39" t="s">
        <v>728</v>
      </c>
      <c r="K163" s="30" t="s">
        <v>888</v>
      </c>
      <c r="M163" s="30" t="s">
        <v>136</v>
      </c>
      <c r="O163" s="31"/>
      <c r="P163" s="30"/>
      <c r="T163" s="37"/>
      <c r="U163" s="30"/>
      <c r="V163" s="31"/>
      <c r="W163" s="31" t="s">
        <v>491</v>
      </c>
      <c r="X163" s="47">
        <v>106</v>
      </c>
      <c r="Y163" s="42" t="s">
        <v>762</v>
      </c>
      <c r="Z163" s="42" t="s">
        <v>977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Parents</v>
      </c>
      <c r="BA163" s="30" t="str">
        <f>IF(ISBLANK(Table2[[#This Row],[device_model]]), "", Table2[[#This Row],[device_suggested_area]])</f>
        <v>Parents</v>
      </c>
      <c r="BB163" s="30" t="s">
        <v>1001</v>
      </c>
      <c r="BC163" s="30" t="s">
        <v>488</v>
      </c>
      <c r="BD163" s="30" t="s">
        <v>378</v>
      </c>
      <c r="BE163" s="30" t="s">
        <v>1464</v>
      </c>
      <c r="BF163" s="30" t="s">
        <v>489</v>
      </c>
      <c r="BG163" s="30" t="s">
        <v>192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378</v>
      </c>
      <c r="D164" s="30" t="s">
        <v>137</v>
      </c>
      <c r="E164" s="30" t="s">
        <v>945</v>
      </c>
      <c r="F164" s="36" t="str">
        <f>IF(ISBLANK(Table2[[#This Row],[unique_id]]), "", PROPER(SUBSTITUTE(Table2[[#This Row],[unique_id]], "_", " ")))</f>
        <v>Parents Main Bulb 1</v>
      </c>
      <c r="H164" s="30" t="s">
        <v>139</v>
      </c>
      <c r="O164" s="31" t="s">
        <v>792</v>
      </c>
      <c r="P164" s="30" t="s">
        <v>165</v>
      </c>
      <c r="Q164" s="30" t="s">
        <v>764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Parents Lights</v>
      </c>
      <c r="T164" s="37"/>
      <c r="U164" s="30"/>
      <c r="V164" s="31"/>
      <c r="W164" s="31" t="s">
        <v>490</v>
      </c>
      <c r="X164" s="47">
        <v>106</v>
      </c>
      <c r="Y164" s="42" t="s">
        <v>760</v>
      </c>
      <c r="Z164" s="42" t="s">
        <v>977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Parents</v>
      </c>
      <c r="BA164" s="30" t="str">
        <f>IF(ISBLANK(Table2[[#This Row],[device_model]]), "", Table2[[#This Row],[device_suggested_area]])</f>
        <v>Parents</v>
      </c>
      <c r="BB164" s="30" t="s">
        <v>1002</v>
      </c>
      <c r="BC164" s="30" t="s">
        <v>488</v>
      </c>
      <c r="BD164" s="30" t="s">
        <v>378</v>
      </c>
      <c r="BE164" s="30" t="s">
        <v>1464</v>
      </c>
      <c r="BF164" s="30" t="s">
        <v>489</v>
      </c>
      <c r="BG164" s="30" t="s">
        <v>192</v>
      </c>
      <c r="BL164" s="30" t="s">
        <v>487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5" spans="1:66" ht="16" customHeight="1" x14ac:dyDescent="0.2">
      <c r="A165" s="30">
        <v>1632</v>
      </c>
      <c r="B165" s="30" t="s">
        <v>26</v>
      </c>
      <c r="C165" s="30" t="s">
        <v>378</v>
      </c>
      <c r="D165" s="30" t="s">
        <v>137</v>
      </c>
      <c r="E165" s="30" t="s">
        <v>946</v>
      </c>
      <c r="F165" s="36" t="str">
        <f>IF(ISBLANK(Table2[[#This Row],[unique_id]]), "", PROPER(SUBSTITUTE(Table2[[#This Row],[unique_id]], "_", " ")))</f>
        <v>Parents Main Bulb 2</v>
      </c>
      <c r="H165" s="30" t="s">
        <v>139</v>
      </c>
      <c r="O165" s="31" t="s">
        <v>792</v>
      </c>
      <c r="P165" s="30" t="s">
        <v>165</v>
      </c>
      <c r="Q165" s="30" t="s">
        <v>764</v>
      </c>
      <c r="R165" s="30" t="str">
        <f>Table2[[#This Row],[entity_domain]]</f>
        <v>Lights</v>
      </c>
      <c r="S165" s="30" t="str">
        <f>_xlfn.CONCAT( Table2[[#This Row],[device_suggested_area]], " ",Table2[[#This Row],[powercalc_group_3]])</f>
        <v>Parents Lights</v>
      </c>
      <c r="T165" s="37"/>
      <c r="U165" s="30"/>
      <c r="V165" s="31"/>
      <c r="W165" s="31" t="s">
        <v>490</v>
      </c>
      <c r="X165" s="47">
        <v>106</v>
      </c>
      <c r="Y165" s="42" t="s">
        <v>760</v>
      </c>
      <c r="Z165" s="42" t="s">
        <v>977</v>
      </c>
      <c r="AA165" s="42"/>
      <c r="AB165" s="30"/>
      <c r="AC165" s="30"/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1003</v>
      </c>
      <c r="BC165" s="30" t="s">
        <v>488</v>
      </c>
      <c r="BD165" s="30" t="s">
        <v>378</v>
      </c>
      <c r="BE165" s="30" t="s">
        <v>1464</v>
      </c>
      <c r="BF165" s="30" t="s">
        <v>489</v>
      </c>
      <c r="BG165" s="30" t="s">
        <v>192</v>
      </c>
      <c r="BL165" s="30" t="s">
        <v>494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6" spans="1:66" ht="16" customHeight="1" x14ac:dyDescent="0.2">
      <c r="A166" s="30">
        <v>1633</v>
      </c>
      <c r="B166" s="30" t="s">
        <v>26</v>
      </c>
      <c r="C166" s="30" t="s">
        <v>378</v>
      </c>
      <c r="D166" s="30" t="s">
        <v>137</v>
      </c>
      <c r="E166" s="30" t="s">
        <v>947</v>
      </c>
      <c r="F166" s="36" t="str">
        <f>IF(ISBLANK(Table2[[#This Row],[unique_id]]), "", PROPER(SUBSTITUTE(Table2[[#This Row],[unique_id]], "_", " ")))</f>
        <v>Parents Main Bulb 3</v>
      </c>
      <c r="H166" s="30" t="s">
        <v>139</v>
      </c>
      <c r="O166" s="31" t="s">
        <v>792</v>
      </c>
      <c r="P166" s="30" t="s">
        <v>165</v>
      </c>
      <c r="Q166" s="30" t="s">
        <v>764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490</v>
      </c>
      <c r="X166" s="47">
        <v>106</v>
      </c>
      <c r="Y166" s="42" t="s">
        <v>760</v>
      </c>
      <c r="Z166" s="42" t="s">
        <v>977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1004</v>
      </c>
      <c r="BC166" s="30" t="s">
        <v>488</v>
      </c>
      <c r="BD166" s="30" t="s">
        <v>378</v>
      </c>
      <c r="BE166" s="30" t="s">
        <v>1464</v>
      </c>
      <c r="BF166" s="30" t="s">
        <v>489</v>
      </c>
      <c r="BG166" s="30" t="s">
        <v>192</v>
      </c>
      <c r="BL166" s="30" t="s">
        <v>495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7" spans="1:66" ht="16" customHeight="1" x14ac:dyDescent="0.2">
      <c r="A167" s="30">
        <v>1634</v>
      </c>
      <c r="B167" s="30" t="s">
        <v>26</v>
      </c>
      <c r="C167" s="30" t="s">
        <v>451</v>
      </c>
      <c r="D167" s="30" t="s">
        <v>137</v>
      </c>
      <c r="E167" s="30" t="s">
        <v>870</v>
      </c>
      <c r="F167" s="36" t="str">
        <f>IF(ISBLANK(Table2[[#This Row],[unique_id]]), "", PROPER(SUBSTITUTE(Table2[[#This Row],[unique_id]], "_", " ")))</f>
        <v>Parents Jane Bedside</v>
      </c>
      <c r="G167" s="30" t="s">
        <v>868</v>
      </c>
      <c r="H167" s="30" t="s">
        <v>139</v>
      </c>
      <c r="I167" s="30" t="s">
        <v>132</v>
      </c>
      <c r="J167" s="30" t="s">
        <v>883</v>
      </c>
      <c r="K167" s="30" t="s">
        <v>887</v>
      </c>
      <c r="M167" s="30" t="s">
        <v>136</v>
      </c>
      <c r="O167" s="31"/>
      <c r="P167" s="30"/>
      <c r="T167" s="37"/>
      <c r="U167" s="30"/>
      <c r="V167" s="31"/>
      <c r="W167" s="31" t="s">
        <v>491</v>
      </c>
      <c r="X167" s="47">
        <v>119</v>
      </c>
      <c r="Y167" s="42" t="s">
        <v>762</v>
      </c>
      <c r="Z167" s="31" t="s">
        <v>978</v>
      </c>
      <c r="AA167" s="31"/>
      <c r="AB167" s="30"/>
      <c r="AC167" s="30"/>
      <c r="AE167" s="30" t="s">
        <v>292</v>
      </c>
      <c r="AG167" s="31"/>
      <c r="AH167" s="31"/>
      <c r="AT167" s="40"/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868</v>
      </c>
      <c r="BC167" s="30" t="s">
        <v>852</v>
      </c>
      <c r="BD167" s="30" t="s">
        <v>451</v>
      </c>
      <c r="BF167" s="30" t="s">
        <v>850</v>
      </c>
      <c r="BG167" s="30" t="s">
        <v>192</v>
      </c>
      <c r="BI167" s="30" t="s">
        <v>689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8" spans="1:66" ht="16" customHeight="1" x14ac:dyDescent="0.2">
      <c r="A168" s="30">
        <v>1635</v>
      </c>
      <c r="B168" s="30" t="s">
        <v>26</v>
      </c>
      <c r="C168" s="30" t="s">
        <v>451</v>
      </c>
      <c r="D168" s="30" t="s">
        <v>137</v>
      </c>
      <c r="E168" s="30" t="s">
        <v>871</v>
      </c>
      <c r="F168" s="36" t="str">
        <f>IF(ISBLANK(Table2[[#This Row],[unique_id]]), "", PROPER(SUBSTITUTE(Table2[[#This Row],[unique_id]], "_", " ")))</f>
        <v>Parents Jane Bedside Bulb 1</v>
      </c>
      <c r="H168" s="30" t="s">
        <v>139</v>
      </c>
      <c r="O168" s="31" t="s">
        <v>792</v>
      </c>
      <c r="P168" s="30" t="s">
        <v>165</v>
      </c>
      <c r="Q168" s="30" t="s">
        <v>764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490</v>
      </c>
      <c r="X168" s="47">
        <v>119</v>
      </c>
      <c r="Y168" s="42" t="s">
        <v>760</v>
      </c>
      <c r="Z168" s="31" t="s">
        <v>978</v>
      </c>
      <c r="AA168" s="31"/>
      <c r="AB168" s="30"/>
      <c r="AC168" s="30"/>
      <c r="AG168" s="31"/>
      <c r="AH168" s="31"/>
      <c r="AT168" s="40"/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990</v>
      </c>
      <c r="BC168" s="30" t="s">
        <v>852</v>
      </c>
      <c r="BD168" s="30" t="s">
        <v>451</v>
      </c>
      <c r="BF168" s="30" t="s">
        <v>850</v>
      </c>
      <c r="BG168" s="30" t="s">
        <v>192</v>
      </c>
      <c r="BI168" s="30" t="s">
        <v>689</v>
      </c>
      <c r="BL168" s="30" t="s">
        <v>856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69" spans="1:66" ht="16" customHeight="1" x14ac:dyDescent="0.2">
      <c r="A169" s="30">
        <v>1636</v>
      </c>
      <c r="B169" s="30" t="s">
        <v>26</v>
      </c>
      <c r="C169" s="30" t="s">
        <v>451</v>
      </c>
      <c r="D169" s="30" t="s">
        <v>137</v>
      </c>
      <c r="E169" s="30" t="s">
        <v>872</v>
      </c>
      <c r="F169" s="36" t="str">
        <f>IF(ISBLANK(Table2[[#This Row],[unique_id]]), "", PROPER(SUBSTITUTE(Table2[[#This Row],[unique_id]], "_", " ")))</f>
        <v>Parents Graham Bedside</v>
      </c>
      <c r="G169" s="30" t="s">
        <v>869</v>
      </c>
      <c r="H169" s="30" t="s">
        <v>139</v>
      </c>
      <c r="I169" s="30" t="s">
        <v>132</v>
      </c>
      <c r="J169" s="30" t="s">
        <v>884</v>
      </c>
      <c r="K169" s="30" t="s">
        <v>887</v>
      </c>
      <c r="M169" s="30" t="s">
        <v>136</v>
      </c>
      <c r="O169" s="31"/>
      <c r="P169" s="30"/>
      <c r="T169" s="37"/>
      <c r="U169" s="30"/>
      <c r="V169" s="31"/>
      <c r="W169" s="31" t="s">
        <v>491</v>
      </c>
      <c r="X169" s="47">
        <v>122</v>
      </c>
      <c r="Y169" s="42" t="s">
        <v>762</v>
      </c>
      <c r="Z169" s="31" t="s">
        <v>978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869</v>
      </c>
      <c r="BC169" s="30" t="s">
        <v>852</v>
      </c>
      <c r="BD169" s="30" t="s">
        <v>451</v>
      </c>
      <c r="BF169" s="30" t="s">
        <v>850</v>
      </c>
      <c r="BG169" s="30" t="s">
        <v>192</v>
      </c>
      <c r="BI169" s="30" t="s">
        <v>689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451</v>
      </c>
      <c r="D170" s="30" t="s">
        <v>137</v>
      </c>
      <c r="E170" s="30" t="s">
        <v>873</v>
      </c>
      <c r="F170" s="36" t="str">
        <f>IF(ISBLANK(Table2[[#This Row],[unique_id]]), "", PROPER(SUBSTITUTE(Table2[[#This Row],[unique_id]], "_", " ")))</f>
        <v>Parents Graham Bedside Bulb 1</v>
      </c>
      <c r="H170" s="30" t="s">
        <v>139</v>
      </c>
      <c r="O170" s="31" t="s">
        <v>792</v>
      </c>
      <c r="P170" s="30" t="s">
        <v>165</v>
      </c>
      <c r="Q170" s="30" t="s">
        <v>764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490</v>
      </c>
      <c r="X170" s="47">
        <v>122</v>
      </c>
      <c r="Y170" s="42" t="s">
        <v>760</v>
      </c>
      <c r="Z170" s="31" t="s">
        <v>978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991</v>
      </c>
      <c r="BC170" s="30" t="s">
        <v>852</v>
      </c>
      <c r="BD170" s="30" t="s">
        <v>451</v>
      </c>
      <c r="BF170" s="30" t="s">
        <v>850</v>
      </c>
      <c r="BG170" s="30" t="s">
        <v>192</v>
      </c>
      <c r="BI170" s="30" t="s">
        <v>689</v>
      </c>
      <c r="BL170" s="30" t="s">
        <v>855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1" spans="1:66" ht="16" customHeight="1" x14ac:dyDescent="0.2">
      <c r="A171" s="30">
        <v>1638</v>
      </c>
      <c r="B171" s="30" t="s">
        <v>26</v>
      </c>
      <c r="C171" s="30" t="s">
        <v>378</v>
      </c>
      <c r="D171" s="30" t="s">
        <v>137</v>
      </c>
      <c r="E171" s="30" t="s">
        <v>745</v>
      </c>
      <c r="F171" s="36" t="str">
        <f>IF(ISBLANK(Table2[[#This Row],[unique_id]]), "", PROPER(SUBSTITUTE(Table2[[#This Row],[unique_id]], "_", " ")))</f>
        <v>Study Lamp</v>
      </c>
      <c r="G171" s="30" t="s">
        <v>746</v>
      </c>
      <c r="H171" s="30" t="s">
        <v>139</v>
      </c>
      <c r="I171" s="30" t="s">
        <v>132</v>
      </c>
      <c r="J171" s="30" t="s">
        <v>524</v>
      </c>
      <c r="K171" s="30" t="s">
        <v>889</v>
      </c>
      <c r="M171" s="30" t="s">
        <v>136</v>
      </c>
      <c r="O171" s="31"/>
      <c r="P171" s="30"/>
      <c r="T171" s="37"/>
      <c r="U171" s="30"/>
      <c r="V171" s="31"/>
      <c r="W171" s="31" t="s">
        <v>491</v>
      </c>
      <c r="X171" s="47">
        <v>117</v>
      </c>
      <c r="Y171" s="42" t="s">
        <v>762</v>
      </c>
      <c r="Z171" s="42" t="s">
        <v>976</v>
      </c>
      <c r="AA171" s="42"/>
      <c r="AB171" s="30"/>
      <c r="AC171" s="30"/>
      <c r="AE171" s="30" t="s">
        <v>292</v>
      </c>
      <c r="AG171" s="31"/>
      <c r="AH171" s="31"/>
      <c r="AT17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Study</v>
      </c>
      <c r="BA171" s="30" t="str">
        <f>IF(ISBLANK(Table2[[#This Row],[device_model]]), "", Table2[[#This Row],[device_suggested_area]])</f>
        <v>Study</v>
      </c>
      <c r="BB171" s="30" t="s">
        <v>524</v>
      </c>
      <c r="BC171" s="30" t="s">
        <v>488</v>
      </c>
      <c r="BD171" s="30" t="s">
        <v>378</v>
      </c>
      <c r="BE171" s="30" t="s">
        <v>1464</v>
      </c>
      <c r="BF171" s="30" t="s">
        <v>489</v>
      </c>
      <c r="BG171" s="30" t="s">
        <v>357</v>
      </c>
      <c r="BI171" s="30" t="s">
        <v>689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378</v>
      </c>
      <c r="D172" s="30" t="s">
        <v>137</v>
      </c>
      <c r="E172" s="30" t="s">
        <v>948</v>
      </c>
      <c r="F172" s="36" t="str">
        <f>IF(ISBLANK(Table2[[#This Row],[unique_id]]), "", PROPER(SUBSTITUTE(Table2[[#This Row],[unique_id]], "_", " ")))</f>
        <v>Study Lamp Bulb 1</v>
      </c>
      <c r="H172" s="30" t="s">
        <v>139</v>
      </c>
      <c r="O172" s="31" t="s">
        <v>792</v>
      </c>
      <c r="P172" s="30" t="s">
        <v>165</v>
      </c>
      <c r="Q172" s="30" t="s">
        <v>764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Study Lights</v>
      </c>
      <c r="T172" s="37"/>
      <c r="U172" s="30"/>
      <c r="V172" s="31"/>
      <c r="W172" s="31" t="s">
        <v>490</v>
      </c>
      <c r="X172" s="47">
        <v>117</v>
      </c>
      <c r="Y172" s="42" t="s">
        <v>760</v>
      </c>
      <c r="Z172" s="42" t="s">
        <v>976</v>
      </c>
      <c r="AA172" s="42"/>
      <c r="AB172" s="30"/>
      <c r="AC172" s="30"/>
      <c r="AG172" s="31"/>
      <c r="AH172" s="31"/>
      <c r="AT17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Study</v>
      </c>
      <c r="BA172" s="30" t="str">
        <f>IF(ISBLANK(Table2[[#This Row],[device_model]]), "", Table2[[#This Row],[device_suggested_area]])</f>
        <v>Study</v>
      </c>
      <c r="BB172" s="30" t="s">
        <v>999</v>
      </c>
      <c r="BC172" s="30" t="s">
        <v>488</v>
      </c>
      <c r="BD172" s="30" t="s">
        <v>378</v>
      </c>
      <c r="BE172" s="30" t="s">
        <v>1464</v>
      </c>
      <c r="BF172" s="30" t="s">
        <v>489</v>
      </c>
      <c r="BG172" s="30" t="s">
        <v>357</v>
      </c>
      <c r="BI172" s="30" t="s">
        <v>689</v>
      </c>
      <c r="BL172" s="30" t="s">
        <v>747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3" spans="1:66" ht="16" customHeight="1" x14ac:dyDescent="0.2">
      <c r="A173" s="30">
        <v>1640</v>
      </c>
      <c r="B173" s="30" t="s">
        <v>26</v>
      </c>
      <c r="C173" s="30" t="s">
        <v>378</v>
      </c>
      <c r="D173" s="30" t="s">
        <v>137</v>
      </c>
      <c r="E173" s="30" t="s">
        <v>300</v>
      </c>
      <c r="F173" s="36" t="str">
        <f>IF(ISBLANK(Table2[[#This Row],[unique_id]]), "", PROPER(SUBSTITUTE(Table2[[#This Row],[unique_id]], "_", " ")))</f>
        <v>Kitchen Main</v>
      </c>
      <c r="G173" s="30" t="s">
        <v>202</v>
      </c>
      <c r="H173" s="30" t="s">
        <v>139</v>
      </c>
      <c r="I173" s="30" t="s">
        <v>132</v>
      </c>
      <c r="J173" s="39" t="s">
        <v>728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491</v>
      </c>
      <c r="X173" s="47">
        <v>107</v>
      </c>
      <c r="Y173" s="42" t="s">
        <v>762</v>
      </c>
      <c r="Z173" s="42" t="s">
        <v>976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Kitchen</v>
      </c>
      <c r="BA173" s="30" t="str">
        <f>IF(ISBLANK(Table2[[#This Row],[device_model]]), "", Table2[[#This Row],[device_suggested_area]])</f>
        <v>Kitchen</v>
      </c>
      <c r="BB173" s="30" t="s">
        <v>1001</v>
      </c>
      <c r="BC173" s="30" t="s">
        <v>566</v>
      </c>
      <c r="BD173" s="30" t="s">
        <v>378</v>
      </c>
      <c r="BE173" s="30" t="s">
        <v>1464</v>
      </c>
      <c r="BF173" s="30" t="s">
        <v>563</v>
      </c>
      <c r="BG173" s="30" t="s">
        <v>206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378</v>
      </c>
      <c r="D174" s="30" t="s">
        <v>137</v>
      </c>
      <c r="E174" s="30" t="s">
        <v>949</v>
      </c>
      <c r="F174" s="36" t="str">
        <f>IF(ISBLANK(Table2[[#This Row],[unique_id]]), "", PROPER(SUBSTITUTE(Table2[[#This Row],[unique_id]], "_", " ")))</f>
        <v>Kitchen Main Bulb 1</v>
      </c>
      <c r="H174" s="30" t="s">
        <v>139</v>
      </c>
      <c r="O174" s="31" t="s">
        <v>792</v>
      </c>
      <c r="P174" s="30" t="s">
        <v>165</v>
      </c>
      <c r="Q174" s="30" t="s">
        <v>764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Kitchen Lights</v>
      </c>
      <c r="T174" s="37"/>
      <c r="U174" s="30"/>
      <c r="V174" s="31"/>
      <c r="W174" s="31" t="s">
        <v>490</v>
      </c>
      <c r="X174" s="47">
        <v>107</v>
      </c>
      <c r="Y174" s="42" t="s">
        <v>760</v>
      </c>
      <c r="Z174" s="42" t="s">
        <v>976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Kitchen</v>
      </c>
      <c r="BA174" s="30" t="str">
        <f>IF(ISBLANK(Table2[[#This Row],[device_model]]), "", Table2[[#This Row],[device_suggested_area]])</f>
        <v>Kitchen</v>
      </c>
      <c r="BB174" s="30" t="s">
        <v>1002</v>
      </c>
      <c r="BC174" s="30" t="s">
        <v>566</v>
      </c>
      <c r="BD174" s="30" t="s">
        <v>378</v>
      </c>
      <c r="BE174" s="30" t="s">
        <v>1464</v>
      </c>
      <c r="BF174" s="30" t="s">
        <v>563</v>
      </c>
      <c r="BG174" s="30" t="s">
        <v>206</v>
      </c>
      <c r="BL174" s="30" t="s">
        <v>512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5" spans="1:66" ht="16" customHeight="1" x14ac:dyDescent="0.2">
      <c r="A175" s="30">
        <v>1642</v>
      </c>
      <c r="B175" s="30" t="s">
        <v>26</v>
      </c>
      <c r="C175" s="30" t="s">
        <v>378</v>
      </c>
      <c r="D175" s="30" t="s">
        <v>137</v>
      </c>
      <c r="E175" s="30" t="s">
        <v>950</v>
      </c>
      <c r="F175" s="36" t="str">
        <f>IF(ISBLANK(Table2[[#This Row],[unique_id]]), "", PROPER(SUBSTITUTE(Table2[[#This Row],[unique_id]], "_", " ")))</f>
        <v>Kitchen Main Bulb 2</v>
      </c>
      <c r="H175" s="30" t="s">
        <v>139</v>
      </c>
      <c r="O175" s="31" t="s">
        <v>792</v>
      </c>
      <c r="P175" s="30" t="s">
        <v>165</v>
      </c>
      <c r="Q175" s="30" t="s">
        <v>764</v>
      </c>
      <c r="R175" s="30" t="str">
        <f>Table2[[#This Row],[entity_domain]]</f>
        <v>Lights</v>
      </c>
      <c r="S175" s="30" t="str">
        <f>_xlfn.CONCAT( Table2[[#This Row],[device_suggested_area]], " ",Table2[[#This Row],[powercalc_group_3]])</f>
        <v>Kitchen Lights</v>
      </c>
      <c r="T175" s="37"/>
      <c r="U175" s="30"/>
      <c r="V175" s="31"/>
      <c r="W175" s="31" t="s">
        <v>490</v>
      </c>
      <c r="X175" s="47">
        <v>107</v>
      </c>
      <c r="Y175" s="42" t="s">
        <v>760</v>
      </c>
      <c r="Z175" s="42" t="s">
        <v>976</v>
      </c>
      <c r="AA175" s="42"/>
      <c r="AB175" s="30"/>
      <c r="AC175" s="30"/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1003</v>
      </c>
      <c r="BC175" s="30" t="s">
        <v>566</v>
      </c>
      <c r="BD175" s="30" t="s">
        <v>378</v>
      </c>
      <c r="BE175" s="30" t="s">
        <v>1464</v>
      </c>
      <c r="BF175" s="30" t="s">
        <v>563</v>
      </c>
      <c r="BG175" s="30" t="s">
        <v>206</v>
      </c>
      <c r="BL175" s="30" t="s">
        <v>513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6" spans="1:66" ht="16" customHeight="1" x14ac:dyDescent="0.2">
      <c r="A176" s="30">
        <v>1643</v>
      </c>
      <c r="B176" s="30" t="s">
        <v>26</v>
      </c>
      <c r="C176" s="30" t="s">
        <v>378</v>
      </c>
      <c r="D176" s="30" t="s">
        <v>137</v>
      </c>
      <c r="E176" s="30" t="s">
        <v>951</v>
      </c>
      <c r="F176" s="36" t="str">
        <f>IF(ISBLANK(Table2[[#This Row],[unique_id]]), "", PROPER(SUBSTITUTE(Table2[[#This Row],[unique_id]], "_", " ")))</f>
        <v>Kitchen Main Bulb 3</v>
      </c>
      <c r="H176" s="30" t="s">
        <v>139</v>
      </c>
      <c r="O176" s="31" t="s">
        <v>792</v>
      </c>
      <c r="P176" s="30" t="s">
        <v>165</v>
      </c>
      <c r="Q176" s="30" t="s">
        <v>764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490</v>
      </c>
      <c r="X176" s="47">
        <v>107</v>
      </c>
      <c r="Y176" s="42" t="s">
        <v>760</v>
      </c>
      <c r="Z176" s="42" t="s">
        <v>976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1004</v>
      </c>
      <c r="BC176" s="30" t="s">
        <v>566</v>
      </c>
      <c r="BD176" s="30" t="s">
        <v>378</v>
      </c>
      <c r="BE176" s="30" t="s">
        <v>1464</v>
      </c>
      <c r="BF176" s="30" t="s">
        <v>563</v>
      </c>
      <c r="BG176" s="30" t="s">
        <v>206</v>
      </c>
      <c r="BL176" s="30" t="s">
        <v>514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7" spans="1:66" ht="16" customHeight="1" x14ac:dyDescent="0.2">
      <c r="A177" s="30">
        <v>1644</v>
      </c>
      <c r="B177" s="30" t="s">
        <v>26</v>
      </c>
      <c r="C177" s="30" t="s">
        <v>378</v>
      </c>
      <c r="D177" s="30" t="s">
        <v>137</v>
      </c>
      <c r="E177" s="30" t="s">
        <v>952</v>
      </c>
      <c r="F177" s="36" t="str">
        <f>IF(ISBLANK(Table2[[#This Row],[unique_id]]), "", PROPER(SUBSTITUTE(Table2[[#This Row],[unique_id]], "_", " ")))</f>
        <v>Kitchen Main Bulb 4</v>
      </c>
      <c r="H177" s="30" t="s">
        <v>139</v>
      </c>
      <c r="O177" s="31" t="s">
        <v>792</v>
      </c>
      <c r="P177" s="30" t="s">
        <v>165</v>
      </c>
      <c r="Q177" s="30" t="s">
        <v>764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490</v>
      </c>
      <c r="X177" s="47">
        <v>107</v>
      </c>
      <c r="Y177" s="42" t="s">
        <v>760</v>
      </c>
      <c r="Z177" s="42" t="s">
        <v>976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1005</v>
      </c>
      <c r="BC177" s="30" t="s">
        <v>566</v>
      </c>
      <c r="BD177" s="30" t="s">
        <v>378</v>
      </c>
      <c r="BE177" s="30" t="s">
        <v>1464</v>
      </c>
      <c r="BF177" s="30" t="s">
        <v>563</v>
      </c>
      <c r="BG177" s="30" t="s">
        <v>206</v>
      </c>
      <c r="BL177" s="30" t="s">
        <v>515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78" spans="1:66" ht="16" customHeight="1" x14ac:dyDescent="0.2">
      <c r="A178" s="30">
        <v>1645</v>
      </c>
      <c r="B178" s="30" t="s">
        <v>26</v>
      </c>
      <c r="C178" s="30" t="s">
        <v>697</v>
      </c>
      <c r="D178" s="30" t="s">
        <v>137</v>
      </c>
      <c r="E178" s="30" t="s">
        <v>1268</v>
      </c>
      <c r="F178" s="36" t="str">
        <f>IF(ISBLANK(Table2[[#This Row],[unique_id]]), "", PROPER(SUBSTITUTE(Table2[[#This Row],[unique_id]], "_", " ")))</f>
        <v>Kitchen Bench Lights Plug</v>
      </c>
      <c r="G178" s="30" t="s">
        <v>1269</v>
      </c>
      <c r="H178" s="30" t="s">
        <v>139</v>
      </c>
      <c r="I178" s="30" t="s">
        <v>132</v>
      </c>
      <c r="J178" s="30" t="s">
        <v>1271</v>
      </c>
      <c r="M178" s="30" t="s">
        <v>136</v>
      </c>
      <c r="O178" s="31" t="s">
        <v>792</v>
      </c>
      <c r="P178" s="30" t="s">
        <v>165</v>
      </c>
      <c r="Q178" s="30" t="s">
        <v>764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 t="s">
        <v>983</v>
      </c>
      <c r="U178" s="30"/>
      <c r="V178" s="31"/>
      <c r="W178" s="31"/>
      <c r="X178" s="31"/>
      <c r="Y178" s="31"/>
      <c r="Z178" s="31"/>
      <c r="AA178" s="31" t="s">
        <v>1111</v>
      </c>
      <c r="AB178" s="30"/>
      <c r="AC178" s="30"/>
      <c r="AE178" s="30" t="s">
        <v>292</v>
      </c>
      <c r="AF178" s="30">
        <v>10</v>
      </c>
      <c r="AG178" s="31" t="s">
        <v>34</v>
      </c>
      <c r="AH178" s="31" t="s">
        <v>901</v>
      </c>
      <c r="AJ178" s="30" t="str">
        <f>_xlfn.CONCAT("homeassistant/", Table2[[#This Row],[entity_namespace]], "/tasmota/",Table2[[#This Row],[unique_id]], "/config")</f>
        <v>homeassistant/light/tasmota/kitchen_bench_lights_plug/config</v>
      </c>
      <c r="AK178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78" s="30" t="str">
        <f>_xlfn.CONCAT("tasmota/device/",Table2[[#This Row],[unique_id]], "/cmnd/POWER")</f>
        <v>tasmota/device/kitchen_bench_lights_plug/cmnd/POWER</v>
      </c>
      <c r="AM178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78" s="30" t="s">
        <v>920</v>
      </c>
      <c r="AO178" s="30" t="s">
        <v>921</v>
      </c>
      <c r="AP178" s="30" t="s">
        <v>910</v>
      </c>
      <c r="AQ178" s="30" t="s">
        <v>911</v>
      </c>
      <c r="AR178" s="30" t="s">
        <v>974</v>
      </c>
      <c r="AS178" s="30">
        <v>1</v>
      </c>
      <c r="AT178" s="34" t="str">
        <f>HYPERLINK(_xlfn.CONCAT("http://", Table2[[#This Row],[connection_ip]], "/?"))</f>
        <v>http://10.0.4.103/?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78" s="30" t="str">
        <f>IF(ISBLANK(Table2[[#This Row],[device_model]]), "", Table2[[#This Row],[device_suggested_area]])</f>
        <v>Kitchen</v>
      </c>
      <c r="BB178" s="30" t="s">
        <v>1270</v>
      </c>
      <c r="BC178" s="30" t="s">
        <v>771</v>
      </c>
      <c r="BD178" s="30" t="s">
        <v>1115</v>
      </c>
      <c r="BF178" s="30" t="s">
        <v>891</v>
      </c>
      <c r="BG178" s="30" t="s">
        <v>206</v>
      </c>
      <c r="BK178" s="30" t="s">
        <v>1301</v>
      </c>
      <c r="BL178" s="30" t="s">
        <v>923</v>
      </c>
      <c r="BM178" s="30" t="s">
        <v>1327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79" spans="1:66" ht="16" customHeight="1" x14ac:dyDescent="0.2">
      <c r="A179" s="30">
        <v>1646</v>
      </c>
      <c r="B179" s="30" t="s">
        <v>26</v>
      </c>
      <c r="C179" s="30" t="s">
        <v>378</v>
      </c>
      <c r="D179" s="30" t="s">
        <v>137</v>
      </c>
      <c r="E179" s="30" t="s">
        <v>301</v>
      </c>
      <c r="F179" s="36" t="str">
        <f>IF(ISBLANK(Table2[[#This Row],[unique_id]]), "", PROPER(SUBSTITUTE(Table2[[#This Row],[unique_id]], "_", " ")))</f>
        <v>Laundry Main</v>
      </c>
      <c r="G179" s="30" t="s">
        <v>204</v>
      </c>
      <c r="H179" s="30" t="s">
        <v>139</v>
      </c>
      <c r="I179" s="30" t="s">
        <v>132</v>
      </c>
      <c r="J179" s="30" t="s">
        <v>727</v>
      </c>
      <c r="K179" s="30" t="s">
        <v>885</v>
      </c>
      <c r="M179" s="30" t="s">
        <v>136</v>
      </c>
      <c r="O179" s="31"/>
      <c r="P179" s="30"/>
      <c r="T179" s="37"/>
      <c r="U179" s="30"/>
      <c r="V179" s="31"/>
      <c r="W179" s="31" t="s">
        <v>491</v>
      </c>
      <c r="X179" s="47">
        <v>108</v>
      </c>
      <c r="Y179" s="42" t="s">
        <v>762</v>
      </c>
      <c r="Z179" s="42" t="s">
        <v>976</v>
      </c>
      <c r="AA179" s="42"/>
      <c r="AB179" s="30"/>
      <c r="AC179" s="30"/>
      <c r="AE179" s="30" t="s">
        <v>292</v>
      </c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Laundry</v>
      </c>
      <c r="BA179" s="30" t="str">
        <f>IF(ISBLANK(Table2[[#This Row],[device_model]]), "", Table2[[#This Row],[device_suggested_area]])</f>
        <v>Laundry</v>
      </c>
      <c r="BB179" s="30" t="s">
        <v>1001</v>
      </c>
      <c r="BC179" s="30" t="s">
        <v>488</v>
      </c>
      <c r="BD179" s="30" t="s">
        <v>378</v>
      </c>
      <c r="BE179" s="30" t="s">
        <v>1464</v>
      </c>
      <c r="BF179" s="30" t="s">
        <v>489</v>
      </c>
      <c r="BG179" s="30" t="s">
        <v>213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0" spans="1:66" ht="16" customHeight="1" x14ac:dyDescent="0.2">
      <c r="A180" s="30">
        <v>1647</v>
      </c>
      <c r="B180" s="30" t="s">
        <v>26</v>
      </c>
      <c r="C180" s="30" t="s">
        <v>378</v>
      </c>
      <c r="D180" s="30" t="s">
        <v>137</v>
      </c>
      <c r="E180" s="30" t="s">
        <v>953</v>
      </c>
      <c r="F180" s="36" t="str">
        <f>IF(ISBLANK(Table2[[#This Row],[unique_id]]), "", PROPER(SUBSTITUTE(Table2[[#This Row],[unique_id]], "_", " ")))</f>
        <v>Laundry Main Bulb 1</v>
      </c>
      <c r="H180" s="30" t="s">
        <v>139</v>
      </c>
      <c r="O180" s="31" t="s">
        <v>792</v>
      </c>
      <c r="P180" s="30" t="s">
        <v>165</v>
      </c>
      <c r="Q180" s="30" t="s">
        <v>764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Laundry Lights</v>
      </c>
      <c r="T180" s="37"/>
      <c r="U180" s="30"/>
      <c r="V180" s="31"/>
      <c r="W180" s="31" t="s">
        <v>490</v>
      </c>
      <c r="X180" s="47">
        <v>108</v>
      </c>
      <c r="Y180" s="42" t="s">
        <v>760</v>
      </c>
      <c r="Z180" s="42" t="s">
        <v>976</v>
      </c>
      <c r="AA180" s="42"/>
      <c r="AB180" s="30"/>
      <c r="AC180" s="30"/>
      <c r="AG180" s="31"/>
      <c r="AH180" s="31"/>
      <c r="AT1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0" s="30" t="str">
        <f>Table2[[#This Row],[device_suggested_area]]</f>
        <v>Laundry</v>
      </c>
      <c r="BA180" s="30" t="str">
        <f>IF(ISBLANK(Table2[[#This Row],[device_model]]), "", Table2[[#This Row],[device_suggested_area]])</f>
        <v>Laundry</v>
      </c>
      <c r="BB180" s="30" t="s">
        <v>1002</v>
      </c>
      <c r="BC180" s="30" t="s">
        <v>488</v>
      </c>
      <c r="BD180" s="30" t="s">
        <v>378</v>
      </c>
      <c r="BE180" s="30" t="s">
        <v>1464</v>
      </c>
      <c r="BF180" s="30" t="s">
        <v>489</v>
      </c>
      <c r="BG180" s="30" t="s">
        <v>213</v>
      </c>
      <c r="BL180" s="30" t="s">
        <v>516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1" spans="1:66" ht="16" customHeight="1" x14ac:dyDescent="0.2">
      <c r="A181" s="30">
        <v>1648</v>
      </c>
      <c r="B181" s="30" t="s">
        <v>26</v>
      </c>
      <c r="C181" s="30" t="s">
        <v>378</v>
      </c>
      <c r="D181" s="30" t="s">
        <v>137</v>
      </c>
      <c r="E181" s="30" t="s">
        <v>302</v>
      </c>
      <c r="F181" s="36" t="str">
        <f>IF(ISBLANK(Table2[[#This Row],[unique_id]]), "", PROPER(SUBSTITUTE(Table2[[#This Row],[unique_id]], "_", " ")))</f>
        <v>Pantry Main</v>
      </c>
      <c r="G181" s="30" t="s">
        <v>203</v>
      </c>
      <c r="H181" s="30" t="s">
        <v>139</v>
      </c>
      <c r="I181" s="30" t="s">
        <v>132</v>
      </c>
      <c r="J181" s="30" t="s">
        <v>727</v>
      </c>
      <c r="K181" s="30" t="s">
        <v>885</v>
      </c>
      <c r="M181" s="30" t="s">
        <v>136</v>
      </c>
      <c r="O181" s="31"/>
      <c r="P181" s="30"/>
      <c r="T181" s="37"/>
      <c r="U181" s="30"/>
      <c r="V181" s="31"/>
      <c r="W181" s="31" t="s">
        <v>491</v>
      </c>
      <c r="X181" s="47">
        <v>109</v>
      </c>
      <c r="Y181" s="42" t="s">
        <v>762</v>
      </c>
      <c r="Z181" s="42" t="s">
        <v>976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Pantry</v>
      </c>
      <c r="BA181" s="30" t="str">
        <f>IF(ISBLANK(Table2[[#This Row],[device_model]]), "", Table2[[#This Row],[device_suggested_area]])</f>
        <v>Pantry</v>
      </c>
      <c r="BB181" s="30" t="s">
        <v>1001</v>
      </c>
      <c r="BC181" s="30" t="s">
        <v>488</v>
      </c>
      <c r="BD181" s="30" t="s">
        <v>378</v>
      </c>
      <c r="BE181" s="30" t="s">
        <v>1464</v>
      </c>
      <c r="BF181" s="30" t="s">
        <v>489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378</v>
      </c>
      <c r="D182" s="30" t="s">
        <v>137</v>
      </c>
      <c r="E182" s="30" t="s">
        <v>954</v>
      </c>
      <c r="F182" s="36" t="str">
        <f>IF(ISBLANK(Table2[[#This Row],[unique_id]]), "", PROPER(SUBSTITUTE(Table2[[#This Row],[unique_id]], "_", " ")))</f>
        <v>Pantry Main Bulb 1</v>
      </c>
      <c r="H182" s="30" t="s">
        <v>139</v>
      </c>
      <c r="O182" s="31" t="s">
        <v>792</v>
      </c>
      <c r="P182" s="30" t="s">
        <v>165</v>
      </c>
      <c r="Q182" s="30" t="s">
        <v>764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Pantry Lights</v>
      </c>
      <c r="T182" s="37"/>
      <c r="U182" s="30"/>
      <c r="V182" s="31"/>
      <c r="W182" s="31" t="s">
        <v>490</v>
      </c>
      <c r="X182" s="47">
        <v>109</v>
      </c>
      <c r="Y182" s="42" t="s">
        <v>760</v>
      </c>
      <c r="Z182" s="42" t="s">
        <v>976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Pantry</v>
      </c>
      <c r="BA182" s="30" t="str">
        <f>IF(ISBLANK(Table2[[#This Row],[device_model]]), "", Table2[[#This Row],[device_suggested_area]])</f>
        <v>Pantry</v>
      </c>
      <c r="BB182" s="30" t="s">
        <v>1002</v>
      </c>
      <c r="BC182" s="30" t="s">
        <v>488</v>
      </c>
      <c r="BD182" s="30" t="s">
        <v>378</v>
      </c>
      <c r="BE182" s="30" t="s">
        <v>1464</v>
      </c>
      <c r="BF182" s="30" t="s">
        <v>489</v>
      </c>
      <c r="BG182" s="30" t="s">
        <v>211</v>
      </c>
      <c r="BL182" s="30" t="s">
        <v>517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3" spans="1:66" ht="16" customHeight="1" x14ac:dyDescent="0.2">
      <c r="A183" s="30">
        <v>1650</v>
      </c>
      <c r="B183" s="30" t="s">
        <v>26</v>
      </c>
      <c r="C183" s="30" t="s">
        <v>378</v>
      </c>
      <c r="D183" s="30" t="s">
        <v>137</v>
      </c>
      <c r="E183" s="30" t="s">
        <v>303</v>
      </c>
      <c r="F183" s="36" t="str">
        <f>IF(ISBLANK(Table2[[#This Row],[unique_id]]), "", PROPER(SUBSTITUTE(Table2[[#This Row],[unique_id]], "_", " ")))</f>
        <v>Office Main</v>
      </c>
      <c r="G183" s="30" t="s">
        <v>199</v>
      </c>
      <c r="H183" s="30" t="s">
        <v>139</v>
      </c>
      <c r="I183" s="30" t="s">
        <v>132</v>
      </c>
      <c r="J183" s="30" t="s">
        <v>727</v>
      </c>
      <c r="M183" s="30" t="s">
        <v>136</v>
      </c>
      <c r="O183" s="31"/>
      <c r="P183" s="30"/>
      <c r="T183" s="37"/>
      <c r="U183" s="30"/>
      <c r="V183" s="31"/>
      <c r="W183" s="31" t="s">
        <v>491</v>
      </c>
      <c r="X183" s="47">
        <v>110</v>
      </c>
      <c r="Y183" s="42" t="s">
        <v>762</v>
      </c>
      <c r="Z183" s="42" t="s">
        <v>979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Office</v>
      </c>
      <c r="BA183" s="30" t="str">
        <f>IF(ISBLANK(Table2[[#This Row],[device_model]]), "", Table2[[#This Row],[device_suggested_area]])</f>
        <v>Office</v>
      </c>
      <c r="BB183" s="30" t="s">
        <v>1001</v>
      </c>
      <c r="BC183" s="30" t="s">
        <v>566</v>
      </c>
      <c r="BD183" s="30" t="s">
        <v>378</v>
      </c>
      <c r="BE183" s="30" t="s">
        <v>1464</v>
      </c>
      <c r="BF183" s="30" t="s">
        <v>563</v>
      </c>
      <c r="BG183" s="30" t="s">
        <v>212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378</v>
      </c>
      <c r="D184" s="30" t="s">
        <v>137</v>
      </c>
      <c r="E184" s="30" t="s">
        <v>955</v>
      </c>
      <c r="F184" s="36" t="str">
        <f>IF(ISBLANK(Table2[[#This Row],[unique_id]]), "", PROPER(SUBSTITUTE(Table2[[#This Row],[unique_id]], "_", " ")))</f>
        <v>Office Main Bulb 1</v>
      </c>
      <c r="H184" s="30" t="s">
        <v>139</v>
      </c>
      <c r="O184" s="31" t="s">
        <v>792</v>
      </c>
      <c r="P184" s="30" t="s">
        <v>165</v>
      </c>
      <c r="Q184" s="30" t="s">
        <v>764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Office Lights</v>
      </c>
      <c r="T184" s="37"/>
      <c r="U184" s="30"/>
      <c r="V184" s="31"/>
      <c r="W184" s="31" t="s">
        <v>490</v>
      </c>
      <c r="X184" s="47">
        <v>110</v>
      </c>
      <c r="Y184" s="42" t="s">
        <v>760</v>
      </c>
      <c r="Z184" s="42" t="s">
        <v>979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Office</v>
      </c>
      <c r="BA184" s="30" t="str">
        <f>IF(ISBLANK(Table2[[#This Row],[device_model]]), "", Table2[[#This Row],[device_suggested_area]])</f>
        <v>Office</v>
      </c>
      <c r="BB184" s="30" t="s">
        <v>1002</v>
      </c>
      <c r="BC184" s="30" t="s">
        <v>566</v>
      </c>
      <c r="BD184" s="30" t="s">
        <v>378</v>
      </c>
      <c r="BE184" s="30" t="s">
        <v>1464</v>
      </c>
      <c r="BF184" s="30" t="s">
        <v>563</v>
      </c>
      <c r="BG184" s="30" t="s">
        <v>212</v>
      </c>
      <c r="BL184" s="30" t="s">
        <v>518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5" spans="1:66" ht="16" customHeight="1" x14ac:dyDescent="0.2">
      <c r="A185" s="30">
        <v>1652</v>
      </c>
      <c r="B185" s="30" t="s">
        <v>26</v>
      </c>
      <c r="C185" s="30" t="s">
        <v>378</v>
      </c>
      <c r="D185" s="30" t="s">
        <v>137</v>
      </c>
      <c r="E185" s="30" t="s">
        <v>304</v>
      </c>
      <c r="F185" s="36" t="str">
        <f>IF(ISBLANK(Table2[[#This Row],[unique_id]]), "", PROPER(SUBSTITUTE(Table2[[#This Row],[unique_id]], "_", " ")))</f>
        <v>Bathroom Main</v>
      </c>
      <c r="G185" s="30" t="s">
        <v>198</v>
      </c>
      <c r="H185" s="30" t="s">
        <v>139</v>
      </c>
      <c r="I185" s="30" t="s">
        <v>132</v>
      </c>
      <c r="J185" s="30" t="s">
        <v>727</v>
      </c>
      <c r="K185" s="30" t="s">
        <v>888</v>
      </c>
      <c r="M185" s="30" t="s">
        <v>136</v>
      </c>
      <c r="O185" s="31"/>
      <c r="P185" s="30"/>
      <c r="T185" s="37"/>
      <c r="U185" s="30"/>
      <c r="V185" s="31"/>
      <c r="W185" s="31" t="s">
        <v>491</v>
      </c>
      <c r="X185" s="47">
        <v>111</v>
      </c>
      <c r="Y185" s="42" t="s">
        <v>762</v>
      </c>
      <c r="Z185" s="42" t="s">
        <v>977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Bathroom</v>
      </c>
      <c r="BA185" s="30" t="str">
        <f>IF(ISBLANK(Table2[[#This Row],[device_model]]), "", Table2[[#This Row],[device_suggested_area]])</f>
        <v>Bathroom</v>
      </c>
      <c r="BB185" s="30" t="s">
        <v>1001</v>
      </c>
      <c r="BC185" s="30" t="s">
        <v>488</v>
      </c>
      <c r="BD185" s="30" t="s">
        <v>378</v>
      </c>
      <c r="BE185" s="30" t="s">
        <v>1464</v>
      </c>
      <c r="BF185" s="30" t="s">
        <v>489</v>
      </c>
      <c r="BG185" s="30" t="s">
        <v>359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378</v>
      </c>
      <c r="D186" s="30" t="s">
        <v>137</v>
      </c>
      <c r="E186" s="30" t="s">
        <v>956</v>
      </c>
      <c r="F186" s="36" t="str">
        <f>IF(ISBLANK(Table2[[#This Row],[unique_id]]), "", PROPER(SUBSTITUTE(Table2[[#This Row],[unique_id]], "_", " ")))</f>
        <v>Bathroom Main Bulb 1</v>
      </c>
      <c r="H186" s="30" t="s">
        <v>139</v>
      </c>
      <c r="O186" s="31" t="s">
        <v>792</v>
      </c>
      <c r="P186" s="30" t="s">
        <v>165</v>
      </c>
      <c r="Q186" s="30" t="s">
        <v>764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Bathroom Lights</v>
      </c>
      <c r="T186" s="37"/>
      <c r="U186" s="30"/>
      <c r="V186" s="31"/>
      <c r="W186" s="31" t="s">
        <v>490</v>
      </c>
      <c r="X186" s="47">
        <v>111</v>
      </c>
      <c r="Y186" s="42" t="s">
        <v>760</v>
      </c>
      <c r="Z186" s="42" t="s">
        <v>977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Bathroom</v>
      </c>
      <c r="BA186" s="30" t="str">
        <f>IF(ISBLANK(Table2[[#This Row],[device_model]]), "", Table2[[#This Row],[device_suggested_area]])</f>
        <v>Bathroom</v>
      </c>
      <c r="BB186" s="30" t="s">
        <v>1002</v>
      </c>
      <c r="BC186" s="30" t="s">
        <v>488</v>
      </c>
      <c r="BD186" s="30" t="s">
        <v>378</v>
      </c>
      <c r="BE186" s="30" t="s">
        <v>1464</v>
      </c>
      <c r="BF186" s="30" t="s">
        <v>489</v>
      </c>
      <c r="BG186" s="30" t="s">
        <v>359</v>
      </c>
      <c r="BL186" s="30" t="s">
        <v>519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7" spans="1:66" ht="16" customHeight="1" x14ac:dyDescent="0.2">
      <c r="A187" s="30">
        <v>1654</v>
      </c>
      <c r="B187" s="30" t="s">
        <v>26</v>
      </c>
      <c r="C187" s="30" t="s">
        <v>451</v>
      </c>
      <c r="D187" s="30" t="s">
        <v>137</v>
      </c>
      <c r="E187" s="30" t="s">
        <v>862</v>
      </c>
      <c r="F187" s="36" t="str">
        <f>IF(ISBLANK(Table2[[#This Row],[unique_id]]), "", PROPER(SUBSTITUTE(Table2[[#This Row],[unique_id]], "_", " ")))</f>
        <v>Bathroom Sconces</v>
      </c>
      <c r="G187" s="30" t="s">
        <v>865</v>
      </c>
      <c r="H187" s="30" t="s">
        <v>139</v>
      </c>
      <c r="I187" s="30" t="s">
        <v>132</v>
      </c>
      <c r="J187" s="30" t="s">
        <v>849</v>
      </c>
      <c r="K187" s="30" t="s">
        <v>887</v>
      </c>
      <c r="M187" s="30" t="s">
        <v>136</v>
      </c>
      <c r="O187" s="31"/>
      <c r="P187" s="30"/>
      <c r="T187" s="37"/>
      <c r="U187" s="30"/>
      <c r="V187" s="31"/>
      <c r="W187" s="31" t="s">
        <v>491</v>
      </c>
      <c r="X187" s="47">
        <v>121</v>
      </c>
      <c r="Y187" s="42" t="s">
        <v>762</v>
      </c>
      <c r="Z187" s="31" t="s">
        <v>978</v>
      </c>
      <c r="AA187" s="31"/>
      <c r="AB187" s="30"/>
      <c r="AC187" s="30"/>
      <c r="AE187" s="30" t="s">
        <v>292</v>
      </c>
      <c r="AG187" s="31"/>
      <c r="AH187" s="31"/>
      <c r="AT187" s="40"/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849</v>
      </c>
      <c r="BC187" s="30" t="s">
        <v>852</v>
      </c>
      <c r="BD187" s="30" t="s">
        <v>451</v>
      </c>
      <c r="BF187" s="30" t="s">
        <v>850</v>
      </c>
      <c r="BG187" s="30" t="s">
        <v>359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451</v>
      </c>
      <c r="D188" s="30" t="s">
        <v>137</v>
      </c>
      <c r="E188" s="30" t="s">
        <v>863</v>
      </c>
      <c r="F188" s="36" t="str">
        <f>IF(ISBLANK(Table2[[#This Row],[unique_id]]), "", PROPER(SUBSTITUTE(Table2[[#This Row],[unique_id]], "_", " ")))</f>
        <v>Bathroom Sconces Bulb 1</v>
      </c>
      <c r="H188" s="30" t="s">
        <v>139</v>
      </c>
      <c r="O188" s="31" t="s">
        <v>792</v>
      </c>
      <c r="P188" s="30" t="s">
        <v>165</v>
      </c>
      <c r="Q188" s="30" t="s">
        <v>764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490</v>
      </c>
      <c r="X188" s="47">
        <v>121</v>
      </c>
      <c r="Y188" s="42" t="s">
        <v>760</v>
      </c>
      <c r="Z188" s="31" t="s">
        <v>978</v>
      </c>
      <c r="AA188" s="31"/>
      <c r="AB188" s="30"/>
      <c r="AC188" s="30"/>
      <c r="AG188" s="31"/>
      <c r="AH188" s="31"/>
      <c r="AT188" s="40"/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988</v>
      </c>
      <c r="BC188" s="30" t="s">
        <v>852</v>
      </c>
      <c r="BD188" s="30" t="s">
        <v>451</v>
      </c>
      <c r="BF188" s="30" t="s">
        <v>850</v>
      </c>
      <c r="BG188" s="30" t="s">
        <v>359</v>
      </c>
      <c r="BL188" s="30" t="s">
        <v>866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89" spans="1:66" ht="16" customHeight="1" x14ac:dyDescent="0.2">
      <c r="A189" s="30">
        <v>1656</v>
      </c>
      <c r="B189" s="30" t="s">
        <v>26</v>
      </c>
      <c r="C189" s="30" t="s">
        <v>451</v>
      </c>
      <c r="D189" s="30" t="s">
        <v>137</v>
      </c>
      <c r="E189" s="30" t="s">
        <v>864</v>
      </c>
      <c r="F189" s="36" t="str">
        <f>IF(ISBLANK(Table2[[#This Row],[unique_id]]), "", PROPER(SUBSTITUTE(Table2[[#This Row],[unique_id]], "_", " ")))</f>
        <v>Bathroom Sconces Bulb 2</v>
      </c>
      <c r="H189" s="30" t="s">
        <v>139</v>
      </c>
      <c r="O189" s="31" t="s">
        <v>792</v>
      </c>
      <c r="P189" s="30" t="s">
        <v>165</v>
      </c>
      <c r="Q189" s="30" t="s">
        <v>764</v>
      </c>
      <c r="R189" s="30" t="str">
        <f>Table2[[#This Row],[entity_domain]]</f>
        <v>Lights</v>
      </c>
      <c r="S189" s="30" t="str">
        <f>_xlfn.CONCAT( Table2[[#This Row],[device_suggested_area]], " ",Table2[[#This Row],[powercalc_group_3]])</f>
        <v>Bathroom Lights</v>
      </c>
      <c r="T189" s="37"/>
      <c r="U189" s="30"/>
      <c r="V189" s="31"/>
      <c r="W189" s="31" t="s">
        <v>490</v>
      </c>
      <c r="X189" s="47">
        <v>121</v>
      </c>
      <c r="Y189" s="42" t="s">
        <v>760</v>
      </c>
      <c r="Z189" s="31" t="s">
        <v>978</v>
      </c>
      <c r="AA189" s="31"/>
      <c r="AB189" s="30"/>
      <c r="AC189" s="30"/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989</v>
      </c>
      <c r="BC189" s="30" t="s">
        <v>852</v>
      </c>
      <c r="BD189" s="30" t="s">
        <v>451</v>
      </c>
      <c r="BF189" s="30" t="s">
        <v>850</v>
      </c>
      <c r="BG189" s="30" t="s">
        <v>359</v>
      </c>
      <c r="BL189" s="30" t="s">
        <v>867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0" spans="1:66" ht="16" customHeight="1" x14ac:dyDescent="0.2">
      <c r="A190" s="30">
        <v>1657</v>
      </c>
      <c r="B190" s="30" t="s">
        <v>26</v>
      </c>
      <c r="C190" s="30" t="s">
        <v>378</v>
      </c>
      <c r="D190" s="30" t="s">
        <v>137</v>
      </c>
      <c r="E190" s="30" t="s">
        <v>305</v>
      </c>
      <c r="F190" s="36" t="str">
        <f>IF(ISBLANK(Table2[[#This Row],[unique_id]]), "", PROPER(SUBSTITUTE(Table2[[#This Row],[unique_id]], "_", " ")))</f>
        <v>Ensuite Main</v>
      </c>
      <c r="G190" s="30" t="s">
        <v>197</v>
      </c>
      <c r="H190" s="30" t="s">
        <v>139</v>
      </c>
      <c r="I190" s="30" t="s">
        <v>132</v>
      </c>
      <c r="J190" s="30" t="s">
        <v>727</v>
      </c>
      <c r="K190" s="30" t="s">
        <v>888</v>
      </c>
      <c r="M190" s="30" t="s">
        <v>136</v>
      </c>
      <c r="O190" s="31"/>
      <c r="P190" s="30"/>
      <c r="T190" s="37"/>
      <c r="U190" s="30"/>
      <c r="V190" s="31"/>
      <c r="W190" s="31" t="s">
        <v>491</v>
      </c>
      <c r="X190" s="47">
        <v>112</v>
      </c>
      <c r="Y190" s="42" t="s">
        <v>762</v>
      </c>
      <c r="Z190" s="42" t="s">
        <v>977</v>
      </c>
      <c r="AA190" s="42"/>
      <c r="AB190" s="30"/>
      <c r="AC190" s="30"/>
      <c r="AE190" s="30" t="s">
        <v>292</v>
      </c>
      <c r="AG190" s="31"/>
      <c r="AH190" s="31"/>
      <c r="AT1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Ensuite</v>
      </c>
      <c r="BA190" s="30" t="str">
        <f>IF(ISBLANK(Table2[[#This Row],[device_model]]), "", Table2[[#This Row],[device_suggested_area]])</f>
        <v>Ensuite</v>
      </c>
      <c r="BB190" s="30" t="s">
        <v>1001</v>
      </c>
      <c r="BC190" s="30" t="s">
        <v>566</v>
      </c>
      <c r="BD190" s="30" t="s">
        <v>378</v>
      </c>
      <c r="BE190" s="30" t="s">
        <v>1464</v>
      </c>
      <c r="BF190" s="30" t="s">
        <v>563</v>
      </c>
      <c r="BG190" s="30" t="s">
        <v>395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1" spans="1:66" ht="16" customHeight="1" x14ac:dyDescent="0.2">
      <c r="A191" s="30">
        <v>1658</v>
      </c>
      <c r="B191" s="30" t="s">
        <v>26</v>
      </c>
      <c r="C191" s="30" t="s">
        <v>378</v>
      </c>
      <c r="D191" s="30" t="s">
        <v>137</v>
      </c>
      <c r="E191" s="30" t="s">
        <v>957</v>
      </c>
      <c r="F191" s="36" t="str">
        <f>IF(ISBLANK(Table2[[#This Row],[unique_id]]), "", PROPER(SUBSTITUTE(Table2[[#This Row],[unique_id]], "_", " ")))</f>
        <v>Ensuite Main Bulb 1</v>
      </c>
      <c r="H191" s="30" t="s">
        <v>139</v>
      </c>
      <c r="O191" s="31" t="s">
        <v>792</v>
      </c>
      <c r="P191" s="30" t="s">
        <v>165</v>
      </c>
      <c r="Q191" s="30" t="s">
        <v>764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Ensuite Lights</v>
      </c>
      <c r="T191" s="37"/>
      <c r="U191" s="30"/>
      <c r="V191" s="31"/>
      <c r="W191" s="31" t="s">
        <v>490</v>
      </c>
      <c r="X191" s="47">
        <v>112</v>
      </c>
      <c r="Y191" s="42" t="s">
        <v>760</v>
      </c>
      <c r="Z191" s="42" t="s">
        <v>977</v>
      </c>
      <c r="AA191" s="42"/>
      <c r="AB191" s="30"/>
      <c r="AC191" s="30"/>
      <c r="AG191" s="31"/>
      <c r="AH191" s="31"/>
      <c r="AT1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Ensuite</v>
      </c>
      <c r="BA191" s="30" t="str">
        <f>IF(ISBLANK(Table2[[#This Row],[device_model]]), "", Table2[[#This Row],[device_suggested_area]])</f>
        <v>Ensuite</v>
      </c>
      <c r="BB191" s="30" t="s">
        <v>1002</v>
      </c>
      <c r="BC191" s="30" t="s">
        <v>566</v>
      </c>
      <c r="BD191" s="30" t="s">
        <v>378</v>
      </c>
      <c r="BE191" s="30" t="s">
        <v>1464</v>
      </c>
      <c r="BF191" s="30" t="s">
        <v>563</v>
      </c>
      <c r="BG191" s="30" t="s">
        <v>395</v>
      </c>
      <c r="BL191" s="30" t="s">
        <v>520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2" spans="1:66" ht="16" customHeight="1" x14ac:dyDescent="0.2">
      <c r="A192" s="30">
        <v>1659</v>
      </c>
      <c r="B192" s="30" t="s">
        <v>26</v>
      </c>
      <c r="C192" s="30" t="s">
        <v>451</v>
      </c>
      <c r="D192" s="30" t="s">
        <v>137</v>
      </c>
      <c r="E192" s="30" t="s">
        <v>844</v>
      </c>
      <c r="F192" s="36" t="str">
        <f>IF(ISBLANK(Table2[[#This Row],[unique_id]]), "", PROPER(SUBSTITUTE(Table2[[#This Row],[unique_id]], "_", " ")))</f>
        <v>Ensuite Sconces</v>
      </c>
      <c r="G192" s="30" t="s">
        <v>848</v>
      </c>
      <c r="H192" s="30" t="s">
        <v>139</v>
      </c>
      <c r="I192" s="30" t="s">
        <v>132</v>
      </c>
      <c r="J192" s="30" t="s">
        <v>849</v>
      </c>
      <c r="K192" s="30" t="s">
        <v>887</v>
      </c>
      <c r="M192" s="30" t="s">
        <v>136</v>
      </c>
      <c r="O192" s="31"/>
      <c r="P192" s="30"/>
      <c r="T192" s="37"/>
      <c r="U192" s="30"/>
      <c r="V192" s="31"/>
      <c r="W192" s="31" t="s">
        <v>491</v>
      </c>
      <c r="X192" s="47">
        <v>118</v>
      </c>
      <c r="Y192" s="42" t="s">
        <v>762</v>
      </c>
      <c r="Z192" s="31" t="s">
        <v>978</v>
      </c>
      <c r="AA192" s="31"/>
      <c r="AB192" s="30"/>
      <c r="AC192" s="30"/>
      <c r="AE192" s="30" t="s">
        <v>292</v>
      </c>
      <c r="AG192" s="31"/>
      <c r="AH192" s="31"/>
      <c r="AT192" s="40"/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849</v>
      </c>
      <c r="BC192" s="30" t="s">
        <v>852</v>
      </c>
      <c r="BD192" s="30" t="s">
        <v>451</v>
      </c>
      <c r="BF192" s="30" t="s">
        <v>850</v>
      </c>
      <c r="BG192" s="30" t="s">
        <v>395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451</v>
      </c>
      <c r="D193" s="30" t="s">
        <v>137</v>
      </c>
      <c r="E193" s="30" t="s">
        <v>845</v>
      </c>
      <c r="F193" s="36" t="str">
        <f>IF(ISBLANK(Table2[[#This Row],[unique_id]]), "", PROPER(SUBSTITUTE(Table2[[#This Row],[unique_id]], "_", " ")))</f>
        <v>Ensuite Sconces Bulb 1</v>
      </c>
      <c r="H193" s="30" t="s">
        <v>139</v>
      </c>
      <c r="O193" s="31" t="s">
        <v>792</v>
      </c>
      <c r="P193" s="30" t="s">
        <v>165</v>
      </c>
      <c r="Q193" s="30" t="s">
        <v>764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490</v>
      </c>
      <c r="X193" s="47">
        <v>118</v>
      </c>
      <c r="Y193" s="42" t="s">
        <v>760</v>
      </c>
      <c r="Z193" s="31" t="s">
        <v>978</v>
      </c>
      <c r="AA193" s="31"/>
      <c r="AB193" s="30"/>
      <c r="AC193" s="30"/>
      <c r="AG193" s="31"/>
      <c r="AH193" s="31"/>
      <c r="AT193" s="40"/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988</v>
      </c>
      <c r="BC193" s="30" t="s">
        <v>852</v>
      </c>
      <c r="BD193" s="30" t="s">
        <v>451</v>
      </c>
      <c r="BF193" s="30" t="s">
        <v>850</v>
      </c>
      <c r="BG193" s="30" t="s">
        <v>395</v>
      </c>
      <c r="BL193" s="30" t="s">
        <v>851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4" spans="1:66" ht="16" customHeight="1" x14ac:dyDescent="0.2">
      <c r="A194" s="30">
        <v>1661</v>
      </c>
      <c r="B194" s="30" t="s">
        <v>26</v>
      </c>
      <c r="C194" s="30" t="s">
        <v>451</v>
      </c>
      <c r="D194" s="30" t="s">
        <v>137</v>
      </c>
      <c r="E194" s="30" t="s">
        <v>846</v>
      </c>
      <c r="F194" s="36" t="str">
        <f>IF(ISBLANK(Table2[[#This Row],[unique_id]]), "", PROPER(SUBSTITUTE(Table2[[#This Row],[unique_id]], "_", " ")))</f>
        <v>Ensuite Sconces Bulb 2</v>
      </c>
      <c r="H194" s="30" t="s">
        <v>139</v>
      </c>
      <c r="O194" s="31" t="s">
        <v>792</v>
      </c>
      <c r="P194" s="30" t="s">
        <v>165</v>
      </c>
      <c r="Q194" s="30" t="s">
        <v>764</v>
      </c>
      <c r="R194" s="30" t="str">
        <f>Table2[[#This Row],[entity_domain]]</f>
        <v>Lights</v>
      </c>
      <c r="S194" s="30" t="str">
        <f>_xlfn.CONCAT( Table2[[#This Row],[device_suggested_area]], " ",Table2[[#This Row],[powercalc_group_3]])</f>
        <v>Ensuite Lights</v>
      </c>
      <c r="T194" s="37"/>
      <c r="U194" s="30"/>
      <c r="V194" s="31"/>
      <c r="W194" s="31" t="s">
        <v>490</v>
      </c>
      <c r="X194" s="47">
        <v>118</v>
      </c>
      <c r="Y194" s="42" t="s">
        <v>760</v>
      </c>
      <c r="Z194" s="31" t="s">
        <v>978</v>
      </c>
      <c r="AA194" s="31"/>
      <c r="AB194" s="30"/>
      <c r="AC194" s="30"/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989</v>
      </c>
      <c r="BC194" s="30" t="s">
        <v>852</v>
      </c>
      <c r="BD194" s="30" t="s">
        <v>451</v>
      </c>
      <c r="BF194" s="30" t="s">
        <v>850</v>
      </c>
      <c r="BG194" s="30" t="s">
        <v>395</v>
      </c>
      <c r="BL194" s="30" t="s">
        <v>853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5" spans="1:66" ht="16" customHeight="1" x14ac:dyDescent="0.2">
      <c r="A195" s="30">
        <v>1662</v>
      </c>
      <c r="B195" s="30" t="s">
        <v>26</v>
      </c>
      <c r="C195" s="30" t="s">
        <v>451</v>
      </c>
      <c r="D195" s="30" t="s">
        <v>137</v>
      </c>
      <c r="E195" s="30" t="s">
        <v>847</v>
      </c>
      <c r="F195" s="36" t="str">
        <f>IF(ISBLANK(Table2[[#This Row],[unique_id]]), "", PROPER(SUBSTITUTE(Table2[[#This Row],[unique_id]], "_", " ")))</f>
        <v>Ensuite Sconces Bulb 3</v>
      </c>
      <c r="H195" s="30" t="s">
        <v>139</v>
      </c>
      <c r="O195" s="31" t="s">
        <v>792</v>
      </c>
      <c r="P195" s="30" t="s">
        <v>165</v>
      </c>
      <c r="Q195" s="30" t="s">
        <v>764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490</v>
      </c>
      <c r="X195" s="47">
        <v>118</v>
      </c>
      <c r="Y195" s="42" t="s">
        <v>760</v>
      </c>
      <c r="Z195" s="31" t="s">
        <v>978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992</v>
      </c>
      <c r="BC195" s="30" t="s">
        <v>852</v>
      </c>
      <c r="BD195" s="30" t="s">
        <v>451</v>
      </c>
      <c r="BF195" s="30" t="s">
        <v>850</v>
      </c>
      <c r="BG195" s="30" t="s">
        <v>395</v>
      </c>
      <c r="BL195" s="30" t="s">
        <v>854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6" spans="1:66" ht="16" customHeight="1" x14ac:dyDescent="0.2">
      <c r="A196" s="30">
        <v>1663</v>
      </c>
      <c r="B196" s="30" t="s">
        <v>26</v>
      </c>
      <c r="C196" s="30" t="s">
        <v>378</v>
      </c>
      <c r="D196" s="30" t="s">
        <v>137</v>
      </c>
      <c r="E196" s="30" t="s">
        <v>306</v>
      </c>
      <c r="F196" s="36" t="str">
        <f>IF(ISBLANK(Table2[[#This Row],[unique_id]]), "", PROPER(SUBSTITUTE(Table2[[#This Row],[unique_id]], "_", " ")))</f>
        <v>Wardrobe Main</v>
      </c>
      <c r="G196" s="30" t="s">
        <v>201</v>
      </c>
      <c r="H196" s="30" t="s">
        <v>139</v>
      </c>
      <c r="I196" s="30" t="s">
        <v>132</v>
      </c>
      <c r="J196" s="30" t="s">
        <v>727</v>
      </c>
      <c r="K196" s="39" t="s">
        <v>885</v>
      </c>
      <c r="M196" s="30" t="s">
        <v>136</v>
      </c>
      <c r="O196" s="31"/>
      <c r="P196" s="30"/>
      <c r="T196" s="37"/>
      <c r="U196" s="30"/>
      <c r="V196" s="31"/>
      <c r="W196" s="31" t="s">
        <v>491</v>
      </c>
      <c r="X196" s="47">
        <v>113</v>
      </c>
      <c r="Y196" s="42" t="s">
        <v>762</v>
      </c>
      <c r="Z196" s="42" t="s">
        <v>976</v>
      </c>
      <c r="AA196" s="42"/>
      <c r="AB196" s="30"/>
      <c r="AC196" s="30"/>
      <c r="AE196" s="30" t="s">
        <v>292</v>
      </c>
      <c r="AG196" s="31"/>
      <c r="AH196" s="31"/>
      <c r="AT1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Wardrobe</v>
      </c>
      <c r="BA196" s="30" t="str">
        <f>IF(ISBLANK(Table2[[#This Row],[device_model]]), "", Table2[[#This Row],[device_suggested_area]])</f>
        <v>Wardrobe</v>
      </c>
      <c r="BB196" s="30" t="s">
        <v>1001</v>
      </c>
      <c r="BC196" s="30" t="s">
        <v>566</v>
      </c>
      <c r="BD196" s="30" t="s">
        <v>378</v>
      </c>
      <c r="BE196" s="30" t="s">
        <v>1464</v>
      </c>
      <c r="BF196" s="30" t="s">
        <v>563</v>
      </c>
      <c r="BG196" s="30" t="s">
        <v>496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7" spans="1:66" ht="16" customHeight="1" x14ac:dyDescent="0.2">
      <c r="A197" s="30">
        <v>1664</v>
      </c>
      <c r="B197" s="30" t="s">
        <v>26</v>
      </c>
      <c r="C197" s="30" t="s">
        <v>378</v>
      </c>
      <c r="D197" s="30" t="s">
        <v>137</v>
      </c>
      <c r="E197" s="30" t="s">
        <v>958</v>
      </c>
      <c r="F197" s="36" t="str">
        <f>IF(ISBLANK(Table2[[#This Row],[unique_id]]), "", PROPER(SUBSTITUTE(Table2[[#This Row],[unique_id]], "_", " ")))</f>
        <v>Wardrobe Main Bulb 1</v>
      </c>
      <c r="H197" s="30" t="s">
        <v>139</v>
      </c>
      <c r="O197" s="31" t="s">
        <v>792</v>
      </c>
      <c r="P197" s="30" t="s">
        <v>165</v>
      </c>
      <c r="Q197" s="30" t="s">
        <v>764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Wardrobe Lights</v>
      </c>
      <c r="T197" s="37"/>
      <c r="U197" s="30"/>
      <c r="V197" s="31"/>
      <c r="W197" s="31" t="s">
        <v>490</v>
      </c>
      <c r="X197" s="47">
        <v>113</v>
      </c>
      <c r="Y197" s="42" t="s">
        <v>760</v>
      </c>
      <c r="Z197" s="42" t="s">
        <v>976</v>
      </c>
      <c r="AA197" s="42"/>
      <c r="AB197" s="30"/>
      <c r="AC197" s="30"/>
      <c r="AG197" s="31"/>
      <c r="AH197" s="31"/>
      <c r="AT1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Wardrobe</v>
      </c>
      <c r="BA197" s="30" t="str">
        <f>IF(ISBLANK(Table2[[#This Row],[device_model]]), "", Table2[[#This Row],[device_suggested_area]])</f>
        <v>Wardrobe</v>
      </c>
      <c r="BB197" s="30" t="s">
        <v>1002</v>
      </c>
      <c r="BC197" s="30" t="s">
        <v>566</v>
      </c>
      <c r="BD197" s="30" t="s">
        <v>378</v>
      </c>
      <c r="BE197" s="30" t="s">
        <v>1464</v>
      </c>
      <c r="BF197" s="30" t="s">
        <v>563</v>
      </c>
      <c r="BG197" s="30" t="s">
        <v>496</v>
      </c>
      <c r="BL197" s="30" t="s">
        <v>521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198" spans="1:66" s="55" customFormat="1" ht="16" customHeight="1" x14ac:dyDescent="0.2">
      <c r="A198" s="55">
        <v>1665</v>
      </c>
      <c r="B198" s="55" t="s">
        <v>580</v>
      </c>
      <c r="C198" s="55" t="s">
        <v>812</v>
      </c>
      <c r="D198" s="55" t="s">
        <v>148</v>
      </c>
      <c r="E198" s="56" t="s">
        <v>1437</v>
      </c>
      <c r="F198" s="57" t="str">
        <f>IF(ISBLANK(Table2[[#This Row],[unique_id]]), "", PROPER(SUBSTITUTE(Table2[[#This Row],[unique_id]], "_", " ")))</f>
        <v>Broken Template Deck Festoons Plug Proxy</v>
      </c>
      <c r="G198" s="55" t="s">
        <v>295</v>
      </c>
      <c r="H198" s="55" t="s">
        <v>139</v>
      </c>
      <c r="I198" s="55" t="s">
        <v>132</v>
      </c>
      <c r="O198" s="58" t="s">
        <v>792</v>
      </c>
      <c r="T198" s="56" t="str">
        <f>_xlfn.CONCAT("standby_power: 0.5", CHAR(10), "unavailable_power: 0", CHAR(10), "fixed:", CHAR(10), "  power: 0.9", CHAR(10))</f>
        <v xml:space="preserve">standby_power: 0.5
unavailable_power: 0
fixed:
  power: 0.9
</v>
      </c>
      <c r="V198" s="58"/>
      <c r="W198" s="58"/>
      <c r="X198" s="58"/>
      <c r="Y198" s="58"/>
      <c r="Z198" s="58"/>
      <c r="AA198" s="58"/>
      <c r="AG198" s="58"/>
      <c r="AH198" s="58"/>
      <c r="AT198" s="59"/>
      <c r="AU198" s="55" t="s">
        <v>134</v>
      </c>
      <c r="AV19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8" s="55" t="str">
        <f>IF(ISBLANK(Table2[[#This Row],[device_model]]), "", Table2[[#This Row],[device_suggested_area]])</f>
        <v>Deck</v>
      </c>
      <c r="BB198" s="55" t="s">
        <v>731</v>
      </c>
      <c r="BC198" s="55" t="s">
        <v>361</v>
      </c>
      <c r="BD198" s="55" t="s">
        <v>233</v>
      </c>
      <c r="BF198" s="55" t="s">
        <v>362</v>
      </c>
      <c r="BG198" s="55" t="s">
        <v>358</v>
      </c>
      <c r="BN19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s="55" customFormat="1" ht="16" customHeight="1" x14ac:dyDescent="0.2">
      <c r="A199" s="55">
        <v>1666</v>
      </c>
      <c r="B199" s="55" t="s">
        <v>580</v>
      </c>
      <c r="C199" s="55" t="s">
        <v>233</v>
      </c>
      <c r="D199" s="55" t="s">
        <v>134</v>
      </c>
      <c r="E199" s="55" t="s">
        <v>1438</v>
      </c>
      <c r="F199" s="57" t="str">
        <f>IF(ISBLANK(Table2[[#This Row],[unique_id]]), "", PROPER(SUBSTITUTE(Table2[[#This Row],[unique_id]], "_", " ")))</f>
        <v>Broken Deck Festoons Plug</v>
      </c>
      <c r="G199" s="55" t="s">
        <v>295</v>
      </c>
      <c r="H199" s="55" t="s">
        <v>139</v>
      </c>
      <c r="I199" s="55" t="s">
        <v>132</v>
      </c>
      <c r="O199" s="58" t="s">
        <v>792</v>
      </c>
      <c r="T199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199" s="58"/>
      <c r="W199" s="58"/>
      <c r="X199" s="58"/>
      <c r="Y199" s="58"/>
      <c r="Z199" s="58"/>
      <c r="AA199" s="58"/>
      <c r="AE199" s="55" t="s">
        <v>292</v>
      </c>
      <c r="AG199" s="58"/>
      <c r="AH199" s="58"/>
      <c r="AT199" s="59"/>
      <c r="AV1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9" s="55" t="str">
        <f>IF(ISBLANK(Table2[[#This Row],[device_model]]), "", Table2[[#This Row],[device_suggested_area]])</f>
        <v>Deck</v>
      </c>
      <c r="BB199" s="55" t="s">
        <v>731</v>
      </c>
      <c r="BC199" s="55" t="s">
        <v>361</v>
      </c>
      <c r="BD199" s="55" t="s">
        <v>233</v>
      </c>
      <c r="BF199" s="55" t="s">
        <v>362</v>
      </c>
      <c r="BG199" s="55" t="s">
        <v>358</v>
      </c>
      <c r="BJ199" s="55" t="s">
        <v>981</v>
      </c>
      <c r="BK199" s="55" t="s">
        <v>1301</v>
      </c>
      <c r="BL199" s="55" t="s">
        <v>562</v>
      </c>
      <c r="BM199" s="55" t="s">
        <v>1328</v>
      </c>
      <c r="BN1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0" spans="1:66" ht="16" customHeight="1" x14ac:dyDescent="0.2">
      <c r="A200" s="30">
        <v>1667</v>
      </c>
      <c r="B200" s="30" t="s">
        <v>26</v>
      </c>
      <c r="C200" s="30" t="s">
        <v>812</v>
      </c>
      <c r="D200" s="30" t="s">
        <v>148</v>
      </c>
      <c r="E200" s="37" t="s">
        <v>959</v>
      </c>
      <c r="F200" s="36" t="str">
        <f>IF(ISBLANK(Table2[[#This Row],[unique_id]]), "", PROPER(SUBSTITUTE(Table2[[#This Row],[unique_id]], "_", " ")))</f>
        <v>Template Deck Festoons Plug Proxy</v>
      </c>
      <c r="G200" s="30" t="s">
        <v>206</v>
      </c>
      <c r="H200" s="30" t="s">
        <v>139</v>
      </c>
      <c r="I200" s="30" t="s">
        <v>132</v>
      </c>
      <c r="O200" s="31" t="s">
        <v>792</v>
      </c>
      <c r="P200" s="30" t="s">
        <v>165</v>
      </c>
      <c r="Q200" s="30" t="s">
        <v>764</v>
      </c>
      <c r="R200" s="30" t="str">
        <f>Table2[[#This Row],[entity_domain]]</f>
        <v>Lights</v>
      </c>
      <c r="S200" s="30" t="str">
        <f>_xlfn.CONCAT( Table2[[#This Row],[device_suggested_area]], " ",Table2[[#This Row],[powercalc_group_3]])</f>
        <v>Deck Lights</v>
      </c>
      <c r="T200" s="37" t="s">
        <v>1074</v>
      </c>
      <c r="U200" s="30"/>
      <c r="V200" s="31"/>
      <c r="W200" s="31"/>
      <c r="X200" s="31"/>
      <c r="Y200" s="31"/>
      <c r="Z200" s="31"/>
      <c r="AA200" s="31"/>
      <c r="AB200" s="30"/>
      <c r="AC200" s="30"/>
      <c r="AG200" s="31"/>
      <c r="AH200" s="31"/>
      <c r="AT200" s="40"/>
      <c r="AU200" s="30" t="s">
        <v>137</v>
      </c>
      <c r="AV2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30" t="str">
        <f>IF(ISBLANK(Table2[[#This Row],[device_model]]), "", Table2[[#This Row],[device_suggested_area]])</f>
        <v>Deck</v>
      </c>
      <c r="BB200" s="30" t="s">
        <v>731</v>
      </c>
      <c r="BC200" s="30" t="s">
        <v>1116</v>
      </c>
      <c r="BD200" s="30" t="s">
        <v>1115</v>
      </c>
      <c r="BF200" s="30" t="s">
        <v>891</v>
      </c>
      <c r="BG200" s="30" t="s">
        <v>358</v>
      </c>
      <c r="BN2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ht="16" customHeight="1" x14ac:dyDescent="0.2">
      <c r="A201" s="30">
        <v>1668</v>
      </c>
      <c r="B201" s="30" t="s">
        <v>26</v>
      </c>
      <c r="C201" s="30" t="s">
        <v>697</v>
      </c>
      <c r="D201" s="30" t="s">
        <v>137</v>
      </c>
      <c r="E201" s="30" t="s">
        <v>836</v>
      </c>
      <c r="F201" s="36" t="str">
        <f>IF(ISBLANK(Table2[[#This Row],[unique_id]]), "", PROPER(SUBSTITUTE(Table2[[#This Row],[unique_id]], "_", " ")))</f>
        <v>Deck Festoons Plug</v>
      </c>
      <c r="G201" s="30" t="s">
        <v>295</v>
      </c>
      <c r="H201" s="30" t="s">
        <v>139</v>
      </c>
      <c r="I201" s="30" t="s">
        <v>132</v>
      </c>
      <c r="J201" s="30" t="s">
        <v>731</v>
      </c>
      <c r="M201" s="30" t="s">
        <v>136</v>
      </c>
      <c r="O201" s="31" t="s">
        <v>792</v>
      </c>
      <c r="P201" s="30" t="s">
        <v>165</v>
      </c>
      <c r="Q201" s="30" t="s">
        <v>764</v>
      </c>
      <c r="R201" s="30" t="str">
        <f>Table2[[#This Row],[entity_domain]]</f>
        <v>Lights</v>
      </c>
      <c r="S201" s="30" t="str">
        <f>_xlfn.CONCAT( Table2[[#This Row],[device_suggested_area]], " ",Table2[[#This Row],[powercalc_group_3]])</f>
        <v>Deck Lights</v>
      </c>
      <c r="T201" s="37" t="s">
        <v>1056</v>
      </c>
      <c r="U201" s="30"/>
      <c r="V201" s="31"/>
      <c r="W201" s="31"/>
      <c r="X201" s="31"/>
      <c r="Y201" s="31"/>
      <c r="Z201" s="31"/>
      <c r="AA201" s="42" t="s">
        <v>1108</v>
      </c>
      <c r="AB201" s="30"/>
      <c r="AC201" s="30"/>
      <c r="AE201" s="30" t="s">
        <v>292</v>
      </c>
      <c r="AF201" s="30">
        <v>10</v>
      </c>
      <c r="AG201" s="31" t="s">
        <v>34</v>
      </c>
      <c r="AH201" s="31" t="s">
        <v>901</v>
      </c>
      <c r="AJ201" s="30" t="str">
        <f>_xlfn.CONCAT("homeassistant/", Table2[[#This Row],[entity_namespace]], "/tasmota/",Table2[[#This Row],[unique_id]], "/config")</f>
        <v>homeassistant/light/tasmota/deck_festoons_plug/config</v>
      </c>
      <c r="AK201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1" s="30" t="str">
        <f>_xlfn.CONCAT("tasmota/device/",Table2[[#This Row],[unique_id]], "/cmnd/POWER")</f>
        <v>tasmota/device/deck_festoons_plug/cmnd/POWER</v>
      </c>
      <c r="AM201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1" s="30" t="s">
        <v>920</v>
      </c>
      <c r="AO201" s="30" t="s">
        <v>921</v>
      </c>
      <c r="AP201" s="30" t="s">
        <v>910</v>
      </c>
      <c r="AQ201" s="30" t="s">
        <v>911</v>
      </c>
      <c r="AR201" s="30" t="s">
        <v>974</v>
      </c>
      <c r="AS201" s="30">
        <v>1</v>
      </c>
      <c r="AT201" s="34" t="str">
        <f>HYPERLINK(_xlfn.CONCAT("http://", Table2[[#This Row],[connection_ip]], "/?"))</f>
        <v>http://10.0.4.107/?</v>
      </c>
      <c r="AU201" s="30"/>
      <c r="AV2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30" t="str">
        <f>IF(ISBLANK(Table2[[#This Row],[device_model]]), "", Table2[[#This Row],[device_suggested_area]])</f>
        <v>Deck</v>
      </c>
      <c r="BB201" s="30" t="s">
        <v>731</v>
      </c>
      <c r="BC201" s="30" t="s">
        <v>1116</v>
      </c>
      <c r="BD201" s="30" t="s">
        <v>1115</v>
      </c>
      <c r="BF201" s="30" t="s">
        <v>891</v>
      </c>
      <c r="BG201" s="30" t="s">
        <v>358</v>
      </c>
      <c r="BK201" s="30" t="s">
        <v>1301</v>
      </c>
      <c r="BL201" s="30" t="s">
        <v>1058</v>
      </c>
      <c r="BM201" s="30" t="s">
        <v>1329</v>
      </c>
      <c r="BN2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2" spans="1:66" ht="16" customHeight="1" x14ac:dyDescent="0.2">
      <c r="A202" s="30">
        <v>1669</v>
      </c>
      <c r="B202" s="30" t="s">
        <v>26</v>
      </c>
      <c r="C202" s="30" t="s">
        <v>697</v>
      </c>
      <c r="D202" s="30" t="s">
        <v>27</v>
      </c>
      <c r="E202" s="30" t="s">
        <v>1053</v>
      </c>
      <c r="F202" s="36" t="str">
        <f>IF(ISBLANK(Table2[[#This Row],[unique_id]]), "", PROPER(SUBSTITUTE(Table2[[#This Row],[unique_id]], "_", " ")))</f>
        <v>Deck Festoons Plug Humidity</v>
      </c>
      <c r="G202" s="30" t="s">
        <v>295</v>
      </c>
      <c r="H202" s="30" t="s">
        <v>139</v>
      </c>
      <c r="I202" s="30" t="s">
        <v>132</v>
      </c>
      <c r="O202" s="31"/>
      <c r="P202" s="30"/>
      <c r="T202" s="37"/>
      <c r="U202" s="30"/>
      <c r="V202" s="31"/>
      <c r="W202" s="31"/>
      <c r="X202" s="31"/>
      <c r="Y202" s="31"/>
      <c r="Z202" s="31"/>
      <c r="AA202" s="31"/>
      <c r="AB202" s="30" t="s">
        <v>31</v>
      </c>
      <c r="AC202" s="30" t="s">
        <v>32</v>
      </c>
      <c r="AD202" s="30" t="s">
        <v>33</v>
      </c>
      <c r="AF202" s="30">
        <v>10</v>
      </c>
      <c r="AG202" s="31" t="s">
        <v>34</v>
      </c>
      <c r="AH202" s="31" t="s">
        <v>901</v>
      </c>
      <c r="AJ202" s="30" t="str">
        <f>_xlfn.CONCAT("homeassistant/", Table2[[#This Row],[entity_namespace]], "/tasmota/",Table2[[#This Row],[unique_id]], "/config")</f>
        <v>homeassistant/sensor/tasmota/deck_festoons_plug_humidity/config</v>
      </c>
      <c r="AK202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2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2" s="30" t="s">
        <v>920</v>
      </c>
      <c r="AO202" s="30" t="s">
        <v>921</v>
      </c>
      <c r="AP202" s="30" t="s">
        <v>910</v>
      </c>
      <c r="AQ202" s="30" t="s">
        <v>911</v>
      </c>
      <c r="AR202" s="30" t="s">
        <v>1242</v>
      </c>
      <c r="AS202" s="30">
        <v>1</v>
      </c>
      <c r="AT202" s="34"/>
      <c r="AU202" s="30"/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731</v>
      </c>
      <c r="BC202" s="30" t="s">
        <v>1116</v>
      </c>
      <c r="BD202" s="30" t="s">
        <v>1115</v>
      </c>
      <c r="BF202" s="30" t="s">
        <v>891</v>
      </c>
      <c r="BG202" s="30" t="s">
        <v>358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s="55" customFormat="1" ht="16" customHeight="1" x14ac:dyDescent="0.2">
      <c r="A203" s="55">
        <v>1670</v>
      </c>
      <c r="B203" s="55" t="s">
        <v>580</v>
      </c>
      <c r="C203" s="55" t="s">
        <v>812</v>
      </c>
      <c r="D203" s="55" t="s">
        <v>148</v>
      </c>
      <c r="E203" s="56" t="s">
        <v>1439</v>
      </c>
      <c r="F203" s="57" t="str">
        <f>IF(ISBLANK(Table2[[#This Row],[unique_id]]), "", PROPER(SUBSTITUTE(Table2[[#This Row],[unique_id]], "_", " ")))</f>
        <v>Broken Template Landing Festoons Plug Proxy</v>
      </c>
      <c r="G203" s="55" t="s">
        <v>559</v>
      </c>
      <c r="H203" s="55" t="s">
        <v>139</v>
      </c>
      <c r="I203" s="55" t="s">
        <v>132</v>
      </c>
      <c r="O203" s="58" t="s">
        <v>792</v>
      </c>
      <c r="T203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3" s="58"/>
      <c r="W203" s="58"/>
      <c r="X203" s="58"/>
      <c r="Y203" s="58"/>
      <c r="Z203" s="58"/>
      <c r="AA203" s="58"/>
      <c r="AG203" s="58"/>
      <c r="AH203" s="58"/>
      <c r="AT203" s="59"/>
      <c r="AU203" s="55" t="s">
        <v>134</v>
      </c>
      <c r="AV20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55" t="str">
        <f>IF(ISBLANK(Table2[[#This Row],[device_model]]), "", Table2[[#This Row],[device_suggested_area]])</f>
        <v>Landing</v>
      </c>
      <c r="BB203" s="55" t="s">
        <v>731</v>
      </c>
      <c r="BC203" s="55" t="s">
        <v>361</v>
      </c>
      <c r="BD203" s="55" t="s">
        <v>233</v>
      </c>
      <c r="BF203" s="55" t="s">
        <v>362</v>
      </c>
      <c r="BG203" s="55" t="s">
        <v>560</v>
      </c>
      <c r="BN20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4" spans="1:66" s="55" customFormat="1" ht="16" customHeight="1" x14ac:dyDescent="0.2">
      <c r="A204" s="55">
        <v>1671</v>
      </c>
      <c r="B204" s="55" t="s">
        <v>580</v>
      </c>
      <c r="C204" s="55" t="s">
        <v>233</v>
      </c>
      <c r="D204" s="55" t="s">
        <v>134</v>
      </c>
      <c r="E204" s="55" t="s">
        <v>1440</v>
      </c>
      <c r="F204" s="57" t="str">
        <f>IF(ISBLANK(Table2[[#This Row],[unique_id]]), "", PROPER(SUBSTITUTE(Table2[[#This Row],[unique_id]], "_", " ")))</f>
        <v>Broken Landing Festoons Plug</v>
      </c>
      <c r="G204" s="55" t="s">
        <v>559</v>
      </c>
      <c r="H204" s="55" t="s">
        <v>139</v>
      </c>
      <c r="I204" s="55" t="s">
        <v>132</v>
      </c>
      <c r="O204" s="58" t="s">
        <v>792</v>
      </c>
      <c r="T204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4" s="58"/>
      <c r="W204" s="58"/>
      <c r="X204" s="58"/>
      <c r="Y204" s="58"/>
      <c r="Z204" s="58"/>
      <c r="AA204" s="58"/>
      <c r="AE204" s="55" t="s">
        <v>292</v>
      </c>
      <c r="AG204" s="58"/>
      <c r="AH204" s="58"/>
      <c r="AT204" s="59"/>
      <c r="AV2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55" t="str">
        <f>IF(ISBLANK(Table2[[#This Row],[device_model]]), "", Table2[[#This Row],[device_suggested_area]])</f>
        <v>Landing</v>
      </c>
      <c r="BB204" s="55" t="s">
        <v>731</v>
      </c>
      <c r="BC204" s="55" t="s">
        <v>361</v>
      </c>
      <c r="BD204" s="55" t="s">
        <v>233</v>
      </c>
      <c r="BF204" s="55" t="s">
        <v>362</v>
      </c>
      <c r="BG204" s="55" t="s">
        <v>560</v>
      </c>
      <c r="BJ204" s="55" t="s">
        <v>981</v>
      </c>
      <c r="BK204" s="55" t="s">
        <v>1301</v>
      </c>
      <c r="BL204" s="55" t="s">
        <v>561</v>
      </c>
      <c r="BM204" s="55" t="s">
        <v>1330</v>
      </c>
      <c r="BN2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5" spans="1:66" ht="16" customHeight="1" x14ac:dyDescent="0.2">
      <c r="A205" s="30">
        <v>1672</v>
      </c>
      <c r="B205" s="30" t="s">
        <v>26</v>
      </c>
      <c r="C205" s="30" t="s">
        <v>812</v>
      </c>
      <c r="D205" s="30" t="s">
        <v>148</v>
      </c>
      <c r="E205" s="37" t="s">
        <v>960</v>
      </c>
      <c r="F205" s="36" t="str">
        <f>IF(ISBLANK(Table2[[#This Row],[unique_id]]), "", PROPER(SUBSTITUTE(Table2[[#This Row],[unique_id]], "_", " ")))</f>
        <v>Template Landing Festoons Plug Proxy</v>
      </c>
      <c r="G205" s="30" t="s">
        <v>206</v>
      </c>
      <c r="H205" s="30" t="s">
        <v>139</v>
      </c>
      <c r="I205" s="30" t="s">
        <v>132</v>
      </c>
      <c r="O205" s="31" t="s">
        <v>792</v>
      </c>
      <c r="P205" s="30" t="s">
        <v>165</v>
      </c>
      <c r="Q205" s="30" t="s">
        <v>764</v>
      </c>
      <c r="R205" s="30" t="str">
        <f>Table2[[#This Row],[entity_domain]]</f>
        <v>Lights</v>
      </c>
      <c r="S205" s="30" t="str">
        <f>_xlfn.CONCAT( Table2[[#This Row],[device_suggested_area]], " ",Table2[[#This Row],[powercalc_group_3]])</f>
        <v>Landing Lights</v>
      </c>
      <c r="T205" s="37" t="s">
        <v>1074</v>
      </c>
      <c r="U205" s="30"/>
      <c r="V205" s="31"/>
      <c r="W205" s="31"/>
      <c r="X205" s="31"/>
      <c r="Y205" s="31"/>
      <c r="Z205" s="31"/>
      <c r="AA205" s="31"/>
      <c r="AB205" s="30"/>
      <c r="AC205" s="30"/>
      <c r="AG205" s="31"/>
      <c r="AH205" s="31"/>
      <c r="AT205" s="40"/>
      <c r="AU205" s="30" t="s">
        <v>137</v>
      </c>
      <c r="AV2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30" t="str">
        <f>IF(ISBLANK(Table2[[#This Row],[device_model]]), "", Table2[[#This Row],[device_suggested_area]])</f>
        <v>Landing</v>
      </c>
      <c r="BB205" s="30" t="s">
        <v>731</v>
      </c>
      <c r="BC205" s="30" t="s">
        <v>1117</v>
      </c>
      <c r="BD205" s="30" t="s">
        <v>1115</v>
      </c>
      <c r="BF205" s="30" t="s">
        <v>891</v>
      </c>
      <c r="BG205" s="30" t="s">
        <v>560</v>
      </c>
      <c r="BN2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ht="16" customHeight="1" x14ac:dyDescent="0.2">
      <c r="A206" s="30">
        <v>1673</v>
      </c>
      <c r="B206" s="30" t="s">
        <v>26</v>
      </c>
      <c r="C206" s="30" t="s">
        <v>697</v>
      </c>
      <c r="D206" s="30" t="s">
        <v>137</v>
      </c>
      <c r="E206" s="30" t="s">
        <v>837</v>
      </c>
      <c r="F206" s="36" t="str">
        <f>IF(ISBLANK(Table2[[#This Row],[unique_id]]), "", PROPER(SUBSTITUTE(Table2[[#This Row],[unique_id]], "_", " ")))</f>
        <v>Landing Festoons Plug</v>
      </c>
      <c r="G206" s="30" t="s">
        <v>559</v>
      </c>
      <c r="H206" s="30" t="s">
        <v>139</v>
      </c>
      <c r="I206" s="30" t="s">
        <v>132</v>
      </c>
      <c r="J206" s="30" t="s">
        <v>731</v>
      </c>
      <c r="M206" s="30" t="s">
        <v>136</v>
      </c>
      <c r="O206" s="31" t="s">
        <v>792</v>
      </c>
      <c r="P206" s="30" t="s">
        <v>165</v>
      </c>
      <c r="Q206" s="30" t="s">
        <v>764</v>
      </c>
      <c r="R206" s="30" t="str">
        <f>Table2[[#This Row],[entity_domain]]</f>
        <v>Lights</v>
      </c>
      <c r="S206" s="30" t="str">
        <f>_xlfn.CONCAT( Table2[[#This Row],[device_suggested_area]], " ",Table2[[#This Row],[powercalc_group_3]])</f>
        <v>Landing Lights</v>
      </c>
      <c r="T206" s="37" t="s">
        <v>1055</v>
      </c>
      <c r="U206" s="30"/>
      <c r="V206" s="31"/>
      <c r="W206" s="31"/>
      <c r="X206" s="31"/>
      <c r="Y206" s="31"/>
      <c r="Z206" s="31"/>
      <c r="AA206" s="42" t="s">
        <v>1108</v>
      </c>
      <c r="AB206" s="30"/>
      <c r="AC206" s="30"/>
      <c r="AE206" s="30" t="s">
        <v>292</v>
      </c>
      <c r="AF206" s="30">
        <v>10</v>
      </c>
      <c r="AG206" s="31" t="s">
        <v>34</v>
      </c>
      <c r="AH206" s="31" t="s">
        <v>901</v>
      </c>
      <c r="AJ206" s="30" t="str">
        <f>_xlfn.CONCAT("homeassistant/", Table2[[#This Row],[entity_namespace]], "/tasmota/",Table2[[#This Row],[unique_id]], "/config")</f>
        <v>homeassistant/light/tasmota/landing_festoons_plug/config</v>
      </c>
      <c r="AK206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6" s="30" t="str">
        <f>_xlfn.CONCAT("tasmota/device/",Table2[[#This Row],[unique_id]], "/cmnd/POWER")</f>
        <v>tasmota/device/landing_festoons_plug/cmnd/POWER</v>
      </c>
      <c r="AM206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6" s="30" t="s">
        <v>920</v>
      </c>
      <c r="AO206" s="30" t="s">
        <v>921</v>
      </c>
      <c r="AP206" s="30" t="s">
        <v>910</v>
      </c>
      <c r="AQ206" s="30" t="s">
        <v>911</v>
      </c>
      <c r="AR206" s="30" t="s">
        <v>974</v>
      </c>
      <c r="AS206" s="30">
        <v>1</v>
      </c>
      <c r="AT206" s="34" t="str">
        <f>HYPERLINK(_xlfn.CONCAT("http://", Table2[[#This Row],[connection_ip]], "/?"))</f>
        <v>http://10.0.4.108/?</v>
      </c>
      <c r="AU206" s="30"/>
      <c r="AV2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30" t="str">
        <f>IF(ISBLANK(Table2[[#This Row],[device_model]]), "", Table2[[#This Row],[device_suggested_area]])</f>
        <v>Landing</v>
      </c>
      <c r="BB206" s="30" t="s">
        <v>731</v>
      </c>
      <c r="BC206" s="30" t="s">
        <v>1117</v>
      </c>
      <c r="BD206" s="30" t="s">
        <v>1115</v>
      </c>
      <c r="BF206" s="30" t="s">
        <v>891</v>
      </c>
      <c r="BG206" s="30" t="s">
        <v>560</v>
      </c>
      <c r="BK206" s="30" t="s">
        <v>1301</v>
      </c>
      <c r="BL206" s="30" t="s">
        <v>1057</v>
      </c>
      <c r="BM206" s="30" t="s">
        <v>1331</v>
      </c>
      <c r="BN2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7" spans="1:66" ht="16" customHeight="1" x14ac:dyDescent="0.2">
      <c r="A207" s="30">
        <v>1674</v>
      </c>
      <c r="B207" s="30" t="s">
        <v>580</v>
      </c>
      <c r="C207" s="30" t="s">
        <v>378</v>
      </c>
      <c r="D207" s="30" t="s">
        <v>137</v>
      </c>
      <c r="E207" s="30" t="s">
        <v>575</v>
      </c>
      <c r="F207" s="36" t="str">
        <f>IF(ISBLANK(Table2[[#This Row],[unique_id]]), "", PROPER(SUBSTITUTE(Table2[[#This Row],[unique_id]], "_", " ")))</f>
        <v>Garden Pedestals</v>
      </c>
      <c r="G207" s="30" t="s">
        <v>576</v>
      </c>
      <c r="H207" s="30" t="s">
        <v>139</v>
      </c>
      <c r="I207" s="30" t="s">
        <v>132</v>
      </c>
      <c r="J207" s="30" t="s">
        <v>730</v>
      </c>
      <c r="O207" s="31"/>
      <c r="P207" s="30"/>
      <c r="T207" s="37"/>
      <c r="U207" s="30"/>
      <c r="V207" s="31"/>
      <c r="W207" s="31" t="s">
        <v>491</v>
      </c>
      <c r="X207" s="47">
        <v>115</v>
      </c>
      <c r="Y207" s="42" t="s">
        <v>763</v>
      </c>
      <c r="Z207" s="42"/>
      <c r="AA207" s="42"/>
      <c r="AB207" s="30"/>
      <c r="AC207" s="30"/>
      <c r="AE207" s="30" t="s">
        <v>292</v>
      </c>
      <c r="AG207" s="31"/>
      <c r="AH207" s="31"/>
      <c r="AT2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7" s="30"/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7" s="30" t="str">
        <f>Table2[[#This Row],[device_suggested_area]]</f>
        <v>Garden</v>
      </c>
      <c r="BA207" s="30" t="str">
        <f>IF(ISBLANK(Table2[[#This Row],[device_model]]), "", Table2[[#This Row],[device_suggested_area]])</f>
        <v>Garden</v>
      </c>
      <c r="BB207" s="30" t="s">
        <v>730</v>
      </c>
      <c r="BC207" s="30" t="s">
        <v>567</v>
      </c>
      <c r="BD207" s="30" t="s">
        <v>378</v>
      </c>
      <c r="BE207" s="30" t="s">
        <v>1464</v>
      </c>
      <c r="BF207" s="30" t="s">
        <v>565</v>
      </c>
      <c r="BG207" s="30" t="s">
        <v>577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580</v>
      </c>
      <c r="C208" s="30" t="s">
        <v>378</v>
      </c>
      <c r="D208" s="30" t="s">
        <v>137</v>
      </c>
      <c r="E208" s="30" t="s">
        <v>961</v>
      </c>
      <c r="F208" s="36" t="str">
        <f>IF(ISBLANK(Table2[[#This Row],[unique_id]]), "", PROPER(SUBSTITUTE(Table2[[#This Row],[unique_id]], "_", " ")))</f>
        <v>Garden Pedestals Bulb 1</v>
      </c>
      <c r="H208" s="30" t="s">
        <v>139</v>
      </c>
      <c r="O208" s="31"/>
      <c r="P208" s="30" t="s">
        <v>165</v>
      </c>
      <c r="Q208" s="30" t="s">
        <v>764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Garden Lights</v>
      </c>
      <c r="T208" s="37"/>
      <c r="U208" s="30"/>
      <c r="V208" s="31"/>
      <c r="W208" s="31" t="s">
        <v>490</v>
      </c>
      <c r="X208" s="47">
        <v>115</v>
      </c>
      <c r="Y208" s="42" t="s">
        <v>760</v>
      </c>
      <c r="Z208" s="42"/>
      <c r="AA208" s="42"/>
      <c r="AB208" s="30"/>
      <c r="AC208" s="30"/>
      <c r="AG208" s="31"/>
      <c r="AH208" s="31"/>
      <c r="AT2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8" s="30" t="str">
        <f>Table2[[#This Row],[device_suggested_area]]</f>
        <v>Garden</v>
      </c>
      <c r="BA208" s="30" t="str">
        <f>IF(ISBLANK(Table2[[#This Row],[device_model]]), "", Table2[[#This Row],[device_suggested_area]])</f>
        <v>Garden</v>
      </c>
      <c r="BB208" s="30" t="s">
        <v>1008</v>
      </c>
      <c r="BC208" s="30" t="s">
        <v>567</v>
      </c>
      <c r="BD208" s="30" t="s">
        <v>378</v>
      </c>
      <c r="BE208" s="30" t="s">
        <v>1464</v>
      </c>
      <c r="BF208" s="30" t="s">
        <v>565</v>
      </c>
      <c r="BG208" s="30" t="s">
        <v>577</v>
      </c>
      <c r="BL208" s="30" t="s">
        <v>564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09" spans="1:66" ht="16" customHeight="1" x14ac:dyDescent="0.2">
      <c r="A209" s="30">
        <v>1676</v>
      </c>
      <c r="B209" s="30" t="s">
        <v>580</v>
      </c>
      <c r="C209" s="30" t="s">
        <v>378</v>
      </c>
      <c r="D209" s="30" t="s">
        <v>137</v>
      </c>
      <c r="E209" s="30" t="s">
        <v>962</v>
      </c>
      <c r="F209" s="36" t="str">
        <f>IF(ISBLANK(Table2[[#This Row],[unique_id]]), "", PROPER(SUBSTITUTE(Table2[[#This Row],[unique_id]], "_", " ")))</f>
        <v>Garden Pedestals Bulb 2</v>
      </c>
      <c r="H209" s="30" t="s">
        <v>139</v>
      </c>
      <c r="O209" s="31"/>
      <c r="P209" s="30" t="s">
        <v>165</v>
      </c>
      <c r="Q209" s="30" t="s">
        <v>764</v>
      </c>
      <c r="R209" s="30" t="str">
        <f>Table2[[#This Row],[entity_domain]]</f>
        <v>Lights</v>
      </c>
      <c r="S209" s="30" t="str">
        <f>_xlfn.CONCAT( Table2[[#This Row],[device_suggested_area]], " ",Table2[[#This Row],[powercalc_group_3]])</f>
        <v>Garden Lights</v>
      </c>
      <c r="T209" s="37"/>
      <c r="U209" s="30"/>
      <c r="V209" s="31"/>
      <c r="W209" s="31" t="s">
        <v>490</v>
      </c>
      <c r="X209" s="47">
        <v>115</v>
      </c>
      <c r="Y209" s="42" t="s">
        <v>760</v>
      </c>
      <c r="Z209" s="42"/>
      <c r="AA209" s="42"/>
      <c r="AB209" s="30"/>
      <c r="AC209" s="30"/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1009</v>
      </c>
      <c r="BC209" s="30" t="s">
        <v>567</v>
      </c>
      <c r="BD209" s="30" t="s">
        <v>378</v>
      </c>
      <c r="BE209" s="30" t="s">
        <v>1464</v>
      </c>
      <c r="BF209" s="30" t="s">
        <v>565</v>
      </c>
      <c r="BG209" s="30" t="s">
        <v>577</v>
      </c>
      <c r="BL209" s="30" t="s">
        <v>568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0" spans="1:66" ht="16" customHeight="1" x14ac:dyDescent="0.2">
      <c r="A210" s="30">
        <v>1677</v>
      </c>
      <c r="B210" s="30" t="s">
        <v>580</v>
      </c>
      <c r="C210" s="30" t="s">
        <v>378</v>
      </c>
      <c r="D210" s="30" t="s">
        <v>137</v>
      </c>
      <c r="E210" s="30" t="s">
        <v>963</v>
      </c>
      <c r="F210" s="36" t="str">
        <f>IF(ISBLANK(Table2[[#This Row],[unique_id]]), "", PROPER(SUBSTITUTE(Table2[[#This Row],[unique_id]], "_", " ")))</f>
        <v>Garden Pedestals Bulb 3</v>
      </c>
      <c r="H210" s="30" t="s">
        <v>139</v>
      </c>
      <c r="O210" s="31"/>
      <c r="P210" s="30" t="s">
        <v>165</v>
      </c>
      <c r="Q210" s="30" t="s">
        <v>764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490</v>
      </c>
      <c r="X210" s="47">
        <v>115</v>
      </c>
      <c r="Y210" s="42" t="s">
        <v>760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1010</v>
      </c>
      <c r="BC210" s="30" t="s">
        <v>567</v>
      </c>
      <c r="BD210" s="30" t="s">
        <v>378</v>
      </c>
      <c r="BE210" s="30" t="s">
        <v>1464</v>
      </c>
      <c r="BF210" s="30" t="s">
        <v>565</v>
      </c>
      <c r="BG210" s="30" t="s">
        <v>577</v>
      </c>
      <c r="BL210" s="30" t="s">
        <v>569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1" spans="1:66" ht="16" customHeight="1" x14ac:dyDescent="0.2">
      <c r="A211" s="30">
        <v>1678</v>
      </c>
      <c r="B211" s="30" t="s">
        <v>580</v>
      </c>
      <c r="C211" s="30" t="s">
        <v>378</v>
      </c>
      <c r="D211" s="30" t="s">
        <v>137</v>
      </c>
      <c r="E211" s="30" t="s">
        <v>964</v>
      </c>
      <c r="F211" s="36" t="str">
        <f>IF(ISBLANK(Table2[[#This Row],[unique_id]]), "", PROPER(SUBSTITUTE(Table2[[#This Row],[unique_id]], "_", " ")))</f>
        <v>Garden Pedestals Bulb 4</v>
      </c>
      <c r="H211" s="30" t="s">
        <v>139</v>
      </c>
      <c r="O211" s="31"/>
      <c r="P211" s="30" t="s">
        <v>165</v>
      </c>
      <c r="Q211" s="30" t="s">
        <v>764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490</v>
      </c>
      <c r="X211" s="47">
        <v>115</v>
      </c>
      <c r="Y211" s="42" t="s">
        <v>760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1011</v>
      </c>
      <c r="BC211" s="30" t="s">
        <v>567</v>
      </c>
      <c r="BD211" s="30" t="s">
        <v>378</v>
      </c>
      <c r="BE211" s="30" t="s">
        <v>1464</v>
      </c>
      <c r="BF211" s="30" t="s">
        <v>565</v>
      </c>
      <c r="BG211" s="30" t="s">
        <v>577</v>
      </c>
      <c r="BL211" s="30" t="s">
        <v>570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2" spans="1:66" ht="16" customHeight="1" x14ac:dyDescent="0.2">
      <c r="A212" s="30">
        <v>1679</v>
      </c>
      <c r="B212" s="30" t="s">
        <v>580</v>
      </c>
      <c r="C212" s="30" t="s">
        <v>378</v>
      </c>
      <c r="D212" s="30" t="s">
        <v>137</v>
      </c>
      <c r="F212" s="36" t="str">
        <f>IF(ISBLANK(Table2[[#This Row],[unique_id]]), "", PROPER(SUBSTITUTE(Table2[[#This Row],[unique_id]], "_", " ")))</f>
        <v/>
      </c>
      <c r="O212" s="31"/>
      <c r="P212" s="30"/>
      <c r="T212" s="37"/>
      <c r="U212" s="30"/>
      <c r="V212" s="31"/>
      <c r="W212" s="31" t="s">
        <v>490</v>
      </c>
      <c r="X212" s="47">
        <v>115</v>
      </c>
      <c r="Y212" s="42" t="s">
        <v>760</v>
      </c>
      <c r="Z212" s="42" t="s">
        <v>980</v>
      </c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1012</v>
      </c>
      <c r="BC212" s="30" t="s">
        <v>567</v>
      </c>
      <c r="BD212" s="30" t="s">
        <v>378</v>
      </c>
      <c r="BE212" s="30" t="s">
        <v>1464</v>
      </c>
      <c r="BF212" s="30" t="s">
        <v>565</v>
      </c>
      <c r="BG212" s="30" t="s">
        <v>577</v>
      </c>
      <c r="BL212" s="30" t="s">
        <v>1059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3" spans="1:66" ht="16" customHeight="1" x14ac:dyDescent="0.2">
      <c r="A213" s="30">
        <v>1680</v>
      </c>
      <c r="B213" s="30" t="s">
        <v>580</v>
      </c>
      <c r="C213" s="30" t="s">
        <v>378</v>
      </c>
      <c r="D213" s="30" t="s">
        <v>137</v>
      </c>
      <c r="F213" s="36" t="str">
        <f>IF(ISBLANK(Table2[[#This Row],[unique_id]]), "", PROPER(SUBSTITUTE(Table2[[#This Row],[unique_id]], "_", " ")))</f>
        <v/>
      </c>
      <c r="O213" s="31"/>
      <c r="P213" s="30"/>
      <c r="T213" s="37"/>
      <c r="U213" s="30"/>
      <c r="V213" s="31"/>
      <c r="W213" s="31" t="s">
        <v>490</v>
      </c>
      <c r="X213" s="47">
        <v>115</v>
      </c>
      <c r="Y213" s="42" t="s">
        <v>760</v>
      </c>
      <c r="Z213" s="42" t="s">
        <v>980</v>
      </c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1013</v>
      </c>
      <c r="BC213" s="30" t="s">
        <v>567</v>
      </c>
      <c r="BD213" s="30" t="s">
        <v>378</v>
      </c>
      <c r="BE213" s="30" t="s">
        <v>1464</v>
      </c>
      <c r="BF213" s="30" t="s">
        <v>565</v>
      </c>
      <c r="BG213" s="30" t="s">
        <v>577</v>
      </c>
      <c r="BL213" s="30" t="s">
        <v>1059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4" spans="1:66" ht="16" customHeight="1" x14ac:dyDescent="0.2">
      <c r="A214" s="30">
        <v>1681</v>
      </c>
      <c r="B214" s="30" t="s">
        <v>580</v>
      </c>
      <c r="C214" s="30" t="s">
        <v>378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490</v>
      </c>
      <c r="X214" s="47">
        <v>115</v>
      </c>
      <c r="Y214" s="42" t="s">
        <v>760</v>
      </c>
      <c r="Z214" s="42" t="s">
        <v>980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1014</v>
      </c>
      <c r="BC214" s="30" t="s">
        <v>567</v>
      </c>
      <c r="BD214" s="30" t="s">
        <v>378</v>
      </c>
      <c r="BE214" s="30" t="s">
        <v>1464</v>
      </c>
      <c r="BF214" s="30" t="s">
        <v>565</v>
      </c>
      <c r="BG214" s="30" t="s">
        <v>577</v>
      </c>
      <c r="BL214" s="30" t="s">
        <v>1059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580</v>
      </c>
      <c r="C215" s="30" t="s">
        <v>378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490</v>
      </c>
      <c r="X215" s="47">
        <v>115</v>
      </c>
      <c r="Y215" s="42" t="s">
        <v>760</v>
      </c>
      <c r="Z215" s="42" t="s">
        <v>980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1015</v>
      </c>
      <c r="BC215" s="30" t="s">
        <v>567</v>
      </c>
      <c r="BD215" s="30" t="s">
        <v>378</v>
      </c>
      <c r="BE215" s="30" t="s">
        <v>1464</v>
      </c>
      <c r="BF215" s="30" t="s">
        <v>565</v>
      </c>
      <c r="BG215" s="30" t="s">
        <v>577</v>
      </c>
      <c r="BL215" s="30" t="s">
        <v>1059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26</v>
      </c>
      <c r="C216" s="30" t="s">
        <v>378</v>
      </c>
      <c r="D216" s="30" t="s">
        <v>137</v>
      </c>
      <c r="E216" s="30" t="s">
        <v>578</v>
      </c>
      <c r="F216" s="36" t="str">
        <f>IF(ISBLANK(Table2[[#This Row],[unique_id]]), "", PROPER(SUBSTITUTE(Table2[[#This Row],[unique_id]], "_", " ")))</f>
        <v>Tree Spotlights</v>
      </c>
      <c r="G216" s="30" t="s">
        <v>574</v>
      </c>
      <c r="H216" s="30" t="s">
        <v>139</v>
      </c>
      <c r="I216" s="30" t="s">
        <v>132</v>
      </c>
      <c r="J216" s="30" t="s">
        <v>732</v>
      </c>
      <c r="O216" s="31"/>
      <c r="P216" s="30"/>
      <c r="T216" s="37"/>
      <c r="U216" s="30"/>
      <c r="V216" s="31"/>
      <c r="W216" s="31" t="s">
        <v>491</v>
      </c>
      <c r="X216" s="47">
        <v>116</v>
      </c>
      <c r="Y216" s="42" t="s">
        <v>763</v>
      </c>
      <c r="Z216" s="42"/>
      <c r="AA216" s="42"/>
      <c r="AB216" s="30"/>
      <c r="AC216" s="30"/>
      <c r="AE216" s="30" t="s">
        <v>292</v>
      </c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Tree</v>
      </c>
      <c r="BA216" s="30" t="str">
        <f>IF(ISBLANK(Table2[[#This Row],[device_model]]), "", Table2[[#This Row],[device_suggested_area]])</f>
        <v>Tree</v>
      </c>
      <c r="BB216" s="30" t="s">
        <v>732</v>
      </c>
      <c r="BC216" s="30" t="s">
        <v>573</v>
      </c>
      <c r="BD216" s="30" t="s">
        <v>378</v>
      </c>
      <c r="BE216" s="30" t="s">
        <v>1464</v>
      </c>
      <c r="BF216" s="30" t="s">
        <v>565</v>
      </c>
      <c r="BG216" s="30" t="s">
        <v>572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7" spans="1:66" ht="16" customHeight="1" x14ac:dyDescent="0.2">
      <c r="A217" s="30">
        <v>1684</v>
      </c>
      <c r="B217" s="30" t="s">
        <v>580</v>
      </c>
      <c r="C217" s="30" t="s">
        <v>378</v>
      </c>
      <c r="D217" s="30" t="s">
        <v>137</v>
      </c>
      <c r="E217" s="30" t="s">
        <v>965</v>
      </c>
      <c r="F217" s="36" t="str">
        <f>IF(ISBLANK(Table2[[#This Row],[unique_id]]), "", PROPER(SUBSTITUTE(Table2[[#This Row],[unique_id]], "_", " ")))</f>
        <v>Tree Spotlights Bulb 1</v>
      </c>
      <c r="H217" s="30" t="s">
        <v>139</v>
      </c>
      <c r="O217" s="31" t="s">
        <v>792</v>
      </c>
      <c r="P217" s="30" t="s">
        <v>165</v>
      </c>
      <c r="Q217" s="30" t="s">
        <v>764</v>
      </c>
      <c r="R217" s="30" t="str">
        <f>Table2[[#This Row],[entity_domain]]</f>
        <v>Lights</v>
      </c>
      <c r="S217" s="30" t="str">
        <f>_xlfn.CONCAT( Table2[[#This Row],[device_suggested_area]], " ",Table2[[#This Row],[powercalc_group_3]])</f>
        <v>Tree Lights</v>
      </c>
      <c r="T217" s="37"/>
      <c r="U217" s="30"/>
      <c r="V217" s="31"/>
      <c r="W217" s="31" t="s">
        <v>490</v>
      </c>
      <c r="X217" s="47">
        <v>116</v>
      </c>
      <c r="Y217" s="42" t="s">
        <v>760</v>
      </c>
      <c r="Z217" s="42"/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Tree</v>
      </c>
      <c r="BA217" s="30" t="str">
        <f>IF(ISBLANK(Table2[[#This Row],[device_model]]), "", Table2[[#This Row],[device_suggested_area]])</f>
        <v>Tree</v>
      </c>
      <c r="BB217" s="30" t="s">
        <v>1016</v>
      </c>
      <c r="BC217" s="30" t="s">
        <v>573</v>
      </c>
      <c r="BD217" s="30" t="s">
        <v>378</v>
      </c>
      <c r="BE217" s="30" t="s">
        <v>1464</v>
      </c>
      <c r="BF217" s="30" t="s">
        <v>565</v>
      </c>
      <c r="BG217" s="30" t="s">
        <v>572</v>
      </c>
      <c r="BL217" s="30" t="s">
        <v>571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18" spans="1:66" ht="16" customHeight="1" x14ac:dyDescent="0.2">
      <c r="A218" s="30">
        <v>1685</v>
      </c>
      <c r="B218" s="30" t="s">
        <v>580</v>
      </c>
      <c r="C218" s="30" t="s">
        <v>378</v>
      </c>
      <c r="D218" s="30" t="s">
        <v>137</v>
      </c>
      <c r="E218" s="30" t="s">
        <v>966</v>
      </c>
      <c r="F218" s="36" t="str">
        <f>IF(ISBLANK(Table2[[#This Row],[unique_id]]), "", PROPER(SUBSTITUTE(Table2[[#This Row],[unique_id]], "_", " ")))</f>
        <v>Tree Spotlights Bulb 2</v>
      </c>
      <c r="H218" s="30" t="s">
        <v>139</v>
      </c>
      <c r="O218" s="31" t="s">
        <v>792</v>
      </c>
      <c r="P218" s="30" t="s">
        <v>165</v>
      </c>
      <c r="Q218" s="30" t="s">
        <v>764</v>
      </c>
      <c r="R218" s="30" t="str">
        <f>Table2[[#This Row],[entity_domain]]</f>
        <v>Lights</v>
      </c>
      <c r="S218" s="30" t="str">
        <f>_xlfn.CONCAT( Table2[[#This Row],[device_suggested_area]], " ",Table2[[#This Row],[powercalc_group_3]])</f>
        <v>Tree Lights</v>
      </c>
      <c r="T218" s="37"/>
      <c r="U218" s="30"/>
      <c r="V218" s="31"/>
      <c r="W218" s="31" t="s">
        <v>490</v>
      </c>
      <c r="X218" s="47">
        <v>116</v>
      </c>
      <c r="Y218" s="42" t="s">
        <v>760</v>
      </c>
      <c r="Z218" s="42"/>
      <c r="AA218" s="42"/>
      <c r="AB218" s="30"/>
      <c r="AC218" s="30"/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1017</v>
      </c>
      <c r="BC218" s="30" t="s">
        <v>573</v>
      </c>
      <c r="BD218" s="30" t="s">
        <v>378</v>
      </c>
      <c r="BE218" s="30" t="s">
        <v>1464</v>
      </c>
      <c r="BF218" s="30" t="s">
        <v>565</v>
      </c>
      <c r="BG218" s="30" t="s">
        <v>572</v>
      </c>
      <c r="BL218" s="30" t="s">
        <v>579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19" spans="1:66" ht="16" customHeight="1" x14ac:dyDescent="0.2">
      <c r="A219" s="30">
        <v>1686</v>
      </c>
      <c r="B219" s="30" t="s">
        <v>580</v>
      </c>
      <c r="C219" s="30" t="s">
        <v>378</v>
      </c>
      <c r="D219" s="30" t="s">
        <v>137</v>
      </c>
      <c r="F219" s="36" t="str">
        <f>IF(ISBLANK(Table2[[#This Row],[unique_id]]), "", PROPER(SUBSTITUTE(Table2[[#This Row],[unique_id]], "_", " ")))</f>
        <v/>
      </c>
      <c r="O219" s="31"/>
      <c r="P219" s="30"/>
      <c r="T219" s="37"/>
      <c r="U219" s="30"/>
      <c r="V219" s="31"/>
      <c r="W219" s="31" t="s">
        <v>490</v>
      </c>
      <c r="X219" s="47">
        <v>116</v>
      </c>
      <c r="Y219" s="42" t="s">
        <v>760</v>
      </c>
      <c r="Z219" s="42" t="s">
        <v>980</v>
      </c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1018</v>
      </c>
      <c r="BC219" s="30" t="s">
        <v>573</v>
      </c>
      <c r="BD219" s="30" t="s">
        <v>378</v>
      </c>
      <c r="BE219" s="30" t="s">
        <v>1464</v>
      </c>
      <c r="BF219" s="30" t="s">
        <v>565</v>
      </c>
      <c r="BG219" s="30" t="s">
        <v>572</v>
      </c>
      <c r="BL219" s="30" t="s">
        <v>1059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0" spans="1:66" ht="16" customHeight="1" x14ac:dyDescent="0.2">
      <c r="A220" s="30">
        <v>1800</v>
      </c>
      <c r="B220" s="30" t="s">
        <v>26</v>
      </c>
      <c r="C220" s="30" t="s">
        <v>441</v>
      </c>
      <c r="D220" s="30" t="s">
        <v>333</v>
      </c>
      <c r="E220" s="30" t="s">
        <v>332</v>
      </c>
      <c r="F220" s="36" t="str">
        <f>IF(ISBLANK(Table2[[#This Row],[unique_id]]), "", PROPER(SUBSTITUTE(Table2[[#This Row],[unique_id]], "_", " ")))</f>
        <v>Column Break</v>
      </c>
      <c r="G220" s="30" t="s">
        <v>329</v>
      </c>
      <c r="H220" s="30" t="s">
        <v>139</v>
      </c>
      <c r="I220" s="30" t="s">
        <v>132</v>
      </c>
      <c r="M220" s="30" t="s">
        <v>330</v>
      </c>
      <c r="N220" s="30" t="s">
        <v>331</v>
      </c>
      <c r="O220" s="31"/>
      <c r="P220" s="30"/>
      <c r="T220" s="37"/>
      <c r="U220" s="30"/>
      <c r="V220" s="31"/>
      <c r="W220" s="31"/>
      <c r="X220" s="31"/>
      <c r="Y220" s="31"/>
      <c r="Z220" s="31"/>
      <c r="AA220" s="31"/>
      <c r="AB220" s="30"/>
      <c r="AC220" s="30"/>
      <c r="AG220" s="31"/>
      <c r="AH220" s="31"/>
      <c r="AT220" s="4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0" s="30" t="str">
        <f>IF(ISBLANK(Table2[[#This Row],[device_model]]), "", Table2[[#This Row],[device_suggested_area]])</f>
        <v/>
      </c>
      <c r="BF220" s="31"/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1" spans="1:66" ht="16" customHeight="1" x14ac:dyDescent="0.2">
      <c r="A221" s="30">
        <v>1801</v>
      </c>
      <c r="B221" s="30" t="s">
        <v>26</v>
      </c>
      <c r="C221" s="30" t="s">
        <v>812</v>
      </c>
      <c r="D221" s="30" t="s">
        <v>148</v>
      </c>
      <c r="E221" s="37" t="s">
        <v>967</v>
      </c>
      <c r="F221" s="36" t="str">
        <f>IF(ISBLANK(Table2[[#This Row],[unique_id]]), "", PROPER(SUBSTITUTE(Table2[[#This Row],[unique_id]], "_", " ")))</f>
        <v>Template Bathroom Rails Plug Proxy</v>
      </c>
      <c r="G221" s="30" t="s">
        <v>449</v>
      </c>
      <c r="H221" s="30" t="s">
        <v>654</v>
      </c>
      <c r="I221" s="30" t="s">
        <v>132</v>
      </c>
      <c r="O221" s="31" t="s">
        <v>792</v>
      </c>
      <c r="P221" s="30" t="s">
        <v>165</v>
      </c>
      <c r="Q221" s="39" t="s">
        <v>765</v>
      </c>
      <c r="R221" s="30" t="str">
        <f>Table2[[#This Row],[entity_domain]]</f>
        <v>Heating &amp; Cooling</v>
      </c>
      <c r="S221" s="30" t="s">
        <v>449</v>
      </c>
      <c r="T221" s="37" t="s">
        <v>1073</v>
      </c>
      <c r="U221" s="30"/>
      <c r="V221" s="31"/>
      <c r="W221" s="31"/>
      <c r="X221" s="31"/>
      <c r="Y221" s="31"/>
      <c r="Z221" s="31"/>
      <c r="AA221" s="31"/>
      <c r="AB221" s="30"/>
      <c r="AC221" s="30"/>
      <c r="AG221" s="31"/>
      <c r="AH221" s="31"/>
      <c r="AT221" s="40"/>
      <c r="AU221" s="30" t="s">
        <v>134</v>
      </c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1" s="30" t="str">
        <f>IF(ISBLANK(Table2[[#This Row],[device_model]]), "", Table2[[#This Row],[device_suggested_area]])</f>
        <v>Bathroom</v>
      </c>
      <c r="BB221" s="30" t="s">
        <v>1025</v>
      </c>
      <c r="BC221" s="30" t="s">
        <v>360</v>
      </c>
      <c r="BD221" s="30" t="s">
        <v>233</v>
      </c>
      <c r="BF221" s="30" t="s">
        <v>363</v>
      </c>
      <c r="BG221" s="30" t="s">
        <v>359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2" spans="1:66" ht="16" customHeight="1" x14ac:dyDescent="0.2">
      <c r="A222" s="30">
        <v>1802</v>
      </c>
      <c r="B222" s="30" t="s">
        <v>26</v>
      </c>
      <c r="C222" s="30" t="s">
        <v>233</v>
      </c>
      <c r="D222" s="30" t="s">
        <v>134</v>
      </c>
      <c r="E222" s="30" t="s">
        <v>838</v>
      </c>
      <c r="F222" s="36" t="str">
        <f>IF(ISBLANK(Table2[[#This Row],[unique_id]]), "", PROPER(SUBSTITUTE(Table2[[#This Row],[unique_id]], "_", " ")))</f>
        <v>Bathroom Rails Plug</v>
      </c>
      <c r="G222" s="30" t="s">
        <v>449</v>
      </c>
      <c r="H222" s="30" t="s">
        <v>654</v>
      </c>
      <c r="I222" s="30" t="s">
        <v>132</v>
      </c>
      <c r="J222" s="30" t="s">
        <v>449</v>
      </c>
      <c r="M222" s="30" t="s">
        <v>257</v>
      </c>
      <c r="O222" s="31" t="s">
        <v>792</v>
      </c>
      <c r="P222" s="30" t="s">
        <v>165</v>
      </c>
      <c r="Q222" s="39" t="s">
        <v>765</v>
      </c>
      <c r="R222" s="30" t="str">
        <f>Table2[[#This Row],[entity_domain]]</f>
        <v>Heating &amp; Cooling</v>
      </c>
      <c r="S222" s="30" t="s">
        <v>449</v>
      </c>
      <c r="T222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2" s="30"/>
      <c r="V222" s="31"/>
      <c r="W222" s="31"/>
      <c r="X222" s="31"/>
      <c r="Y222" s="31"/>
      <c r="Z222" s="31"/>
      <c r="AA222" s="31"/>
      <c r="AB222" s="30"/>
      <c r="AC222" s="30"/>
      <c r="AE222" s="30" t="s">
        <v>256</v>
      </c>
      <c r="AG222" s="31"/>
      <c r="AH222" s="31"/>
      <c r="AT222" s="40"/>
      <c r="AU222" s="3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>Bathroom</v>
      </c>
      <c r="BB222" s="30" t="s">
        <v>1025</v>
      </c>
      <c r="BC222" s="30" t="s">
        <v>360</v>
      </c>
      <c r="BD222" s="30" t="s">
        <v>233</v>
      </c>
      <c r="BF222" s="30" t="s">
        <v>363</v>
      </c>
      <c r="BG222" s="30" t="s">
        <v>359</v>
      </c>
      <c r="BJ222" s="30" t="s">
        <v>982</v>
      </c>
      <c r="BK222" s="30" t="s">
        <v>1301</v>
      </c>
      <c r="BL222" s="30" t="s">
        <v>351</v>
      </c>
      <c r="BM222" s="30" t="s">
        <v>1332</v>
      </c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3" spans="1:66" ht="16" customHeight="1" x14ac:dyDescent="0.2">
      <c r="A223" s="30">
        <v>1803</v>
      </c>
      <c r="B223" s="30" t="s">
        <v>26</v>
      </c>
      <c r="C223" s="30" t="s">
        <v>812</v>
      </c>
      <c r="D223" s="30" t="s">
        <v>148</v>
      </c>
      <c r="E223" s="37" t="s">
        <v>1095</v>
      </c>
      <c r="F223" s="36" t="str">
        <f>IF(ISBLANK(Table2[[#This Row],[unique_id]]), "", PROPER(SUBSTITUTE(Table2[[#This Row],[unique_id]], "_", " ")))</f>
        <v>Template Ceiling Water Booster Plug Proxy</v>
      </c>
      <c r="G223" s="30" t="s">
        <v>1173</v>
      </c>
      <c r="H223" s="30" t="s">
        <v>654</v>
      </c>
      <c r="I223" s="30" t="s">
        <v>132</v>
      </c>
      <c r="O223" s="31" t="s">
        <v>792</v>
      </c>
      <c r="P223" s="30" t="s">
        <v>165</v>
      </c>
      <c r="Q223" s="39" t="s">
        <v>765</v>
      </c>
      <c r="R223" s="30" t="str">
        <f>Table2[[#This Row],[entity_domain]]</f>
        <v>Heating &amp; Cooling</v>
      </c>
      <c r="S223" s="30" t="s">
        <v>446</v>
      </c>
      <c r="T223" s="37" t="s">
        <v>1073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Ceiling</v>
      </c>
      <c r="BB223" s="30" t="s">
        <v>446</v>
      </c>
      <c r="BC223" s="30" t="s">
        <v>444</v>
      </c>
      <c r="BD223" s="30" t="s">
        <v>1115</v>
      </c>
      <c r="BF223" s="30" t="s">
        <v>891</v>
      </c>
      <c r="BG223" s="30" t="s">
        <v>404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1804</v>
      </c>
      <c r="B224" s="30" t="s">
        <v>26</v>
      </c>
      <c r="C224" s="30" t="s">
        <v>697</v>
      </c>
      <c r="D224" s="30" t="s">
        <v>134</v>
      </c>
      <c r="E224" s="30" t="s">
        <v>1096</v>
      </c>
      <c r="F224" s="36" t="str">
        <f>IF(ISBLANK(Table2[[#This Row],[unique_id]]), "", PROPER(SUBSTITUTE(Table2[[#This Row],[unique_id]], "_", " ")))</f>
        <v>Ceiling Water Booster Plug</v>
      </c>
      <c r="G224" s="30" t="s">
        <v>1173</v>
      </c>
      <c r="H224" s="30" t="s">
        <v>654</v>
      </c>
      <c r="I224" s="30" t="s">
        <v>132</v>
      </c>
      <c r="J224" s="30" t="str">
        <f>Table2[[#This Row],[friendly_name]]</f>
        <v>Hot Water Booster</v>
      </c>
      <c r="M224" s="30" t="s">
        <v>257</v>
      </c>
      <c r="O224" s="31" t="s">
        <v>792</v>
      </c>
      <c r="P224" s="30" t="s">
        <v>165</v>
      </c>
      <c r="Q224" s="30" t="s">
        <v>765</v>
      </c>
      <c r="R224" s="30" t="str">
        <f>Table2[[#This Row],[entity_domain]]</f>
        <v>Heating &amp; Cooling</v>
      </c>
      <c r="S224" s="30" t="s">
        <v>446</v>
      </c>
      <c r="T22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4" s="30"/>
      <c r="V224" s="31"/>
      <c r="W224" s="31"/>
      <c r="X224" s="31"/>
      <c r="Y224" s="31"/>
      <c r="Z224" s="31"/>
      <c r="AA224" s="42" t="s">
        <v>1112</v>
      </c>
      <c r="AB224" s="30"/>
      <c r="AC224" s="30"/>
      <c r="AE224" s="30" t="s">
        <v>445</v>
      </c>
      <c r="AF224" s="30">
        <v>10</v>
      </c>
      <c r="AG224" s="31" t="s">
        <v>34</v>
      </c>
      <c r="AH224" s="31" t="s">
        <v>901</v>
      </c>
      <c r="AJ224" s="30" t="str">
        <f>_xlfn.CONCAT("homeassistant/", Table2[[#This Row],[entity_namespace]], "/tasmota/",Table2[[#This Row],[unique_id]], "/config")</f>
        <v>homeassistant/switch/tasmota/ceiling_water_booster_plug/config</v>
      </c>
      <c r="AK224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4" s="30" t="str">
        <f>_xlfn.CONCAT("tasmota/device/",Table2[[#This Row],[unique_id]], "/cmnd/POWER")</f>
        <v>tasmota/device/ceiling_water_booster_plug/cmnd/POWER</v>
      </c>
      <c r="AM224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4" s="30" t="s">
        <v>920</v>
      </c>
      <c r="AO224" s="30" t="s">
        <v>921</v>
      </c>
      <c r="AP224" s="30" t="s">
        <v>910</v>
      </c>
      <c r="AQ224" s="30" t="s">
        <v>911</v>
      </c>
      <c r="AR224" s="30" t="s">
        <v>974</v>
      </c>
      <c r="AS224" s="30">
        <v>1</v>
      </c>
      <c r="AT224" s="34" t="str">
        <f>HYPERLINK(_xlfn.CONCAT("http://", Table2[[#This Row],[connection_ip]], "/?"))</f>
        <v>http://10.0.4.100/?</v>
      </c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Ceiling</v>
      </c>
      <c r="BB224" s="30" t="s">
        <v>446</v>
      </c>
      <c r="BC224" s="30" t="s">
        <v>444</v>
      </c>
      <c r="BD224" s="30" t="s">
        <v>1115</v>
      </c>
      <c r="BF224" s="30" t="s">
        <v>891</v>
      </c>
      <c r="BG224" s="30" t="s">
        <v>404</v>
      </c>
      <c r="BK224" s="30" t="s">
        <v>1301</v>
      </c>
      <c r="BL224" s="30" t="s">
        <v>443</v>
      </c>
      <c r="BM224" s="30" t="s">
        <v>1333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5" spans="1:66" ht="16" customHeight="1" x14ac:dyDescent="0.2">
      <c r="A225" s="30">
        <v>1805</v>
      </c>
      <c r="B225" s="30" t="s">
        <v>26</v>
      </c>
      <c r="C225" s="30" t="s">
        <v>697</v>
      </c>
      <c r="D225" s="30" t="s">
        <v>27</v>
      </c>
      <c r="E225" s="30" t="s">
        <v>1097</v>
      </c>
      <c r="F225" s="36" t="str">
        <f>IF(ISBLANK(Table2[[#This Row],[unique_id]]), "", PROPER(SUBSTITUTE(Table2[[#This Row],[unique_id]], "_", " ")))</f>
        <v>Ceiling Water Booster Plug Energy Power</v>
      </c>
      <c r="G225" s="30" t="s">
        <v>904</v>
      </c>
      <c r="H225" s="30" t="s">
        <v>654</v>
      </c>
      <c r="I225" s="30" t="s">
        <v>132</v>
      </c>
      <c r="O225" s="31"/>
      <c r="P225" s="30"/>
      <c r="T225" s="37"/>
      <c r="U225" s="30"/>
      <c r="V225" s="31"/>
      <c r="W225" s="31"/>
      <c r="X225" s="31"/>
      <c r="Y225" s="31"/>
      <c r="Z225" s="31"/>
      <c r="AA225" s="31"/>
      <c r="AB225" s="30" t="s">
        <v>31</v>
      </c>
      <c r="AC225" s="30" t="s">
        <v>327</v>
      </c>
      <c r="AD225" s="30" t="s">
        <v>902</v>
      </c>
      <c r="AF225" s="30">
        <v>10</v>
      </c>
      <c r="AG225" s="31" t="s">
        <v>34</v>
      </c>
      <c r="AH225" s="31" t="s">
        <v>901</v>
      </c>
      <c r="AJ225" s="30" t="str">
        <f>_xlfn.CONCAT("homeassistant/", Table2[[#This Row],[entity_namespace]], "/tasmota/",Table2[[#This Row],[unique_id]], "/config")</f>
        <v>homeassistant/sensor/tasmota/ceiling_water_booster_plug_energy_power/config</v>
      </c>
      <c r="AK225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5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5" s="30" t="s">
        <v>920</v>
      </c>
      <c r="AO225" s="30" t="s">
        <v>921</v>
      </c>
      <c r="AP225" s="30" t="s">
        <v>910</v>
      </c>
      <c r="AQ225" s="30" t="s">
        <v>911</v>
      </c>
      <c r="AR225" s="30" t="s">
        <v>1109</v>
      </c>
      <c r="AS225" s="30">
        <v>1</v>
      </c>
      <c r="AT225" s="34"/>
      <c r="AU225" s="30"/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446</v>
      </c>
      <c r="BC225" s="30" t="s">
        <v>444</v>
      </c>
      <c r="BD225" s="30" t="s">
        <v>1115</v>
      </c>
      <c r="BF225" s="30" t="s">
        <v>891</v>
      </c>
      <c r="BG225" s="30" t="s">
        <v>404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1806</v>
      </c>
      <c r="B226" s="30" t="s">
        <v>26</v>
      </c>
      <c r="C226" s="30" t="s">
        <v>697</v>
      </c>
      <c r="D226" s="30" t="s">
        <v>27</v>
      </c>
      <c r="E226" s="30" t="s">
        <v>1098</v>
      </c>
      <c r="F226" s="36" t="str">
        <f>IF(ISBLANK(Table2[[#This Row],[unique_id]]), "", PROPER(SUBSTITUTE(Table2[[#This Row],[unique_id]], "_", " ")))</f>
        <v>Ceiling Water Booster Plug Energy Total</v>
      </c>
      <c r="G226" s="30" t="s">
        <v>905</v>
      </c>
      <c r="H226" s="30" t="s">
        <v>654</v>
      </c>
      <c r="I226" s="30" t="s">
        <v>132</v>
      </c>
      <c r="O226" s="31"/>
      <c r="P226" s="30"/>
      <c r="T226" s="37"/>
      <c r="U226" s="30"/>
      <c r="V226" s="31"/>
      <c r="W226" s="31"/>
      <c r="X226" s="31"/>
      <c r="Y226" s="31"/>
      <c r="Z226" s="31"/>
      <c r="AA226" s="31"/>
      <c r="AB226" s="30" t="s">
        <v>76</v>
      </c>
      <c r="AC226" s="30" t="s">
        <v>328</v>
      </c>
      <c r="AD226" s="30" t="s">
        <v>903</v>
      </c>
      <c r="AF226" s="30">
        <v>10</v>
      </c>
      <c r="AG226" s="31" t="s">
        <v>34</v>
      </c>
      <c r="AH226" s="31" t="s">
        <v>901</v>
      </c>
      <c r="AJ226" s="30" t="str">
        <f>_xlfn.CONCAT("homeassistant/", Table2[[#This Row],[entity_namespace]], "/tasmota/",Table2[[#This Row],[unique_id]], "/config")</f>
        <v>homeassistant/sensor/tasmota/ceiling_water_booster_plug_energy_total/config</v>
      </c>
      <c r="AK226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920</v>
      </c>
      <c r="AO226" s="30" t="s">
        <v>921</v>
      </c>
      <c r="AP226" s="30" t="s">
        <v>910</v>
      </c>
      <c r="AQ226" s="30" t="s">
        <v>911</v>
      </c>
      <c r="AR226" s="30" t="s">
        <v>1110</v>
      </c>
      <c r="AS226" s="30">
        <v>1</v>
      </c>
      <c r="AT226" s="34"/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446</v>
      </c>
      <c r="BC226" s="30" t="s">
        <v>444</v>
      </c>
      <c r="BD226" s="30" t="s">
        <v>1115</v>
      </c>
      <c r="BF226" s="30" t="s">
        <v>891</v>
      </c>
      <c r="BG226" s="30" t="s">
        <v>404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7" spans="1:66" ht="16" customHeight="1" x14ac:dyDescent="0.2">
      <c r="A227" s="30">
        <v>1807</v>
      </c>
      <c r="B227" s="30" t="s">
        <v>26</v>
      </c>
      <c r="C227" s="30" t="s">
        <v>812</v>
      </c>
      <c r="D227" s="30" t="s">
        <v>148</v>
      </c>
      <c r="E227" s="37" t="s">
        <v>1103</v>
      </c>
      <c r="F227" s="36" t="str">
        <f>IF(ISBLANK(Table2[[#This Row],[unique_id]]), "", PROPER(SUBSTITUTE(Table2[[#This Row],[unique_id]], "_", " ")))</f>
        <v>Template Garden Pool Filter Plug Proxy</v>
      </c>
      <c r="G227" s="30" t="s">
        <v>319</v>
      </c>
      <c r="H227" s="30" t="s">
        <v>654</v>
      </c>
      <c r="I227" s="30" t="s">
        <v>132</v>
      </c>
      <c r="O227" s="31" t="s">
        <v>792</v>
      </c>
      <c r="P227" s="30" t="s">
        <v>165</v>
      </c>
      <c r="Q227" s="39" t="s">
        <v>765</v>
      </c>
      <c r="R227" s="30" t="str">
        <f>Table2[[#This Row],[entity_domain]]</f>
        <v>Heating &amp; Cooling</v>
      </c>
      <c r="S227" s="30" t="s">
        <v>319</v>
      </c>
      <c r="T227" s="37" t="s">
        <v>1073</v>
      </c>
      <c r="U227" s="30"/>
      <c r="V227" s="31"/>
      <c r="W227" s="31"/>
      <c r="X227" s="31"/>
      <c r="Y227" s="31"/>
      <c r="Z227" s="31"/>
      <c r="AA227" s="31"/>
      <c r="AB227" s="30"/>
      <c r="AC227" s="30"/>
      <c r="AG227" s="31"/>
      <c r="AH227" s="31"/>
      <c r="AT227" s="40"/>
      <c r="AU227" s="30" t="s">
        <v>134</v>
      </c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Garden</v>
      </c>
      <c r="BB227" s="30" t="s">
        <v>319</v>
      </c>
      <c r="BC227" s="30" t="s">
        <v>444</v>
      </c>
      <c r="BD227" s="30" t="s">
        <v>1115</v>
      </c>
      <c r="BF227" s="30" t="s">
        <v>891</v>
      </c>
      <c r="BG227" s="30" t="s">
        <v>577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1808</v>
      </c>
      <c r="B228" s="30" t="s">
        <v>26</v>
      </c>
      <c r="C228" s="30" t="s">
        <v>697</v>
      </c>
      <c r="D228" s="30" t="s">
        <v>134</v>
      </c>
      <c r="E228" s="30" t="s">
        <v>1104</v>
      </c>
      <c r="F228" s="36" t="str">
        <f>IF(ISBLANK(Table2[[#This Row],[unique_id]]), "", PROPER(SUBSTITUTE(Table2[[#This Row],[unique_id]], "_", " ")))</f>
        <v>Garden Pool Filter Plug</v>
      </c>
      <c r="G228" s="30" t="s">
        <v>319</v>
      </c>
      <c r="H228" s="30" t="s">
        <v>654</v>
      </c>
      <c r="I228" s="30" t="s">
        <v>132</v>
      </c>
      <c r="J228" s="30" t="str">
        <f>Table2[[#This Row],[friendly_name]]</f>
        <v>Pool Filter</v>
      </c>
      <c r="M228" s="30" t="s">
        <v>257</v>
      </c>
      <c r="O228" s="31" t="s">
        <v>792</v>
      </c>
      <c r="P228" s="30" t="s">
        <v>165</v>
      </c>
      <c r="Q228" s="30" t="s">
        <v>765</v>
      </c>
      <c r="R228" s="30" t="str">
        <f>Table2[[#This Row],[entity_domain]]</f>
        <v>Heating &amp; Cooling</v>
      </c>
      <c r="S228" s="30" t="s">
        <v>319</v>
      </c>
      <c r="T22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28" s="30"/>
      <c r="V228" s="31"/>
      <c r="W228" s="31"/>
      <c r="X228" s="31"/>
      <c r="Y228" s="31"/>
      <c r="Z228" s="31"/>
      <c r="AA228" s="42" t="s">
        <v>1112</v>
      </c>
      <c r="AB228" s="30"/>
      <c r="AC228" s="30"/>
      <c r="AE228" s="30" t="s">
        <v>1107</v>
      </c>
      <c r="AF228" s="30">
        <v>10</v>
      </c>
      <c r="AG228" s="31" t="s">
        <v>34</v>
      </c>
      <c r="AH228" s="31" t="s">
        <v>901</v>
      </c>
      <c r="AJ228" s="30" t="str">
        <f>_xlfn.CONCAT("homeassistant/", Table2[[#This Row],[entity_namespace]], "/tasmota/",Table2[[#This Row],[unique_id]], "/config")</f>
        <v>homeassistant/switch/tasmota/garden_pool_filter_plug/config</v>
      </c>
      <c r="AK228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28" s="30" t="str">
        <f>_xlfn.CONCAT("tasmota/device/",Table2[[#This Row],[unique_id]], "/cmnd/POWER")</f>
        <v>tasmota/device/garden_pool_filter_plug/cmnd/POWER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8" s="30" t="s">
        <v>920</v>
      </c>
      <c r="AO228" s="30" t="s">
        <v>921</v>
      </c>
      <c r="AP228" s="30" t="s">
        <v>910</v>
      </c>
      <c r="AQ228" s="30" t="s">
        <v>911</v>
      </c>
      <c r="AR228" s="30" t="s">
        <v>974</v>
      </c>
      <c r="AS228" s="30">
        <v>1</v>
      </c>
      <c r="AT228" s="34" t="str">
        <f>HYPERLINK(_xlfn.CONCAT("http://", Table2[[#This Row],[connection_ip]], "/?"))</f>
        <v>http://10.0.4.106/?</v>
      </c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Garden</v>
      </c>
      <c r="BB228" s="30" t="s">
        <v>319</v>
      </c>
      <c r="BC228" s="30" t="s">
        <v>444</v>
      </c>
      <c r="BD228" s="30" t="s">
        <v>1115</v>
      </c>
      <c r="BF228" s="30" t="s">
        <v>891</v>
      </c>
      <c r="BG228" s="30" t="s">
        <v>577</v>
      </c>
      <c r="BK228" s="30" t="s">
        <v>1301</v>
      </c>
      <c r="BL228" s="30" t="s">
        <v>1051</v>
      </c>
      <c r="BM228" s="30" t="s">
        <v>1334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29" spans="1:66" ht="16" customHeight="1" x14ac:dyDescent="0.2">
      <c r="A229" s="30">
        <v>1809</v>
      </c>
      <c r="B229" s="30" t="s">
        <v>26</v>
      </c>
      <c r="C229" s="30" t="s">
        <v>697</v>
      </c>
      <c r="D229" s="30" t="s">
        <v>27</v>
      </c>
      <c r="E229" s="30" t="s">
        <v>1105</v>
      </c>
      <c r="F229" s="36" t="str">
        <f>IF(ISBLANK(Table2[[#This Row],[unique_id]]), "", PROPER(SUBSTITUTE(Table2[[#This Row],[unique_id]], "_", " ")))</f>
        <v>Garden Pool Filter Plug Energy Power</v>
      </c>
      <c r="G229" s="30" t="s">
        <v>904</v>
      </c>
      <c r="H229" s="30" t="s">
        <v>654</v>
      </c>
      <c r="I229" s="30" t="s">
        <v>132</v>
      </c>
      <c r="O229" s="31"/>
      <c r="P229" s="30"/>
      <c r="T229" s="37"/>
      <c r="U229" s="30"/>
      <c r="V229" s="31"/>
      <c r="W229" s="31"/>
      <c r="X229" s="31"/>
      <c r="Y229" s="31"/>
      <c r="Z229" s="31"/>
      <c r="AA229" s="31"/>
      <c r="AB229" s="30" t="s">
        <v>31</v>
      </c>
      <c r="AC229" s="30" t="s">
        <v>327</v>
      </c>
      <c r="AD229" s="30" t="s">
        <v>902</v>
      </c>
      <c r="AF229" s="30">
        <v>10</v>
      </c>
      <c r="AG229" s="31" t="s">
        <v>34</v>
      </c>
      <c r="AH229" s="31" t="s">
        <v>901</v>
      </c>
      <c r="AJ229" s="30" t="str">
        <f>_xlfn.CONCAT("homeassistant/", Table2[[#This Row],[entity_namespace]], "/tasmota/",Table2[[#This Row],[unique_id]], "/config")</f>
        <v>homeassistant/sensor/tasmota/garden_pool_filter_plug_energy_power/config</v>
      </c>
      <c r="AK229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29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9" s="30" t="s">
        <v>920</v>
      </c>
      <c r="AO229" s="30" t="s">
        <v>921</v>
      </c>
      <c r="AP229" s="30" t="s">
        <v>910</v>
      </c>
      <c r="AQ229" s="30" t="s">
        <v>911</v>
      </c>
      <c r="AR229" s="30" t="s">
        <v>1109</v>
      </c>
      <c r="AS229" s="30">
        <v>1</v>
      </c>
      <c r="AT229" s="34"/>
      <c r="AU229" s="30"/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444</v>
      </c>
      <c r="BD229" s="30" t="s">
        <v>1115</v>
      </c>
      <c r="BF229" s="30" t="s">
        <v>891</v>
      </c>
      <c r="BG229" s="30" t="s">
        <v>577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1810</v>
      </c>
      <c r="B230" s="30" t="s">
        <v>26</v>
      </c>
      <c r="C230" s="30" t="s">
        <v>697</v>
      </c>
      <c r="D230" s="30" t="s">
        <v>27</v>
      </c>
      <c r="E230" s="30" t="s">
        <v>1106</v>
      </c>
      <c r="F230" s="36" t="str">
        <f>IF(ISBLANK(Table2[[#This Row],[unique_id]]), "", PROPER(SUBSTITUTE(Table2[[#This Row],[unique_id]], "_", " ")))</f>
        <v>Garden Pool Filter Plug Energy Total</v>
      </c>
      <c r="G230" s="30" t="s">
        <v>905</v>
      </c>
      <c r="H230" s="30" t="s">
        <v>654</v>
      </c>
      <c r="I230" s="30" t="s">
        <v>132</v>
      </c>
      <c r="O230" s="31"/>
      <c r="P230" s="30"/>
      <c r="T230" s="37"/>
      <c r="U230" s="30"/>
      <c r="V230" s="31"/>
      <c r="W230" s="31"/>
      <c r="X230" s="31"/>
      <c r="Y230" s="31"/>
      <c r="Z230" s="31"/>
      <c r="AA230" s="31"/>
      <c r="AB230" s="30" t="s">
        <v>76</v>
      </c>
      <c r="AC230" s="30" t="s">
        <v>328</v>
      </c>
      <c r="AD230" s="30" t="s">
        <v>903</v>
      </c>
      <c r="AF230" s="30">
        <v>10</v>
      </c>
      <c r="AG230" s="31" t="s">
        <v>34</v>
      </c>
      <c r="AH230" s="31" t="s">
        <v>901</v>
      </c>
      <c r="AJ230" s="30" t="str">
        <f>_xlfn.CONCAT("homeassistant/", Table2[[#This Row],[entity_namespace]], "/tasmota/",Table2[[#This Row],[unique_id]], "/config")</f>
        <v>homeassistant/sensor/tasmota/garden_pool_filter_plug_energy_total/config</v>
      </c>
      <c r="AK230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920</v>
      </c>
      <c r="AO230" s="30" t="s">
        <v>921</v>
      </c>
      <c r="AP230" s="30" t="s">
        <v>910</v>
      </c>
      <c r="AQ230" s="30" t="s">
        <v>911</v>
      </c>
      <c r="AR230" s="30" t="s">
        <v>1110</v>
      </c>
      <c r="AS230" s="30">
        <v>1</v>
      </c>
      <c r="AT230" s="34"/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444</v>
      </c>
      <c r="BD230" s="30" t="s">
        <v>1115</v>
      </c>
      <c r="BF230" s="30" t="s">
        <v>891</v>
      </c>
      <c r="BG230" s="30" t="s">
        <v>577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1" spans="1:66" ht="16" customHeight="1" x14ac:dyDescent="0.2">
      <c r="A231" s="30">
        <v>1811</v>
      </c>
      <c r="B231" s="30" t="s">
        <v>26</v>
      </c>
      <c r="C231" s="30" t="s">
        <v>697</v>
      </c>
      <c r="D231" s="30" t="s">
        <v>27</v>
      </c>
      <c r="E231" s="30" t="s">
        <v>1054</v>
      </c>
      <c r="F231" s="36" t="str">
        <f>IF(ISBLANK(Table2[[#This Row],[unique_id]]), "", PROPER(SUBSTITUTE(Table2[[#This Row],[unique_id]], "_", " ")))</f>
        <v>Landing Festoons Plug Temperature</v>
      </c>
      <c r="G231" s="30" t="s">
        <v>1164</v>
      </c>
      <c r="H231" s="30" t="s">
        <v>1372</v>
      </c>
      <c r="I231" s="30" t="s">
        <v>132</v>
      </c>
      <c r="K231" s="30" t="s">
        <v>1172</v>
      </c>
      <c r="O231" s="31"/>
      <c r="P231" s="30"/>
      <c r="T231" s="37"/>
      <c r="U231" s="30" t="s">
        <v>437</v>
      </c>
      <c r="V231" s="31" t="s">
        <v>1187</v>
      </c>
      <c r="W231" s="31"/>
      <c r="X231" s="31"/>
      <c r="Y231" s="31"/>
      <c r="Z231" s="31"/>
      <c r="AA231" s="31"/>
      <c r="AB231" s="30" t="s">
        <v>31</v>
      </c>
      <c r="AC231" s="30" t="s">
        <v>88</v>
      </c>
      <c r="AD231" s="30" t="s">
        <v>89</v>
      </c>
      <c r="AE231" s="30" t="s">
        <v>445</v>
      </c>
      <c r="AF231" s="30">
        <v>10</v>
      </c>
      <c r="AG231" s="31" t="s">
        <v>34</v>
      </c>
      <c r="AH231" s="31" t="s">
        <v>901</v>
      </c>
      <c r="AJ231" s="30" t="str">
        <f>_xlfn.CONCAT("homeassistant/", Table2[[#This Row],[entity_namespace]], "/tasmota/",Table2[[#This Row],[unique_id]], "/config")</f>
        <v>homeassistant/sensor/tasmota/landing_festoons_plug_temperature/config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1" s="30" t="s">
        <v>920</v>
      </c>
      <c r="AO231" s="30" t="s">
        <v>921</v>
      </c>
      <c r="AP231" s="30" t="s">
        <v>910</v>
      </c>
      <c r="AQ231" s="30" t="s">
        <v>911</v>
      </c>
      <c r="AR231" s="30" t="s">
        <v>1118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Landing</v>
      </c>
      <c r="BB231" s="30" t="s">
        <v>731</v>
      </c>
      <c r="BC231" s="30" t="s">
        <v>1117</v>
      </c>
      <c r="BD231" s="30" t="s">
        <v>1115</v>
      </c>
      <c r="BF231" s="30" t="s">
        <v>891</v>
      </c>
      <c r="BG231" s="30" t="s">
        <v>560</v>
      </c>
      <c r="BH231" s="30" t="s">
        <v>404</v>
      </c>
      <c r="BI231" s="30" t="s">
        <v>404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1812</v>
      </c>
      <c r="B232" s="30" t="s">
        <v>26</v>
      </c>
      <c r="C232" s="30" t="s">
        <v>697</v>
      </c>
      <c r="D232" s="30" t="s">
        <v>27</v>
      </c>
      <c r="E232" s="30" t="s">
        <v>1172</v>
      </c>
      <c r="F232" s="30" t="str">
        <f>IF(ISBLANK(Table2[[#This Row],[unique_id]]), "", PROPER(SUBSTITUTE(Table2[[#This Row],[unique_id]], "_", " ")))</f>
        <v>Compensation Sensor Landing Festoons Plug Temperature</v>
      </c>
      <c r="G232" s="30" t="s">
        <v>1164</v>
      </c>
      <c r="H232" s="30" t="s">
        <v>1372</v>
      </c>
      <c r="I232" s="30" t="s">
        <v>132</v>
      </c>
      <c r="J232" s="30" t="s">
        <v>87</v>
      </c>
      <c r="M232" s="30" t="s">
        <v>90</v>
      </c>
      <c r="O232" s="31"/>
      <c r="P232" s="30"/>
      <c r="T232" s="37"/>
      <c r="U232" s="30" t="s">
        <v>437</v>
      </c>
      <c r="V232" s="31"/>
      <c r="W232" s="31"/>
      <c r="X232" s="31"/>
      <c r="Y232" s="31"/>
      <c r="Z232" s="31"/>
      <c r="AA232" s="31"/>
      <c r="AB232" s="30" t="s">
        <v>31</v>
      </c>
      <c r="AC232" s="30" t="s">
        <v>88</v>
      </c>
      <c r="AD232" s="30" t="s">
        <v>89</v>
      </c>
      <c r="AE232" s="30" t="s">
        <v>445</v>
      </c>
      <c r="AG232" s="31"/>
      <c r="AH232" s="31"/>
      <c r="AJ232" s="30" t="str">
        <f>IF(ISBLANK(AI232),  "", _xlfn.CONCAT("haas/entity/sensor/", LOWER(C232), "/", E232, "/config"))</f>
        <v/>
      </c>
      <c r="AK232" s="30" t="str">
        <f>IF(ISBLANK(AI232),  "", _xlfn.CONCAT(LOWER(C232), "/", E232))</f>
        <v/>
      </c>
      <c r="AT232" s="32"/>
      <c r="AU232" s="40"/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/>
      </c>
      <c r="BF232" s="31"/>
      <c r="BG232" s="30" t="s">
        <v>560</v>
      </c>
      <c r="BH232" s="30" t="s">
        <v>404</v>
      </c>
      <c r="BI232" s="30" t="s">
        <v>404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2100</v>
      </c>
      <c r="B233" s="30" t="s">
        <v>26</v>
      </c>
      <c r="C233" s="30" t="s">
        <v>781</v>
      </c>
      <c r="D233" s="30" t="s">
        <v>27</v>
      </c>
      <c r="E233" s="30" t="s">
        <v>232</v>
      </c>
      <c r="F233" s="36" t="str">
        <f>IF(ISBLANK(Table2[[#This Row],[unique_id]]), "", PROPER(SUBSTITUTE(Table2[[#This Row],[unique_id]], "_", " ")))</f>
        <v>Home Power</v>
      </c>
      <c r="G233" s="30" t="s">
        <v>324</v>
      </c>
      <c r="H233" s="30" t="s">
        <v>240</v>
      </c>
      <c r="I233" s="30" t="s">
        <v>141</v>
      </c>
      <c r="M233" s="30" t="s">
        <v>90</v>
      </c>
      <c r="O233" s="31"/>
      <c r="P233" s="30"/>
      <c r="T233" s="37"/>
      <c r="U233" s="30" t="s">
        <v>438</v>
      </c>
      <c r="V233" s="31"/>
      <c r="W233" s="31"/>
      <c r="X233" s="31"/>
      <c r="Y233" s="31"/>
      <c r="Z233" s="31"/>
      <c r="AA233" s="31"/>
      <c r="AB233" s="30"/>
      <c r="AC233" s="30" t="s">
        <v>327</v>
      </c>
      <c r="AE233" s="30" t="s">
        <v>241</v>
      </c>
      <c r="AG233" s="31"/>
      <c r="AH233" s="31"/>
      <c r="AT233" s="4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/>
      </c>
      <c r="BF233" s="31"/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2101</v>
      </c>
      <c r="B234" s="30" t="s">
        <v>26</v>
      </c>
      <c r="C234" s="30" t="s">
        <v>781</v>
      </c>
      <c r="D234" s="30" t="s">
        <v>27</v>
      </c>
      <c r="E234" s="30" t="s">
        <v>321</v>
      </c>
      <c r="F234" s="36" t="str">
        <f>IF(ISBLANK(Table2[[#This Row],[unique_id]]), "", PROPER(SUBSTITUTE(Table2[[#This Row],[unique_id]], "_", " ")))</f>
        <v>Home Base Power</v>
      </c>
      <c r="G234" s="30" t="s">
        <v>322</v>
      </c>
      <c r="H234" s="30" t="s">
        <v>240</v>
      </c>
      <c r="I234" s="30" t="s">
        <v>141</v>
      </c>
      <c r="M234" s="30" t="s">
        <v>90</v>
      </c>
      <c r="O234" s="31"/>
      <c r="P234" s="30"/>
      <c r="T234" s="37"/>
      <c r="U234" s="30" t="s">
        <v>438</v>
      </c>
      <c r="V234" s="31"/>
      <c r="W234" s="31"/>
      <c r="X234" s="31"/>
      <c r="Y234" s="31"/>
      <c r="Z234" s="31"/>
      <c r="AA234" s="31"/>
      <c r="AB234" s="30"/>
      <c r="AC234" s="30" t="s">
        <v>327</v>
      </c>
      <c r="AE234" s="30" t="s">
        <v>241</v>
      </c>
      <c r="AG234" s="31"/>
      <c r="AH234" s="31"/>
      <c r="AT234" s="40"/>
      <c r="AV2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2102</v>
      </c>
      <c r="B235" s="30" t="s">
        <v>26</v>
      </c>
      <c r="C235" s="30" t="s">
        <v>781</v>
      </c>
      <c r="D235" s="30" t="s">
        <v>27</v>
      </c>
      <c r="E235" s="30" t="s">
        <v>320</v>
      </c>
      <c r="F235" s="36" t="str">
        <f>IF(ISBLANK(Table2[[#This Row],[unique_id]]), "", PROPER(SUBSTITUTE(Table2[[#This Row],[unique_id]], "_", " ")))</f>
        <v>Home Peak Power</v>
      </c>
      <c r="G235" s="30" t="s">
        <v>323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438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2103</v>
      </c>
      <c r="B236" s="30" t="s">
        <v>26</v>
      </c>
      <c r="C236" s="30" t="s">
        <v>441</v>
      </c>
      <c r="D236" s="30" t="s">
        <v>333</v>
      </c>
      <c r="E236" s="30" t="s">
        <v>439</v>
      </c>
      <c r="F236" s="36" t="str">
        <f>IF(ISBLANK(Table2[[#This Row],[unique_id]]), "", PROPER(SUBSTITUTE(Table2[[#This Row],[unique_id]], "_", " ")))</f>
        <v>Graph Break</v>
      </c>
      <c r="G236" s="30" t="s">
        <v>440</v>
      </c>
      <c r="H236" s="30" t="s">
        <v>240</v>
      </c>
      <c r="I236" s="30" t="s">
        <v>141</v>
      </c>
      <c r="O236" s="31"/>
      <c r="P236" s="30"/>
      <c r="T236" s="37"/>
      <c r="U236" s="30" t="s">
        <v>438</v>
      </c>
      <c r="V236" s="31"/>
      <c r="W236" s="31"/>
      <c r="X236" s="31"/>
      <c r="Y236" s="31"/>
      <c r="Z236" s="31"/>
      <c r="AA236" s="31"/>
      <c r="AB236" s="30"/>
      <c r="AC236" s="30"/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2104</v>
      </c>
      <c r="B237" s="30" t="s">
        <v>26</v>
      </c>
      <c r="C237" s="30" t="s">
        <v>781</v>
      </c>
      <c r="D237" s="30" t="s">
        <v>27</v>
      </c>
      <c r="E237" s="30" t="s">
        <v>767</v>
      </c>
      <c r="F237" s="36" t="str">
        <f>IF(ISBLANK(Table2[[#This Row],[unique_id]]), "", PROPER(SUBSTITUTE(Table2[[#This Row],[unique_id]], "_", " ")))</f>
        <v>Lights Power</v>
      </c>
      <c r="G237" s="30" t="s">
        <v>794</v>
      </c>
      <c r="H237" s="30" t="s">
        <v>240</v>
      </c>
      <c r="I237" s="30" t="s">
        <v>141</v>
      </c>
      <c r="M237" s="30" t="s">
        <v>136</v>
      </c>
      <c r="O237" s="31"/>
      <c r="P237" s="30"/>
      <c r="T237" s="37"/>
      <c r="U237" s="30" t="s">
        <v>438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2105</v>
      </c>
      <c r="B238" s="30" t="s">
        <v>26</v>
      </c>
      <c r="C238" s="30" t="s">
        <v>781</v>
      </c>
      <c r="D238" s="30" t="s">
        <v>27</v>
      </c>
      <c r="E238" s="30" t="s">
        <v>768</v>
      </c>
      <c r="F238" s="36" t="str">
        <f>IF(ISBLANK(Table2[[#This Row],[unique_id]]), "", PROPER(SUBSTITUTE(Table2[[#This Row],[unique_id]], "_", " ")))</f>
        <v>Fans Power</v>
      </c>
      <c r="G238" s="30" t="s">
        <v>793</v>
      </c>
      <c r="H238" s="30" t="s">
        <v>240</v>
      </c>
      <c r="I238" s="30" t="s">
        <v>141</v>
      </c>
      <c r="M238" s="30" t="s">
        <v>136</v>
      </c>
      <c r="O238" s="31"/>
      <c r="P238" s="30"/>
      <c r="T238" s="37"/>
      <c r="U238" s="30" t="s">
        <v>438</v>
      </c>
      <c r="V238" s="31"/>
      <c r="W238" s="31"/>
      <c r="X238" s="31"/>
      <c r="Y238" s="31"/>
      <c r="Z238" s="31"/>
      <c r="AA238" s="31"/>
      <c r="AB238" s="30"/>
      <c r="AC238" s="30" t="s">
        <v>327</v>
      </c>
      <c r="AE238" s="30" t="s">
        <v>241</v>
      </c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2106</v>
      </c>
      <c r="B239" s="30" t="s">
        <v>26</v>
      </c>
      <c r="C239" s="30" t="s">
        <v>781</v>
      </c>
      <c r="D239" s="30" t="s">
        <v>27</v>
      </c>
      <c r="E239" s="30" t="s">
        <v>830</v>
      </c>
      <c r="F239" s="36" t="str">
        <f>IF(ISBLANK(Table2[[#This Row],[unique_id]]), "", PROPER(SUBSTITUTE(Table2[[#This Row],[unique_id]], "_", " ")))</f>
        <v>All Standby Power</v>
      </c>
      <c r="G239" s="30" t="s">
        <v>843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438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2107</v>
      </c>
      <c r="B240" s="30" t="s">
        <v>26</v>
      </c>
      <c r="C240" s="30" t="s">
        <v>781</v>
      </c>
      <c r="D240" s="30" t="s">
        <v>27</v>
      </c>
      <c r="E240" s="30" t="s">
        <v>1077</v>
      </c>
      <c r="F240" s="36" t="str">
        <f>IF(ISBLANK(Table2[[#This Row],[unique_id]]), "", PROPER(SUBSTITUTE(Table2[[#This Row],[unique_id]], "_", " ")))</f>
        <v>Coffee Machine Power</v>
      </c>
      <c r="G240" s="30" t="s">
        <v>135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438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2108</v>
      </c>
      <c r="B241" s="30" t="s">
        <v>580</v>
      </c>
      <c r="C241" s="30" t="s">
        <v>781</v>
      </c>
      <c r="D241" s="30" t="s">
        <v>27</v>
      </c>
      <c r="E241" s="30" t="s">
        <v>1078</v>
      </c>
      <c r="F241" s="36" t="str">
        <f>IF(ISBLANK(Table2[[#This Row],[unique_id]]), "", PROPER(SUBSTITUTE(Table2[[#This Row],[unique_id]], "_", " ")))</f>
        <v>Battery Charger Power</v>
      </c>
      <c r="G241" s="30" t="s">
        <v>231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438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2109</v>
      </c>
      <c r="B242" s="30" t="s">
        <v>580</v>
      </c>
      <c r="C242" s="30" t="s">
        <v>781</v>
      </c>
      <c r="D242" s="30" t="s">
        <v>27</v>
      </c>
      <c r="E242" s="30" t="s">
        <v>1079</v>
      </c>
      <c r="F242" s="36" t="str">
        <f>IF(ISBLANK(Table2[[#This Row],[unique_id]]), "", PROPER(SUBSTITUTE(Table2[[#This Row],[unique_id]], "_", " ")))</f>
        <v>Vacuum Charger Power</v>
      </c>
      <c r="G242" s="30" t="s">
        <v>230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438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2110</v>
      </c>
      <c r="B243" s="30" t="s">
        <v>26</v>
      </c>
      <c r="C243" s="30" t="s">
        <v>781</v>
      </c>
      <c r="D243" s="30" t="s">
        <v>27</v>
      </c>
      <c r="E243" s="30" t="s">
        <v>1080</v>
      </c>
      <c r="F243" s="36" t="str">
        <f>IF(ISBLANK(Table2[[#This Row],[unique_id]]), "", PROPER(SUBSTITUTE(Table2[[#This Row],[unique_id]], "_", " ")))</f>
        <v>Pool Filter Power</v>
      </c>
      <c r="G243" s="30" t="s">
        <v>319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438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2111</v>
      </c>
      <c r="B244" s="30" t="s">
        <v>26</v>
      </c>
      <c r="C244" s="30" t="s">
        <v>781</v>
      </c>
      <c r="D244" s="30" t="s">
        <v>27</v>
      </c>
      <c r="E244" s="30" t="s">
        <v>1081</v>
      </c>
      <c r="F244" s="36" t="str">
        <f>IF(ISBLANK(Table2[[#This Row],[unique_id]]), "", PROPER(SUBSTITUTE(Table2[[#This Row],[unique_id]], "_", " ")))</f>
        <v>Water Booster Power</v>
      </c>
      <c r="G244" s="30" t="s">
        <v>1173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438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2112</v>
      </c>
      <c r="B245" s="30" t="s">
        <v>26</v>
      </c>
      <c r="C245" s="30" t="s">
        <v>781</v>
      </c>
      <c r="D245" s="30" t="s">
        <v>27</v>
      </c>
      <c r="E245" s="30" t="s">
        <v>1082</v>
      </c>
      <c r="F245" s="36" t="str">
        <f>IF(ISBLANK(Table2[[#This Row],[unique_id]]), "", PROPER(SUBSTITUTE(Table2[[#This Row],[unique_id]], "_", " ")))</f>
        <v>Dish Washer Power</v>
      </c>
      <c r="G245" s="30" t="s">
        <v>228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438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2113</v>
      </c>
      <c r="B246" s="30" t="s">
        <v>580</v>
      </c>
      <c r="C246" s="30" t="s">
        <v>781</v>
      </c>
      <c r="D246" s="30" t="s">
        <v>27</v>
      </c>
      <c r="E246" s="30" t="s">
        <v>1083</v>
      </c>
      <c r="F246" s="36" t="str">
        <f>IF(ISBLANK(Table2[[#This Row],[unique_id]]), "", PROPER(SUBSTITUTE(Table2[[#This Row],[unique_id]], "_", " ")))</f>
        <v>Clothes Dryer Power</v>
      </c>
      <c r="G246" s="30" t="s">
        <v>229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438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2114</v>
      </c>
      <c r="B247" s="30" t="s">
        <v>580</v>
      </c>
      <c r="C247" s="30" t="s">
        <v>781</v>
      </c>
      <c r="D247" s="30" t="s">
        <v>27</v>
      </c>
      <c r="E247" s="30" t="s">
        <v>1084</v>
      </c>
      <c r="F247" s="36" t="str">
        <f>IF(ISBLANK(Table2[[#This Row],[unique_id]]), "", PROPER(SUBSTITUTE(Table2[[#This Row],[unique_id]], "_", " ")))</f>
        <v>Washing Machine Power</v>
      </c>
      <c r="G247" s="30" t="s">
        <v>227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438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2115</v>
      </c>
      <c r="B248" s="30" t="s">
        <v>580</v>
      </c>
      <c r="C248" s="30" t="s">
        <v>781</v>
      </c>
      <c r="D248" s="30" t="s">
        <v>27</v>
      </c>
      <c r="E248" s="30" t="s">
        <v>782</v>
      </c>
      <c r="F248" s="36" t="str">
        <f>IF(ISBLANK(Table2[[#This Row],[unique_id]]), "", PROPER(SUBSTITUTE(Table2[[#This Row],[unique_id]], "_", " ")))</f>
        <v>Kitchen Fridge Power</v>
      </c>
      <c r="G248" s="30" t="s">
        <v>223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438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2116</v>
      </c>
      <c r="B249" s="30" t="s">
        <v>26</v>
      </c>
      <c r="C249" s="30" t="s">
        <v>781</v>
      </c>
      <c r="D249" s="30" t="s">
        <v>27</v>
      </c>
      <c r="E249" s="30" t="s">
        <v>783</v>
      </c>
      <c r="F249" s="36" t="str">
        <f>IF(ISBLANK(Table2[[#This Row],[unique_id]]), "", PROPER(SUBSTITUTE(Table2[[#This Row],[unique_id]], "_", " ")))</f>
        <v>Deck Freezer Power</v>
      </c>
      <c r="G249" s="30" t="s">
        <v>224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438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2117</v>
      </c>
      <c r="B250" s="30" t="s">
        <v>26</v>
      </c>
      <c r="C250" s="30" t="s">
        <v>781</v>
      </c>
      <c r="D250" s="30" t="s">
        <v>27</v>
      </c>
      <c r="E250" s="30" t="s">
        <v>1085</v>
      </c>
      <c r="F250" s="36" t="str">
        <f>IF(ISBLANK(Table2[[#This Row],[unique_id]]), "", PROPER(SUBSTITUTE(Table2[[#This Row],[unique_id]], "_", " ")))</f>
        <v>Towel Rails Power</v>
      </c>
      <c r="G250" s="30" t="s">
        <v>449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438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2118</v>
      </c>
      <c r="B251" s="30" t="s">
        <v>580</v>
      </c>
      <c r="C251" s="30" t="s">
        <v>781</v>
      </c>
      <c r="D251" s="30" t="s">
        <v>27</v>
      </c>
      <c r="E251" s="30" t="s">
        <v>784</v>
      </c>
      <c r="F251" s="36" t="str">
        <f>IF(ISBLANK(Table2[[#This Row],[unique_id]]), "", PROPER(SUBSTITUTE(Table2[[#This Row],[unique_id]], "_", " ")))</f>
        <v>Study Outlet Power</v>
      </c>
      <c r="G251" s="30" t="s">
        <v>226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438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2119</v>
      </c>
      <c r="B252" s="30" t="s">
        <v>580</v>
      </c>
      <c r="C252" s="30" t="s">
        <v>781</v>
      </c>
      <c r="D252" s="30" t="s">
        <v>27</v>
      </c>
      <c r="E252" s="30" t="s">
        <v>785</v>
      </c>
      <c r="F252" s="36" t="str">
        <f>IF(ISBLANK(Table2[[#This Row],[unique_id]]), "", PROPER(SUBSTITUTE(Table2[[#This Row],[unique_id]], "_", " ")))</f>
        <v>Office Outlet Power</v>
      </c>
      <c r="G252" s="30" t="s">
        <v>225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438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2120</v>
      </c>
      <c r="B253" s="30" t="s">
        <v>26</v>
      </c>
      <c r="C253" s="30" t="s">
        <v>781</v>
      </c>
      <c r="D253" s="30" t="s">
        <v>27</v>
      </c>
      <c r="E253" s="30" t="s">
        <v>798</v>
      </c>
      <c r="F253" s="36" t="str">
        <f>IF(ISBLANK(Table2[[#This Row],[unique_id]]), "", PROPER(SUBSTITUTE(Table2[[#This Row],[unique_id]], "_", " ")))</f>
        <v>Audio Visual Devices Power</v>
      </c>
      <c r="G253" s="30" t="s">
        <v>799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438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2121</v>
      </c>
      <c r="B254" s="30" t="s">
        <v>26</v>
      </c>
      <c r="C254" s="30" t="s">
        <v>781</v>
      </c>
      <c r="D254" s="30" t="s">
        <v>27</v>
      </c>
      <c r="E254" s="30" t="s">
        <v>772</v>
      </c>
      <c r="F254" s="36" t="str">
        <f>IF(ISBLANK(Table2[[#This Row],[unique_id]]), "", PROPER(SUBSTITUTE(Table2[[#This Row],[unique_id]], "_", " ")))</f>
        <v>Servers Network Power</v>
      </c>
      <c r="G254" s="30" t="s">
        <v>766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438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2122</v>
      </c>
      <c r="B255" s="30" t="s">
        <v>26</v>
      </c>
      <c r="C255" s="30" t="s">
        <v>441</v>
      </c>
      <c r="D255" s="30" t="s">
        <v>333</v>
      </c>
      <c r="E255" s="30" t="s">
        <v>332</v>
      </c>
      <c r="F255" s="36" t="str">
        <f>IF(ISBLANK(Table2[[#This Row],[unique_id]]), "", PROPER(SUBSTITUTE(Table2[[#This Row],[unique_id]], "_", " ")))</f>
        <v>Column Break</v>
      </c>
      <c r="G255" s="30" t="s">
        <v>329</v>
      </c>
      <c r="H255" s="30" t="s">
        <v>240</v>
      </c>
      <c r="I255" s="30" t="s">
        <v>141</v>
      </c>
      <c r="M255" s="30" t="s">
        <v>330</v>
      </c>
      <c r="N255" s="30" t="s">
        <v>331</v>
      </c>
      <c r="O255" s="31"/>
      <c r="P255" s="30"/>
      <c r="T255" s="37"/>
      <c r="U255" s="30"/>
      <c r="V255" s="31"/>
      <c r="W255" s="31"/>
      <c r="X255" s="31"/>
      <c r="Y255" s="31"/>
      <c r="Z255" s="31"/>
      <c r="AA255" s="31"/>
      <c r="AB255" s="30"/>
      <c r="AC255" s="30"/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2123</v>
      </c>
      <c r="B256" s="30" t="s">
        <v>26</v>
      </c>
      <c r="C256" s="30" t="s">
        <v>781</v>
      </c>
      <c r="D256" s="30" t="s">
        <v>27</v>
      </c>
      <c r="E256" s="30" t="s">
        <v>239</v>
      </c>
      <c r="F256" s="36" t="str">
        <f>IF(ISBLANK(Table2[[#This Row],[unique_id]]), "", PROPER(SUBSTITUTE(Table2[[#This Row],[unique_id]], "_", " ")))</f>
        <v>Home Energy Daily</v>
      </c>
      <c r="G256" s="30" t="s">
        <v>324</v>
      </c>
      <c r="H256" s="30" t="s">
        <v>219</v>
      </c>
      <c r="I256" s="30" t="s">
        <v>141</v>
      </c>
      <c r="M256" s="30" t="s">
        <v>90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328</v>
      </c>
      <c r="AE256" s="30" t="s">
        <v>242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2124</v>
      </c>
      <c r="B257" s="30" t="s">
        <v>26</v>
      </c>
      <c r="C257" s="30" t="s">
        <v>781</v>
      </c>
      <c r="D257" s="30" t="s">
        <v>27</v>
      </c>
      <c r="E257" s="30" t="s">
        <v>326</v>
      </c>
      <c r="F257" s="36" t="str">
        <f>IF(ISBLANK(Table2[[#This Row],[unique_id]]), "", PROPER(SUBSTITUTE(Table2[[#This Row],[unique_id]], "_", " ")))</f>
        <v>Home Base Energy Daily</v>
      </c>
      <c r="G257" s="30" t="s">
        <v>322</v>
      </c>
      <c r="H257" s="30" t="s">
        <v>219</v>
      </c>
      <c r="I257" s="30" t="s">
        <v>141</v>
      </c>
      <c r="M257" s="30" t="s">
        <v>90</v>
      </c>
      <c r="O257" s="31"/>
      <c r="P257" s="30"/>
      <c r="T257" s="37"/>
      <c r="U257" s="30" t="s">
        <v>437</v>
      </c>
      <c r="V257" s="31"/>
      <c r="W257" s="31"/>
      <c r="X257" s="31"/>
      <c r="Y257" s="31"/>
      <c r="Z257" s="31"/>
      <c r="AA257" s="31"/>
      <c r="AB257" s="30"/>
      <c r="AC257" s="30" t="s">
        <v>328</v>
      </c>
      <c r="AE257" s="30" t="s">
        <v>242</v>
      </c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2125</v>
      </c>
      <c r="B258" s="30" t="s">
        <v>26</v>
      </c>
      <c r="C258" s="30" t="s">
        <v>781</v>
      </c>
      <c r="D258" s="30" t="s">
        <v>27</v>
      </c>
      <c r="E258" s="30" t="s">
        <v>325</v>
      </c>
      <c r="F258" s="36" t="str">
        <f>IF(ISBLANK(Table2[[#This Row],[unique_id]]), "", PROPER(SUBSTITUTE(Table2[[#This Row],[unique_id]], "_", " ")))</f>
        <v>Home Peak Energy Daily</v>
      </c>
      <c r="G258" s="30" t="s">
        <v>323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437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2126</v>
      </c>
      <c r="B259" s="30" t="s">
        <v>26</v>
      </c>
      <c r="C259" s="30" t="s">
        <v>441</v>
      </c>
      <c r="D259" s="30" t="s">
        <v>333</v>
      </c>
      <c r="E259" s="30" t="s">
        <v>439</v>
      </c>
      <c r="F259" s="36" t="str">
        <f>IF(ISBLANK(Table2[[#This Row],[unique_id]]), "", PROPER(SUBSTITUTE(Table2[[#This Row],[unique_id]], "_", " ")))</f>
        <v>Graph Break</v>
      </c>
      <c r="G259" s="30" t="s">
        <v>440</v>
      </c>
      <c r="H259" s="30" t="s">
        <v>219</v>
      </c>
      <c r="I259" s="30" t="s">
        <v>141</v>
      </c>
      <c r="O259" s="31"/>
      <c r="P259" s="30"/>
      <c r="T259" s="37"/>
      <c r="U259" s="30" t="s">
        <v>437</v>
      </c>
      <c r="V259" s="31"/>
      <c r="W259" s="31"/>
      <c r="X259" s="31"/>
      <c r="Y259" s="31"/>
      <c r="Z259" s="31"/>
      <c r="AA259" s="31"/>
      <c r="AB259" s="30"/>
      <c r="AC259" s="30"/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2127</v>
      </c>
      <c r="B260" s="30" t="s">
        <v>26</v>
      </c>
      <c r="C260" s="30" t="s">
        <v>781</v>
      </c>
      <c r="D260" s="30" t="s">
        <v>27</v>
      </c>
      <c r="E260" s="30" t="s">
        <v>769</v>
      </c>
      <c r="F260" s="36" t="str">
        <f>IF(ISBLANK(Table2[[#This Row],[unique_id]]), "", PROPER(SUBSTITUTE(Table2[[#This Row],[unique_id]], "_", " ")))</f>
        <v>Lights Energy Daily</v>
      </c>
      <c r="G260" s="30" t="s">
        <v>794</v>
      </c>
      <c r="H260" s="30" t="s">
        <v>219</v>
      </c>
      <c r="I260" s="30" t="s">
        <v>141</v>
      </c>
      <c r="M260" s="30" t="s">
        <v>136</v>
      </c>
      <c r="O260" s="31"/>
      <c r="P260" s="30"/>
      <c r="T260" s="37"/>
      <c r="U260" s="30" t="s">
        <v>437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2128</v>
      </c>
      <c r="B261" s="30" t="s">
        <v>26</v>
      </c>
      <c r="C261" s="30" t="s">
        <v>781</v>
      </c>
      <c r="D261" s="30" t="s">
        <v>27</v>
      </c>
      <c r="E261" s="30" t="s">
        <v>770</v>
      </c>
      <c r="F261" s="36" t="str">
        <f>IF(ISBLANK(Table2[[#This Row],[unique_id]]), "", PROPER(SUBSTITUTE(Table2[[#This Row],[unique_id]], "_", " ")))</f>
        <v>Fans Energy Daily</v>
      </c>
      <c r="G261" s="30" t="s">
        <v>793</v>
      </c>
      <c r="H261" s="30" t="s">
        <v>219</v>
      </c>
      <c r="I261" s="30" t="s">
        <v>141</v>
      </c>
      <c r="M261" s="30" t="s">
        <v>136</v>
      </c>
      <c r="O261" s="31"/>
      <c r="P261" s="30"/>
      <c r="T261" s="37"/>
      <c r="U261" s="30" t="s">
        <v>437</v>
      </c>
      <c r="V261" s="31"/>
      <c r="W261" s="31"/>
      <c r="X261" s="31"/>
      <c r="Y261" s="31"/>
      <c r="Z261" s="31"/>
      <c r="AA261" s="31"/>
      <c r="AB261" s="30"/>
      <c r="AC261" s="30" t="s">
        <v>328</v>
      </c>
      <c r="AE261" s="30" t="s">
        <v>242</v>
      </c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2129</v>
      </c>
      <c r="B262" s="30" t="s">
        <v>26</v>
      </c>
      <c r="C262" s="30" t="s">
        <v>781</v>
      </c>
      <c r="D262" s="30" t="s">
        <v>27</v>
      </c>
      <c r="E262" s="30" t="s">
        <v>834</v>
      </c>
      <c r="F262" s="36" t="str">
        <f>IF(ISBLANK(Table2[[#This Row],[unique_id]]), "", PROPER(SUBSTITUTE(Table2[[#This Row],[unique_id]], "_", " ")))</f>
        <v>All Standby Energy Daily</v>
      </c>
      <c r="G262" s="30" t="s">
        <v>843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437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2130</v>
      </c>
      <c r="B263" s="30" t="s">
        <v>26</v>
      </c>
      <c r="C263" s="30" t="s">
        <v>781</v>
      </c>
      <c r="D263" s="30" t="s">
        <v>27</v>
      </c>
      <c r="E263" s="30" t="s">
        <v>1086</v>
      </c>
      <c r="F263" s="36" t="str">
        <f>IF(ISBLANK(Table2[[#This Row],[unique_id]]), "", PROPER(SUBSTITUTE(Table2[[#This Row],[unique_id]], "_", " ")))</f>
        <v>Coffee Machine Energy Daily</v>
      </c>
      <c r="G263" s="30" t="s">
        <v>135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437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2131</v>
      </c>
      <c r="B264" s="30" t="s">
        <v>580</v>
      </c>
      <c r="C264" s="30" t="s">
        <v>781</v>
      </c>
      <c r="D264" s="30" t="s">
        <v>27</v>
      </c>
      <c r="E264" s="30" t="s">
        <v>1087</v>
      </c>
      <c r="F264" s="36" t="str">
        <f>IF(ISBLANK(Table2[[#This Row],[unique_id]]), "", PROPER(SUBSTITUTE(Table2[[#This Row],[unique_id]], "_", " ")))</f>
        <v>Battery Charger Energy Daily</v>
      </c>
      <c r="G264" s="30" t="s">
        <v>231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437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2132</v>
      </c>
      <c r="B265" s="30" t="s">
        <v>580</v>
      </c>
      <c r="C265" s="30" t="s">
        <v>781</v>
      </c>
      <c r="D265" s="30" t="s">
        <v>27</v>
      </c>
      <c r="E265" s="30" t="s">
        <v>1088</v>
      </c>
      <c r="F265" s="36" t="str">
        <f>IF(ISBLANK(Table2[[#This Row],[unique_id]]), "", PROPER(SUBSTITUTE(Table2[[#This Row],[unique_id]], "_", " ")))</f>
        <v>Vacuum Charger Energy Daily</v>
      </c>
      <c r="G265" s="30" t="s">
        <v>230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437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2133</v>
      </c>
      <c r="B266" s="30" t="s">
        <v>26</v>
      </c>
      <c r="C266" s="30" t="s">
        <v>781</v>
      </c>
      <c r="D266" s="30" t="s">
        <v>27</v>
      </c>
      <c r="E266" s="30" t="s">
        <v>1089</v>
      </c>
      <c r="F266" s="36" t="str">
        <f>IF(ISBLANK(Table2[[#This Row],[unique_id]]), "", PROPER(SUBSTITUTE(Table2[[#This Row],[unique_id]], "_", " ")))</f>
        <v>Pool Filter Energy Daily</v>
      </c>
      <c r="G266" s="30" t="s">
        <v>319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437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2134</v>
      </c>
      <c r="B267" s="30" t="s">
        <v>26</v>
      </c>
      <c r="C267" s="30" t="s">
        <v>781</v>
      </c>
      <c r="D267" s="30" t="s">
        <v>27</v>
      </c>
      <c r="E267" s="30" t="s">
        <v>1090</v>
      </c>
      <c r="F267" s="36" t="str">
        <f>IF(ISBLANK(Table2[[#This Row],[unique_id]]), "", PROPER(SUBSTITUTE(Table2[[#This Row],[unique_id]], "_", " ")))</f>
        <v>Water Booster Energy Daily</v>
      </c>
      <c r="G267" s="30" t="s">
        <v>1173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437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2135</v>
      </c>
      <c r="B268" s="30" t="s">
        <v>26</v>
      </c>
      <c r="C268" s="30" t="s">
        <v>781</v>
      </c>
      <c r="D268" s="30" t="s">
        <v>27</v>
      </c>
      <c r="E268" s="30" t="s">
        <v>1091</v>
      </c>
      <c r="F268" s="36" t="str">
        <f>IF(ISBLANK(Table2[[#This Row],[unique_id]]), "", PROPER(SUBSTITUTE(Table2[[#This Row],[unique_id]], "_", " ")))</f>
        <v>Dish Washer Energy Daily</v>
      </c>
      <c r="G268" s="30" t="s">
        <v>228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437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2136</v>
      </c>
      <c r="B269" s="30" t="s">
        <v>580</v>
      </c>
      <c r="C269" s="30" t="s">
        <v>781</v>
      </c>
      <c r="D269" s="30" t="s">
        <v>27</v>
      </c>
      <c r="E269" s="30" t="s">
        <v>1092</v>
      </c>
      <c r="F269" s="36" t="str">
        <f>IF(ISBLANK(Table2[[#This Row],[unique_id]]), "", PROPER(SUBSTITUTE(Table2[[#This Row],[unique_id]], "_", " ")))</f>
        <v>Clothes Dryer Energy Daily</v>
      </c>
      <c r="G269" s="30" t="s">
        <v>229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437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2137</v>
      </c>
      <c r="B270" s="30" t="s">
        <v>580</v>
      </c>
      <c r="C270" s="30" t="s">
        <v>781</v>
      </c>
      <c r="D270" s="30" t="s">
        <v>27</v>
      </c>
      <c r="E270" s="30" t="s">
        <v>1093</v>
      </c>
      <c r="F270" s="36" t="str">
        <f>IF(ISBLANK(Table2[[#This Row],[unique_id]]), "", PROPER(SUBSTITUTE(Table2[[#This Row],[unique_id]], "_", " ")))</f>
        <v>Washing Machine Energy Daily</v>
      </c>
      <c r="G270" s="30" t="s">
        <v>227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437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2138</v>
      </c>
      <c r="B271" s="30" t="s">
        <v>580</v>
      </c>
      <c r="C271" s="30" t="s">
        <v>781</v>
      </c>
      <c r="D271" s="30" t="s">
        <v>27</v>
      </c>
      <c r="E271" s="30" t="s">
        <v>786</v>
      </c>
      <c r="F271" s="36" t="str">
        <f>IF(ISBLANK(Table2[[#This Row],[unique_id]]), "", PROPER(SUBSTITUTE(Table2[[#This Row],[unique_id]], "_", " ")))</f>
        <v>Kitchen Fridge Energy Daily</v>
      </c>
      <c r="G271" s="30" t="s">
        <v>223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437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2139</v>
      </c>
      <c r="B272" s="30" t="s">
        <v>26</v>
      </c>
      <c r="C272" s="30" t="s">
        <v>781</v>
      </c>
      <c r="D272" s="30" t="s">
        <v>27</v>
      </c>
      <c r="E272" s="30" t="s">
        <v>787</v>
      </c>
      <c r="F272" s="36" t="str">
        <f>IF(ISBLANK(Table2[[#This Row],[unique_id]]), "", PROPER(SUBSTITUTE(Table2[[#This Row],[unique_id]], "_", " ")))</f>
        <v>Deck Freezer Energy Daily</v>
      </c>
      <c r="G272" s="30" t="s">
        <v>224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437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2140</v>
      </c>
      <c r="B273" s="30" t="s">
        <v>26</v>
      </c>
      <c r="C273" s="30" t="s">
        <v>781</v>
      </c>
      <c r="D273" s="30" t="s">
        <v>27</v>
      </c>
      <c r="E273" s="30" t="s">
        <v>1094</v>
      </c>
      <c r="F273" s="36" t="str">
        <f>IF(ISBLANK(Table2[[#This Row],[unique_id]]), "", PROPER(SUBSTITUTE(Table2[[#This Row],[unique_id]], "_", " ")))</f>
        <v>Towel Rails Energy Daily</v>
      </c>
      <c r="G273" s="30" t="s">
        <v>449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437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2141</v>
      </c>
      <c r="B274" s="30" t="s">
        <v>580</v>
      </c>
      <c r="C274" s="30" t="s">
        <v>781</v>
      </c>
      <c r="D274" s="30" t="s">
        <v>27</v>
      </c>
      <c r="E274" s="30" t="s">
        <v>788</v>
      </c>
      <c r="F274" s="36" t="str">
        <f>IF(ISBLANK(Table2[[#This Row],[unique_id]]), "", PROPER(SUBSTITUTE(Table2[[#This Row],[unique_id]], "_", " ")))</f>
        <v>Study Outlet Energy Daily</v>
      </c>
      <c r="G274" s="30" t="s">
        <v>226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437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2142</v>
      </c>
      <c r="B275" s="30" t="s">
        <v>580</v>
      </c>
      <c r="C275" s="30" t="s">
        <v>781</v>
      </c>
      <c r="D275" s="30" t="s">
        <v>27</v>
      </c>
      <c r="E275" s="30" t="s">
        <v>789</v>
      </c>
      <c r="F275" s="36" t="str">
        <f>IF(ISBLANK(Table2[[#This Row],[unique_id]]), "", PROPER(SUBSTITUTE(Table2[[#This Row],[unique_id]], "_", " ")))</f>
        <v>Office Outlet Energy Daily</v>
      </c>
      <c r="G275" s="30" t="s">
        <v>225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437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2143</v>
      </c>
      <c r="B276" s="30" t="s">
        <v>26</v>
      </c>
      <c r="C276" s="30" t="s">
        <v>781</v>
      </c>
      <c r="D276" s="30" t="s">
        <v>27</v>
      </c>
      <c r="E276" s="30" t="s">
        <v>800</v>
      </c>
      <c r="F276" s="36" t="str">
        <f>IF(ISBLANK(Table2[[#This Row],[unique_id]]), "", PROPER(SUBSTITUTE(Table2[[#This Row],[unique_id]], "_", " ")))</f>
        <v>Audio Visual Devices Energy Daily</v>
      </c>
      <c r="G276" s="30" t="s">
        <v>799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437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2144</v>
      </c>
      <c r="B277" s="30" t="s">
        <v>26</v>
      </c>
      <c r="C277" s="30" t="s">
        <v>781</v>
      </c>
      <c r="D277" s="30" t="s">
        <v>27</v>
      </c>
      <c r="E277" s="30" t="s">
        <v>773</v>
      </c>
      <c r="F277" s="36" t="str">
        <f>IF(ISBLANK(Table2[[#This Row],[unique_id]]), "", PROPER(SUBSTITUTE(Table2[[#This Row],[unique_id]], "_", " ")))</f>
        <v>Servers Network Energy Daily</v>
      </c>
      <c r="G277" s="30" t="s">
        <v>766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437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2145</v>
      </c>
      <c r="B278" s="30" t="s">
        <v>26</v>
      </c>
      <c r="C278" s="30" t="s">
        <v>441</v>
      </c>
      <c r="D278" s="30" t="s">
        <v>333</v>
      </c>
      <c r="E278" s="30" t="s">
        <v>332</v>
      </c>
      <c r="F278" s="36" t="str">
        <f>IF(ISBLANK(Table2[[#This Row],[unique_id]]), "", PROPER(SUBSTITUTE(Table2[[#This Row],[unique_id]], "_", " ")))</f>
        <v>Column Break</v>
      </c>
      <c r="G278" s="30" t="s">
        <v>329</v>
      </c>
      <c r="H278" s="30" t="s">
        <v>219</v>
      </c>
      <c r="I278" s="30" t="s">
        <v>141</v>
      </c>
      <c r="M278" s="30" t="s">
        <v>330</v>
      </c>
      <c r="N278" s="30" t="s">
        <v>331</v>
      </c>
      <c r="O278" s="31"/>
      <c r="P278" s="30"/>
      <c r="T278" s="37"/>
      <c r="U278" s="30"/>
      <c r="V278" s="31"/>
      <c r="W278" s="31"/>
      <c r="X278" s="31"/>
      <c r="Y278" s="31"/>
      <c r="Z278" s="31"/>
      <c r="AA278" s="31"/>
      <c r="AB278" s="30"/>
      <c r="AC278" s="30"/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2400</v>
      </c>
      <c r="B279" s="30" t="s">
        <v>26</v>
      </c>
      <c r="C279" s="30" t="s">
        <v>181</v>
      </c>
      <c r="D279" s="30" t="s">
        <v>27</v>
      </c>
      <c r="E279" s="30" t="s">
        <v>142</v>
      </c>
      <c r="F279" s="36" t="str">
        <f>IF(ISBLANK(Table2[[#This Row],[unique_id]]), "", PROPER(SUBSTITUTE(Table2[[#This Row],[unique_id]], "_", " ")))</f>
        <v>Withings Weight Kg Graham</v>
      </c>
      <c r="G279" s="30" t="s">
        <v>293</v>
      </c>
      <c r="H279" s="30" t="s">
        <v>294</v>
      </c>
      <c r="I279" s="30" t="s">
        <v>143</v>
      </c>
      <c r="O279" s="31"/>
      <c r="P279" s="30"/>
      <c r="T279" s="37"/>
      <c r="U279" s="30"/>
      <c r="V279" s="31"/>
      <c r="W279" s="31"/>
      <c r="X279" s="31"/>
      <c r="Y279" s="31"/>
      <c r="Z279" s="31"/>
      <c r="AA279" s="31"/>
      <c r="AB279" s="30"/>
      <c r="AC279" s="30"/>
      <c r="AG279" s="31"/>
      <c r="AH279" s="31"/>
      <c r="AT279" s="40"/>
      <c r="AU279" s="3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>Ensuite</v>
      </c>
      <c r="BB279" s="30" t="s">
        <v>1035</v>
      </c>
      <c r="BC279" s="30" t="s">
        <v>396</v>
      </c>
      <c r="BD279" s="30" t="s">
        <v>181</v>
      </c>
      <c r="BF279" s="30" t="s">
        <v>397</v>
      </c>
      <c r="BG279" s="30" t="s">
        <v>395</v>
      </c>
      <c r="BK279" s="30" t="s">
        <v>1300</v>
      </c>
      <c r="BL279" s="41" t="s">
        <v>432</v>
      </c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0" spans="1:66" ht="16" customHeight="1" x14ac:dyDescent="0.2">
      <c r="A280" s="30">
        <v>2500</v>
      </c>
      <c r="B280" s="30" t="s">
        <v>580</v>
      </c>
      <c r="C280" s="30" t="s">
        <v>283</v>
      </c>
      <c r="D280" s="30" t="s">
        <v>27</v>
      </c>
      <c r="E280" s="30" t="s">
        <v>279</v>
      </c>
      <c r="F280" s="36" t="str">
        <f>IF(ISBLANK(Table2[[#This Row],[unique_id]]), "", PROPER(SUBSTITUTE(Table2[[#This Row],[unique_id]], "_", " ")))</f>
        <v>Network Internet Uptime</v>
      </c>
      <c r="G280" s="30" t="s">
        <v>286</v>
      </c>
      <c r="H280" s="30" t="s">
        <v>723</v>
      </c>
      <c r="I280" s="30" t="s">
        <v>291</v>
      </c>
      <c r="M280" s="30" t="s">
        <v>136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 t="s">
        <v>31</v>
      </c>
      <c r="AC280" s="30" t="s">
        <v>280</v>
      </c>
      <c r="AE280" s="30" t="s">
        <v>288</v>
      </c>
      <c r="AF280" s="30">
        <v>200</v>
      </c>
      <c r="AG280" s="31" t="s">
        <v>34</v>
      </c>
      <c r="AH280" s="31"/>
      <c r="AI280" s="30" t="s">
        <v>1147</v>
      </c>
      <c r="AJ28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0" s="30" t="str">
        <f>IF(ISBLANK(Table2[[#This Row],[index]]),  "", _xlfn.CONCAT("telegraf/macmini-meg/", LOWER(Table2[[#This Row],[device_via_device]])))</f>
        <v>telegraf/macmini-meg/internet</v>
      </c>
      <c r="AS280" s="30">
        <v>1</v>
      </c>
      <c r="AT280" s="32"/>
      <c r="AU280" s="3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>Rack</v>
      </c>
      <c r="BB280" s="30" t="s">
        <v>1126</v>
      </c>
      <c r="BC280" s="30" t="s">
        <v>1128</v>
      </c>
      <c r="BD280" s="30" t="s">
        <v>1127</v>
      </c>
      <c r="BF280" s="30" t="s">
        <v>994</v>
      </c>
      <c r="BG280" s="30" t="s">
        <v>28</v>
      </c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2501</v>
      </c>
      <c r="B281" s="30" t="s">
        <v>26</v>
      </c>
      <c r="C281" s="30" t="s">
        <v>283</v>
      </c>
      <c r="D281" s="30" t="s">
        <v>27</v>
      </c>
      <c r="E281" s="30" t="s">
        <v>275</v>
      </c>
      <c r="F281" s="36" t="str">
        <f>IF(ISBLANK(Table2[[#This Row],[unique_id]]), "", PROPER(SUBSTITUTE(Table2[[#This Row],[unique_id]], "_", " ")))</f>
        <v>Network Internet Ping</v>
      </c>
      <c r="G281" s="30" t="s">
        <v>276</v>
      </c>
      <c r="H281" s="30" t="s">
        <v>723</v>
      </c>
      <c r="I281" s="30" t="s">
        <v>291</v>
      </c>
      <c r="M281" s="30" t="s">
        <v>136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 t="s">
        <v>31</v>
      </c>
      <c r="AC281" s="30" t="s">
        <v>281</v>
      </c>
      <c r="AE281" s="30" t="s">
        <v>287</v>
      </c>
      <c r="AF281" s="30">
        <v>200</v>
      </c>
      <c r="AG281" s="31" t="s">
        <v>34</v>
      </c>
      <c r="AH281" s="31"/>
      <c r="AI281" s="30" t="s">
        <v>1147</v>
      </c>
      <c r="AJ28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1" s="30" t="str">
        <f>IF(ISBLANK(Table2[[#This Row],[index]]),  "", _xlfn.CONCAT("telegraf/macmini-meg/", LOWER(Table2[[#This Row],[device_via_device]])))</f>
        <v>telegraf/macmini-meg/internet</v>
      </c>
      <c r="AR281" s="48" t="s">
        <v>1264</v>
      </c>
      <c r="AS281" s="30">
        <v>1</v>
      </c>
      <c r="AT281" s="32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Rack</v>
      </c>
      <c r="BB281" s="30" t="s">
        <v>1126</v>
      </c>
      <c r="BC281" s="30" t="s">
        <v>1128</v>
      </c>
      <c r="BD281" s="30" t="s">
        <v>1127</v>
      </c>
      <c r="BF281" s="30" t="s">
        <v>994</v>
      </c>
      <c r="BG281" s="30" t="s">
        <v>28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2" spans="1:66" ht="16" customHeight="1" x14ac:dyDescent="0.2">
      <c r="A282" s="30">
        <v>2502</v>
      </c>
      <c r="B282" s="30" t="s">
        <v>26</v>
      </c>
      <c r="C282" s="30" t="s">
        <v>283</v>
      </c>
      <c r="D282" s="30" t="s">
        <v>27</v>
      </c>
      <c r="E282" s="30" t="s">
        <v>273</v>
      </c>
      <c r="F282" s="36" t="str">
        <f>IF(ISBLANK(Table2[[#This Row],[unique_id]]), "", PROPER(SUBSTITUTE(Table2[[#This Row],[unique_id]], "_", " ")))</f>
        <v>Network Internet Upload</v>
      </c>
      <c r="G282" s="30" t="s">
        <v>277</v>
      </c>
      <c r="H282" s="30" t="s">
        <v>723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282</v>
      </c>
      <c r="AD282" s="30" t="s">
        <v>722</v>
      </c>
      <c r="AE282" s="30" t="s">
        <v>289</v>
      </c>
      <c r="AF282" s="30">
        <v>200</v>
      </c>
      <c r="AG282" s="31" t="s">
        <v>34</v>
      </c>
      <c r="AH282" s="31"/>
      <c r="AI282" s="30" t="s">
        <v>1147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2" s="30" t="str">
        <f>IF(ISBLANK(Table2[[#This Row],[index]]),  "", _xlfn.CONCAT("telegraf/macmini-meg/", LOWER(Table2[[#This Row],[device_via_device]])))</f>
        <v>telegraf/macmini-meg/internet</v>
      </c>
      <c r="AR282" s="48" t="s">
        <v>1265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1126</v>
      </c>
      <c r="BC282" s="30" t="s">
        <v>1128</v>
      </c>
      <c r="BD282" s="30" t="s">
        <v>1127</v>
      </c>
      <c r="BF282" s="30" t="s">
        <v>994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2503</v>
      </c>
      <c r="B283" s="30" t="s">
        <v>26</v>
      </c>
      <c r="C283" s="30" t="s">
        <v>283</v>
      </c>
      <c r="D283" s="30" t="s">
        <v>27</v>
      </c>
      <c r="E283" s="30" t="s">
        <v>274</v>
      </c>
      <c r="F283" s="36" t="str">
        <f>IF(ISBLANK(Table2[[#This Row],[unique_id]]), "", PROPER(SUBSTITUTE(Table2[[#This Row],[unique_id]], "_", " ")))</f>
        <v>Network Internet Download</v>
      </c>
      <c r="G283" s="30" t="s">
        <v>278</v>
      </c>
      <c r="H283" s="30" t="s">
        <v>723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282</v>
      </c>
      <c r="AD283" s="30" t="s">
        <v>722</v>
      </c>
      <c r="AE283" s="30" t="s">
        <v>290</v>
      </c>
      <c r="AF283" s="30">
        <v>200</v>
      </c>
      <c r="AG283" s="31" t="s">
        <v>34</v>
      </c>
      <c r="AH283" s="31"/>
      <c r="AI283" s="30" t="s">
        <v>1147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1266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1126</v>
      </c>
      <c r="BC283" s="30" t="s">
        <v>1128</v>
      </c>
      <c r="BD283" s="30" t="s">
        <v>1127</v>
      </c>
      <c r="BF283" s="30" t="s">
        <v>994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2504</v>
      </c>
      <c r="B284" s="30" t="s">
        <v>26</v>
      </c>
      <c r="C284" s="30" t="s">
        <v>283</v>
      </c>
      <c r="D284" s="30" t="s">
        <v>27</v>
      </c>
      <c r="E284" s="30" t="s">
        <v>1262</v>
      </c>
      <c r="F284" s="36" t="str">
        <f>IF(ISBLANK(Table2[[#This Row],[unique_id]]), "", PROPER(SUBSTITUTE(Table2[[#This Row],[unique_id]], "_", " ")))</f>
        <v>Network Certificate Expiry</v>
      </c>
      <c r="G284" s="30" t="s">
        <v>720</v>
      </c>
      <c r="H284" s="30" t="s">
        <v>723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280</v>
      </c>
      <c r="AE284" s="30" t="s">
        <v>721</v>
      </c>
      <c r="AF284" s="30">
        <v>200</v>
      </c>
      <c r="AG284" s="31" t="s">
        <v>34</v>
      </c>
      <c r="AH284" s="31"/>
      <c r="AI284" s="30" t="s">
        <v>1147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1126</v>
      </c>
      <c r="BC284" s="30" t="s">
        <v>1128</v>
      </c>
      <c r="BD284" s="30" t="s">
        <v>1127</v>
      </c>
      <c r="BF284" s="30" t="s">
        <v>994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2505</v>
      </c>
      <c r="B285" s="30" t="s">
        <v>580</v>
      </c>
      <c r="C285" s="30" t="s">
        <v>283</v>
      </c>
      <c r="D285" s="30" t="s">
        <v>27</v>
      </c>
      <c r="E285" s="30" t="s">
        <v>1234</v>
      </c>
      <c r="F285" s="30" t="str">
        <f>IF(ISBLANK(Table2[[#This Row],[unique_id]]), "", PROPER(SUBSTITUTE(Table2[[#This Row],[unique_id]], "_", " ")))</f>
        <v>Deck Wifi Access Point Experience</v>
      </c>
      <c r="G285" s="30" t="s">
        <v>1237</v>
      </c>
      <c r="H285" s="30" t="s">
        <v>1233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32</v>
      </c>
      <c r="AD285" s="30" t="s">
        <v>1236</v>
      </c>
      <c r="AF285" s="30">
        <v>200</v>
      </c>
      <c r="AG285" s="31" t="s">
        <v>34</v>
      </c>
      <c r="AH285" s="31"/>
      <c r="AI285" s="30" t="s">
        <v>1147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1192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1126</v>
      </c>
      <c r="BC285" s="30" t="s">
        <v>1128</v>
      </c>
      <c r="BD285" s="30" t="s">
        <v>1127</v>
      </c>
      <c r="BF285" s="30" t="s">
        <v>994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2506</v>
      </c>
      <c r="B286" s="30" t="s">
        <v>580</v>
      </c>
      <c r="C286" s="30" t="s">
        <v>283</v>
      </c>
      <c r="D286" s="30" t="s">
        <v>27</v>
      </c>
      <c r="E286" s="30" t="s">
        <v>1235</v>
      </c>
      <c r="F286" s="30" t="str">
        <f>IF(ISBLANK(Table2[[#This Row],[unique_id]]), "", PROPER(SUBSTITUTE(Table2[[#This Row],[unique_id]], "_", " ")))</f>
        <v>Hallway Wifi Access Point Experience</v>
      </c>
      <c r="G286" s="30" t="s">
        <v>1238</v>
      </c>
      <c r="H286" s="30" t="s">
        <v>1233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32</v>
      </c>
      <c r="AD286" s="30" t="s">
        <v>1236</v>
      </c>
      <c r="AF286" s="30">
        <v>200</v>
      </c>
      <c r="AG286" s="31" t="s">
        <v>34</v>
      </c>
      <c r="AH286" s="31"/>
      <c r="AI286" s="30" t="s">
        <v>1147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1192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1126</v>
      </c>
      <c r="BC286" s="30" t="s">
        <v>1128</v>
      </c>
      <c r="BD286" s="30" t="s">
        <v>1127</v>
      </c>
      <c r="BF286" s="30" t="s">
        <v>994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2507</v>
      </c>
      <c r="B287" s="30" t="s">
        <v>580</v>
      </c>
      <c r="C287" s="30" t="s">
        <v>150</v>
      </c>
      <c r="D287" s="30" t="s">
        <v>310</v>
      </c>
      <c r="E287" s="30" t="s">
        <v>717</v>
      </c>
      <c r="F287" s="36" t="str">
        <f>IF(ISBLANK(Table2[[#This Row],[unique_id]]), "", PROPER(SUBSTITUTE(Table2[[#This Row],[unique_id]], "_", " ")))</f>
        <v>Network Refresh Zigbee Router Lqi</v>
      </c>
      <c r="G287" s="30" t="s">
        <v>718</v>
      </c>
      <c r="H287" s="30" t="s">
        <v>715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719</v>
      </c>
      <c r="AG287" s="31"/>
      <c r="AH287" s="31"/>
      <c r="AR287" s="39"/>
      <c r="AT287" s="32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/>
      </c>
      <c r="BF287" s="3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2508</v>
      </c>
      <c r="B288" s="30" t="s">
        <v>26</v>
      </c>
      <c r="C288" s="30" t="s">
        <v>451</v>
      </c>
      <c r="D288" s="30" t="s">
        <v>27</v>
      </c>
      <c r="E288" s="30" t="s">
        <v>709</v>
      </c>
      <c r="F288" s="36" t="str">
        <f>IF(ISBLANK(Table2[[#This Row],[unique_id]]), "", PROPER(SUBSTITUTE(Table2[[#This Row],[unique_id]], "_", " ")))</f>
        <v>Template Driveway Repeater Linkquality Percentage</v>
      </c>
      <c r="G288" s="30" t="s">
        <v>702</v>
      </c>
      <c r="H288" s="30" t="s">
        <v>715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2509</v>
      </c>
      <c r="B289" s="30" t="s">
        <v>26</v>
      </c>
      <c r="C289" s="30" t="s">
        <v>451</v>
      </c>
      <c r="D289" s="30" t="s">
        <v>27</v>
      </c>
      <c r="E289" s="30" t="s">
        <v>710</v>
      </c>
      <c r="F289" s="36" t="str">
        <f>IF(ISBLANK(Table2[[#This Row],[unique_id]]), "", PROPER(SUBSTITUTE(Table2[[#This Row],[unique_id]], "_", " ")))</f>
        <v>Template Landing Repeater Linkquality Percentage</v>
      </c>
      <c r="G289" s="30" t="s">
        <v>703</v>
      </c>
      <c r="H289" s="30" t="s">
        <v>715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2510</v>
      </c>
      <c r="B290" s="30" t="s">
        <v>26</v>
      </c>
      <c r="C290" s="30" t="s">
        <v>451</v>
      </c>
      <c r="D290" s="30" t="s">
        <v>27</v>
      </c>
      <c r="E290" s="30" t="s">
        <v>711</v>
      </c>
      <c r="F290" s="36" t="str">
        <f>IF(ISBLANK(Table2[[#This Row],[unique_id]]), "", PROPER(SUBSTITUTE(Table2[[#This Row],[unique_id]], "_", " ")))</f>
        <v>Template Garden Repeater Linkquality Percentage</v>
      </c>
      <c r="G290" s="30" t="s">
        <v>701</v>
      </c>
      <c r="H290" s="30" t="s">
        <v>715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2511</v>
      </c>
      <c r="B291" s="30" t="s">
        <v>26</v>
      </c>
      <c r="C291" s="30" t="s">
        <v>378</v>
      </c>
      <c r="D291" s="30" t="s">
        <v>27</v>
      </c>
      <c r="E291" s="30" t="s">
        <v>713</v>
      </c>
      <c r="F291" s="36" t="str">
        <f>IF(ISBLANK(Table2[[#This Row],[unique_id]]), "", PROPER(SUBSTITUTE(Table2[[#This Row],[unique_id]], "_", " ")))</f>
        <v>Template Kitchen Fan Outlet Linkquality Percentage</v>
      </c>
      <c r="G291" s="30" t="s">
        <v>616</v>
      </c>
      <c r="H291" s="30" t="s">
        <v>715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2512</v>
      </c>
      <c r="B292" s="30" t="s">
        <v>26</v>
      </c>
      <c r="C292" s="30" t="s">
        <v>378</v>
      </c>
      <c r="D292" s="30" t="s">
        <v>27</v>
      </c>
      <c r="E292" s="30" t="s">
        <v>712</v>
      </c>
      <c r="F292" s="36" t="str">
        <f>IF(ISBLANK(Table2[[#This Row],[unique_id]]), "", PROPER(SUBSTITUTE(Table2[[#This Row],[unique_id]], "_", " ")))</f>
        <v>Template Deck Fans Outlet Linkquality Percentage</v>
      </c>
      <c r="G292" s="30" t="s">
        <v>617</v>
      </c>
      <c r="H292" s="30" t="s">
        <v>715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2513</v>
      </c>
      <c r="B293" s="30" t="s">
        <v>26</v>
      </c>
      <c r="C293" s="30" t="s">
        <v>378</v>
      </c>
      <c r="D293" s="30" t="s">
        <v>27</v>
      </c>
      <c r="E293" s="30" t="s">
        <v>714</v>
      </c>
      <c r="F293" s="36" t="str">
        <f>IF(ISBLANK(Table2[[#This Row],[unique_id]]), "", PROPER(SUBSTITUTE(Table2[[#This Row],[unique_id]], "_", " ")))</f>
        <v>Template Edwin Wardrobe Outlet Linkquality Percentage</v>
      </c>
      <c r="G293" s="30" t="s">
        <v>707</v>
      </c>
      <c r="H293" s="30" t="s">
        <v>715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2514</v>
      </c>
      <c r="B294" s="30" t="s">
        <v>26</v>
      </c>
      <c r="C294" s="30" t="s">
        <v>39</v>
      </c>
      <c r="D294" s="30" t="s">
        <v>27</v>
      </c>
      <c r="E294" s="30" t="s">
        <v>171</v>
      </c>
      <c r="F294" s="36" t="str">
        <f>IF(ISBLANK(Table2[[#This Row],[unique_id]]), "", PROPER(SUBSTITUTE(Table2[[#This Row],[unique_id]], "_", " ")))</f>
        <v>Weatherstation Coms Signal Quality</v>
      </c>
      <c r="G294" s="30" t="s">
        <v>657</v>
      </c>
      <c r="H294" s="30" t="s">
        <v>716</v>
      </c>
      <c r="I294" s="30" t="s">
        <v>291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F294" s="30">
        <v>300</v>
      </c>
      <c r="AG294" s="31" t="s">
        <v>34</v>
      </c>
      <c r="AH294" s="31"/>
      <c r="AI294" s="30" t="s">
        <v>86</v>
      </c>
      <c r="AJ294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4" s="30" t="str">
        <f>IF(ISBLANK(Table2[[#This Row],[index]]),  "", _xlfn.CONCAT(LOWER(Table2[[#This Row],[device_via_device]]), "/", Table2[[#This Row],[unique_id]]))</f>
        <v>weewx/weatherstation_coms_signal_quality</v>
      </c>
      <c r="AR294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Wardrobe</v>
      </c>
      <c r="BB294" s="30" t="s">
        <v>1261</v>
      </c>
      <c r="BC294" s="30" t="s">
        <v>36</v>
      </c>
      <c r="BD294" s="30" t="s">
        <v>37</v>
      </c>
      <c r="BF294" s="30" t="s">
        <v>1069</v>
      </c>
      <c r="BG294" s="30" t="s">
        <v>496</v>
      </c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2515</v>
      </c>
      <c r="B295" s="30" t="s">
        <v>26</v>
      </c>
      <c r="C295" s="30" t="s">
        <v>39</v>
      </c>
      <c r="D295" s="30" t="s">
        <v>27</v>
      </c>
      <c r="E295" s="30" t="s">
        <v>708</v>
      </c>
      <c r="F295" s="36" t="str">
        <f>IF(ISBLANK(Table2[[#This Row],[unique_id]]), "", PROPER(SUBSTITUTE(Table2[[#This Row],[unique_id]], "_", " ")))</f>
        <v>Template Weatherstation Coms Signal Quality Percentage</v>
      </c>
      <c r="G295" s="30" t="s">
        <v>657</v>
      </c>
      <c r="H295" s="30" t="s">
        <v>716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2516</v>
      </c>
      <c r="B296" s="30" t="s">
        <v>26</v>
      </c>
      <c r="C296" s="30" t="s">
        <v>1199</v>
      </c>
      <c r="D296" s="30" t="s">
        <v>148</v>
      </c>
      <c r="E296" s="30" t="s">
        <v>1201</v>
      </c>
      <c r="F296" s="30" t="str">
        <f>IF(ISBLANK(Table2[[#This Row],[unique_id]]), "", PROPER(SUBSTITUTE(Table2[[#This Row],[unique_id]], "_", " ")))</f>
        <v>Service Homeassistant Availability</v>
      </c>
      <c r="G296" s="30" t="s">
        <v>1229</v>
      </c>
      <c r="H296" s="30" t="s">
        <v>1196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D296" s="30" t="s">
        <v>1197</v>
      </c>
      <c r="AF296" s="30">
        <v>120</v>
      </c>
      <c r="AG296" s="31" t="s">
        <v>34</v>
      </c>
      <c r="AH296" s="31"/>
      <c r="AJ29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6" s="30" t="str">
        <f>IF(ISBLANK(Table2[[#This Row],[index]]),  "", _xlfn.CONCAT("asystem/supervisor/", SUBSTITUTE(LOWER(Table2[[#This Row],[unique_id]]), "_", "/")))</f>
        <v>asystem/supervisor/service/homeassistant/availability</v>
      </c>
      <c r="AM296" s="30" t="s">
        <v>1231</v>
      </c>
      <c r="AR296" s="30" t="s">
        <v>974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1200</v>
      </c>
      <c r="BC296" s="30" t="s">
        <v>1128</v>
      </c>
      <c r="BD296" s="30" t="s">
        <v>1127</v>
      </c>
      <c r="BF296" s="30" t="s">
        <v>994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2517</v>
      </c>
      <c r="B297" s="30" t="s">
        <v>26</v>
      </c>
      <c r="C297" s="30" t="s">
        <v>1199</v>
      </c>
      <c r="D297" s="30" t="s">
        <v>148</v>
      </c>
      <c r="E297" s="30" t="s">
        <v>1202</v>
      </c>
      <c r="F297" s="30" t="str">
        <f>IF(ISBLANK(Table2[[#This Row],[unique_id]]), "", PROPER(SUBSTITUTE(Table2[[#This Row],[unique_id]], "_", " ")))</f>
        <v>Service Plex Availability</v>
      </c>
      <c r="G297" s="30" t="s">
        <v>1216</v>
      </c>
      <c r="H297" s="30" t="s">
        <v>1196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D297" s="30" t="s">
        <v>1197</v>
      </c>
      <c r="AF297" s="30">
        <v>120</v>
      </c>
      <c r="AG297" s="31" t="s">
        <v>34</v>
      </c>
      <c r="AH297" s="31"/>
      <c r="AJ29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297" s="30" t="str">
        <f>IF(ISBLANK(Table2[[#This Row],[index]]),  "", _xlfn.CONCAT("asystem/supervisor/", SUBSTITUTE(LOWER(Table2[[#This Row],[unique_id]]), "_", "/")))</f>
        <v>asystem/supervisor/service/plex/availability</v>
      </c>
      <c r="AM297" s="30" t="s">
        <v>1231</v>
      </c>
      <c r="AR297" s="30" t="s">
        <v>974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1200</v>
      </c>
      <c r="BC297" s="30" t="s">
        <v>1128</v>
      </c>
      <c r="BD297" s="30" t="s">
        <v>1127</v>
      </c>
      <c r="BF297" s="30" t="s">
        <v>994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2518</v>
      </c>
      <c r="B298" s="30" t="s">
        <v>26</v>
      </c>
      <c r="C298" s="30" t="s">
        <v>1199</v>
      </c>
      <c r="D298" s="30" t="s">
        <v>148</v>
      </c>
      <c r="E298" s="30" t="s">
        <v>1203</v>
      </c>
      <c r="F298" s="30" t="str">
        <f>IF(ISBLANK(Table2[[#This Row],[unique_id]]), "", PROPER(SUBSTITUTE(Table2[[#This Row],[unique_id]], "_", " ")))</f>
        <v>Service Grafana Availability</v>
      </c>
      <c r="G298" s="30" t="s">
        <v>1217</v>
      </c>
      <c r="H298" s="30" t="s">
        <v>1196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D298" s="30" t="s">
        <v>1197</v>
      </c>
      <c r="AF298" s="30">
        <v>120</v>
      </c>
      <c r="AG298" s="31" t="s">
        <v>34</v>
      </c>
      <c r="AH298" s="31"/>
      <c r="AJ29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298" s="30" t="str">
        <f>IF(ISBLANK(Table2[[#This Row],[index]]),  "", _xlfn.CONCAT("asystem/supervisor/", SUBSTITUTE(LOWER(Table2[[#This Row],[unique_id]]), "_", "/")))</f>
        <v>asystem/supervisor/service/grafana/availability</v>
      </c>
      <c r="AM298" s="30" t="s">
        <v>1231</v>
      </c>
      <c r="AR298" s="30" t="s">
        <v>974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1200</v>
      </c>
      <c r="BC298" s="30" t="s">
        <v>1128</v>
      </c>
      <c r="BD298" s="30" t="s">
        <v>1127</v>
      </c>
      <c r="BF298" s="30" t="s">
        <v>994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2519</v>
      </c>
      <c r="B299" s="30" t="s">
        <v>26</v>
      </c>
      <c r="C299" s="30" t="s">
        <v>1199</v>
      </c>
      <c r="D299" s="30" t="s">
        <v>148</v>
      </c>
      <c r="E299" s="30" t="s">
        <v>1204</v>
      </c>
      <c r="F299" s="30" t="str">
        <f>IF(ISBLANK(Table2[[#This Row],[unique_id]]), "", PROPER(SUBSTITUTE(Table2[[#This Row],[unique_id]], "_", " ")))</f>
        <v>Service Wrangle Availability</v>
      </c>
      <c r="G299" s="30" t="s">
        <v>1218</v>
      </c>
      <c r="H299" s="30" t="s">
        <v>1196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1197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299" s="30" t="str">
        <f>IF(ISBLANK(Table2[[#This Row],[index]]),  "", _xlfn.CONCAT("asystem/supervisor/", SUBSTITUTE(LOWER(Table2[[#This Row],[unique_id]]), "_", "/")))</f>
        <v>asystem/supervisor/service/wrangle/availability</v>
      </c>
      <c r="AM299" s="30" t="s">
        <v>1231</v>
      </c>
      <c r="AR299" s="30" t="s">
        <v>974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1200</v>
      </c>
      <c r="BC299" s="30" t="s">
        <v>1128</v>
      </c>
      <c r="BD299" s="30" t="s">
        <v>1127</v>
      </c>
      <c r="BF299" s="30" t="s">
        <v>994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2520</v>
      </c>
      <c r="B300" s="30" t="s">
        <v>26</v>
      </c>
      <c r="C300" s="30" t="s">
        <v>1199</v>
      </c>
      <c r="D300" s="30" t="s">
        <v>148</v>
      </c>
      <c r="E300" s="30" t="s">
        <v>1205</v>
      </c>
      <c r="F300" s="30" t="str">
        <f>IF(ISBLANK(Table2[[#This Row],[unique_id]]), "", PROPER(SUBSTITUTE(Table2[[#This Row],[unique_id]], "_", " ")))</f>
        <v>Service Internet Availability</v>
      </c>
      <c r="G300" s="30" t="s">
        <v>283</v>
      </c>
      <c r="H300" s="30" t="s">
        <v>1196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1197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0" s="30" t="str">
        <f>IF(ISBLANK(Table2[[#This Row],[index]]),  "", _xlfn.CONCAT("asystem/supervisor/", SUBSTITUTE(LOWER(Table2[[#This Row],[unique_id]]), "_", "/")))</f>
        <v>asystem/supervisor/service/internet/availability</v>
      </c>
      <c r="AM300" s="30" t="s">
        <v>1231</v>
      </c>
      <c r="AR300" s="30" t="s">
        <v>974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1200</v>
      </c>
      <c r="BC300" s="30" t="s">
        <v>1128</v>
      </c>
      <c r="BD300" s="30" t="s">
        <v>1127</v>
      </c>
      <c r="BF300" s="30" t="s">
        <v>994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2521</v>
      </c>
      <c r="B301" s="30" t="s">
        <v>26</v>
      </c>
      <c r="C301" s="30" t="s">
        <v>1199</v>
      </c>
      <c r="D301" s="30" t="s">
        <v>148</v>
      </c>
      <c r="E301" s="30" t="s">
        <v>1206</v>
      </c>
      <c r="F301" s="30" t="str">
        <f>IF(ISBLANK(Table2[[#This Row],[unique_id]]), "", PROPER(SUBSTITUTE(Table2[[#This Row],[unique_id]], "_", " ")))</f>
        <v>Service Unifi Availability</v>
      </c>
      <c r="G301" s="30" t="s">
        <v>234</v>
      </c>
      <c r="H301" s="30" t="s">
        <v>1196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1197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1" s="30" t="str">
        <f>IF(ISBLANK(Table2[[#This Row],[index]]),  "", _xlfn.CONCAT("asystem/supervisor/", SUBSTITUTE(LOWER(Table2[[#This Row],[unique_id]]), "_", "/")))</f>
        <v>asystem/supervisor/service/unifi/availability</v>
      </c>
      <c r="AM301" s="30" t="s">
        <v>1231</v>
      </c>
      <c r="AR301" s="30" t="s">
        <v>974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1200</v>
      </c>
      <c r="BC301" s="30" t="s">
        <v>1128</v>
      </c>
      <c r="BD301" s="30" t="s">
        <v>1127</v>
      </c>
      <c r="BF301" s="30" t="s">
        <v>994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2522</v>
      </c>
      <c r="B302" s="30" t="s">
        <v>26</v>
      </c>
      <c r="C302" s="30" t="s">
        <v>1199</v>
      </c>
      <c r="D302" s="30" t="s">
        <v>148</v>
      </c>
      <c r="E302" s="30" t="s">
        <v>1198</v>
      </c>
      <c r="F302" s="30" t="str">
        <f>IF(ISBLANK(Table2[[#This Row],[unique_id]]), "", PROPER(SUBSTITUTE(Table2[[#This Row],[unique_id]], "_", " ")))</f>
        <v>Service Zigbee2Mqtt Availability</v>
      </c>
      <c r="G302" s="30" t="s">
        <v>1219</v>
      </c>
      <c r="H302" s="30" t="s">
        <v>1196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1197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2" s="30" t="str">
        <f>IF(ISBLANK(Table2[[#This Row],[index]]),  "", _xlfn.CONCAT("asystem/supervisor/", SUBSTITUTE(LOWER(Table2[[#This Row],[unique_id]]), "_", "/")))</f>
        <v>asystem/supervisor/service/zigbee2mqtt/availability</v>
      </c>
      <c r="AM302" s="30" t="s">
        <v>1231</v>
      </c>
      <c r="AR302" s="30" t="s">
        <v>974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1200</v>
      </c>
      <c r="BC302" s="30" t="s">
        <v>1128</v>
      </c>
      <c r="BD302" s="30" t="s">
        <v>1127</v>
      </c>
      <c r="BF302" s="30" t="s">
        <v>994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2523</v>
      </c>
      <c r="B303" s="30" t="s">
        <v>26</v>
      </c>
      <c r="C303" s="30" t="s">
        <v>1199</v>
      </c>
      <c r="D303" s="30" t="s">
        <v>148</v>
      </c>
      <c r="E303" s="30" t="s">
        <v>1207</v>
      </c>
      <c r="F303" s="30" t="str">
        <f>IF(ISBLANK(Table2[[#This Row],[unique_id]]), "", PROPER(SUBSTITUTE(Table2[[#This Row],[unique_id]], "_", " ")))</f>
        <v>Service Weewx Availability</v>
      </c>
      <c r="G303" s="30" t="s">
        <v>1220</v>
      </c>
      <c r="H303" s="30" t="s">
        <v>1196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1197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3" s="30" t="str">
        <f>IF(ISBLANK(Table2[[#This Row],[index]]),  "", _xlfn.CONCAT("asystem/supervisor/", SUBSTITUTE(LOWER(Table2[[#This Row],[unique_id]]), "_", "/")))</f>
        <v>asystem/supervisor/service/weewx/availability</v>
      </c>
      <c r="AM303" s="30" t="s">
        <v>1231</v>
      </c>
      <c r="AR303" s="30" t="s">
        <v>974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1200</v>
      </c>
      <c r="BC303" s="30" t="s">
        <v>1128</v>
      </c>
      <c r="BD303" s="30" t="s">
        <v>1127</v>
      </c>
      <c r="BF303" s="30" t="s">
        <v>994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2524</v>
      </c>
      <c r="B304" s="30" t="s">
        <v>26</v>
      </c>
      <c r="C304" s="30" t="s">
        <v>1199</v>
      </c>
      <c r="D304" s="30" t="s">
        <v>148</v>
      </c>
      <c r="E304" s="30" t="s">
        <v>1208</v>
      </c>
      <c r="F304" s="30" t="str">
        <f>IF(ISBLANK(Table2[[#This Row],[unique_id]]), "", PROPER(SUBSTITUTE(Table2[[#This Row],[unique_id]], "_", " ")))</f>
        <v>Service Digitemp Availability</v>
      </c>
      <c r="G304" s="30" t="s">
        <v>1221</v>
      </c>
      <c r="H304" s="30" t="s">
        <v>1196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1197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4" s="30" t="str">
        <f>IF(ISBLANK(Table2[[#This Row],[index]]),  "", _xlfn.CONCAT("asystem/supervisor/", SUBSTITUTE(LOWER(Table2[[#This Row],[unique_id]]), "_", "/")))</f>
        <v>asystem/supervisor/service/digitemp/availability</v>
      </c>
      <c r="AM304" s="30" t="s">
        <v>1231</v>
      </c>
      <c r="AR304" s="30" t="s">
        <v>974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1200</v>
      </c>
      <c r="BC304" s="30" t="s">
        <v>1128</v>
      </c>
      <c r="BD304" s="30" t="s">
        <v>1127</v>
      </c>
      <c r="BF304" s="30" t="s">
        <v>994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2525</v>
      </c>
      <c r="B305" s="30" t="s">
        <v>26</v>
      </c>
      <c r="C305" s="30" t="s">
        <v>1199</v>
      </c>
      <c r="D305" s="30" t="s">
        <v>148</v>
      </c>
      <c r="E305" s="30" t="s">
        <v>1209</v>
      </c>
      <c r="F305" s="30" t="str">
        <f>IF(ISBLANK(Table2[[#This Row],[unique_id]]), "", PROPER(SUBSTITUTE(Table2[[#This Row],[unique_id]], "_", " ")))</f>
        <v>Service Nginx Availability</v>
      </c>
      <c r="G305" s="30" t="s">
        <v>1222</v>
      </c>
      <c r="H305" s="30" t="s">
        <v>1196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1197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5" s="30" t="str">
        <f>IF(ISBLANK(Table2[[#This Row],[index]]),  "", _xlfn.CONCAT("asystem/supervisor/", SUBSTITUTE(LOWER(Table2[[#This Row],[unique_id]]), "_", "/")))</f>
        <v>asystem/supervisor/service/nginx/availability</v>
      </c>
      <c r="AM305" s="30" t="s">
        <v>1231</v>
      </c>
      <c r="AR305" s="30" t="s">
        <v>974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1200</v>
      </c>
      <c r="BC305" s="30" t="s">
        <v>1128</v>
      </c>
      <c r="BD305" s="30" t="s">
        <v>1127</v>
      </c>
      <c r="BF305" s="30" t="s">
        <v>994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2526</v>
      </c>
      <c r="B306" s="30" t="s">
        <v>26</v>
      </c>
      <c r="C306" s="30" t="s">
        <v>1199</v>
      </c>
      <c r="D306" s="30" t="s">
        <v>148</v>
      </c>
      <c r="E306" s="30" t="s">
        <v>1210</v>
      </c>
      <c r="F306" s="30" t="str">
        <f>IF(ISBLANK(Table2[[#This Row],[unique_id]]), "", PROPER(SUBSTITUTE(Table2[[#This Row],[unique_id]], "_", " ")))</f>
        <v>Service Influxdb Availability</v>
      </c>
      <c r="G306" s="30" t="s">
        <v>1223</v>
      </c>
      <c r="H306" s="30" t="s">
        <v>1196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1197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6" s="30" t="str">
        <f>IF(ISBLANK(Table2[[#This Row],[index]]),  "", _xlfn.CONCAT("asystem/supervisor/", SUBSTITUTE(LOWER(Table2[[#This Row],[unique_id]]), "_", "/")))</f>
        <v>asystem/supervisor/service/influxdb/availability</v>
      </c>
      <c r="AM306" s="30" t="s">
        <v>1231</v>
      </c>
      <c r="AR306" s="30" t="s">
        <v>974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1200</v>
      </c>
      <c r="BC306" s="30" t="s">
        <v>1128</v>
      </c>
      <c r="BD306" s="30" t="s">
        <v>1127</v>
      </c>
      <c r="BF306" s="30" t="s">
        <v>994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2527</v>
      </c>
      <c r="B307" s="30" t="s">
        <v>26</v>
      </c>
      <c r="C307" s="30" t="s">
        <v>1199</v>
      </c>
      <c r="D307" s="30" t="s">
        <v>148</v>
      </c>
      <c r="E307" s="30" t="s">
        <v>1211</v>
      </c>
      <c r="F307" s="30" t="str">
        <f>IF(ISBLANK(Table2[[#This Row],[unique_id]]), "", PROPER(SUBSTITUTE(Table2[[#This Row],[unique_id]], "_", " ")))</f>
        <v>Service Mariadb Availability</v>
      </c>
      <c r="G307" s="30" t="s">
        <v>1224</v>
      </c>
      <c r="H307" s="30" t="s">
        <v>1196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1197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07" s="30" t="str">
        <f>IF(ISBLANK(Table2[[#This Row],[index]]),  "", _xlfn.CONCAT("asystem/supervisor/", SUBSTITUTE(LOWER(Table2[[#This Row],[unique_id]]), "_", "/")))</f>
        <v>asystem/supervisor/service/mariadb/availability</v>
      </c>
      <c r="AM307" s="30" t="s">
        <v>1231</v>
      </c>
      <c r="AR307" s="30" t="s">
        <v>974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1200</v>
      </c>
      <c r="BC307" s="30" t="s">
        <v>1128</v>
      </c>
      <c r="BD307" s="30" t="s">
        <v>1127</v>
      </c>
      <c r="BF307" s="30" t="s">
        <v>994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2528</v>
      </c>
      <c r="B308" s="30" t="s">
        <v>26</v>
      </c>
      <c r="C308" s="30" t="s">
        <v>1199</v>
      </c>
      <c r="D308" s="30" t="s">
        <v>148</v>
      </c>
      <c r="E308" s="30" t="s">
        <v>1212</v>
      </c>
      <c r="F308" s="30" t="str">
        <f>IF(ISBLANK(Table2[[#This Row],[unique_id]]), "", PROPER(SUBSTITUTE(Table2[[#This Row],[unique_id]], "_", " ")))</f>
        <v>Service Postgres Availability</v>
      </c>
      <c r="G308" s="30" t="s">
        <v>1225</v>
      </c>
      <c r="H308" s="30" t="s">
        <v>1196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1197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08" s="30" t="str">
        <f>IF(ISBLANK(Table2[[#This Row],[index]]),  "", _xlfn.CONCAT("asystem/supervisor/", SUBSTITUTE(LOWER(Table2[[#This Row],[unique_id]]), "_", "/")))</f>
        <v>asystem/supervisor/service/postgres/availability</v>
      </c>
      <c r="AM308" s="30" t="s">
        <v>1231</v>
      </c>
      <c r="AR308" s="30" t="s">
        <v>974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1200</v>
      </c>
      <c r="BC308" s="30" t="s">
        <v>1128</v>
      </c>
      <c r="BD308" s="30" t="s">
        <v>1127</v>
      </c>
      <c r="BF308" s="30" t="s">
        <v>994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2529</v>
      </c>
      <c r="B309" s="30" t="s">
        <v>26</v>
      </c>
      <c r="C309" s="30" t="s">
        <v>1199</v>
      </c>
      <c r="D309" s="30" t="s">
        <v>148</v>
      </c>
      <c r="E309" s="30" t="s">
        <v>1213</v>
      </c>
      <c r="F309" s="30" t="str">
        <f>IF(ISBLANK(Table2[[#This Row],[unique_id]]), "", PROPER(SUBSTITUTE(Table2[[#This Row],[unique_id]], "_", " ")))</f>
        <v>Service Letsencrypt Availability</v>
      </c>
      <c r="G309" s="30" t="s">
        <v>1226</v>
      </c>
      <c r="H309" s="30" t="s">
        <v>1196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1197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09" s="30" t="str">
        <f>IF(ISBLANK(Table2[[#This Row],[index]]),  "", _xlfn.CONCAT("asystem/supervisor/", SUBSTITUTE(LOWER(Table2[[#This Row],[unique_id]]), "_", "/")))</f>
        <v>asystem/supervisor/service/letsencrypt/availability</v>
      </c>
      <c r="AM309" s="30" t="s">
        <v>1231</v>
      </c>
      <c r="AR309" s="30" t="s">
        <v>974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1200</v>
      </c>
      <c r="BC309" s="30" t="s">
        <v>1128</v>
      </c>
      <c r="BD309" s="30" t="s">
        <v>1127</v>
      </c>
      <c r="BF309" s="30" t="s">
        <v>994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2530</v>
      </c>
      <c r="B310" s="30" t="s">
        <v>26</v>
      </c>
      <c r="C310" s="30" t="s">
        <v>1199</v>
      </c>
      <c r="D310" s="30" t="s">
        <v>148</v>
      </c>
      <c r="E310" s="30" t="s">
        <v>1214</v>
      </c>
      <c r="F310" s="30" t="str">
        <f>IF(ISBLANK(Table2[[#This Row],[unique_id]]), "", PROPER(SUBSTITUTE(Table2[[#This Row],[unique_id]], "_", " ")))</f>
        <v>Service Unifipoller Availability</v>
      </c>
      <c r="G310" s="30" t="s">
        <v>1227</v>
      </c>
      <c r="H310" s="30" t="s">
        <v>1196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1197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0" s="30" t="str">
        <f>IF(ISBLANK(Table2[[#This Row],[index]]),  "", _xlfn.CONCAT("asystem/supervisor/", SUBSTITUTE(LOWER(Table2[[#This Row],[unique_id]]), "_", "/")))</f>
        <v>asystem/supervisor/service/unifipoller/availability</v>
      </c>
      <c r="AM310" s="30" t="s">
        <v>1231</v>
      </c>
      <c r="AR310" s="30" t="s">
        <v>974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1200</v>
      </c>
      <c r="BC310" s="30" t="s">
        <v>1128</v>
      </c>
      <c r="BD310" s="30" t="s">
        <v>1127</v>
      </c>
      <c r="BF310" s="30" t="s">
        <v>994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2531</v>
      </c>
      <c r="B311" s="30" t="s">
        <v>26</v>
      </c>
      <c r="C311" s="30" t="s">
        <v>1199</v>
      </c>
      <c r="D311" s="30" t="s">
        <v>148</v>
      </c>
      <c r="E311" s="30" t="s">
        <v>1215</v>
      </c>
      <c r="F311" s="30" t="str">
        <f>IF(ISBLANK(Table2[[#This Row],[unique_id]]), "", PROPER(SUBSTITUTE(Table2[[#This Row],[unique_id]], "_", " ")))</f>
        <v>Service Monitor Availability</v>
      </c>
      <c r="G311" s="30" t="s">
        <v>1228</v>
      </c>
      <c r="H311" s="30" t="s">
        <v>1196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1197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1" s="30" t="str">
        <f>IF(ISBLANK(Table2[[#This Row],[index]]),  "", _xlfn.CONCAT("asystem/supervisor/", SUBSTITUTE(LOWER(Table2[[#This Row],[unique_id]]), "_", "/")))</f>
        <v>asystem/supervisor/service/monitor/availability</v>
      </c>
      <c r="AM311" s="30" t="s">
        <v>1231</v>
      </c>
      <c r="AR311" s="30" t="s">
        <v>974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1200</v>
      </c>
      <c r="BC311" s="30" t="s">
        <v>1128</v>
      </c>
      <c r="BD311" s="30" t="s">
        <v>1127</v>
      </c>
      <c r="BF311" s="30" t="s">
        <v>994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2534</v>
      </c>
      <c r="B312" s="30" t="s">
        <v>26</v>
      </c>
      <c r="C312" s="30" t="s">
        <v>1199</v>
      </c>
      <c r="D312" s="30" t="s">
        <v>148</v>
      </c>
      <c r="E312" s="30" t="s">
        <v>1534</v>
      </c>
      <c r="F312" s="30" t="str">
        <f>IF(ISBLANK(Table2[[#This Row],[unique_id]]), "", PROPER(SUBSTITUTE(Table2[[#This Row],[unique_id]], "_", " ")))</f>
        <v>Host Mad Availability</v>
      </c>
      <c r="G312" s="30" t="s">
        <v>1528</v>
      </c>
      <c r="H312" s="30" t="s">
        <v>1230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1197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2" s="30" t="str">
        <f>IF(ISBLANK(Table2[[#This Row],[index]]),  "", _xlfn.CONCAT("asystem/supervisor/", SUBSTITUTE(LOWER(Table2[[#This Row],[unique_id]]), "_", "/")))</f>
        <v>asystem/supervisor/host/mad/availability</v>
      </c>
      <c r="AM312" s="30" t="s">
        <v>1231</v>
      </c>
      <c r="AR312" s="30" t="s">
        <v>974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1200</v>
      </c>
      <c r="BC312" s="30" t="s">
        <v>1128</v>
      </c>
      <c r="BD312" s="30" t="s">
        <v>1127</v>
      </c>
      <c r="BF312" s="30" t="s">
        <v>994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2534</v>
      </c>
      <c r="B313" s="30" t="s">
        <v>26</v>
      </c>
      <c r="C313" s="30" t="s">
        <v>1199</v>
      </c>
      <c r="D313" s="30" t="s">
        <v>148</v>
      </c>
      <c r="E313" s="30" t="s">
        <v>1535</v>
      </c>
      <c r="F313" s="30" t="str">
        <f>IF(ISBLANK(Table2[[#This Row],[unique_id]]), "", PROPER(SUBSTITUTE(Table2[[#This Row],[unique_id]], "_", " ")))</f>
        <v>Host Max Availability</v>
      </c>
      <c r="G313" s="30" t="s">
        <v>1529</v>
      </c>
      <c r="H313" s="30" t="s">
        <v>1230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1197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3" s="30" t="str">
        <f>IF(ISBLANK(Table2[[#This Row],[index]]),  "", _xlfn.CONCAT("asystem/supervisor/", SUBSTITUTE(LOWER(Table2[[#This Row],[unique_id]]), "_", "/")))</f>
        <v>asystem/supervisor/host/max/availability</v>
      </c>
      <c r="AM313" s="30" t="s">
        <v>1231</v>
      </c>
      <c r="AR313" s="30" t="s">
        <v>974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1200</v>
      </c>
      <c r="BC313" s="30" t="s">
        <v>1128</v>
      </c>
      <c r="BD313" s="30" t="s">
        <v>1127</v>
      </c>
      <c r="BF313" s="30" t="s">
        <v>994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2534</v>
      </c>
      <c r="B314" s="30" t="s">
        <v>26</v>
      </c>
      <c r="C314" s="30" t="s">
        <v>1199</v>
      </c>
      <c r="D314" s="30" t="s">
        <v>148</v>
      </c>
      <c r="E314" s="30" t="s">
        <v>1480</v>
      </c>
      <c r="F314" s="30" t="str">
        <f>IF(ISBLANK(Table2[[#This Row],[unique_id]]), "", PROPER(SUBSTITUTE(Table2[[#This Row],[unique_id]], "_", " ")))</f>
        <v>Host May Availability</v>
      </c>
      <c r="G314" s="30" t="s">
        <v>1479</v>
      </c>
      <c r="H314" s="30" t="s">
        <v>1230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1197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4" s="30" t="str">
        <f>IF(ISBLANK(Table2[[#This Row],[index]]),  "", _xlfn.CONCAT("asystem/supervisor/", SUBSTITUTE(LOWER(Table2[[#This Row],[unique_id]]), "_", "/")))</f>
        <v>asystem/supervisor/host/may/availability</v>
      </c>
      <c r="AM314" s="30" t="s">
        <v>1231</v>
      </c>
      <c r="AR314" s="30" t="s">
        <v>974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1200</v>
      </c>
      <c r="BC314" s="30" t="s">
        <v>1128</v>
      </c>
      <c r="BD314" s="30" t="s">
        <v>1127</v>
      </c>
      <c r="BF314" s="30" t="s">
        <v>994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2535</v>
      </c>
      <c r="B315" s="30" t="s">
        <v>26</v>
      </c>
      <c r="C315" s="30" t="s">
        <v>1199</v>
      </c>
      <c r="D315" s="30" t="s">
        <v>148</v>
      </c>
      <c r="E315" s="30" t="s">
        <v>1232</v>
      </c>
      <c r="F315" s="30" t="str">
        <f>IF(ISBLANK(Table2[[#This Row],[unique_id]]), "", PROPER(SUBSTITUTE(Table2[[#This Row],[unique_id]], "_", " ")))</f>
        <v>Host Meg Availability</v>
      </c>
      <c r="G315" s="30" t="s">
        <v>1245</v>
      </c>
      <c r="H315" s="30" t="s">
        <v>1230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1197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5" s="30" t="str">
        <f>IF(ISBLANK(Table2[[#This Row],[index]]),  "", _xlfn.CONCAT("asystem/supervisor/", SUBSTITUTE(LOWER(Table2[[#This Row],[unique_id]]), "_", "/")))</f>
        <v>asystem/supervisor/host/meg/availability</v>
      </c>
      <c r="AM315" s="30" t="s">
        <v>1231</v>
      </c>
      <c r="AR315" s="30" t="s">
        <v>974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1200</v>
      </c>
      <c r="BC315" s="30" t="s">
        <v>1128</v>
      </c>
      <c r="BD315" s="30" t="s">
        <v>1127</v>
      </c>
      <c r="BF315" s="30" t="s">
        <v>994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2536</v>
      </c>
      <c r="B316" s="30" t="s">
        <v>26</v>
      </c>
      <c r="C316" s="30" t="s">
        <v>1199</v>
      </c>
      <c r="D316" s="30" t="s">
        <v>148</v>
      </c>
      <c r="E316" s="30" t="s">
        <v>1490</v>
      </c>
      <c r="F316" s="30" t="str">
        <f>IF(ISBLANK(Table2[[#This Row],[unique_id]]), "", PROPER(SUBSTITUTE(Table2[[#This Row],[unique_id]], "_", " ")))</f>
        <v>Host Jen Availability</v>
      </c>
      <c r="G316" s="30" t="s">
        <v>1497</v>
      </c>
      <c r="H316" s="30" t="s">
        <v>1230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1197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6" s="30" t="str">
        <f>IF(ISBLANK(Table2[[#This Row],[index]]),  "", _xlfn.CONCAT("asystem/supervisor/", SUBSTITUTE(LOWER(Table2[[#This Row],[unique_id]]), "_", "/")))</f>
        <v>asystem/supervisor/host/jen/availability</v>
      </c>
      <c r="AM316" s="30" t="s">
        <v>1231</v>
      </c>
      <c r="AR316" s="30" t="s">
        <v>974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1200</v>
      </c>
      <c r="BC316" s="30" t="s">
        <v>1128</v>
      </c>
      <c r="BD316" s="30" t="s">
        <v>1127</v>
      </c>
      <c r="BF316" s="30" t="s">
        <v>994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2537</v>
      </c>
      <c r="B317" s="30" t="s">
        <v>26</v>
      </c>
      <c r="C317" s="30" t="s">
        <v>441</v>
      </c>
      <c r="D317" s="30" t="s">
        <v>333</v>
      </c>
      <c r="E317" s="30" t="s">
        <v>332</v>
      </c>
      <c r="F317" s="36" t="str">
        <f>IF(ISBLANK(Table2[[#This Row],[unique_id]]), "", PROPER(SUBSTITUTE(Table2[[#This Row],[unique_id]], "_", " ")))</f>
        <v>Column Break</v>
      </c>
      <c r="G317" s="30" t="s">
        <v>329</v>
      </c>
      <c r="H317" s="30" t="s">
        <v>1230</v>
      </c>
      <c r="I317" s="30" t="s">
        <v>291</v>
      </c>
      <c r="M317" s="30" t="s">
        <v>330</v>
      </c>
      <c r="N317" s="30" t="s">
        <v>331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2538</v>
      </c>
      <c r="B318" s="30" t="s">
        <v>26</v>
      </c>
      <c r="C318" s="30" t="s">
        <v>150</v>
      </c>
      <c r="D318" s="30" t="s">
        <v>607</v>
      </c>
      <c r="E318" s="30" t="s">
        <v>1368</v>
      </c>
      <c r="F318" s="36" t="str">
        <f>IF(ISBLANK(Table2[[#This Row],[unique_id]]), "", PROPER(SUBSTITUTE(Table2[[#This Row],[unique_id]], "_", " ")))</f>
        <v>Google Assistant Synchronize Devices</v>
      </c>
      <c r="G318" s="30" t="s">
        <v>1195</v>
      </c>
      <c r="H318" s="30" t="s">
        <v>608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G318" s="31"/>
      <c r="AH318" s="31"/>
      <c r="AR318" s="39"/>
      <c r="AT318" s="32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2539</v>
      </c>
      <c r="B319" s="30" t="s">
        <v>26</v>
      </c>
      <c r="C319" s="30" t="s">
        <v>1246</v>
      </c>
      <c r="D319" s="30" t="s">
        <v>27</v>
      </c>
      <c r="E319" s="30" t="s">
        <v>1252</v>
      </c>
      <c r="F319" s="30" t="str">
        <f>IF(ISBLANK(Table2[[#This Row],[unique_id]]), "", PROPER(SUBSTITUTE(Table2[[#This Row],[unique_id]], "_", " ")))</f>
        <v>Template Utility Temperature Proxy</v>
      </c>
      <c r="G319" s="30" t="s">
        <v>1247</v>
      </c>
      <c r="H319" s="30" t="s">
        <v>1249</v>
      </c>
      <c r="I319" s="30" t="s">
        <v>291</v>
      </c>
      <c r="K319" s="30" t="s">
        <v>1178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R319" s="39"/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2540</v>
      </c>
      <c r="B320" s="30" t="s">
        <v>26</v>
      </c>
      <c r="C320" s="30" t="s">
        <v>1120</v>
      </c>
      <c r="D320" s="30" t="s">
        <v>27</v>
      </c>
      <c r="E320" s="30" t="s">
        <v>1121</v>
      </c>
      <c r="F320" s="36" t="str">
        <f>IF(ISBLANK(Table2[[#This Row],[unique_id]]), "", PROPER(SUBSTITUTE(Table2[[#This Row],[unique_id]], "_", " ")))</f>
        <v>Rack Top Temperature</v>
      </c>
      <c r="G320" s="30" t="s">
        <v>1123</v>
      </c>
      <c r="H320" s="30" t="s">
        <v>1249</v>
      </c>
      <c r="I320" s="30" t="s">
        <v>291</v>
      </c>
      <c r="K320" s="30" t="s">
        <v>1170</v>
      </c>
      <c r="O320" s="31"/>
      <c r="P320" s="30"/>
      <c r="T320" s="37"/>
      <c r="U320" s="30"/>
      <c r="V320" s="31" t="s">
        <v>1190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1487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1124</v>
      </c>
      <c r="BD320" s="30" t="s">
        <v>1120</v>
      </c>
      <c r="BF320" s="30" t="s">
        <v>1125</v>
      </c>
      <c r="BG320" s="30" t="s">
        <v>28</v>
      </c>
      <c r="BL320" s="30" t="s">
        <v>1146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1" spans="1:66" ht="16" customHeight="1" x14ac:dyDescent="0.2">
      <c r="A321" s="30">
        <v>2541</v>
      </c>
      <c r="B321" s="30" t="s">
        <v>26</v>
      </c>
      <c r="C321" s="30" t="s">
        <v>1120</v>
      </c>
      <c r="D321" s="30" t="s">
        <v>27</v>
      </c>
      <c r="E321" s="30" t="s">
        <v>1170</v>
      </c>
      <c r="F321" s="30" t="str">
        <f>IF(ISBLANK(Table2[[#This Row],[unique_id]]), "", PROPER(SUBSTITUTE(Table2[[#This Row],[unique_id]], "_", " ")))</f>
        <v>Compensation Sensor Rack Top Temperature</v>
      </c>
      <c r="G321" s="30" t="s">
        <v>1123</v>
      </c>
      <c r="H321" s="30" t="s">
        <v>1249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437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2542</v>
      </c>
      <c r="B322" s="30" t="s">
        <v>26</v>
      </c>
      <c r="C322" s="30" t="s">
        <v>1120</v>
      </c>
      <c r="D322" s="30" t="s">
        <v>27</v>
      </c>
      <c r="E322" s="30" t="s">
        <v>1122</v>
      </c>
      <c r="F322" s="36" t="str">
        <f>IF(ISBLANK(Table2[[#This Row],[unique_id]]), "", PROPER(SUBSTITUTE(Table2[[#This Row],[unique_id]], "_", " ")))</f>
        <v>Rack Bottom Temperature</v>
      </c>
      <c r="G322" s="30" t="s">
        <v>1129</v>
      </c>
      <c r="H322" s="30" t="s">
        <v>1249</v>
      </c>
      <c r="I322" s="30" t="s">
        <v>291</v>
      </c>
      <c r="K322" s="30" t="s">
        <v>1171</v>
      </c>
      <c r="O322" s="31"/>
      <c r="P322" s="30"/>
      <c r="T322" s="37"/>
      <c r="U322" s="30"/>
      <c r="V322" s="31" t="s">
        <v>1190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300</v>
      </c>
      <c r="AG322" s="31" t="s">
        <v>34</v>
      </c>
      <c r="AH322" s="31"/>
      <c r="AI322" s="30" t="s">
        <v>1487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2" s="30" t="str">
        <f>IF(ISBLANK(Table2[[#This Row],[index]]),  "", _xlfn.CONCAT("telegraf/", Table2[[#This Row],[unique_id_device]], "/", LOWER(Table2[[#This Row],[device_via_device]])))</f>
        <v>telegraf/macmini-may/digitemp</v>
      </c>
      <c r="AR322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87</v>
      </c>
      <c r="BC322" s="30" t="s">
        <v>1124</v>
      </c>
      <c r="BD322" s="30" t="s">
        <v>1120</v>
      </c>
      <c r="BF322" s="30" t="s">
        <v>1125</v>
      </c>
      <c r="BG322" s="30" t="s">
        <v>28</v>
      </c>
      <c r="BL322" s="30" t="s">
        <v>1145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3" spans="1:66" ht="16" customHeight="1" x14ac:dyDescent="0.2">
      <c r="A323" s="30">
        <v>2543</v>
      </c>
      <c r="B323" s="30" t="s">
        <v>26</v>
      </c>
      <c r="C323" s="30" t="s">
        <v>1120</v>
      </c>
      <c r="D323" s="30" t="s">
        <v>27</v>
      </c>
      <c r="E323" s="30" t="s">
        <v>1171</v>
      </c>
      <c r="F323" s="30" t="str">
        <f>IF(ISBLANK(Table2[[#This Row],[unique_id]]), "", PROPER(SUBSTITUTE(Table2[[#This Row],[unique_id]], "_", " ")))</f>
        <v>Compensation Sensor Rack Bottom Temperature</v>
      </c>
      <c r="G323" s="30" t="s">
        <v>1129</v>
      </c>
      <c r="H323" s="30" t="s">
        <v>1249</v>
      </c>
      <c r="I323" s="30" t="s">
        <v>291</v>
      </c>
      <c r="J323" s="30" t="s">
        <v>87</v>
      </c>
      <c r="M323" s="30" t="s">
        <v>136</v>
      </c>
      <c r="O323" s="31"/>
      <c r="P323" s="30"/>
      <c r="T323" s="37"/>
      <c r="U323" s="30" t="s">
        <v>437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2544</v>
      </c>
      <c r="B324" s="30" t="s">
        <v>26</v>
      </c>
      <c r="C324" s="30" t="s">
        <v>1228</v>
      </c>
      <c r="D324" s="30" t="s">
        <v>27</v>
      </c>
      <c r="E324" s="30" t="s">
        <v>1524</v>
      </c>
      <c r="F324" s="30" t="str">
        <f>IF(ISBLANK(Table2[[#This Row],[unique_id]]), "", PROPER(SUBSTITUTE(Table2[[#This Row],[unique_id]], "_", " ")))</f>
        <v>Host Mad Temperature</v>
      </c>
      <c r="G324" s="30" t="s">
        <v>1528</v>
      </c>
      <c r="H324" s="30" t="s">
        <v>1249</v>
      </c>
      <c r="I324" s="30" t="s">
        <v>291</v>
      </c>
      <c r="K324" s="30" t="s">
        <v>1525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1530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4" s="30" t="s">
        <v>1538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1532</v>
      </c>
      <c r="BC324" s="30" t="s">
        <v>1241</v>
      </c>
      <c r="BD324" s="30" t="s">
        <v>1240</v>
      </c>
      <c r="BF324" s="30" t="s">
        <v>994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2545</v>
      </c>
      <c r="B325" s="30" t="s">
        <v>26</v>
      </c>
      <c r="C325" s="30" t="s">
        <v>1228</v>
      </c>
      <c r="D325" s="30" t="s">
        <v>27</v>
      </c>
      <c r="E325" s="30" t="s">
        <v>1525</v>
      </c>
      <c r="F325" s="30" t="str">
        <f>IF(ISBLANK(Table2[[#This Row],[unique_id]]), "", PROPER(SUBSTITUTE(Table2[[#This Row],[unique_id]], "_", " ")))</f>
        <v>Compensation Sensor Host Mad Temperature</v>
      </c>
      <c r="G325" s="30" t="s">
        <v>1528</v>
      </c>
      <c r="H325" s="30" t="s">
        <v>1249</v>
      </c>
      <c r="I325" s="30" t="s">
        <v>291</v>
      </c>
      <c r="M325" s="30" t="s">
        <v>136</v>
      </c>
      <c r="O325" s="31"/>
      <c r="P325" s="30"/>
      <c r="T325" s="37"/>
      <c r="U325" s="30" t="s">
        <v>437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2546</v>
      </c>
      <c r="B326" s="30" t="s">
        <v>26</v>
      </c>
      <c r="C326" s="30" t="s">
        <v>1228</v>
      </c>
      <c r="D326" s="30" t="s">
        <v>27</v>
      </c>
      <c r="E326" s="30" t="s">
        <v>1526</v>
      </c>
      <c r="F326" s="30" t="str">
        <f>IF(ISBLANK(Table2[[#This Row],[unique_id]]), "", PROPER(SUBSTITUTE(Table2[[#This Row],[unique_id]], "_", " ")))</f>
        <v>Host Max Temperature</v>
      </c>
      <c r="G326" s="30" t="s">
        <v>1529</v>
      </c>
      <c r="H326" s="30" t="s">
        <v>1249</v>
      </c>
      <c r="I326" s="30" t="s">
        <v>291</v>
      </c>
      <c r="K326" s="30" t="s">
        <v>1527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1531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6" s="30" t="s">
        <v>1537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1533</v>
      </c>
      <c r="BC326" s="30" t="s">
        <v>1241</v>
      </c>
      <c r="BD326" s="30" t="s">
        <v>1240</v>
      </c>
      <c r="BF326" s="30" t="s">
        <v>994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2547</v>
      </c>
      <c r="B327" s="30" t="s">
        <v>26</v>
      </c>
      <c r="C327" s="30" t="s">
        <v>1228</v>
      </c>
      <c r="D327" s="30" t="s">
        <v>27</v>
      </c>
      <c r="E327" s="30" t="s">
        <v>1527</v>
      </c>
      <c r="F327" s="30" t="str">
        <f>IF(ISBLANK(Table2[[#This Row],[unique_id]]), "", PROPER(SUBSTITUTE(Table2[[#This Row],[unique_id]], "_", " ")))</f>
        <v>Compensation Sensor Host Max Temperature</v>
      </c>
      <c r="G327" s="30" t="s">
        <v>1529</v>
      </c>
      <c r="H327" s="30" t="s">
        <v>1249</v>
      </c>
      <c r="I327" s="30" t="s">
        <v>291</v>
      </c>
      <c r="M327" s="30" t="s">
        <v>136</v>
      </c>
      <c r="O327" s="31"/>
      <c r="P327" s="30"/>
      <c r="T327" s="37"/>
      <c r="U327" s="30" t="s">
        <v>437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77">
        <v>2548</v>
      </c>
      <c r="B328" s="77" t="s">
        <v>26</v>
      </c>
      <c r="C328" s="77" t="s">
        <v>1228</v>
      </c>
      <c r="D328" s="77" t="s">
        <v>27</v>
      </c>
      <c r="E328" s="77" t="s">
        <v>1481</v>
      </c>
      <c r="F328" s="30" t="str">
        <f>IF(ISBLANK(Table2[[#This Row],[unique_id]]), "", PROPER(SUBSTITUTE(Table2[[#This Row],[unique_id]], "_", " ")))</f>
        <v>Host May Temperature</v>
      </c>
      <c r="G328" s="77" t="s">
        <v>1479</v>
      </c>
      <c r="H328" s="77" t="s">
        <v>1249</v>
      </c>
      <c r="I328" s="77" t="s">
        <v>291</v>
      </c>
      <c r="J328" s="77"/>
      <c r="K328" s="77" t="s">
        <v>1482</v>
      </c>
      <c r="L328" s="77"/>
      <c r="M328" s="77"/>
      <c r="N328" s="77"/>
      <c r="O328" s="78"/>
      <c r="P328" s="77"/>
      <c r="Q328" s="77"/>
      <c r="R328" s="77"/>
      <c r="T328" s="79"/>
      <c r="U328" s="77"/>
      <c r="V328" s="78" t="s">
        <v>315</v>
      </c>
      <c r="W328" s="78"/>
      <c r="X328" s="78"/>
      <c r="Y328" s="78"/>
      <c r="Z328" s="78"/>
      <c r="AA328" s="78"/>
      <c r="AB328" s="77" t="s">
        <v>31</v>
      </c>
      <c r="AC328" s="77" t="s">
        <v>88</v>
      </c>
      <c r="AD328" s="77" t="s">
        <v>89</v>
      </c>
      <c r="AE328" s="77" t="s">
        <v>316</v>
      </c>
      <c r="AF328" s="77">
        <v>5</v>
      </c>
      <c r="AG328" s="78" t="s">
        <v>34</v>
      </c>
      <c r="AH328" s="78"/>
      <c r="AI328" s="77" t="s">
        <v>1487</v>
      </c>
      <c r="AJ328" s="77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8" s="77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L328" s="77"/>
      <c r="AM328" s="77"/>
      <c r="AN328" s="77"/>
      <c r="AO328" s="77"/>
      <c r="AP328" s="77"/>
      <c r="AQ328" s="77"/>
      <c r="AR328" s="77" t="s">
        <v>1536</v>
      </c>
      <c r="AS328" s="77">
        <v>1</v>
      </c>
      <c r="AT328" s="32"/>
      <c r="AU328" s="77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8" s="77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8" s="77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8" s="77"/>
      <c r="BA328" s="30" t="str">
        <f>IF(ISBLANK(Table2[[#This Row],[device_model]]), "", Table2[[#This Row],[device_suggested_area]])</f>
        <v>Rack</v>
      </c>
      <c r="BB328" s="77" t="s">
        <v>1488</v>
      </c>
      <c r="BC328" s="77" t="s">
        <v>1241</v>
      </c>
      <c r="BD328" s="77" t="s">
        <v>1240</v>
      </c>
      <c r="BE328" s="77"/>
      <c r="BF328" s="77" t="s">
        <v>994</v>
      </c>
      <c r="BG328" s="77" t="s">
        <v>28</v>
      </c>
      <c r="BH328" s="77"/>
      <c r="BI328" s="77"/>
      <c r="BJ328" s="77"/>
      <c r="BK328" s="77"/>
      <c r="BL328" s="77"/>
      <c r="BM328" s="77"/>
      <c r="BN328" s="77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77">
        <v>2549</v>
      </c>
      <c r="B329" s="77" t="s">
        <v>26</v>
      </c>
      <c r="C329" s="77" t="s">
        <v>1228</v>
      </c>
      <c r="D329" s="77" t="s">
        <v>27</v>
      </c>
      <c r="E329" s="77" t="s">
        <v>1482</v>
      </c>
      <c r="F329" s="30" t="str">
        <f>IF(ISBLANK(Table2[[#This Row],[unique_id]]), "", PROPER(SUBSTITUTE(Table2[[#This Row],[unique_id]], "_", " ")))</f>
        <v>Compensation Sensor Host May Temperature</v>
      </c>
      <c r="G329" s="77" t="s">
        <v>1479</v>
      </c>
      <c r="H329" s="77" t="s">
        <v>1249</v>
      </c>
      <c r="I329" s="77" t="s">
        <v>291</v>
      </c>
      <c r="J329" s="77"/>
      <c r="K329" s="77"/>
      <c r="L329" s="77"/>
      <c r="M329" s="77" t="s">
        <v>136</v>
      </c>
      <c r="N329" s="77"/>
      <c r="O329" s="78"/>
      <c r="P329" s="77"/>
      <c r="Q329" s="77"/>
      <c r="R329" s="77"/>
      <c r="T329" s="37"/>
      <c r="U329" s="77" t="s">
        <v>437</v>
      </c>
      <c r="V329" s="78"/>
      <c r="W329" s="78"/>
      <c r="X329" s="78"/>
      <c r="Y329" s="78"/>
      <c r="Z329" s="78"/>
      <c r="AA329" s="78"/>
      <c r="AB329" s="77" t="s">
        <v>31</v>
      </c>
      <c r="AC329" s="77" t="s">
        <v>88</v>
      </c>
      <c r="AD329" s="77" t="s">
        <v>89</v>
      </c>
      <c r="AE329" s="77" t="s">
        <v>316</v>
      </c>
      <c r="AF329" s="77"/>
      <c r="AG329" s="78"/>
      <c r="AH329" s="78"/>
      <c r="AI329" s="77"/>
      <c r="AJ329" s="77" t="str">
        <f>IF(ISBLANK(AI329),  "", _xlfn.CONCAT("haas/entity/sensor/", LOWER(C329), "/", E329, "/config"))</f>
        <v/>
      </c>
      <c r="AK329" s="77" t="str">
        <f>IF(ISBLANK(AI329),  "", _xlfn.CONCAT(LOWER(C329), "/", E329))</f>
        <v/>
      </c>
      <c r="AL329" s="77"/>
      <c r="AM329" s="77"/>
      <c r="AN329" s="77"/>
      <c r="AO329" s="77"/>
      <c r="AP329" s="77"/>
      <c r="AQ329" s="77"/>
      <c r="AR329" s="77"/>
      <c r="AS329" s="77"/>
      <c r="AT329" s="32"/>
      <c r="AU329" s="80"/>
      <c r="AX329" s="77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77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9" s="77"/>
      <c r="BA329" s="30" t="str">
        <f>IF(ISBLANK(Table2[[#This Row],[device_model]]), "", Table2[[#This Row],[device_suggested_area]])</f>
        <v/>
      </c>
      <c r="BB329" s="77"/>
      <c r="BC329" s="77"/>
      <c r="BD329" s="77"/>
      <c r="BE329" s="77"/>
      <c r="BF329" s="78"/>
      <c r="BG329" s="77" t="s">
        <v>28</v>
      </c>
      <c r="BH329" s="77"/>
      <c r="BI329" s="77"/>
      <c r="BJ329" s="77"/>
      <c r="BK329" s="77"/>
      <c r="BL329" s="77"/>
      <c r="BM329" s="77"/>
      <c r="BN329" s="77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77">
        <v>2550</v>
      </c>
      <c r="B330" s="77" t="s">
        <v>26</v>
      </c>
      <c r="C330" s="77" t="s">
        <v>1228</v>
      </c>
      <c r="D330" s="77" t="s">
        <v>27</v>
      </c>
      <c r="E330" s="77" t="s">
        <v>1239</v>
      </c>
      <c r="F330" s="30" t="str">
        <f>IF(ISBLANK(Table2[[#This Row],[unique_id]]), "", PROPER(SUBSTITUTE(Table2[[#This Row],[unique_id]], "_", " ")))</f>
        <v>Host Meg Temperature</v>
      </c>
      <c r="G330" s="77" t="s">
        <v>1245</v>
      </c>
      <c r="H330" s="77" t="s">
        <v>1249</v>
      </c>
      <c r="I330" s="77" t="s">
        <v>291</v>
      </c>
      <c r="J330" s="77"/>
      <c r="K330" s="77" t="s">
        <v>1244</v>
      </c>
      <c r="L330" s="77"/>
      <c r="M330" s="77"/>
      <c r="N330" s="77"/>
      <c r="O330" s="78"/>
      <c r="P330" s="77"/>
      <c r="Q330" s="77"/>
      <c r="R330" s="77"/>
      <c r="T330" s="79"/>
      <c r="U330" s="77"/>
      <c r="V330" s="78" t="s">
        <v>315</v>
      </c>
      <c r="W330" s="78"/>
      <c r="X330" s="78"/>
      <c r="Y330" s="78"/>
      <c r="Z330" s="78"/>
      <c r="AA330" s="78"/>
      <c r="AB330" s="77" t="s">
        <v>31</v>
      </c>
      <c r="AC330" s="77" t="s">
        <v>88</v>
      </c>
      <c r="AD330" s="77" t="s">
        <v>89</v>
      </c>
      <c r="AE330" s="77" t="s">
        <v>316</v>
      </c>
      <c r="AF330" s="77">
        <v>5</v>
      </c>
      <c r="AG330" s="78" t="s">
        <v>34</v>
      </c>
      <c r="AH330" s="78"/>
      <c r="AI330" s="77" t="s">
        <v>1147</v>
      </c>
      <c r="AJ330" s="77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0" s="77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L330" s="77"/>
      <c r="AM330" s="77"/>
      <c r="AN330" s="77"/>
      <c r="AO330" s="77"/>
      <c r="AP330" s="77"/>
      <c r="AQ330" s="77"/>
      <c r="AR330" s="77" t="s">
        <v>1243</v>
      </c>
      <c r="AS330" s="77">
        <v>1</v>
      </c>
      <c r="AT330" s="32"/>
      <c r="AU330" s="77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0" s="77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0" s="77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0" s="77"/>
      <c r="BA330" s="30" t="str">
        <f>IF(ISBLANK(Table2[[#This Row],[device_model]]), "", Table2[[#This Row],[device_suggested_area]])</f>
        <v>Rack</v>
      </c>
      <c r="BB330" s="77" t="s">
        <v>1371</v>
      </c>
      <c r="BC330" s="77" t="s">
        <v>1241</v>
      </c>
      <c r="BD330" s="77" t="s">
        <v>1240</v>
      </c>
      <c r="BE330" s="77"/>
      <c r="BF330" s="77" t="s">
        <v>994</v>
      </c>
      <c r="BG330" s="77" t="s">
        <v>28</v>
      </c>
      <c r="BH330" s="77"/>
      <c r="BI330" s="77"/>
      <c r="BJ330" s="77"/>
      <c r="BK330" s="77"/>
      <c r="BL330" s="77"/>
      <c r="BM330" s="77"/>
      <c r="BN330" s="77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77">
        <v>2551</v>
      </c>
      <c r="B331" s="77" t="s">
        <v>26</v>
      </c>
      <c r="C331" s="77" t="s">
        <v>1228</v>
      </c>
      <c r="D331" s="77" t="s">
        <v>27</v>
      </c>
      <c r="E331" s="77" t="s">
        <v>1244</v>
      </c>
      <c r="F331" s="30" t="str">
        <f>IF(ISBLANK(Table2[[#This Row],[unique_id]]), "", PROPER(SUBSTITUTE(Table2[[#This Row],[unique_id]], "_", " ")))</f>
        <v>Compensation Sensor Host Meg Temperature</v>
      </c>
      <c r="G331" s="77" t="s">
        <v>1245</v>
      </c>
      <c r="H331" s="77" t="s">
        <v>1249</v>
      </c>
      <c r="I331" s="77" t="s">
        <v>291</v>
      </c>
      <c r="J331" s="77"/>
      <c r="K331" s="77"/>
      <c r="L331" s="77"/>
      <c r="M331" s="77" t="s">
        <v>136</v>
      </c>
      <c r="N331" s="77"/>
      <c r="O331" s="78"/>
      <c r="P331" s="77"/>
      <c r="Q331" s="77"/>
      <c r="R331" s="77"/>
      <c r="T331" s="37"/>
      <c r="U331" s="77" t="s">
        <v>437</v>
      </c>
      <c r="V331" s="78"/>
      <c r="W331" s="78"/>
      <c r="X331" s="78"/>
      <c r="Y331" s="78"/>
      <c r="Z331" s="78"/>
      <c r="AA331" s="78"/>
      <c r="AB331" s="77" t="s">
        <v>31</v>
      </c>
      <c r="AC331" s="77" t="s">
        <v>88</v>
      </c>
      <c r="AD331" s="77" t="s">
        <v>89</v>
      </c>
      <c r="AE331" s="77" t="s">
        <v>316</v>
      </c>
      <c r="AF331" s="77"/>
      <c r="AG331" s="78"/>
      <c r="AH331" s="78"/>
      <c r="AI331" s="77"/>
      <c r="AJ331" s="77" t="str">
        <f>IF(ISBLANK(AI331),  "", _xlfn.CONCAT("haas/entity/sensor/", LOWER(C331), "/", E331, "/config"))</f>
        <v/>
      </c>
      <c r="AK331" s="77" t="str">
        <f>IF(ISBLANK(AI331),  "", _xlfn.CONCAT(LOWER(C331), "/", E331))</f>
        <v/>
      </c>
      <c r="AL331" s="77"/>
      <c r="AM331" s="77"/>
      <c r="AN331" s="77"/>
      <c r="AO331" s="77"/>
      <c r="AP331" s="77"/>
      <c r="AQ331" s="77"/>
      <c r="AR331" s="77"/>
      <c r="AS331" s="77"/>
      <c r="AT331" s="32"/>
      <c r="AU331" s="80"/>
      <c r="AX331" s="77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77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1" s="77"/>
      <c r="BA331" s="30" t="str">
        <f>IF(ISBLANK(Table2[[#This Row],[device_model]]), "", Table2[[#This Row],[device_suggested_area]])</f>
        <v/>
      </c>
      <c r="BB331" s="77"/>
      <c r="BC331" s="77"/>
      <c r="BD331" s="77"/>
      <c r="BE331" s="77"/>
      <c r="BF331" s="78"/>
      <c r="BG331" s="77" t="s">
        <v>28</v>
      </c>
      <c r="BH331" s="77"/>
      <c r="BI331" s="77"/>
      <c r="BJ331" s="77"/>
      <c r="BK331" s="77"/>
      <c r="BL331" s="77"/>
      <c r="BM331" s="77"/>
      <c r="BN331" s="77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2552</v>
      </c>
      <c r="B332" s="30" t="s">
        <v>26</v>
      </c>
      <c r="C332" s="30" t="s">
        <v>1246</v>
      </c>
      <c r="D332" s="30" t="s">
        <v>27</v>
      </c>
      <c r="E332" s="30" t="s">
        <v>1254</v>
      </c>
      <c r="F332" s="30" t="str">
        <f>IF(ISBLANK(Table2[[#This Row],[unique_id]]), "", PROPER(SUBSTITUTE(Table2[[#This Row],[unique_id]], "_", " ")))</f>
        <v>Template Deck Festoons Plug Temperature Proxy</v>
      </c>
      <c r="G332" s="30" t="s">
        <v>1251</v>
      </c>
      <c r="H332" s="30" t="s">
        <v>1250</v>
      </c>
      <c r="I332" s="30" t="s">
        <v>291</v>
      </c>
      <c r="K332" s="30" t="s">
        <v>1169</v>
      </c>
      <c r="M332" s="30" t="s">
        <v>136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2553</v>
      </c>
      <c r="B333" s="30" t="s">
        <v>26</v>
      </c>
      <c r="C333" s="30" t="s">
        <v>1246</v>
      </c>
      <c r="D333" s="30" t="s">
        <v>27</v>
      </c>
      <c r="E333" s="30" t="s">
        <v>1253</v>
      </c>
      <c r="F333" s="30" t="str">
        <f>IF(ISBLANK(Table2[[#This Row],[unique_id]]), "", PROPER(SUBSTITUTE(Table2[[#This Row],[unique_id]], "_", " ")))</f>
        <v>Template Wardrobe Temperature Proxy</v>
      </c>
      <c r="G333" s="30" t="s">
        <v>1465</v>
      </c>
      <c r="H333" s="30" t="s">
        <v>1248</v>
      </c>
      <c r="I333" s="30" t="s">
        <v>291</v>
      </c>
      <c r="K333" s="30" t="s">
        <v>1175</v>
      </c>
      <c r="M333" s="30" t="s">
        <v>136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2554</v>
      </c>
      <c r="B334" s="30" t="s">
        <v>26</v>
      </c>
      <c r="C334" s="30" t="s">
        <v>1228</v>
      </c>
      <c r="D334" s="30" t="s">
        <v>27</v>
      </c>
      <c r="E334" s="30" t="s">
        <v>1496</v>
      </c>
      <c r="F334" s="30" t="str">
        <f>IF(ISBLANK(Table2[[#This Row],[unique_id]]), "", PROPER(SUBSTITUTE(Table2[[#This Row],[unique_id]], "_", " ")))</f>
        <v>Host Jen Temperature</v>
      </c>
      <c r="G334" s="30" t="s">
        <v>1497</v>
      </c>
      <c r="H334" s="30" t="s">
        <v>1248</v>
      </c>
      <c r="I334" s="30" t="s">
        <v>291</v>
      </c>
      <c r="K334" s="30" t="s">
        <v>1491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1492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4" s="30" t="s">
        <v>1493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Wardrobe</v>
      </c>
      <c r="BB334" s="30" t="s">
        <v>1498</v>
      </c>
      <c r="BC334" s="30" t="s">
        <v>1241</v>
      </c>
      <c r="BD334" s="30" t="s">
        <v>1240</v>
      </c>
      <c r="BF334" s="30" t="s">
        <v>994</v>
      </c>
      <c r="BG334" s="30" t="s">
        <v>496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2555</v>
      </c>
      <c r="B335" s="30" t="s">
        <v>26</v>
      </c>
      <c r="C335" s="30" t="s">
        <v>1228</v>
      </c>
      <c r="D335" s="30" t="s">
        <v>27</v>
      </c>
      <c r="E335" s="30" t="s">
        <v>1491</v>
      </c>
      <c r="F335" s="30" t="str">
        <f>IF(ISBLANK(Table2[[#This Row],[unique_id]]), "", PROPER(SUBSTITUTE(Table2[[#This Row],[unique_id]], "_", " ")))</f>
        <v>Compensation Sensor Host Jen Temperature</v>
      </c>
      <c r="G335" s="30" t="s">
        <v>1497</v>
      </c>
      <c r="H335" s="30" t="s">
        <v>1248</v>
      </c>
      <c r="I335" s="30" t="s">
        <v>291</v>
      </c>
      <c r="M335" s="30" t="s">
        <v>136</v>
      </c>
      <c r="O335" s="31"/>
      <c r="P335" s="30"/>
      <c r="T335" s="37"/>
      <c r="U335" s="30" t="s">
        <v>437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496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2556</v>
      </c>
      <c r="B336" s="30" t="s">
        <v>26</v>
      </c>
      <c r="C336" s="30" t="s">
        <v>624</v>
      </c>
      <c r="D336" s="30" t="s">
        <v>27</v>
      </c>
      <c r="E336" s="30" t="s">
        <v>662</v>
      </c>
      <c r="F336" s="36" t="str">
        <f>IF(ISBLANK(Table2[[#This Row],[unique_id]]), "", PROPER(SUBSTITUTE(Table2[[#This Row],[unique_id]], "_", " ")))</f>
        <v>Back Door Lock Battery</v>
      </c>
      <c r="G336" s="30" t="s">
        <v>648</v>
      </c>
      <c r="H336" s="30" t="s">
        <v>1194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2557</v>
      </c>
      <c r="B337" s="30" t="s">
        <v>26</v>
      </c>
      <c r="C337" s="30" t="s">
        <v>624</v>
      </c>
      <c r="D337" s="30" t="s">
        <v>27</v>
      </c>
      <c r="E337" s="30" t="s">
        <v>663</v>
      </c>
      <c r="F337" s="36" t="str">
        <f>IF(ISBLANK(Table2[[#This Row],[unique_id]]), "", PROPER(SUBSTITUTE(Table2[[#This Row],[unique_id]], "_", " ")))</f>
        <v>Front Door Lock Battery</v>
      </c>
      <c r="G337" s="30" t="s">
        <v>647</v>
      </c>
      <c r="H337" s="30" t="s">
        <v>1194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2558</v>
      </c>
      <c r="B338" s="30" t="s">
        <v>26</v>
      </c>
      <c r="C338" s="30" t="s">
        <v>334</v>
      </c>
      <c r="D338" s="30" t="s">
        <v>27</v>
      </c>
      <c r="E338" s="30" t="s">
        <v>665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650</v>
      </c>
      <c r="H338" s="30" t="s">
        <v>1194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2559</v>
      </c>
      <c r="B339" s="30" t="s">
        <v>26</v>
      </c>
      <c r="C339" s="30" t="s">
        <v>334</v>
      </c>
      <c r="D339" s="30" t="s">
        <v>27</v>
      </c>
      <c r="E339" s="30" t="s">
        <v>664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649</v>
      </c>
      <c r="H339" s="30" t="s">
        <v>1194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2560</v>
      </c>
      <c r="B340" s="30" t="s">
        <v>580</v>
      </c>
      <c r="C340" s="30" t="s">
        <v>458</v>
      </c>
      <c r="D340" s="30" t="s">
        <v>27</v>
      </c>
      <c r="E340" s="30" t="s">
        <v>486</v>
      </c>
      <c r="F340" s="36" t="str">
        <f>IF(ISBLANK(Table2[[#This Row],[unique_id]]), "", PROPER(SUBSTITUTE(Table2[[#This Row],[unique_id]], "_", " ")))</f>
        <v>Home Cube Remote Battery</v>
      </c>
      <c r="G340" s="30" t="s">
        <v>466</v>
      </c>
      <c r="H340" s="30" t="s">
        <v>1194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9" customFormat="1" ht="16" customHeight="1" x14ac:dyDescent="0.2">
      <c r="A341" s="49">
        <v>2561</v>
      </c>
      <c r="B341" s="49" t="s">
        <v>26</v>
      </c>
      <c r="C341" s="49" t="s">
        <v>150</v>
      </c>
      <c r="D341" s="49" t="s">
        <v>27</v>
      </c>
      <c r="E341" s="49" t="s">
        <v>659</v>
      </c>
      <c r="F341" s="50" t="str">
        <f>IF(ISBLANK(Table2[[#This Row],[unique_id]]), "", PROPER(SUBSTITUTE(Table2[[#This Row],[unique_id]], "_", " ")))</f>
        <v>Template Weatherstation Console Battery Percent Int</v>
      </c>
      <c r="G341" s="49" t="s">
        <v>657</v>
      </c>
      <c r="H341" s="49" t="s">
        <v>1194</v>
      </c>
      <c r="I341" s="49" t="s">
        <v>291</v>
      </c>
      <c r="M341" s="49" t="s">
        <v>136</v>
      </c>
      <c r="O341" s="51"/>
      <c r="T341" s="52"/>
      <c r="V341" s="51"/>
      <c r="W341" s="51"/>
      <c r="X341" s="51"/>
      <c r="Y341" s="51"/>
      <c r="Z341" s="51"/>
      <c r="AA341" s="51"/>
      <c r="AB341" s="49" t="s">
        <v>31</v>
      </c>
      <c r="AC341" s="49" t="s">
        <v>32</v>
      </c>
      <c r="AD341" s="49" t="s">
        <v>658</v>
      </c>
      <c r="AG341" s="51"/>
      <c r="AH341" s="51"/>
      <c r="AR341" s="53"/>
      <c r="AT341" s="54"/>
      <c r="AU341" s="51"/>
      <c r="AV341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9" t="str">
        <f>IF(ISBLANK(Table2[[#This Row],[device_model]]), "", Table2[[#This Row],[device_suggested_area]])</f>
        <v/>
      </c>
      <c r="BF341" s="51"/>
      <c r="BN341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9" customFormat="1" ht="16" customHeight="1" x14ac:dyDescent="0.2">
      <c r="A342" s="49">
        <v>2562</v>
      </c>
      <c r="B342" s="49" t="s">
        <v>26</v>
      </c>
      <c r="C342" s="49" t="s">
        <v>39</v>
      </c>
      <c r="D342" s="49" t="s">
        <v>27</v>
      </c>
      <c r="E342" s="49" t="s">
        <v>170</v>
      </c>
      <c r="F342" s="50" t="str">
        <f>IF(ISBLANK(Table2[[#This Row],[unique_id]]), "", PROPER(SUBSTITUTE(Table2[[#This Row],[unique_id]], "_", " ")))</f>
        <v>Weatherstation Console Battery Voltage</v>
      </c>
      <c r="G342" s="49" t="s">
        <v>465</v>
      </c>
      <c r="H342" s="49" t="s">
        <v>1194</v>
      </c>
      <c r="I342" s="49" t="s">
        <v>291</v>
      </c>
      <c r="O342" s="51"/>
      <c r="T342" s="52"/>
      <c r="V342" s="51" t="s">
        <v>1263</v>
      </c>
      <c r="W342" s="51"/>
      <c r="X342" s="51"/>
      <c r="Y342" s="51"/>
      <c r="Z342" s="51"/>
      <c r="AA342" s="51"/>
      <c r="AB342" s="49" t="s">
        <v>31</v>
      </c>
      <c r="AC342" s="49" t="s">
        <v>83</v>
      </c>
      <c r="AD342" s="49" t="s">
        <v>84</v>
      </c>
      <c r="AE342" s="49" t="s">
        <v>272</v>
      </c>
      <c r="AF342" s="49">
        <v>300</v>
      </c>
      <c r="AG342" s="51" t="s">
        <v>34</v>
      </c>
      <c r="AH342" s="51"/>
      <c r="AI342" s="49" t="s">
        <v>85</v>
      </c>
      <c r="AJ342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9" t="str">
        <f>IF(ISBLANK(Table2[[#This Row],[index]]),  "", _xlfn.CONCAT(LOWER(Table2[[#This Row],[device_via_device]]), "/", Table2[[#This Row],[unique_id]]))</f>
        <v>weewx/weatherstation_console_battery_voltage</v>
      </c>
      <c r="AR342" s="53" t="s">
        <v>1192</v>
      </c>
      <c r="AS342" s="49">
        <v>1</v>
      </c>
      <c r="AT342" s="54"/>
      <c r="AV342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9" t="str">
        <f>IF(ISBLANK(Table2[[#This Row],[device_model]]), "", Table2[[#This Row],[device_suggested_area]])</f>
        <v>Wardrobe</v>
      </c>
      <c r="BB342" s="49" t="s">
        <v>1261</v>
      </c>
      <c r="BC342" s="49" t="s">
        <v>36</v>
      </c>
      <c r="BD342" s="49" t="s">
        <v>37</v>
      </c>
      <c r="BF342" s="49" t="s">
        <v>1069</v>
      </c>
      <c r="BG342" s="49" t="s">
        <v>496</v>
      </c>
      <c r="BN342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2563</v>
      </c>
      <c r="B343" s="30" t="s">
        <v>26</v>
      </c>
      <c r="C343" s="30" t="s">
        <v>128</v>
      </c>
      <c r="D343" s="30" t="s">
        <v>27</v>
      </c>
      <c r="E343" s="39" t="s">
        <v>1397</v>
      </c>
      <c r="F343" s="36" t="str">
        <f>IF(ISBLANK(Table2[[#This Row],[unique_id]]), "", PROPER(SUBSTITUTE(Table2[[#This Row],[unique_id]], "_", " ")))</f>
        <v>Office Pantry Battery</v>
      </c>
      <c r="G343" s="30" t="s">
        <v>459</v>
      </c>
      <c r="H343" s="30" t="s">
        <v>1194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996</v>
      </c>
      <c r="BC343" s="30" t="s">
        <v>998</v>
      </c>
      <c r="BD343" s="30" t="s">
        <v>128</v>
      </c>
      <c r="BF343" s="30" t="s">
        <v>425</v>
      </c>
      <c r="BG343" s="30" t="s">
        <v>211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2564</v>
      </c>
      <c r="B344" s="30" t="s">
        <v>26</v>
      </c>
      <c r="C344" s="30" t="s">
        <v>128</v>
      </c>
      <c r="D344" s="30" t="s">
        <v>27</v>
      </c>
      <c r="E344" s="39" t="s">
        <v>1398</v>
      </c>
      <c r="F344" s="36" t="str">
        <f>IF(ISBLANK(Table2[[#This Row],[unique_id]]), "", PROPER(SUBSTITUTE(Table2[[#This Row],[unique_id]], "_", " ")))</f>
        <v>Office Lounge Battery</v>
      </c>
      <c r="G344" s="30" t="s">
        <v>460</v>
      </c>
      <c r="H344" s="30" t="s">
        <v>1194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996</v>
      </c>
      <c r="BC344" s="30" t="s">
        <v>998</v>
      </c>
      <c r="BD344" s="30" t="s">
        <v>128</v>
      </c>
      <c r="BF344" s="30" t="s">
        <v>425</v>
      </c>
      <c r="BG344" s="30" t="s">
        <v>194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2565</v>
      </c>
      <c r="B345" s="30" t="s">
        <v>26</v>
      </c>
      <c r="C345" s="30" t="s">
        <v>128</v>
      </c>
      <c r="D345" s="30" t="s">
        <v>27</v>
      </c>
      <c r="E345" s="39" t="s">
        <v>1399</v>
      </c>
      <c r="F345" s="36" t="str">
        <f>IF(ISBLANK(Table2[[#This Row],[unique_id]]), "", PROPER(SUBSTITUTE(Table2[[#This Row],[unique_id]], "_", " ")))</f>
        <v>Office Dining Battery</v>
      </c>
      <c r="G345" s="30" t="s">
        <v>461</v>
      </c>
      <c r="H345" s="30" t="s">
        <v>1194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996</v>
      </c>
      <c r="BC345" s="30" t="s">
        <v>998</v>
      </c>
      <c r="BD345" s="30" t="s">
        <v>128</v>
      </c>
      <c r="BF345" s="30" t="s">
        <v>425</v>
      </c>
      <c r="BG345" s="30" t="s">
        <v>193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2566</v>
      </c>
      <c r="B346" s="30" t="s">
        <v>26</v>
      </c>
      <c r="C346" s="30" t="s">
        <v>128</v>
      </c>
      <c r="D346" s="30" t="s">
        <v>27</v>
      </c>
      <c r="E346" s="39" t="s">
        <v>1400</v>
      </c>
      <c r="F346" s="36" t="str">
        <f>IF(ISBLANK(Table2[[#This Row],[unique_id]]), "", PROPER(SUBSTITUTE(Table2[[#This Row],[unique_id]], "_", " ")))</f>
        <v>Office Basement Battery</v>
      </c>
      <c r="G346" s="30" t="s">
        <v>462</v>
      </c>
      <c r="H346" s="30" t="s">
        <v>1194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996</v>
      </c>
      <c r="BC346" s="30" t="s">
        <v>998</v>
      </c>
      <c r="BD346" s="30" t="s">
        <v>128</v>
      </c>
      <c r="BF346" s="30" t="s">
        <v>425</v>
      </c>
      <c r="BG346" s="30" t="s">
        <v>210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2567</v>
      </c>
      <c r="B347" s="30" t="s">
        <v>26</v>
      </c>
      <c r="C347" s="30" t="s">
        <v>182</v>
      </c>
      <c r="D347" s="30" t="s">
        <v>27</v>
      </c>
      <c r="E347" s="30" t="s">
        <v>740</v>
      </c>
      <c r="F347" s="36" t="str">
        <f>IF(ISBLANK(Table2[[#This Row],[unique_id]]), "", PROPER(SUBSTITUTE(Table2[[#This Row],[unique_id]], "_", " ")))</f>
        <v>Parents Move Battery</v>
      </c>
      <c r="G347" s="30" t="s">
        <v>463</v>
      </c>
      <c r="H347" s="30" t="s">
        <v>1194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2568</v>
      </c>
      <c r="B348" s="30" t="s">
        <v>26</v>
      </c>
      <c r="C348" s="30" t="s">
        <v>182</v>
      </c>
      <c r="D348" s="30" t="s">
        <v>27</v>
      </c>
      <c r="E348" s="30" t="s">
        <v>739</v>
      </c>
      <c r="F348" s="36" t="str">
        <f>IF(ISBLANK(Table2[[#This Row],[unique_id]]), "", PROPER(SUBSTITUTE(Table2[[#This Row],[unique_id]], "_", " ")))</f>
        <v>Kitchen Move Battery</v>
      </c>
      <c r="G348" s="30" t="s">
        <v>464</v>
      </c>
      <c r="H348" s="30" t="s">
        <v>1194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2569</v>
      </c>
      <c r="B349" s="30" t="s">
        <v>26</v>
      </c>
      <c r="C349" s="30" t="s">
        <v>441</v>
      </c>
      <c r="D349" s="30" t="s">
        <v>333</v>
      </c>
      <c r="E349" s="30" t="s">
        <v>332</v>
      </c>
      <c r="F349" s="36" t="str">
        <f>IF(ISBLANK(Table2[[#This Row],[unique_id]]), "", PROPER(SUBSTITUTE(Table2[[#This Row],[unique_id]], "_", " ")))</f>
        <v>Column Break</v>
      </c>
      <c r="G349" s="30" t="s">
        <v>329</v>
      </c>
      <c r="H349" s="30" t="s">
        <v>1194</v>
      </c>
      <c r="I349" s="30" t="s">
        <v>291</v>
      </c>
      <c r="M349" s="30" t="s">
        <v>330</v>
      </c>
      <c r="N349" s="30" t="s">
        <v>331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2570</v>
      </c>
      <c r="B350" s="30" t="s">
        <v>26</v>
      </c>
      <c r="C350" s="30" t="s">
        <v>781</v>
      </c>
      <c r="D350" s="30" t="s">
        <v>27</v>
      </c>
      <c r="E350" s="30" t="s">
        <v>832</v>
      </c>
      <c r="F350" s="36" t="str">
        <f>IF(ISBLANK(Table2[[#This Row],[unique_id]]), "", PROPER(SUBSTITUTE(Table2[[#This Row],[unique_id]], "_", " ")))</f>
        <v>All Standby</v>
      </c>
      <c r="G350" s="30" t="s">
        <v>833</v>
      </c>
      <c r="H350" s="30" t="s">
        <v>527</v>
      </c>
      <c r="I350" s="30" t="s">
        <v>291</v>
      </c>
      <c r="O350" s="31" t="s">
        <v>792</v>
      </c>
      <c r="P350" s="30"/>
      <c r="R350" s="41"/>
      <c r="T350" s="37" t="s">
        <v>831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2571</v>
      </c>
      <c r="B351" s="30" t="s">
        <v>26</v>
      </c>
      <c r="C351" s="30" t="s">
        <v>812</v>
      </c>
      <c r="D351" s="30" t="s">
        <v>148</v>
      </c>
      <c r="E351" s="37" t="s">
        <v>1076</v>
      </c>
      <c r="F351" s="36" t="str">
        <f>IF(ISBLANK(Table2[[#This Row],[unique_id]]), "", PROPER(SUBSTITUTE(Table2[[#This Row],[unique_id]], "_", " ")))</f>
        <v>Template Lounge Tv Plug Proxy</v>
      </c>
      <c r="G351" s="30" t="s">
        <v>180</v>
      </c>
      <c r="H351" s="30" t="s">
        <v>527</v>
      </c>
      <c r="I351" s="30" t="s">
        <v>291</v>
      </c>
      <c r="O351" s="31" t="s">
        <v>792</v>
      </c>
      <c r="P351" s="30" t="s">
        <v>165</v>
      </c>
      <c r="Q351" s="30" t="s">
        <v>764</v>
      </c>
      <c r="R351" s="41" t="s">
        <v>749</v>
      </c>
      <c r="S351" s="30" t="str">
        <f>Table2[[#This Row],[friendly_name]]</f>
        <v>Lounge TV</v>
      </c>
      <c r="T351" s="37" t="s">
        <v>1073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R351" s="39"/>
      <c r="AT351" s="32"/>
      <c r="AU351" s="30" t="s">
        <v>134</v>
      </c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985</v>
      </c>
      <c r="BC351" s="30" t="s">
        <v>360</v>
      </c>
      <c r="BD351" s="30" t="s">
        <v>233</v>
      </c>
      <c r="BF351" s="30" t="s">
        <v>363</v>
      </c>
      <c r="BG351" s="30" t="s">
        <v>194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2572</v>
      </c>
      <c r="B352" s="30" t="s">
        <v>26</v>
      </c>
      <c r="C352" s="30" t="s">
        <v>233</v>
      </c>
      <c r="D352" s="30" t="s">
        <v>134</v>
      </c>
      <c r="E352" s="30" t="s">
        <v>1075</v>
      </c>
      <c r="F352" s="36" t="str">
        <f>IF(ISBLANK(Table2[[#This Row],[unique_id]]), "", PROPER(SUBSTITUTE(Table2[[#This Row],[unique_id]], "_", " ")))</f>
        <v>Lounge Tv Plug</v>
      </c>
      <c r="G352" s="30" t="s">
        <v>180</v>
      </c>
      <c r="H352" s="30" t="s">
        <v>527</v>
      </c>
      <c r="I352" s="30" t="s">
        <v>291</v>
      </c>
      <c r="M352" s="30" t="s">
        <v>257</v>
      </c>
      <c r="O352" s="31" t="s">
        <v>792</v>
      </c>
      <c r="P352" s="30" t="s">
        <v>165</v>
      </c>
      <c r="Q352" s="30" t="s">
        <v>764</v>
      </c>
      <c r="R352" s="41" t="s">
        <v>749</v>
      </c>
      <c r="S352" s="30" t="str">
        <f>Table2[[#This Row],[friendly_name]]</f>
        <v>Lounge TV</v>
      </c>
      <c r="T35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2" s="30"/>
      <c r="V352" s="31"/>
      <c r="W352" s="31"/>
      <c r="X352" s="31"/>
      <c r="Y352" s="31"/>
      <c r="Z352" s="31"/>
      <c r="AA352" s="31"/>
      <c r="AB352" s="30"/>
      <c r="AC352" s="30"/>
      <c r="AE352" s="30" t="s">
        <v>250</v>
      </c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Lounge</v>
      </c>
      <c r="BB352" s="30" t="s">
        <v>985</v>
      </c>
      <c r="BC352" s="30" t="s">
        <v>360</v>
      </c>
      <c r="BD352" s="30" t="s">
        <v>233</v>
      </c>
      <c r="BF352" s="30" t="s">
        <v>363</v>
      </c>
      <c r="BG352" s="30" t="s">
        <v>194</v>
      </c>
      <c r="BJ352" s="30" t="s">
        <v>982</v>
      </c>
      <c r="BK352" s="30" t="s">
        <v>1301</v>
      </c>
      <c r="BL352" s="30" t="s">
        <v>350</v>
      </c>
      <c r="BM352" s="30" t="s">
        <v>1335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3" spans="1:66" s="55" customFormat="1" ht="16" customHeight="1" x14ac:dyDescent="0.2">
      <c r="A353" s="55">
        <v>2573</v>
      </c>
      <c r="B353" s="55" t="s">
        <v>580</v>
      </c>
      <c r="C353" s="55" t="s">
        <v>812</v>
      </c>
      <c r="D353" s="55" t="s">
        <v>148</v>
      </c>
      <c r="E353" s="56" t="s">
        <v>1441</v>
      </c>
      <c r="F353" s="57" t="str">
        <f>IF(ISBLANK(Table2[[#This Row],[unique_id]]), "", PROPER(SUBSTITUTE(Table2[[#This Row],[unique_id]], "_", " ")))</f>
        <v>Broken Template Lounge Sub Plug Proxy</v>
      </c>
      <c r="G353" s="55" t="s">
        <v>796</v>
      </c>
      <c r="H353" s="55" t="s">
        <v>527</v>
      </c>
      <c r="I353" s="55" t="s">
        <v>291</v>
      </c>
      <c r="O353" s="58" t="s">
        <v>792</v>
      </c>
      <c r="P353" s="55" t="s">
        <v>165</v>
      </c>
      <c r="Q353" s="55" t="s">
        <v>764</v>
      </c>
      <c r="R353" s="61" t="s">
        <v>749</v>
      </c>
      <c r="S353" s="55" t="str">
        <f>Table2[[#This Row],[friendly_name]]</f>
        <v>Lounge Sub</v>
      </c>
      <c r="T353" s="56" t="s">
        <v>1073</v>
      </c>
      <c r="V353" s="58"/>
      <c r="W353" s="58"/>
      <c r="X353" s="58"/>
      <c r="Y353" s="58"/>
      <c r="Z353" s="58"/>
      <c r="AA353" s="58"/>
      <c r="AG353" s="58"/>
      <c r="AH353" s="58"/>
      <c r="AR353" s="60"/>
      <c r="AT353" s="62"/>
      <c r="AU353" s="55" t="s">
        <v>134</v>
      </c>
      <c r="AV35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5" t="str">
        <f>IF(ISBLANK(Table2[[#This Row],[device_model]]), "", Table2[[#This Row],[device_suggested_area]])</f>
        <v>Lounge</v>
      </c>
      <c r="BB353" s="55" t="s">
        <v>1026</v>
      </c>
      <c r="BC353" s="60" t="s">
        <v>361</v>
      </c>
      <c r="BD353" s="55" t="s">
        <v>233</v>
      </c>
      <c r="BF353" s="55" t="s">
        <v>362</v>
      </c>
      <c r="BG353" s="55" t="s">
        <v>194</v>
      </c>
      <c r="BN35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5" customFormat="1" ht="16" customHeight="1" x14ac:dyDescent="0.2">
      <c r="A354" s="55">
        <v>2574</v>
      </c>
      <c r="B354" s="55" t="s">
        <v>580</v>
      </c>
      <c r="C354" s="55" t="s">
        <v>233</v>
      </c>
      <c r="D354" s="55" t="s">
        <v>134</v>
      </c>
      <c r="E354" s="55" t="s">
        <v>1442</v>
      </c>
      <c r="F354" s="57" t="str">
        <f>IF(ISBLANK(Table2[[#This Row],[unique_id]]), "", PROPER(SUBSTITUTE(Table2[[#This Row],[unique_id]], "_", " ")))</f>
        <v>Broken Lounge Sub Plug</v>
      </c>
      <c r="G354" s="55" t="s">
        <v>796</v>
      </c>
      <c r="H354" s="55" t="s">
        <v>527</v>
      </c>
      <c r="I354" s="55" t="s">
        <v>291</v>
      </c>
      <c r="M354" s="55" t="s">
        <v>257</v>
      </c>
      <c r="O354" s="58" t="s">
        <v>792</v>
      </c>
      <c r="P354" s="55" t="s">
        <v>165</v>
      </c>
      <c r="Q354" s="55" t="s">
        <v>764</v>
      </c>
      <c r="R354" s="61" t="s">
        <v>749</v>
      </c>
      <c r="S354" s="55" t="str">
        <f>Table2[[#This Row],[friendly_name]]</f>
        <v>Lounge Sub</v>
      </c>
      <c r="T35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4" s="58"/>
      <c r="W354" s="58"/>
      <c r="X354" s="58"/>
      <c r="Y354" s="58"/>
      <c r="Z354" s="58"/>
      <c r="AA354" s="58"/>
      <c r="AE354" s="55" t="s">
        <v>797</v>
      </c>
      <c r="AG354" s="58"/>
      <c r="AH354" s="58"/>
      <c r="AT354" s="59"/>
      <c r="AV35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5" t="str">
        <f>IF(ISBLANK(Table2[[#This Row],[device_model]]), "", Table2[[#This Row],[device_suggested_area]])</f>
        <v>Lounge</v>
      </c>
      <c r="BB354" s="55" t="s">
        <v>1026</v>
      </c>
      <c r="BC354" s="60" t="s">
        <v>361</v>
      </c>
      <c r="BD354" s="55" t="s">
        <v>233</v>
      </c>
      <c r="BF354" s="55" t="s">
        <v>362</v>
      </c>
      <c r="BG354" s="55" t="s">
        <v>194</v>
      </c>
      <c r="BJ354" s="55" t="s">
        <v>981</v>
      </c>
      <c r="BK354" s="55" t="s">
        <v>1301</v>
      </c>
      <c r="BL354" s="55" t="s">
        <v>340</v>
      </c>
      <c r="BM354" s="55" t="s">
        <v>1336</v>
      </c>
      <c r="BN35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5" spans="1:66" s="55" customFormat="1" ht="16" customHeight="1" x14ac:dyDescent="0.2">
      <c r="A355" s="55">
        <v>2575</v>
      </c>
      <c r="B355" s="55" t="s">
        <v>580</v>
      </c>
      <c r="C355" s="55" t="s">
        <v>812</v>
      </c>
      <c r="D355" s="55" t="s">
        <v>148</v>
      </c>
      <c r="E355" s="56" t="s">
        <v>1443</v>
      </c>
      <c r="F355" s="57" t="str">
        <f>IF(ISBLANK(Table2[[#This Row],[unique_id]]), "", PROPER(SUBSTITUTE(Table2[[#This Row],[unique_id]], "_", " ")))</f>
        <v>Broken Template Study Outlet Plug Proxy</v>
      </c>
      <c r="G355" s="55" t="s">
        <v>226</v>
      </c>
      <c r="H355" s="55" t="s">
        <v>527</v>
      </c>
      <c r="I355" s="55" t="s">
        <v>291</v>
      </c>
      <c r="O355" s="58" t="s">
        <v>792</v>
      </c>
      <c r="P355" s="55" t="s">
        <v>165</v>
      </c>
      <c r="Q355" s="55" t="s">
        <v>764</v>
      </c>
      <c r="R355" s="55" t="s">
        <v>527</v>
      </c>
      <c r="S355" s="55" t="str">
        <f>Table2[[#This Row],[friendly_name]]</f>
        <v>Study Outlet</v>
      </c>
      <c r="T355" s="56" t="s">
        <v>1072</v>
      </c>
      <c r="V355" s="58"/>
      <c r="W355" s="58"/>
      <c r="X355" s="58"/>
      <c r="Y355" s="58"/>
      <c r="Z355" s="58"/>
      <c r="AA355" s="58"/>
      <c r="AG355" s="58"/>
      <c r="AH355" s="58"/>
      <c r="AT355" s="59"/>
      <c r="AU355" s="55" t="s">
        <v>134</v>
      </c>
      <c r="AV35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5" t="str">
        <f>IF(ISBLANK(Table2[[#This Row],[device_model]]), "", Table2[[#This Row],[device_suggested_area]])</f>
        <v>Study</v>
      </c>
      <c r="BB355" s="55" t="s">
        <v>1024</v>
      </c>
      <c r="BC355" s="60" t="s">
        <v>361</v>
      </c>
      <c r="BD355" s="55" t="s">
        <v>233</v>
      </c>
      <c r="BF355" s="55" t="s">
        <v>362</v>
      </c>
      <c r="BG355" s="55" t="s">
        <v>357</v>
      </c>
      <c r="BN35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5" customFormat="1" ht="16" customHeight="1" x14ac:dyDescent="0.2">
      <c r="A356" s="55">
        <v>2576</v>
      </c>
      <c r="B356" s="55" t="s">
        <v>580</v>
      </c>
      <c r="C356" s="55" t="s">
        <v>233</v>
      </c>
      <c r="D356" s="55" t="s">
        <v>134</v>
      </c>
      <c r="E356" s="55" t="s">
        <v>1444</v>
      </c>
      <c r="F356" s="57" t="str">
        <f>IF(ISBLANK(Table2[[#This Row],[unique_id]]), "", PROPER(SUBSTITUTE(Table2[[#This Row],[unique_id]], "_", " ")))</f>
        <v>Broken Study Outlet Plug</v>
      </c>
      <c r="G356" s="55" t="s">
        <v>226</v>
      </c>
      <c r="H356" s="55" t="s">
        <v>527</v>
      </c>
      <c r="I356" s="55" t="s">
        <v>291</v>
      </c>
      <c r="M356" s="55" t="s">
        <v>257</v>
      </c>
      <c r="O356" s="58" t="s">
        <v>792</v>
      </c>
      <c r="P356" s="55" t="s">
        <v>165</v>
      </c>
      <c r="Q356" s="55" t="s">
        <v>764</v>
      </c>
      <c r="R356" s="55" t="s">
        <v>527</v>
      </c>
      <c r="S356" s="55" t="str">
        <f>Table2[[#This Row],[friendly_name]]</f>
        <v>Study Outlet</v>
      </c>
      <c r="T35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6" s="58"/>
      <c r="W356" s="58"/>
      <c r="X356" s="58"/>
      <c r="Y356" s="58"/>
      <c r="Z356" s="58"/>
      <c r="AA356" s="58"/>
      <c r="AE356" s="55" t="s">
        <v>251</v>
      </c>
      <c r="AG356" s="58"/>
      <c r="AH356" s="58"/>
      <c r="AT356" s="59"/>
      <c r="AV35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5" t="str">
        <f>IF(ISBLANK(Table2[[#This Row],[device_model]]), "", Table2[[#This Row],[device_suggested_area]])</f>
        <v>Study</v>
      </c>
      <c r="BB356" s="55" t="s">
        <v>1024</v>
      </c>
      <c r="BC356" s="60" t="s">
        <v>361</v>
      </c>
      <c r="BD356" s="55" t="s">
        <v>233</v>
      </c>
      <c r="BF356" s="55" t="s">
        <v>362</v>
      </c>
      <c r="BG356" s="55" t="s">
        <v>357</v>
      </c>
      <c r="BJ356" s="55" t="s">
        <v>981</v>
      </c>
      <c r="BK356" s="55" t="s">
        <v>1301</v>
      </c>
      <c r="BL356" s="55" t="s">
        <v>352</v>
      </c>
      <c r="BM356" s="55" t="s">
        <v>1337</v>
      </c>
      <c r="BN35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7" spans="1:66" s="55" customFormat="1" ht="16" customHeight="1" x14ac:dyDescent="0.2">
      <c r="A357" s="55">
        <v>2577</v>
      </c>
      <c r="B357" s="55" t="s">
        <v>580</v>
      </c>
      <c r="C357" s="55" t="s">
        <v>812</v>
      </c>
      <c r="D357" s="55" t="s">
        <v>148</v>
      </c>
      <c r="E357" s="56" t="s">
        <v>1445</v>
      </c>
      <c r="F357" s="57" t="str">
        <f>IF(ISBLANK(Table2[[#This Row],[unique_id]]), "", PROPER(SUBSTITUTE(Table2[[#This Row],[unique_id]], "_", " ")))</f>
        <v>Broken Template Office Outlet Plug Proxy</v>
      </c>
      <c r="G357" s="55" t="s">
        <v>225</v>
      </c>
      <c r="H357" s="55" t="s">
        <v>527</v>
      </c>
      <c r="I357" s="55" t="s">
        <v>291</v>
      </c>
      <c r="O357" s="58" t="s">
        <v>792</v>
      </c>
      <c r="P357" s="55" t="s">
        <v>165</v>
      </c>
      <c r="Q357" s="55" t="s">
        <v>764</v>
      </c>
      <c r="R357" s="55" t="s">
        <v>527</v>
      </c>
      <c r="S357" s="55" t="str">
        <f>Table2[[#This Row],[friendly_name]]</f>
        <v>Office Outlet</v>
      </c>
      <c r="T357" s="56" t="s">
        <v>1072</v>
      </c>
      <c r="V357" s="58"/>
      <c r="W357" s="58"/>
      <c r="X357" s="58"/>
      <c r="Y357" s="58"/>
      <c r="Z357" s="58"/>
      <c r="AA357" s="58"/>
      <c r="AG357" s="58"/>
      <c r="AH357" s="58"/>
      <c r="AT357" s="59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Office</v>
      </c>
      <c r="BB357" s="55" t="s">
        <v>1024</v>
      </c>
      <c r="BC357" s="60" t="s">
        <v>361</v>
      </c>
      <c r="BD357" s="55" t="s">
        <v>233</v>
      </c>
      <c r="BF357" s="55" t="s">
        <v>362</v>
      </c>
      <c r="BG357" s="55" t="s">
        <v>212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customHeight="1" x14ac:dyDescent="0.2">
      <c r="A358" s="55">
        <v>2578</v>
      </c>
      <c r="B358" s="55" t="s">
        <v>580</v>
      </c>
      <c r="C358" s="55" t="s">
        <v>233</v>
      </c>
      <c r="D358" s="55" t="s">
        <v>134</v>
      </c>
      <c r="E358" s="55" t="s">
        <v>1446</v>
      </c>
      <c r="F358" s="57" t="str">
        <f>IF(ISBLANK(Table2[[#This Row],[unique_id]]), "", PROPER(SUBSTITUTE(Table2[[#This Row],[unique_id]], "_", " ")))</f>
        <v>Broken Office Outlet Plug</v>
      </c>
      <c r="G358" s="55" t="s">
        <v>225</v>
      </c>
      <c r="H358" s="55" t="s">
        <v>527</v>
      </c>
      <c r="I358" s="55" t="s">
        <v>291</v>
      </c>
      <c r="M358" s="55" t="s">
        <v>257</v>
      </c>
      <c r="O358" s="58" t="s">
        <v>792</v>
      </c>
      <c r="P358" s="55" t="s">
        <v>165</v>
      </c>
      <c r="Q358" s="55" t="s">
        <v>764</v>
      </c>
      <c r="R358" s="55" t="s">
        <v>527</v>
      </c>
      <c r="S358" s="55" t="str">
        <f>Table2[[#This Row],[friendly_name]]</f>
        <v>Office Outlet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251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Office</v>
      </c>
      <c r="BB358" s="55" t="s">
        <v>1024</v>
      </c>
      <c r="BC358" s="60" t="s">
        <v>361</v>
      </c>
      <c r="BD358" s="55" t="s">
        <v>233</v>
      </c>
      <c r="BF358" s="55" t="s">
        <v>362</v>
      </c>
      <c r="BG358" s="55" t="s">
        <v>212</v>
      </c>
      <c r="BJ358" s="55" t="s">
        <v>982</v>
      </c>
      <c r="BK358" s="55" t="s">
        <v>1301</v>
      </c>
      <c r="BL358" s="55" t="s">
        <v>353</v>
      </c>
      <c r="BM358" s="55" t="s">
        <v>1338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9" spans="1:66" s="55" customFormat="1" ht="16" customHeight="1" x14ac:dyDescent="0.2">
      <c r="A359" s="55">
        <v>2579</v>
      </c>
      <c r="B359" s="55" t="s">
        <v>580</v>
      </c>
      <c r="C359" s="55" t="s">
        <v>812</v>
      </c>
      <c r="D359" s="55" t="s">
        <v>148</v>
      </c>
      <c r="E359" s="56" t="s">
        <v>1447</v>
      </c>
      <c r="F359" s="57" t="str">
        <f>IF(ISBLANK(Table2[[#This Row],[unique_id]]), "", PROPER(SUBSTITUTE(Table2[[#This Row],[unique_id]], "_", " ")))</f>
        <v>Broken Template Kitchen Dish Washer Plug Proxy</v>
      </c>
      <c r="G359" s="55" t="s">
        <v>228</v>
      </c>
      <c r="H359" s="55" t="s">
        <v>527</v>
      </c>
      <c r="I359" s="55" t="s">
        <v>291</v>
      </c>
      <c r="O359" s="58" t="s">
        <v>792</v>
      </c>
      <c r="P359" s="55" t="s">
        <v>165</v>
      </c>
      <c r="Q359" s="55" t="s">
        <v>765</v>
      </c>
      <c r="R359" s="55" t="s">
        <v>775</v>
      </c>
      <c r="S359" s="55" t="str">
        <f>Table2[[#This Row],[friendly_name]]</f>
        <v>Dish Washer</v>
      </c>
      <c r="T359" s="56" t="s">
        <v>1072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Kitchen</v>
      </c>
      <c r="BB359" s="55" t="s">
        <v>228</v>
      </c>
      <c r="BC359" s="60" t="s">
        <v>361</v>
      </c>
      <c r="BD359" s="55" t="s">
        <v>233</v>
      </c>
      <c r="BF359" s="55" t="s">
        <v>362</v>
      </c>
      <c r="BG359" s="55" t="s">
        <v>206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customHeight="1" x14ac:dyDescent="0.2">
      <c r="A360" s="55">
        <v>2580</v>
      </c>
      <c r="B360" s="55" t="s">
        <v>580</v>
      </c>
      <c r="C360" s="55" t="s">
        <v>233</v>
      </c>
      <c r="D360" s="55" t="s">
        <v>134</v>
      </c>
      <c r="E360" s="55" t="s">
        <v>1448</v>
      </c>
      <c r="F360" s="57" t="str">
        <f>IF(ISBLANK(Table2[[#This Row],[unique_id]]), "", PROPER(SUBSTITUTE(Table2[[#This Row],[unique_id]], "_", " ")))</f>
        <v>Broken Kitchen Dish Washer Plug</v>
      </c>
      <c r="G360" s="55" t="s">
        <v>228</v>
      </c>
      <c r="H360" s="55" t="s">
        <v>527</v>
      </c>
      <c r="I360" s="55" t="s">
        <v>291</v>
      </c>
      <c r="M360" s="55" t="s">
        <v>257</v>
      </c>
      <c r="O360" s="58" t="s">
        <v>792</v>
      </c>
      <c r="P360" s="55" t="s">
        <v>165</v>
      </c>
      <c r="Q360" s="55" t="s">
        <v>765</v>
      </c>
      <c r="R360" s="55" t="s">
        <v>775</v>
      </c>
      <c r="S360" s="55" t="str">
        <f>Table2[[#This Row],[friendly_name]]</f>
        <v>Dish Washer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244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Kitchen</v>
      </c>
      <c r="BB360" s="55" t="s">
        <v>228</v>
      </c>
      <c r="BC360" s="60" t="s">
        <v>361</v>
      </c>
      <c r="BD360" s="55" t="s">
        <v>233</v>
      </c>
      <c r="BF360" s="55" t="s">
        <v>362</v>
      </c>
      <c r="BG360" s="55" t="s">
        <v>206</v>
      </c>
      <c r="BJ360" s="55" t="s">
        <v>982</v>
      </c>
      <c r="BK360" s="55" t="s">
        <v>1301</v>
      </c>
      <c r="BL360" s="55" t="s">
        <v>343</v>
      </c>
      <c r="BM360" s="55" t="s">
        <v>1339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1" spans="1:66" ht="16" customHeight="1" x14ac:dyDescent="0.2">
      <c r="A361" s="30">
        <v>2581</v>
      </c>
      <c r="B361" s="30" t="s">
        <v>26</v>
      </c>
      <c r="C361" s="30" t="s">
        <v>812</v>
      </c>
      <c r="D361" s="30" t="s">
        <v>148</v>
      </c>
      <c r="E361" s="37" t="s">
        <v>968</v>
      </c>
      <c r="F361" s="36" t="str">
        <f>IF(ISBLANK(Table2[[#This Row],[unique_id]]), "", PROPER(SUBSTITUTE(Table2[[#This Row],[unique_id]], "_", " ")))</f>
        <v>Template Kitchen Dish Washer Plug Proxy</v>
      </c>
      <c r="G361" s="30" t="s">
        <v>228</v>
      </c>
      <c r="H361" s="30" t="s">
        <v>527</v>
      </c>
      <c r="I361" s="30" t="s">
        <v>291</v>
      </c>
      <c r="O361" s="31" t="s">
        <v>792</v>
      </c>
      <c r="P361" s="30" t="s">
        <v>165</v>
      </c>
      <c r="Q361" s="30" t="s">
        <v>765</v>
      </c>
      <c r="R361" s="30" t="s">
        <v>775</v>
      </c>
      <c r="S361" s="30" t="str">
        <f>Table2[[#This Row],[friendly_name]]</f>
        <v>Dish Washer</v>
      </c>
      <c r="T36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T361" s="40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228</v>
      </c>
      <c r="BC361" s="30" t="s">
        <v>360</v>
      </c>
      <c r="BD361" s="30" t="s">
        <v>233</v>
      </c>
      <c r="BF361" s="30" t="s">
        <v>363</v>
      </c>
      <c r="BG361" s="30" t="s">
        <v>206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2582</v>
      </c>
      <c r="B362" s="30" t="s">
        <v>26</v>
      </c>
      <c r="C362" s="30" t="s">
        <v>233</v>
      </c>
      <c r="D362" s="30" t="s">
        <v>134</v>
      </c>
      <c r="E362" s="30" t="s">
        <v>839</v>
      </c>
      <c r="F362" s="36" t="str">
        <f>IF(ISBLANK(Table2[[#This Row],[unique_id]]), "", PROPER(SUBSTITUTE(Table2[[#This Row],[unique_id]], "_", " ")))</f>
        <v>Kitchen Dish Washer Plug</v>
      </c>
      <c r="G362" s="30" t="s">
        <v>228</v>
      </c>
      <c r="H362" s="30" t="s">
        <v>527</v>
      </c>
      <c r="I362" s="30" t="s">
        <v>291</v>
      </c>
      <c r="M362" s="30" t="s">
        <v>257</v>
      </c>
      <c r="O362" s="31" t="s">
        <v>792</v>
      </c>
      <c r="P362" s="30" t="s">
        <v>165</v>
      </c>
      <c r="Q362" s="30" t="s">
        <v>765</v>
      </c>
      <c r="R362" s="30" t="s">
        <v>775</v>
      </c>
      <c r="S362" s="30" t="str">
        <f>Table2[[#This Row],[friendly_name]]</f>
        <v>Dish Washer</v>
      </c>
      <c r="T36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244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Kitchen</v>
      </c>
      <c r="BB362" s="30" t="s">
        <v>228</v>
      </c>
      <c r="BC362" s="30" t="s">
        <v>360</v>
      </c>
      <c r="BD362" s="30" t="s">
        <v>233</v>
      </c>
      <c r="BF362" s="30" t="s">
        <v>363</v>
      </c>
      <c r="BG362" s="30" t="s">
        <v>206</v>
      </c>
      <c r="BJ362" s="30" t="s">
        <v>982</v>
      </c>
      <c r="BK362" s="30" t="s">
        <v>1301</v>
      </c>
      <c r="BL362" s="30" t="s">
        <v>356</v>
      </c>
      <c r="BM362" s="30" t="s">
        <v>1351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3" spans="1:66" s="55" customFormat="1" ht="16" customHeight="1" x14ac:dyDescent="0.2">
      <c r="A363" s="55">
        <v>2583</v>
      </c>
      <c r="B363" s="55" t="s">
        <v>580</v>
      </c>
      <c r="C363" s="55" t="s">
        <v>812</v>
      </c>
      <c r="D363" s="55" t="s">
        <v>148</v>
      </c>
      <c r="E363" s="56" t="s">
        <v>1449</v>
      </c>
      <c r="F363" s="57" t="str">
        <f>IF(ISBLANK(Table2[[#This Row],[unique_id]]), "", PROPER(SUBSTITUTE(Table2[[#This Row],[unique_id]], "_", " ")))</f>
        <v>Broken Template Laundry Clothes Dryer Plug Proxy</v>
      </c>
      <c r="G363" s="55" t="s">
        <v>229</v>
      </c>
      <c r="H363" s="55" t="s">
        <v>527</v>
      </c>
      <c r="I363" s="55" t="s">
        <v>291</v>
      </c>
      <c r="O363" s="58" t="s">
        <v>792</v>
      </c>
      <c r="P363" s="55" t="s">
        <v>165</v>
      </c>
      <c r="Q363" s="55" t="s">
        <v>765</v>
      </c>
      <c r="R363" s="55" t="s">
        <v>775</v>
      </c>
      <c r="S363" s="55" t="str">
        <f>Table2[[#This Row],[friendly_name]]</f>
        <v>Clothes Dryer</v>
      </c>
      <c r="T363" s="56" t="s">
        <v>1072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Laundry</v>
      </c>
      <c r="BB363" s="55" t="s">
        <v>229</v>
      </c>
      <c r="BC363" s="60" t="s">
        <v>361</v>
      </c>
      <c r="BD363" s="55" t="s">
        <v>233</v>
      </c>
      <c r="BF363" s="55" t="s">
        <v>362</v>
      </c>
      <c r="BG363" s="55" t="s">
        <v>213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55">
        <v>2584</v>
      </c>
      <c r="B364" s="55" t="s">
        <v>580</v>
      </c>
      <c r="C364" s="55" t="s">
        <v>233</v>
      </c>
      <c r="D364" s="55" t="s">
        <v>134</v>
      </c>
      <c r="E364" s="55" t="s">
        <v>1450</v>
      </c>
      <c r="F364" s="57" t="str">
        <f>IF(ISBLANK(Table2[[#This Row],[unique_id]]), "", PROPER(SUBSTITUTE(Table2[[#This Row],[unique_id]], "_", " ")))</f>
        <v>Broken Laundry Clothes Dryer Plug</v>
      </c>
      <c r="G364" s="55" t="s">
        <v>229</v>
      </c>
      <c r="H364" s="55" t="s">
        <v>527</v>
      </c>
      <c r="I364" s="55" t="s">
        <v>291</v>
      </c>
      <c r="M364" s="55" t="s">
        <v>257</v>
      </c>
      <c r="O364" s="58" t="s">
        <v>792</v>
      </c>
      <c r="P364" s="55" t="s">
        <v>165</v>
      </c>
      <c r="Q364" s="55" t="s">
        <v>765</v>
      </c>
      <c r="R364" s="55" t="s">
        <v>775</v>
      </c>
      <c r="S364" s="55" t="str">
        <f>Table2[[#This Row],[friendly_name]]</f>
        <v>Clothes Dryer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245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Laundry</v>
      </c>
      <c r="BB364" s="55" t="s">
        <v>229</v>
      </c>
      <c r="BC364" s="60" t="s">
        <v>361</v>
      </c>
      <c r="BD364" s="55" t="s">
        <v>233</v>
      </c>
      <c r="BF364" s="55" t="s">
        <v>362</v>
      </c>
      <c r="BG364" s="55" t="s">
        <v>213</v>
      </c>
      <c r="BJ364" s="55" t="s">
        <v>981</v>
      </c>
      <c r="BK364" s="55" t="s">
        <v>1301</v>
      </c>
      <c r="BL364" s="55" t="s">
        <v>344</v>
      </c>
      <c r="BM364" s="55" t="s">
        <v>1340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5" spans="1:66" s="55" customFormat="1" ht="16" customHeight="1" x14ac:dyDescent="0.2">
      <c r="A365" s="55">
        <v>2585</v>
      </c>
      <c r="B365" s="55" t="s">
        <v>580</v>
      </c>
      <c r="C365" s="55" t="s">
        <v>812</v>
      </c>
      <c r="D365" s="55" t="s">
        <v>148</v>
      </c>
      <c r="E365" s="56" t="s">
        <v>1451</v>
      </c>
      <c r="F365" s="57" t="str">
        <f>IF(ISBLANK(Table2[[#This Row],[unique_id]]), "", PROPER(SUBSTITUTE(Table2[[#This Row],[unique_id]], "_", " ")))</f>
        <v>Broken Template Laundry Washing Machine Plug Proxy</v>
      </c>
      <c r="G365" s="55" t="s">
        <v>227</v>
      </c>
      <c r="H365" s="55" t="s">
        <v>527</v>
      </c>
      <c r="I365" s="55" t="s">
        <v>291</v>
      </c>
      <c r="O365" s="58" t="s">
        <v>792</v>
      </c>
      <c r="P365" s="55" t="s">
        <v>165</v>
      </c>
      <c r="Q365" s="55" t="s">
        <v>765</v>
      </c>
      <c r="R365" s="55" t="s">
        <v>775</v>
      </c>
      <c r="S365" s="55" t="str">
        <f>Table2[[#This Row],[friendly_name]]</f>
        <v>Washing Machine</v>
      </c>
      <c r="T365" s="56" t="s">
        <v>1072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Laundry</v>
      </c>
      <c r="BB365" s="55" t="s">
        <v>227</v>
      </c>
      <c r="BC365" s="60" t="s">
        <v>361</v>
      </c>
      <c r="BD365" s="55" t="s">
        <v>233</v>
      </c>
      <c r="BF365" s="55" t="s">
        <v>362</v>
      </c>
      <c r="BG365" s="55" t="s">
        <v>213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55">
        <v>2586</v>
      </c>
      <c r="B366" s="55" t="s">
        <v>580</v>
      </c>
      <c r="C366" s="55" t="s">
        <v>233</v>
      </c>
      <c r="D366" s="55" t="s">
        <v>134</v>
      </c>
      <c r="E366" s="55" t="s">
        <v>1452</v>
      </c>
      <c r="F366" s="57" t="str">
        <f>IF(ISBLANK(Table2[[#This Row],[unique_id]]), "", PROPER(SUBSTITUTE(Table2[[#This Row],[unique_id]], "_", " ")))</f>
        <v>Broken Laundry Washing Machine Plug</v>
      </c>
      <c r="G366" s="55" t="s">
        <v>227</v>
      </c>
      <c r="H366" s="55" t="s">
        <v>527</v>
      </c>
      <c r="I366" s="55" t="s">
        <v>291</v>
      </c>
      <c r="M366" s="55" t="s">
        <v>257</v>
      </c>
      <c r="O366" s="58" t="s">
        <v>792</v>
      </c>
      <c r="P366" s="55" t="s">
        <v>165</v>
      </c>
      <c r="Q366" s="55" t="s">
        <v>765</v>
      </c>
      <c r="R366" s="55" t="s">
        <v>775</v>
      </c>
      <c r="S366" s="55" t="str">
        <f>Table2[[#This Row],[friendly_name]]</f>
        <v>Washing Machine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246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Laundry</v>
      </c>
      <c r="BB366" s="55" t="s">
        <v>227</v>
      </c>
      <c r="BC366" s="60" t="s">
        <v>361</v>
      </c>
      <c r="BD366" s="55" t="s">
        <v>233</v>
      </c>
      <c r="BF366" s="55" t="s">
        <v>362</v>
      </c>
      <c r="BG366" s="55" t="s">
        <v>213</v>
      </c>
      <c r="BJ366" s="55" t="s">
        <v>981</v>
      </c>
      <c r="BK366" s="55" t="s">
        <v>1301</v>
      </c>
      <c r="BL366" s="55" t="s">
        <v>345</v>
      </c>
      <c r="BM366" s="55" t="s">
        <v>1341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7" spans="1:66" s="55" customFormat="1" ht="16" customHeight="1" x14ac:dyDescent="0.2">
      <c r="A367" s="55">
        <v>2587</v>
      </c>
      <c r="B367" s="55" t="s">
        <v>580</v>
      </c>
      <c r="C367" s="55" t="s">
        <v>812</v>
      </c>
      <c r="D367" s="55" t="s">
        <v>148</v>
      </c>
      <c r="E367" s="56" t="s">
        <v>1515</v>
      </c>
      <c r="F367" s="57" t="str">
        <f>IF(ISBLANK(Table2[[#This Row],[unique_id]]), "", PROPER(SUBSTITUTE(Table2[[#This Row],[unique_id]], "_", " ")))</f>
        <v>Broken Template Kitchen Fridge Plug Proxy</v>
      </c>
      <c r="G367" s="55" t="s">
        <v>223</v>
      </c>
      <c r="H367" s="55" t="s">
        <v>527</v>
      </c>
      <c r="I367" s="55" t="s">
        <v>291</v>
      </c>
      <c r="O367" s="58" t="s">
        <v>792</v>
      </c>
      <c r="P367" s="55" t="s">
        <v>165</v>
      </c>
      <c r="Q367" s="55" t="s">
        <v>764</v>
      </c>
      <c r="R367" s="55" t="s">
        <v>776</v>
      </c>
      <c r="S367" s="55" t="str">
        <f>Table2[[#This Row],[friendly_name]]</f>
        <v>Kitchen Fridge</v>
      </c>
      <c r="T367" s="56" t="s">
        <v>1073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1027</v>
      </c>
      <c r="BC367" s="55" t="s">
        <v>360</v>
      </c>
      <c r="BD367" s="55" t="s">
        <v>233</v>
      </c>
      <c r="BF367" s="55" t="s">
        <v>363</v>
      </c>
      <c r="BG367" s="55" t="s">
        <v>206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55">
        <v>2588</v>
      </c>
      <c r="B368" s="55" t="s">
        <v>580</v>
      </c>
      <c r="C368" s="55" t="s">
        <v>233</v>
      </c>
      <c r="D368" s="55" t="s">
        <v>134</v>
      </c>
      <c r="E368" s="55" t="s">
        <v>1516</v>
      </c>
      <c r="F368" s="57" t="str">
        <f>IF(ISBLANK(Table2[[#This Row],[unique_id]]), "", PROPER(SUBSTITUTE(Table2[[#This Row],[unique_id]], "_", " ")))</f>
        <v>Broken Kitchen Fridge Plug</v>
      </c>
      <c r="G368" s="55" t="s">
        <v>223</v>
      </c>
      <c r="H368" s="55" t="s">
        <v>527</v>
      </c>
      <c r="I368" s="55" t="s">
        <v>291</v>
      </c>
      <c r="M368" s="55" t="s">
        <v>257</v>
      </c>
      <c r="O368" s="58" t="s">
        <v>792</v>
      </c>
      <c r="P368" s="55" t="s">
        <v>165</v>
      </c>
      <c r="Q368" s="55" t="s">
        <v>764</v>
      </c>
      <c r="R368" s="55" t="s">
        <v>776</v>
      </c>
      <c r="S368" s="55" t="str">
        <f>Table2[[#This Row],[friendly_name]]</f>
        <v>Kitchen Fridge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sensor.broken_kitchen_fridge_plug_current_consumption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248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Kitchen</v>
      </c>
      <c r="BB368" s="55" t="s">
        <v>1027</v>
      </c>
      <c r="BC368" s="55" t="s">
        <v>360</v>
      </c>
      <c r="BD368" s="55" t="s">
        <v>233</v>
      </c>
      <c r="BF368" s="55" t="s">
        <v>363</v>
      </c>
      <c r="BG368" s="55" t="s">
        <v>206</v>
      </c>
      <c r="BJ368" s="55" t="s">
        <v>982</v>
      </c>
      <c r="BK368" s="55" t="s">
        <v>1301</v>
      </c>
      <c r="BL368" s="55" t="s">
        <v>347</v>
      </c>
      <c r="BM368" s="55" t="s">
        <v>1343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"ac:84:c6:54:96:50"], ["ip", "10.0.4.77"]]</v>
      </c>
    </row>
    <row r="369" spans="1:66" ht="16" customHeight="1" x14ac:dyDescent="0.2">
      <c r="A369" s="30">
        <v>2589</v>
      </c>
      <c r="B369" s="30" t="s">
        <v>26</v>
      </c>
      <c r="C369" s="30" t="s">
        <v>812</v>
      </c>
      <c r="D369" s="30" t="s">
        <v>148</v>
      </c>
      <c r="E369" s="37" t="s">
        <v>970</v>
      </c>
      <c r="F369" s="36" t="str">
        <f>IF(ISBLANK(Table2[[#This Row],[unique_id]]), "", PROPER(SUBSTITUTE(Table2[[#This Row],[unique_id]], "_", " ")))</f>
        <v>Template Deck Freezer Plug Proxy</v>
      </c>
      <c r="G369" s="30" t="s">
        <v>224</v>
      </c>
      <c r="H369" s="30" t="s">
        <v>527</v>
      </c>
      <c r="I369" s="30" t="s">
        <v>291</v>
      </c>
      <c r="O369" s="31" t="s">
        <v>792</v>
      </c>
      <c r="P369" s="30" t="s">
        <v>165</v>
      </c>
      <c r="Q369" s="30" t="s">
        <v>764</v>
      </c>
      <c r="R369" s="30" t="s">
        <v>776</v>
      </c>
      <c r="S369" s="30" t="str">
        <f>Table2[[#This Row],[friendly_name]]</f>
        <v>Deck Freezer</v>
      </c>
      <c r="T369" s="37" t="s">
        <v>1073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1028</v>
      </c>
      <c r="BC369" s="30" t="s">
        <v>360</v>
      </c>
      <c r="BD369" s="30" t="s">
        <v>233</v>
      </c>
      <c r="BF369" s="30" t="s">
        <v>363</v>
      </c>
      <c r="BG369" s="30" t="s">
        <v>358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2590</v>
      </c>
      <c r="B370" s="30" t="s">
        <v>26</v>
      </c>
      <c r="C370" s="30" t="s">
        <v>233</v>
      </c>
      <c r="D370" s="30" t="s">
        <v>134</v>
      </c>
      <c r="E370" s="30" t="s">
        <v>841</v>
      </c>
      <c r="F370" s="36" t="str">
        <f>IF(ISBLANK(Table2[[#This Row],[unique_id]]), "", PROPER(SUBSTITUTE(Table2[[#This Row],[unique_id]], "_", " ")))</f>
        <v>Deck Freezer Plug</v>
      </c>
      <c r="G370" s="30" t="s">
        <v>224</v>
      </c>
      <c r="H370" s="30" t="s">
        <v>527</v>
      </c>
      <c r="I370" s="30" t="s">
        <v>291</v>
      </c>
      <c r="M370" s="30" t="s">
        <v>257</v>
      </c>
      <c r="O370" s="31" t="s">
        <v>792</v>
      </c>
      <c r="P370" s="30" t="s">
        <v>165</v>
      </c>
      <c r="Q370" s="30" t="s">
        <v>764</v>
      </c>
      <c r="R370" s="30" t="s">
        <v>776</v>
      </c>
      <c r="S370" s="30" t="str">
        <f>Table2[[#This Row],[friendly_name]]</f>
        <v>Deck Freezer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249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Deck</v>
      </c>
      <c r="BB370" s="30" t="s">
        <v>1028</v>
      </c>
      <c r="BC370" s="30" t="s">
        <v>360</v>
      </c>
      <c r="BD370" s="30" t="s">
        <v>233</v>
      </c>
      <c r="BF370" s="30" t="s">
        <v>363</v>
      </c>
      <c r="BG370" s="30" t="s">
        <v>358</v>
      </c>
      <c r="BJ370" s="30" t="s">
        <v>982</v>
      </c>
      <c r="BK370" s="30" t="s">
        <v>1301</v>
      </c>
      <c r="BL370" s="30" t="s">
        <v>348</v>
      </c>
      <c r="BM370" s="30" t="s">
        <v>1344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1" spans="1:66" s="55" customFormat="1" ht="16" customHeight="1" x14ac:dyDescent="0.2">
      <c r="A371" s="55">
        <v>2591</v>
      </c>
      <c r="B371" s="55" t="s">
        <v>580</v>
      </c>
      <c r="C371" s="55" t="s">
        <v>812</v>
      </c>
      <c r="D371" s="55" t="s">
        <v>148</v>
      </c>
      <c r="E371" s="56" t="s">
        <v>1453</v>
      </c>
      <c r="F371" s="57" t="str">
        <f>IF(ISBLANK(Table2[[#This Row],[unique_id]]), "", PROPER(SUBSTITUTE(Table2[[#This Row],[unique_id]], "_", " ")))</f>
        <v>Broken Template Study Battery Charger Plug Proxy</v>
      </c>
      <c r="G371" s="55" t="s">
        <v>231</v>
      </c>
      <c r="H371" s="55" t="s">
        <v>527</v>
      </c>
      <c r="I371" s="55" t="s">
        <v>291</v>
      </c>
      <c r="O371" s="58" t="s">
        <v>792</v>
      </c>
      <c r="P371" s="55" t="s">
        <v>165</v>
      </c>
      <c r="Q371" s="55" t="s">
        <v>764</v>
      </c>
      <c r="R371" s="55" t="s">
        <v>527</v>
      </c>
      <c r="S371" s="55" t="str">
        <f>Table2[[#This Row],[friendly_name]]</f>
        <v>Battery Charger</v>
      </c>
      <c r="T371" s="56" t="s">
        <v>1072</v>
      </c>
      <c r="V371" s="58"/>
      <c r="W371" s="58"/>
      <c r="X371" s="58"/>
      <c r="Y371" s="58"/>
      <c r="Z371" s="58"/>
      <c r="AA371" s="58"/>
      <c r="AG371" s="58"/>
      <c r="AH371" s="58"/>
      <c r="AT371" s="59"/>
      <c r="AU371" s="55" t="s">
        <v>134</v>
      </c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Study</v>
      </c>
      <c r="BB371" s="55" t="s">
        <v>231</v>
      </c>
      <c r="BC371" s="60" t="s">
        <v>361</v>
      </c>
      <c r="BD371" s="55" t="s">
        <v>233</v>
      </c>
      <c r="BF371" s="55" t="s">
        <v>362</v>
      </c>
      <c r="BG371" s="55" t="s">
        <v>357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5" customFormat="1" ht="16" customHeight="1" x14ac:dyDescent="0.2">
      <c r="A372" s="55">
        <v>2592</v>
      </c>
      <c r="B372" s="55" t="s">
        <v>580</v>
      </c>
      <c r="C372" s="55" t="s">
        <v>233</v>
      </c>
      <c r="D372" s="55" t="s">
        <v>134</v>
      </c>
      <c r="E372" s="55" t="s">
        <v>1454</v>
      </c>
      <c r="F372" s="57" t="str">
        <f>IF(ISBLANK(Table2[[#This Row],[unique_id]]), "", PROPER(SUBSTITUTE(Table2[[#This Row],[unique_id]], "_", " ")))</f>
        <v>Broken Study Battery Charger Plug</v>
      </c>
      <c r="G372" s="55" t="s">
        <v>231</v>
      </c>
      <c r="H372" s="55" t="s">
        <v>527</v>
      </c>
      <c r="I372" s="55" t="s">
        <v>291</v>
      </c>
      <c r="M372" s="55" t="s">
        <v>257</v>
      </c>
      <c r="O372" s="58" t="s">
        <v>792</v>
      </c>
      <c r="P372" s="55" t="s">
        <v>165</v>
      </c>
      <c r="Q372" s="55" t="s">
        <v>764</v>
      </c>
      <c r="R372" s="55" t="s">
        <v>527</v>
      </c>
      <c r="S372" s="55" t="str">
        <f>Table2[[#This Row],[friendly_name]]</f>
        <v>Battery Charger</v>
      </c>
      <c r="T372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2" s="58"/>
      <c r="W372" s="58"/>
      <c r="X372" s="58"/>
      <c r="Y372" s="58"/>
      <c r="Z372" s="58"/>
      <c r="AA372" s="58"/>
      <c r="AE372" s="55" t="s">
        <v>255</v>
      </c>
      <c r="AG372" s="58"/>
      <c r="AH372" s="58"/>
      <c r="AT372" s="59"/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Study</v>
      </c>
      <c r="BB372" s="55" t="s">
        <v>231</v>
      </c>
      <c r="BC372" s="60" t="s">
        <v>361</v>
      </c>
      <c r="BD372" s="55" t="s">
        <v>233</v>
      </c>
      <c r="BF372" s="55" t="s">
        <v>362</v>
      </c>
      <c r="BG372" s="55" t="s">
        <v>357</v>
      </c>
      <c r="BJ372" s="55" t="s">
        <v>981</v>
      </c>
      <c r="BK372" s="55" t="s">
        <v>1301</v>
      </c>
      <c r="BL372" s="55" t="s">
        <v>341</v>
      </c>
      <c r="BM372" s="55" t="s">
        <v>1345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3" spans="1:66" s="55" customFormat="1" ht="16" customHeight="1" x14ac:dyDescent="0.2">
      <c r="A373" s="55">
        <v>2593</v>
      </c>
      <c r="B373" s="55" t="s">
        <v>580</v>
      </c>
      <c r="C373" s="55" t="s">
        <v>812</v>
      </c>
      <c r="D373" s="55" t="s">
        <v>148</v>
      </c>
      <c r="E373" s="56" t="s">
        <v>1455</v>
      </c>
      <c r="F373" s="57" t="str">
        <f>IF(ISBLANK(Table2[[#This Row],[unique_id]]), "", PROPER(SUBSTITUTE(Table2[[#This Row],[unique_id]], "_", " ")))</f>
        <v>Broken Template Laundry Vacuum Charger Plug Proxy</v>
      </c>
      <c r="G373" s="55" t="s">
        <v>230</v>
      </c>
      <c r="H373" s="55" t="s">
        <v>527</v>
      </c>
      <c r="I373" s="55" t="s">
        <v>291</v>
      </c>
      <c r="O373" s="58" t="s">
        <v>792</v>
      </c>
      <c r="P373" s="55" t="s">
        <v>165</v>
      </c>
      <c r="Q373" s="55" t="s">
        <v>764</v>
      </c>
      <c r="R373" s="55" t="s">
        <v>527</v>
      </c>
      <c r="S373" s="55" t="str">
        <f>Table2[[#This Row],[friendly_name]]</f>
        <v>Vacuum Charger</v>
      </c>
      <c r="T373" s="56" t="s">
        <v>1072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230</v>
      </c>
      <c r="BC373" s="60" t="s">
        <v>361</v>
      </c>
      <c r="BD373" s="55" t="s">
        <v>233</v>
      </c>
      <c r="BF373" s="55" t="s">
        <v>362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55">
        <v>2594</v>
      </c>
      <c r="B374" s="55" t="s">
        <v>580</v>
      </c>
      <c r="C374" s="55" t="s">
        <v>233</v>
      </c>
      <c r="D374" s="55" t="s">
        <v>134</v>
      </c>
      <c r="E374" s="55" t="s">
        <v>1456</v>
      </c>
      <c r="F374" s="57" t="str">
        <f>IF(ISBLANK(Table2[[#This Row],[unique_id]]), "", PROPER(SUBSTITUTE(Table2[[#This Row],[unique_id]], "_", " ")))</f>
        <v>Broken Laundry Vacuum Charger Plug</v>
      </c>
      <c r="G374" s="55" t="s">
        <v>230</v>
      </c>
      <c r="H374" s="55" t="s">
        <v>527</v>
      </c>
      <c r="I374" s="55" t="s">
        <v>291</v>
      </c>
      <c r="M374" s="55" t="s">
        <v>257</v>
      </c>
      <c r="O374" s="58" t="s">
        <v>792</v>
      </c>
      <c r="P374" s="55" t="s">
        <v>165</v>
      </c>
      <c r="Q374" s="55" t="s">
        <v>764</v>
      </c>
      <c r="R374" s="55" t="s">
        <v>527</v>
      </c>
      <c r="S374" s="55" t="str">
        <f>Table2[[#This Row],[friendly_name]]</f>
        <v>Vacuum Charger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255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230</v>
      </c>
      <c r="BC374" s="60" t="s">
        <v>361</v>
      </c>
      <c r="BD374" s="55" t="s">
        <v>233</v>
      </c>
      <c r="BF374" s="55" t="s">
        <v>362</v>
      </c>
      <c r="BG374" s="55" t="s">
        <v>213</v>
      </c>
      <c r="BJ374" s="55" t="s">
        <v>982</v>
      </c>
      <c r="BK374" s="55" t="s">
        <v>1301</v>
      </c>
      <c r="BL374" s="55" t="s">
        <v>342</v>
      </c>
      <c r="BM374" s="55" t="s">
        <v>1346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5" spans="1:66" s="55" customFormat="1" ht="16" customHeight="1" x14ac:dyDescent="0.2">
      <c r="A375" s="55">
        <v>2595</v>
      </c>
      <c r="B375" s="55" t="s">
        <v>580</v>
      </c>
      <c r="C375" s="55" t="s">
        <v>812</v>
      </c>
      <c r="D375" s="55" t="s">
        <v>148</v>
      </c>
      <c r="E375" s="56" t="s">
        <v>1457</v>
      </c>
      <c r="F375" s="57" t="str">
        <f>IF(ISBLANK(Table2[[#This Row],[unique_id]]), "", PROPER(SUBSTITUTE(Table2[[#This Row],[unique_id]], "_", " ")))</f>
        <v>Broken Template Ada Tablet Plug Proxy</v>
      </c>
      <c r="G375" s="55" t="s">
        <v>825</v>
      </c>
      <c r="H375" s="55" t="s">
        <v>527</v>
      </c>
      <c r="I375" s="55" t="s">
        <v>291</v>
      </c>
      <c r="O375" s="58" t="s">
        <v>792</v>
      </c>
      <c r="P375" s="55" t="s">
        <v>165</v>
      </c>
      <c r="Q375" s="55" t="s">
        <v>764</v>
      </c>
      <c r="R375" s="61" t="s">
        <v>749</v>
      </c>
      <c r="S375" s="55" t="str">
        <f>Table2[[#This Row],[friendly_name]]</f>
        <v>Ada Tablet</v>
      </c>
      <c r="T375" s="56" t="s">
        <v>1072</v>
      </c>
      <c r="V375" s="58"/>
      <c r="W375" s="58"/>
      <c r="X375" s="58"/>
      <c r="Y375" s="58"/>
      <c r="Z375" s="58"/>
      <c r="AA375" s="58"/>
      <c r="AG375" s="58"/>
      <c r="AH375" s="58"/>
      <c r="AR375" s="60"/>
      <c r="AT375" s="62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Lounge</v>
      </c>
      <c r="BB375" s="55" t="s">
        <v>825</v>
      </c>
      <c r="BC375" s="60" t="s">
        <v>361</v>
      </c>
      <c r="BD375" s="55" t="s">
        <v>233</v>
      </c>
      <c r="BF375" s="55" t="s">
        <v>362</v>
      </c>
      <c r="BG375" s="55" t="s">
        <v>194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55">
        <v>2596</v>
      </c>
      <c r="B376" s="55" t="s">
        <v>580</v>
      </c>
      <c r="C376" s="55" t="s">
        <v>233</v>
      </c>
      <c r="D376" s="55" t="s">
        <v>134</v>
      </c>
      <c r="E376" s="55" t="s">
        <v>1458</v>
      </c>
      <c r="F376" s="57" t="str">
        <f>IF(ISBLANK(Table2[[#This Row],[unique_id]]), "", PROPER(SUBSTITUTE(Table2[[#This Row],[unique_id]], "_", " ")))</f>
        <v>Broken Ada Tablet Plug</v>
      </c>
      <c r="G376" s="55" t="s">
        <v>825</v>
      </c>
      <c r="H376" s="55" t="s">
        <v>527</v>
      </c>
      <c r="I376" s="55" t="s">
        <v>291</v>
      </c>
      <c r="M376" s="55" t="s">
        <v>257</v>
      </c>
      <c r="O376" s="58" t="s">
        <v>792</v>
      </c>
      <c r="P376" s="55" t="s">
        <v>165</v>
      </c>
      <c r="Q376" s="55" t="s">
        <v>764</v>
      </c>
      <c r="R376" s="61" t="s">
        <v>749</v>
      </c>
      <c r="S376" s="55" t="str">
        <f>Table2[[#This Row],[friendly_name]]</f>
        <v>Ada Tablet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826</v>
      </c>
      <c r="AG376" s="58"/>
      <c r="AH376" s="58"/>
      <c r="AR376" s="60"/>
      <c r="AT376" s="62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Lounge</v>
      </c>
      <c r="BB376" s="55" t="s">
        <v>825</v>
      </c>
      <c r="BC376" s="60" t="s">
        <v>361</v>
      </c>
      <c r="BD376" s="55" t="s">
        <v>233</v>
      </c>
      <c r="BF376" s="55" t="s">
        <v>362</v>
      </c>
      <c r="BG376" s="55" t="s">
        <v>194</v>
      </c>
      <c r="BJ376" s="55" t="s">
        <v>981</v>
      </c>
      <c r="BK376" s="55" t="s">
        <v>1301</v>
      </c>
      <c r="BL376" s="55" t="s">
        <v>804</v>
      </c>
      <c r="BM376" s="55" t="s">
        <v>1347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7" spans="1:66" s="55" customFormat="1" ht="16" customHeight="1" x14ac:dyDescent="0.2">
      <c r="A377" s="55">
        <v>2597</v>
      </c>
      <c r="B377" s="55" t="s">
        <v>580</v>
      </c>
      <c r="C377" s="55" t="s">
        <v>812</v>
      </c>
      <c r="D377" s="55" t="s">
        <v>148</v>
      </c>
      <c r="E377" s="56" t="s">
        <v>1483</v>
      </c>
      <c r="F377" s="57" t="str">
        <f>IF(ISBLANK(Table2[[#This Row],[unique_id]]), "", PROPER(SUBSTITUTE(Table2[[#This Row],[unique_id]], "_", " ")))</f>
        <v>Broken Template Server May Plug Proxy</v>
      </c>
      <c r="G377" s="55" t="s">
        <v>1484</v>
      </c>
      <c r="H377" s="55" t="s">
        <v>527</v>
      </c>
      <c r="I377" s="55" t="s">
        <v>291</v>
      </c>
      <c r="O377" s="58" t="s">
        <v>792</v>
      </c>
      <c r="R377" s="55" t="s">
        <v>805</v>
      </c>
      <c r="S377" s="55" t="str">
        <f>Table2[[#This Row],[friendly_name]]</f>
        <v>Server May</v>
      </c>
      <c r="T377" s="56" t="s">
        <v>1072</v>
      </c>
      <c r="V377" s="58"/>
      <c r="W377" s="58"/>
      <c r="X377" s="58"/>
      <c r="Y377" s="58"/>
      <c r="Z377" s="58"/>
      <c r="AA377" s="58"/>
      <c r="AG377" s="58"/>
      <c r="AH377" s="58"/>
      <c r="AR377" s="60"/>
      <c r="AT377" s="62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Rack</v>
      </c>
      <c r="BB377" s="55" t="s">
        <v>1489</v>
      </c>
      <c r="BC377" s="60" t="s">
        <v>361</v>
      </c>
      <c r="BD377" s="55" t="s">
        <v>233</v>
      </c>
      <c r="BF377" s="55" t="s">
        <v>362</v>
      </c>
      <c r="BG377" s="55" t="s">
        <v>28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customHeight="1" x14ac:dyDescent="0.2">
      <c r="A378" s="55">
        <v>2598</v>
      </c>
      <c r="B378" s="55" t="s">
        <v>580</v>
      </c>
      <c r="C378" s="55" t="s">
        <v>233</v>
      </c>
      <c r="D378" s="55" t="s">
        <v>134</v>
      </c>
      <c r="E378" s="55" t="s">
        <v>1485</v>
      </c>
      <c r="F378" s="57" t="str">
        <f>IF(ISBLANK(Table2[[#This Row],[unique_id]]), "", PROPER(SUBSTITUTE(Table2[[#This Row],[unique_id]], "_", " ")))</f>
        <v>Broken Server May Plug</v>
      </c>
      <c r="G378" s="55" t="s">
        <v>1484</v>
      </c>
      <c r="H378" s="55" t="s">
        <v>527</v>
      </c>
      <c r="I378" s="55" t="s">
        <v>291</v>
      </c>
      <c r="M378" s="55" t="s">
        <v>257</v>
      </c>
      <c r="O378" s="58" t="s">
        <v>792</v>
      </c>
      <c r="R378" s="55" t="s">
        <v>805</v>
      </c>
      <c r="S378" s="55" t="str">
        <f>Table2[[#This Row],[friendly_name]]</f>
        <v>Server May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252</v>
      </c>
      <c r="AG378" s="58"/>
      <c r="AH378" s="58"/>
      <c r="AR378" s="60"/>
      <c r="AT378" s="62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Rack</v>
      </c>
      <c r="BB378" s="55" t="s">
        <v>1489</v>
      </c>
      <c r="BC378" s="60" t="s">
        <v>361</v>
      </c>
      <c r="BD378" s="55" t="s">
        <v>233</v>
      </c>
      <c r="BF378" s="55" t="s">
        <v>362</v>
      </c>
      <c r="BG378" s="55" t="s">
        <v>28</v>
      </c>
      <c r="BJ378" s="55" t="s">
        <v>982</v>
      </c>
      <c r="BK378" s="55" t="s">
        <v>1301</v>
      </c>
      <c r="BL378" s="55" t="s">
        <v>808</v>
      </c>
      <c r="BM378" s="55" t="s">
        <v>1348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79" spans="1:66" s="55" customFormat="1" ht="16" customHeight="1" x14ac:dyDescent="0.2">
      <c r="A379" s="55">
        <v>2599</v>
      </c>
      <c r="B379" s="55" t="s">
        <v>580</v>
      </c>
      <c r="C379" s="55" t="s">
        <v>812</v>
      </c>
      <c r="D379" s="55" t="s">
        <v>148</v>
      </c>
      <c r="E379" s="56" t="s">
        <v>1459</v>
      </c>
      <c r="F379" s="57" t="str">
        <f>IF(ISBLANK(Table2[[#This Row],[unique_id]]), "", PROPER(SUBSTITUTE(Table2[[#This Row],[unique_id]], "_", " ")))</f>
        <v>Broken Template Server Meg Plug Proxy</v>
      </c>
      <c r="G379" s="60" t="s">
        <v>809</v>
      </c>
      <c r="H379" s="55" t="s">
        <v>527</v>
      </c>
      <c r="I379" s="55" t="s">
        <v>291</v>
      </c>
      <c r="O379" s="58" t="s">
        <v>792</v>
      </c>
      <c r="R379" s="55" t="s">
        <v>805</v>
      </c>
      <c r="S379" s="55" t="str">
        <f>Table2[[#This Row],[friendly_name]]</f>
        <v>Server Meg</v>
      </c>
      <c r="T379" s="56" t="s">
        <v>1072</v>
      </c>
      <c r="V379" s="58"/>
      <c r="W379" s="58"/>
      <c r="X379" s="58"/>
      <c r="Y379" s="58"/>
      <c r="Z379" s="58"/>
      <c r="AA379" s="58"/>
      <c r="AG379" s="58"/>
      <c r="AH379" s="58"/>
      <c r="AR379" s="60"/>
      <c r="AT379" s="62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Rack</v>
      </c>
      <c r="BB379" s="55" t="s">
        <v>1065</v>
      </c>
      <c r="BC379" s="60" t="s">
        <v>361</v>
      </c>
      <c r="BD379" s="55" t="s">
        <v>233</v>
      </c>
      <c r="BF379" s="55" t="s">
        <v>362</v>
      </c>
      <c r="BG379" s="55" t="s">
        <v>28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customHeight="1" x14ac:dyDescent="0.2">
      <c r="A380" s="55">
        <v>2600</v>
      </c>
      <c r="B380" s="55" t="s">
        <v>580</v>
      </c>
      <c r="C380" s="55" t="s">
        <v>233</v>
      </c>
      <c r="D380" s="55" t="s">
        <v>134</v>
      </c>
      <c r="E380" s="55" t="s">
        <v>1460</v>
      </c>
      <c r="F380" s="57" t="str">
        <f>IF(ISBLANK(Table2[[#This Row],[unique_id]]), "", PROPER(SUBSTITUTE(Table2[[#This Row],[unique_id]], "_", " ")))</f>
        <v>Broken Server Meg Plug</v>
      </c>
      <c r="G380" s="60" t="s">
        <v>809</v>
      </c>
      <c r="H380" s="55" t="s">
        <v>527</v>
      </c>
      <c r="I380" s="55" t="s">
        <v>291</v>
      </c>
      <c r="M380" s="55" t="s">
        <v>257</v>
      </c>
      <c r="O380" s="58" t="s">
        <v>792</v>
      </c>
      <c r="R380" s="55" t="s">
        <v>805</v>
      </c>
      <c r="S380" s="55" t="str">
        <f>Table2[[#This Row],[friendly_name]]</f>
        <v>Server Meg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252</v>
      </c>
      <c r="AG380" s="58"/>
      <c r="AH380" s="58"/>
      <c r="AR380" s="60"/>
      <c r="AT380" s="62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Rack</v>
      </c>
      <c r="BB380" s="55" t="s">
        <v>1065</v>
      </c>
      <c r="BC380" s="60" t="s">
        <v>361</v>
      </c>
      <c r="BD380" s="55" t="s">
        <v>233</v>
      </c>
      <c r="BF380" s="55" t="s">
        <v>362</v>
      </c>
      <c r="BG380" s="55" t="s">
        <v>28</v>
      </c>
      <c r="BJ380" s="55" t="s">
        <v>982</v>
      </c>
      <c r="BK380" s="55" t="s">
        <v>1301</v>
      </c>
      <c r="BL380" s="55" t="s">
        <v>807</v>
      </c>
      <c r="BM380" s="55" t="s">
        <v>1349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1" spans="1:66" ht="16" customHeight="1" x14ac:dyDescent="0.2">
      <c r="A381" s="30">
        <v>2601</v>
      </c>
      <c r="B381" s="30" t="s">
        <v>26</v>
      </c>
      <c r="C381" s="30" t="s">
        <v>812</v>
      </c>
      <c r="D381" s="30" t="s">
        <v>148</v>
      </c>
      <c r="E381" s="37" t="s">
        <v>1494</v>
      </c>
      <c r="F381" s="36" t="str">
        <f>IF(ISBLANK(Table2[[#This Row],[unique_id]]), "", PROPER(SUBSTITUTE(Table2[[#This Row],[unique_id]], "_", " ")))</f>
        <v>Template Server Jen Plug Proxy</v>
      </c>
      <c r="G381" s="30" t="s">
        <v>1499</v>
      </c>
      <c r="H381" s="30" t="s">
        <v>527</v>
      </c>
      <c r="I381" s="30" t="s">
        <v>291</v>
      </c>
      <c r="O381" s="31" t="s">
        <v>792</v>
      </c>
      <c r="P381" s="30" t="s">
        <v>165</v>
      </c>
      <c r="Q381" s="30" t="s">
        <v>764</v>
      </c>
      <c r="R381" s="30" t="s">
        <v>766</v>
      </c>
      <c r="S381" s="30" t="str">
        <f>Table2[[#This Row],[friendly_name]]</f>
        <v>Server Jen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496</v>
      </c>
      <c r="BB381" s="30" t="s">
        <v>1500</v>
      </c>
      <c r="BC381" s="30" t="s">
        <v>360</v>
      </c>
      <c r="BD381" s="30" t="s">
        <v>233</v>
      </c>
      <c r="BF381" s="30" t="s">
        <v>363</v>
      </c>
      <c r="BG381" s="30" t="s">
        <v>496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2602</v>
      </c>
      <c r="B382" s="30" t="s">
        <v>26</v>
      </c>
      <c r="C382" s="30" t="s">
        <v>233</v>
      </c>
      <c r="D382" s="30" t="s">
        <v>134</v>
      </c>
      <c r="E382" s="30" t="s">
        <v>1495</v>
      </c>
      <c r="F382" s="36" t="str">
        <f>IF(ISBLANK(Table2[[#This Row],[unique_id]]), "", PROPER(SUBSTITUTE(Table2[[#This Row],[unique_id]], "_", " ")))</f>
        <v>Server Jen Plug</v>
      </c>
      <c r="G382" s="30" t="s">
        <v>1499</v>
      </c>
      <c r="H382" s="30" t="s">
        <v>527</v>
      </c>
      <c r="I382" s="30" t="s">
        <v>291</v>
      </c>
      <c r="M382" s="30" t="s">
        <v>257</v>
      </c>
      <c r="O382" s="31" t="s">
        <v>792</v>
      </c>
      <c r="P382" s="30" t="s">
        <v>165</v>
      </c>
      <c r="Q382" s="30" t="s">
        <v>764</v>
      </c>
      <c r="R382" s="30" t="s">
        <v>766</v>
      </c>
      <c r="S382" s="30" t="str">
        <f>Table2[[#This Row],[friendly_name]]</f>
        <v>Server Jen</v>
      </c>
      <c r="T382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252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496</v>
      </c>
      <c r="BB382" s="30" t="s">
        <v>1500</v>
      </c>
      <c r="BC382" s="30" t="s">
        <v>360</v>
      </c>
      <c r="BD382" s="30" t="s">
        <v>233</v>
      </c>
      <c r="BF382" s="30" t="s">
        <v>363</v>
      </c>
      <c r="BG382" s="30" t="s">
        <v>496</v>
      </c>
      <c r="BJ382" s="30" t="s">
        <v>982</v>
      </c>
      <c r="BK382" s="30" t="s">
        <v>1301</v>
      </c>
      <c r="BL382" s="30" t="s">
        <v>349</v>
      </c>
      <c r="BM382" s="30" t="s">
        <v>1350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3" spans="1:66" ht="16" customHeight="1" x14ac:dyDescent="0.2">
      <c r="A383" s="30">
        <v>2603</v>
      </c>
      <c r="B383" s="30" t="s">
        <v>26</v>
      </c>
      <c r="C383" s="30" t="s">
        <v>812</v>
      </c>
      <c r="D383" s="30" t="s">
        <v>148</v>
      </c>
      <c r="E383" s="37" t="s">
        <v>971</v>
      </c>
      <c r="F383" s="36" t="str">
        <f>IF(ISBLANK(Table2[[#This Row],[unique_id]]), "", PROPER(SUBSTITUTE(Table2[[#This Row],[unique_id]], "_", " ")))</f>
        <v>Template Rack Outlet Plug Proxy</v>
      </c>
      <c r="G383" s="30" t="s">
        <v>222</v>
      </c>
      <c r="H383" s="30" t="s">
        <v>527</v>
      </c>
      <c r="I383" s="30" t="s">
        <v>291</v>
      </c>
      <c r="O383" s="31" t="s">
        <v>792</v>
      </c>
      <c r="P383" s="30" t="s">
        <v>165</v>
      </c>
      <c r="Q383" s="30" t="s">
        <v>764</v>
      </c>
      <c r="R383" s="30" t="s">
        <v>766</v>
      </c>
      <c r="S383" s="30" t="str">
        <f>Table2[[#This Row],[friendly_name]]</f>
        <v>Server Rack</v>
      </c>
      <c r="T383" s="37" t="s">
        <v>1074</v>
      </c>
      <c r="U383" s="30"/>
      <c r="V383" s="31"/>
      <c r="W383" s="31"/>
      <c r="X383" s="31"/>
      <c r="Y383" s="31"/>
      <c r="Z383" s="31"/>
      <c r="AA383" s="31"/>
      <c r="AB383" s="30"/>
      <c r="AC383" s="30"/>
      <c r="AG383" s="31"/>
      <c r="AH383" s="31"/>
      <c r="AT383" s="40"/>
      <c r="AU383" s="30" t="s">
        <v>134</v>
      </c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30" t="str">
        <f>IF(ISBLANK(Table2[[#This Row],[device_model]]), "", Table2[[#This Row],[device_suggested_area]])</f>
        <v>Rack</v>
      </c>
      <c r="BB383" s="30" t="s">
        <v>1024</v>
      </c>
      <c r="BC383" s="30" t="s">
        <v>919</v>
      </c>
      <c r="BD383" s="30" t="s">
        <v>1115</v>
      </c>
      <c r="BF383" s="30" t="s">
        <v>891</v>
      </c>
      <c r="BG383" s="30" t="s">
        <v>28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ht="16" customHeight="1" x14ac:dyDescent="0.2">
      <c r="A384" s="30">
        <v>2604</v>
      </c>
      <c r="B384" s="30" t="s">
        <v>26</v>
      </c>
      <c r="C384" s="30" t="s">
        <v>697</v>
      </c>
      <c r="D384" s="30" t="s">
        <v>134</v>
      </c>
      <c r="E384" s="30" t="s">
        <v>842</v>
      </c>
      <c r="F384" s="36" t="str">
        <f>IF(ISBLANK(Table2[[#This Row],[unique_id]]), "", PROPER(SUBSTITUTE(Table2[[#This Row],[unique_id]], "_", " ")))</f>
        <v>Rack Outlet Plug</v>
      </c>
      <c r="G384" s="30" t="s">
        <v>222</v>
      </c>
      <c r="H384" s="30" t="s">
        <v>527</v>
      </c>
      <c r="I384" s="30" t="s">
        <v>291</v>
      </c>
      <c r="M384" s="30" t="s">
        <v>257</v>
      </c>
      <c r="O384" s="31" t="s">
        <v>792</v>
      </c>
      <c r="P384" s="30" t="s">
        <v>165</v>
      </c>
      <c r="Q384" s="30" t="s">
        <v>764</v>
      </c>
      <c r="R384" s="30" t="s">
        <v>766</v>
      </c>
      <c r="S384" s="30" t="str">
        <f>Table2[[#This Row],[friendly_name]]</f>
        <v>Server Rack</v>
      </c>
      <c r="T38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4" s="30"/>
      <c r="V384" s="31"/>
      <c r="W384" s="31"/>
      <c r="X384" s="31"/>
      <c r="Y384" s="31"/>
      <c r="Z384" s="31"/>
      <c r="AA384" s="42" t="s">
        <v>1113</v>
      </c>
      <c r="AB384" s="30"/>
      <c r="AC384" s="30"/>
      <c r="AE384" s="30" t="s">
        <v>252</v>
      </c>
      <c r="AF384" s="30">
        <v>10</v>
      </c>
      <c r="AG384" s="31" t="s">
        <v>34</v>
      </c>
      <c r="AH384" s="31" t="s">
        <v>901</v>
      </c>
      <c r="AJ384" s="30" t="str">
        <f>_xlfn.CONCAT("homeassistant/", Table2[[#This Row],[entity_namespace]], "/tasmota/",Table2[[#This Row],[unique_id]], "/config")</f>
        <v>homeassistant/switch/tasmota/rack_outlet_plug/config</v>
      </c>
      <c r="AK384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4" s="30" t="str">
        <f>_xlfn.CONCAT("tasmota/device/",Table2[[#This Row],[unique_id]], "/cmnd/POWER")</f>
        <v>tasmota/device/rack_outlet_plug/cmnd/POWER</v>
      </c>
      <c r="AM38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4" s="30" t="s">
        <v>920</v>
      </c>
      <c r="AO384" s="30" t="s">
        <v>921</v>
      </c>
      <c r="AP384" s="30" t="s">
        <v>910</v>
      </c>
      <c r="AQ384" s="30" t="s">
        <v>911</v>
      </c>
      <c r="AR384" s="30" t="s">
        <v>974</v>
      </c>
      <c r="AS384" s="30">
        <v>1</v>
      </c>
      <c r="AT384" s="34" t="str">
        <f>HYPERLINK(_xlfn.CONCAT("http://", Table2[[#This Row],[connection_ip]], "/?"))</f>
        <v>http://10.0.4.102/?</v>
      </c>
      <c r="AU384" s="30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tr">
        <f>IF(ISBLANK(Table2[[#This Row],[device_model]]), "", Table2[[#This Row],[device_suggested_area]])</f>
        <v>Rack</v>
      </c>
      <c r="BB384" s="30" t="s">
        <v>1024</v>
      </c>
      <c r="BC384" s="30" t="s">
        <v>919</v>
      </c>
      <c r="BD384" s="30" t="s">
        <v>1115</v>
      </c>
      <c r="BF384" s="30" t="s">
        <v>891</v>
      </c>
      <c r="BG384" s="30" t="s">
        <v>28</v>
      </c>
      <c r="BK384" s="30" t="s">
        <v>1301</v>
      </c>
      <c r="BL384" s="30" t="s">
        <v>918</v>
      </c>
      <c r="BM384" s="30" t="s">
        <v>1352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5" spans="1:67" ht="16" customHeight="1" x14ac:dyDescent="0.2">
      <c r="A385" s="30">
        <v>2605</v>
      </c>
      <c r="B385" s="30" t="s">
        <v>26</v>
      </c>
      <c r="C385" s="30" t="s">
        <v>697</v>
      </c>
      <c r="D385" s="30" t="s">
        <v>27</v>
      </c>
      <c r="E385" s="30" t="s">
        <v>972</v>
      </c>
      <c r="F385" s="36" t="str">
        <f>IF(ISBLANK(Table2[[#This Row],[unique_id]]), "", PROPER(SUBSTITUTE(Table2[[#This Row],[unique_id]], "_", " ")))</f>
        <v>Rack Outlet Plug Energy Power</v>
      </c>
      <c r="G385" s="30" t="s">
        <v>222</v>
      </c>
      <c r="H385" s="30" t="s">
        <v>527</v>
      </c>
      <c r="I385" s="30" t="s">
        <v>291</v>
      </c>
      <c r="O385" s="31"/>
      <c r="P385" s="30"/>
      <c r="T385" s="37"/>
      <c r="U385" s="30"/>
      <c r="V385" s="31"/>
      <c r="W385" s="31"/>
      <c r="X385" s="31"/>
      <c r="Y385" s="31"/>
      <c r="Z385" s="31"/>
      <c r="AA385" s="31"/>
      <c r="AB385" s="30" t="s">
        <v>31</v>
      </c>
      <c r="AC385" s="30" t="s">
        <v>327</v>
      </c>
      <c r="AD385" s="30" t="s">
        <v>902</v>
      </c>
      <c r="AF385" s="30">
        <v>10</v>
      </c>
      <c r="AG385" s="31" t="s">
        <v>34</v>
      </c>
      <c r="AH385" s="31" t="s">
        <v>901</v>
      </c>
      <c r="AJ385" s="30" t="str">
        <f>_xlfn.CONCAT("homeassistant/", Table2[[#This Row],[entity_namespace]], "/tasmota/",Table2[[#This Row],[unique_id]], "/config")</f>
        <v>homeassistant/sensor/tasmota/rack_outlet_plug_energy_power/config</v>
      </c>
      <c r="AK385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5" s="30" t="s">
        <v>920</v>
      </c>
      <c r="AO385" s="30" t="s">
        <v>921</v>
      </c>
      <c r="AP385" s="30" t="s">
        <v>910</v>
      </c>
      <c r="AQ385" s="30" t="s">
        <v>911</v>
      </c>
      <c r="AR385" s="30" t="s">
        <v>1109</v>
      </c>
      <c r="AS385" s="30">
        <v>1</v>
      </c>
      <c r="AT385" s="34"/>
      <c r="AU385" s="30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tr">
        <f>IF(ISBLANK(Table2[[#This Row],[device_model]]), "", Table2[[#This Row],[device_suggested_area]])</f>
        <v>Rack</v>
      </c>
      <c r="BB385" s="30" t="s">
        <v>1024</v>
      </c>
      <c r="BC385" s="30" t="s">
        <v>919</v>
      </c>
      <c r="BD385" s="30" t="s">
        <v>1115</v>
      </c>
      <c r="BF385" s="30" t="s">
        <v>891</v>
      </c>
      <c r="BG385" s="30" t="s">
        <v>28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7" ht="16" customHeight="1" x14ac:dyDescent="0.2">
      <c r="A386" s="30">
        <v>2606</v>
      </c>
      <c r="B386" s="30" t="s">
        <v>26</v>
      </c>
      <c r="C386" s="30" t="s">
        <v>697</v>
      </c>
      <c r="D386" s="30" t="s">
        <v>27</v>
      </c>
      <c r="E386" s="30" t="s">
        <v>973</v>
      </c>
      <c r="F386" s="36" t="str">
        <f>IF(ISBLANK(Table2[[#This Row],[unique_id]]), "", PROPER(SUBSTITUTE(Table2[[#This Row],[unique_id]], "_", " ")))</f>
        <v>Rack Outlet Plug Energy Total</v>
      </c>
      <c r="G386" s="30" t="s">
        <v>222</v>
      </c>
      <c r="H386" s="30" t="s">
        <v>527</v>
      </c>
      <c r="I386" s="30" t="s">
        <v>291</v>
      </c>
      <c r="O386" s="31"/>
      <c r="P386" s="30"/>
      <c r="T386" s="37"/>
      <c r="U386" s="30"/>
      <c r="V386" s="31"/>
      <c r="W386" s="31"/>
      <c r="X386" s="31"/>
      <c r="Y386" s="31"/>
      <c r="Z386" s="31"/>
      <c r="AA386" s="31"/>
      <c r="AB386" s="30" t="s">
        <v>76</v>
      </c>
      <c r="AC386" s="30" t="s">
        <v>328</v>
      </c>
      <c r="AD386" s="30" t="s">
        <v>903</v>
      </c>
      <c r="AF386" s="30">
        <v>10</v>
      </c>
      <c r="AG386" s="31" t="s">
        <v>34</v>
      </c>
      <c r="AH386" s="31" t="s">
        <v>901</v>
      </c>
      <c r="AJ386" s="30" t="str">
        <f>_xlfn.CONCAT("homeassistant/", Table2[[#This Row],[entity_namespace]], "/tasmota/",Table2[[#This Row],[unique_id]], "/config")</f>
        <v>homeassistant/sensor/tasmota/rack_outlet_plug_energy_total/config</v>
      </c>
      <c r="AK386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6" s="30" t="s">
        <v>920</v>
      </c>
      <c r="AO386" s="30" t="s">
        <v>921</v>
      </c>
      <c r="AP386" s="30" t="s">
        <v>910</v>
      </c>
      <c r="AQ386" s="30" t="s">
        <v>911</v>
      </c>
      <c r="AR386" s="30" t="s">
        <v>1110</v>
      </c>
      <c r="AS386" s="30">
        <v>1</v>
      </c>
      <c r="AT386" s="34"/>
      <c r="AU386" s="30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tr">
        <f>IF(ISBLANK(Table2[[#This Row],[device_model]]), "", Table2[[#This Row],[device_suggested_area]])</f>
        <v>Rack</v>
      </c>
      <c r="BB386" s="30" t="s">
        <v>1024</v>
      </c>
      <c r="BC386" s="30" t="s">
        <v>919</v>
      </c>
      <c r="BD386" s="30" t="s">
        <v>1115</v>
      </c>
      <c r="BF386" s="30" t="s">
        <v>891</v>
      </c>
      <c r="BG386" s="30" t="s">
        <v>28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7" s="69" customFormat="1" ht="16" customHeight="1" x14ac:dyDescent="0.2">
      <c r="A387" s="64">
        <v>2607</v>
      </c>
      <c r="B387" s="65" t="s">
        <v>26</v>
      </c>
      <c r="C387" s="65" t="s">
        <v>812</v>
      </c>
      <c r="D387" s="65" t="s">
        <v>148</v>
      </c>
      <c r="E387" s="66" t="s">
        <v>1540</v>
      </c>
      <c r="F387" s="36" t="str">
        <f>IF(ISBLANK(Table2[[#This Row],[unique_id]]), "", PROPER(SUBSTITUTE(Table2[[#This Row],[unique_id]], "_", " ")))</f>
        <v>Template Rack Printer Plug Proxy</v>
      </c>
      <c r="G387" s="65" t="s">
        <v>383</v>
      </c>
      <c r="H387" s="65" t="s">
        <v>527</v>
      </c>
      <c r="I387" s="65" t="s">
        <v>291</v>
      </c>
      <c r="J387" s="65"/>
      <c r="K387" s="65"/>
      <c r="L387" s="65"/>
      <c r="M387" s="65"/>
      <c r="N387" s="65"/>
      <c r="O387" s="67" t="s">
        <v>792</v>
      </c>
      <c r="P387" s="65" t="s">
        <v>165</v>
      </c>
      <c r="Q387" s="65" t="s">
        <v>764</v>
      </c>
      <c r="R387" s="65" t="s">
        <v>766</v>
      </c>
      <c r="S387" s="30" t="str">
        <f>Table2[[#This Row],[friendly_name]]</f>
        <v>Printer</v>
      </c>
      <c r="T387" s="66" t="s">
        <v>1517</v>
      </c>
      <c r="U387" s="65"/>
      <c r="V387" s="67"/>
      <c r="W387" s="67"/>
      <c r="X387" s="67"/>
      <c r="Y387" s="67"/>
      <c r="Z387" s="67"/>
      <c r="AA387" s="67"/>
      <c r="AB387" s="65"/>
      <c r="AC387" s="65"/>
      <c r="AD387" s="65"/>
      <c r="AE387" s="65"/>
      <c r="AF387" s="65"/>
      <c r="AG387" s="67"/>
      <c r="AH387" s="67"/>
      <c r="AI387" s="65"/>
      <c r="AJ387" s="65"/>
      <c r="AK387" s="65"/>
      <c r="AL387" s="65"/>
      <c r="AM387" s="65"/>
      <c r="AN387" s="65"/>
      <c r="AO387" s="65"/>
      <c r="AP387" s="65"/>
      <c r="AQ387" s="65"/>
      <c r="AR387" s="65"/>
      <c r="AS387" s="65"/>
      <c r="AT387" s="68"/>
      <c r="AU387" s="65" t="s">
        <v>134</v>
      </c>
      <c r="AV387" s="6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tplink-rack-printer</v>
      </c>
      <c r="AW387" s="6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87" s="65"/>
      <c r="AY387" s="65"/>
      <c r="AZ387" s="65"/>
      <c r="BA387" s="69" t="str">
        <f>IF(ISBLANK(Table2[[#This Row],[device_model]]), "", Table2[[#This Row],[device_suggested_area]])</f>
        <v>Rack</v>
      </c>
      <c r="BB387" s="65" t="s">
        <v>383</v>
      </c>
      <c r="BC387" s="65" t="s">
        <v>360</v>
      </c>
      <c r="BD387" s="65" t="s">
        <v>233</v>
      </c>
      <c r="BE387" s="65"/>
      <c r="BF387" s="65" t="s">
        <v>363</v>
      </c>
      <c r="BG387" s="65" t="s">
        <v>28</v>
      </c>
      <c r="BH387" s="65"/>
      <c r="BI387" s="65"/>
      <c r="BJ387" s="65"/>
      <c r="BK387" s="65"/>
      <c r="BL387" s="65"/>
      <c r="BM387" s="65"/>
      <c r="BN387" s="70"/>
      <c r="BO387" s="71"/>
    </row>
    <row r="388" spans="1:67" s="69" customFormat="1" ht="16" customHeight="1" x14ac:dyDescent="0.2">
      <c r="A388" s="64">
        <v>2608</v>
      </c>
      <c r="B388" s="65" t="s">
        <v>26</v>
      </c>
      <c r="C388" s="65" t="s">
        <v>233</v>
      </c>
      <c r="D388" s="65" t="s">
        <v>134</v>
      </c>
      <c r="E388" s="65" t="s">
        <v>1539</v>
      </c>
      <c r="F388" s="36" t="str">
        <f>IF(ISBLANK(Table2[[#This Row],[unique_id]]), "", PROPER(SUBSTITUTE(Table2[[#This Row],[unique_id]], "_", " ")))</f>
        <v>Rack Printer Plug</v>
      </c>
      <c r="G388" s="65" t="s">
        <v>383</v>
      </c>
      <c r="H388" s="65" t="s">
        <v>527</v>
      </c>
      <c r="I388" s="65" t="s">
        <v>291</v>
      </c>
      <c r="J388" s="65"/>
      <c r="K388" s="65"/>
      <c r="L388" s="65"/>
      <c r="M388" s="65" t="s">
        <v>257</v>
      </c>
      <c r="N388" s="65"/>
      <c r="O388" s="67" t="s">
        <v>792</v>
      </c>
      <c r="P388" s="65" t="s">
        <v>165</v>
      </c>
      <c r="Q388" s="65" t="s">
        <v>764</v>
      </c>
      <c r="R388" s="65" t="s">
        <v>766</v>
      </c>
      <c r="S388" s="30" t="str">
        <f>Table2[[#This Row],[friendly_name]]</f>
        <v>Printer</v>
      </c>
      <c r="T38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sensor.rack_printer_plug_energy_power
energy_sensor_id: sensor.rack_printer_plug_energy_total
</v>
      </c>
      <c r="U388" s="65"/>
      <c r="V388" s="67"/>
      <c r="W388" s="67"/>
      <c r="X388" s="67"/>
      <c r="Y388" s="67"/>
      <c r="Z388" s="67"/>
      <c r="AA388" s="67"/>
      <c r="AB388" s="65"/>
      <c r="AC388" s="65"/>
      <c r="AD388" s="65"/>
      <c r="AE388" s="65" t="s">
        <v>1541</v>
      </c>
      <c r="AF388" s="65"/>
      <c r="AG388" s="67"/>
      <c r="AH388" s="67"/>
      <c r="AI388" s="65"/>
      <c r="AJ388" s="65"/>
      <c r="AK388" s="65"/>
      <c r="AL388" s="65"/>
      <c r="AM388" s="65"/>
      <c r="AN388" s="65"/>
      <c r="AO388" s="65"/>
      <c r="AP388" s="65"/>
      <c r="AQ388" s="65"/>
      <c r="AR388" s="65"/>
      <c r="AS388" s="65"/>
      <c r="AT388" s="68"/>
      <c r="AU388" s="65"/>
      <c r="AV388" s="6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tplink-rack-printer</v>
      </c>
      <c r="AW388" s="6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88" s="65"/>
      <c r="AY388" s="65"/>
      <c r="AZ388" s="65"/>
      <c r="BA388" s="69" t="str">
        <f>IF(ISBLANK(Table2[[#This Row],[device_model]]), "", Table2[[#This Row],[device_suggested_area]])</f>
        <v>Rack</v>
      </c>
      <c r="BB388" s="65" t="s">
        <v>383</v>
      </c>
      <c r="BC388" s="65" t="s">
        <v>360</v>
      </c>
      <c r="BD388" s="65" t="s">
        <v>233</v>
      </c>
      <c r="BE388" s="65"/>
      <c r="BF388" s="65" t="s">
        <v>363</v>
      </c>
      <c r="BG388" s="65" t="s">
        <v>28</v>
      </c>
      <c r="BH388" s="65"/>
      <c r="BI388" s="65"/>
      <c r="BJ388" s="65" t="s">
        <v>982</v>
      </c>
      <c r="BK388" s="65" t="s">
        <v>1301</v>
      </c>
      <c r="BL388" s="65" t="s">
        <v>1513</v>
      </c>
      <c r="BM388" s="65" t="s">
        <v>1514</v>
      </c>
      <c r="BN388" s="65" t="s">
        <v>1518</v>
      </c>
      <c r="BO388" s="70"/>
    </row>
    <row r="389" spans="1:67" ht="16" customHeight="1" x14ac:dyDescent="0.2">
      <c r="A389" s="30">
        <v>2609</v>
      </c>
      <c r="B389" s="30" t="s">
        <v>26</v>
      </c>
      <c r="C389" s="30" t="s">
        <v>812</v>
      </c>
      <c r="D389" s="30" t="s">
        <v>148</v>
      </c>
      <c r="E389" s="37" t="s">
        <v>1099</v>
      </c>
      <c r="F389" s="36" t="str">
        <f>IF(ISBLANK(Table2[[#This Row],[unique_id]]), "", PROPER(SUBSTITUTE(Table2[[#This Row],[unique_id]], "_", " ")))</f>
        <v>Template Ceiling Network Switch Plug Proxy</v>
      </c>
      <c r="G389" s="30" t="s">
        <v>1474</v>
      </c>
      <c r="H389" s="30" t="s">
        <v>527</v>
      </c>
      <c r="I389" s="30" t="s">
        <v>291</v>
      </c>
      <c r="O389" s="31" t="s">
        <v>792</v>
      </c>
      <c r="P389" s="30" t="s">
        <v>165</v>
      </c>
      <c r="Q389" s="30" t="s">
        <v>764</v>
      </c>
      <c r="R389" s="30" t="s">
        <v>766</v>
      </c>
      <c r="S389" s="30" t="str">
        <f>Table2[[#This Row],[friendly_name]]</f>
        <v>Ceiling Network Devices</v>
      </c>
      <c r="T389" s="37" t="s">
        <v>1074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134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Ceiling</v>
      </c>
      <c r="BB389" s="30" t="s">
        <v>220</v>
      </c>
      <c r="BC389" s="30" t="s">
        <v>919</v>
      </c>
      <c r="BD389" s="30" t="s">
        <v>1115</v>
      </c>
      <c r="BF389" s="30" t="s">
        <v>891</v>
      </c>
      <c r="BG389" s="30" t="s">
        <v>404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7" ht="16" customHeight="1" x14ac:dyDescent="0.2">
      <c r="A390" s="30">
        <v>2610</v>
      </c>
      <c r="B390" s="30" t="s">
        <v>26</v>
      </c>
      <c r="C390" s="30" t="s">
        <v>697</v>
      </c>
      <c r="D390" s="30" t="s">
        <v>134</v>
      </c>
      <c r="E390" s="30" t="s">
        <v>1100</v>
      </c>
      <c r="F390" s="36" t="str">
        <f>IF(ISBLANK(Table2[[#This Row],[unique_id]]), "", PROPER(SUBSTITUTE(Table2[[#This Row],[unique_id]], "_", " ")))</f>
        <v>Ceiling Network Switch Plug</v>
      </c>
      <c r="G390" s="30" t="s">
        <v>1474</v>
      </c>
      <c r="H390" s="30" t="s">
        <v>527</v>
      </c>
      <c r="I390" s="30" t="s">
        <v>291</v>
      </c>
      <c r="M390" s="30" t="s">
        <v>257</v>
      </c>
      <c r="O390" s="31" t="s">
        <v>792</v>
      </c>
      <c r="P390" s="30" t="s">
        <v>165</v>
      </c>
      <c r="Q390" s="30" t="s">
        <v>764</v>
      </c>
      <c r="R390" s="30" t="s">
        <v>766</v>
      </c>
      <c r="S390" s="30" t="str">
        <f>Table2[[#This Row],[friendly_name]]</f>
        <v>Ceiling Network Devices</v>
      </c>
      <c r="T39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0" s="30"/>
      <c r="V390" s="31"/>
      <c r="W390" s="31"/>
      <c r="X390" s="31"/>
      <c r="Y390" s="31"/>
      <c r="Z390" s="31"/>
      <c r="AA390" s="42" t="s">
        <v>1113</v>
      </c>
      <c r="AB390" s="30"/>
      <c r="AC390" s="30"/>
      <c r="AE390" s="30" t="s">
        <v>253</v>
      </c>
      <c r="AF390" s="30">
        <v>10</v>
      </c>
      <c r="AG390" s="31" t="s">
        <v>34</v>
      </c>
      <c r="AH390" s="31" t="s">
        <v>901</v>
      </c>
      <c r="AJ390" s="30" t="str">
        <f>_xlfn.CONCAT("homeassistant/", Table2[[#This Row],[entity_namespace]], "/tasmota/",Table2[[#This Row],[unique_id]], "/config")</f>
        <v>homeassistant/switch/tasmota/ceiling_network_switch_plug/config</v>
      </c>
      <c r="AK390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0" s="30" t="str">
        <f>_xlfn.CONCAT("tasmota/device/",Table2[[#This Row],[unique_id]], "/cmnd/POWER")</f>
        <v>tasmota/device/ceiling_network_switch_plug/cmnd/POWER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0" s="30" t="s">
        <v>920</v>
      </c>
      <c r="AO390" s="30" t="s">
        <v>921</v>
      </c>
      <c r="AP390" s="30" t="s">
        <v>910</v>
      </c>
      <c r="AQ390" s="30" t="s">
        <v>911</v>
      </c>
      <c r="AR390" s="30" t="s">
        <v>974</v>
      </c>
      <c r="AS390" s="30">
        <v>1</v>
      </c>
      <c r="AT390" s="34" t="str">
        <f>HYPERLINK(_xlfn.CONCAT("http://", Table2[[#This Row],[connection_ip]], "/?"))</f>
        <v>http://10.0.4.105/?</v>
      </c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220</v>
      </c>
      <c r="BC390" s="30" t="s">
        <v>919</v>
      </c>
      <c r="BD390" s="30" t="s">
        <v>1115</v>
      </c>
      <c r="BF390" s="30" t="s">
        <v>891</v>
      </c>
      <c r="BG390" s="30" t="s">
        <v>404</v>
      </c>
      <c r="BK390" s="30" t="s">
        <v>1301</v>
      </c>
      <c r="BL390" s="41" t="s">
        <v>984</v>
      </c>
      <c r="BM390" s="30" t="s">
        <v>1354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1" spans="1:67" ht="16" customHeight="1" x14ac:dyDescent="0.2">
      <c r="A391" s="30">
        <v>2611</v>
      </c>
      <c r="B391" s="30" t="s">
        <v>26</v>
      </c>
      <c r="C391" s="30" t="s">
        <v>697</v>
      </c>
      <c r="D391" s="30" t="s">
        <v>27</v>
      </c>
      <c r="E391" s="30" t="s">
        <v>1101</v>
      </c>
      <c r="F391" s="36" t="str">
        <f>IF(ISBLANK(Table2[[#This Row],[unique_id]]), "", PROPER(SUBSTITUTE(Table2[[#This Row],[unique_id]], "_", " ")))</f>
        <v>Ceiling Network Switch Plug Energy Power</v>
      </c>
      <c r="G391" s="30" t="s">
        <v>1474</v>
      </c>
      <c r="H391" s="30" t="s">
        <v>527</v>
      </c>
      <c r="I391" s="30" t="s">
        <v>291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31</v>
      </c>
      <c r="AC391" s="30" t="s">
        <v>327</v>
      </c>
      <c r="AD391" s="30" t="s">
        <v>902</v>
      </c>
      <c r="AF391" s="30">
        <v>10</v>
      </c>
      <c r="AG391" s="31" t="s">
        <v>34</v>
      </c>
      <c r="AH391" s="31" t="s">
        <v>901</v>
      </c>
      <c r="AJ391" s="30" t="str">
        <f>_xlfn.CONCAT("homeassistant/", Table2[[#This Row],[entity_namespace]], "/tasmota/",Table2[[#This Row],[unique_id]], "/config")</f>
        <v>homeassistant/sensor/tasmota/ceiling_network_switch_plug_energy_power/config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1" s="30" t="s">
        <v>920</v>
      </c>
      <c r="AO391" s="30" t="s">
        <v>921</v>
      </c>
      <c r="AP391" s="30" t="s">
        <v>910</v>
      </c>
      <c r="AQ391" s="30" t="s">
        <v>911</v>
      </c>
      <c r="AR391" s="30" t="s">
        <v>1109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220</v>
      </c>
      <c r="BC391" s="30" t="s">
        <v>919</v>
      </c>
      <c r="BD391" s="30" t="s">
        <v>1115</v>
      </c>
      <c r="BF391" s="30" t="s">
        <v>891</v>
      </c>
      <c r="BG391" s="30" t="s">
        <v>404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7" ht="16" customHeight="1" x14ac:dyDescent="0.2">
      <c r="A392" s="30">
        <v>2612</v>
      </c>
      <c r="B392" s="30" t="s">
        <v>26</v>
      </c>
      <c r="C392" s="30" t="s">
        <v>697</v>
      </c>
      <c r="D392" s="30" t="s">
        <v>27</v>
      </c>
      <c r="E392" s="30" t="s">
        <v>1102</v>
      </c>
      <c r="F392" s="36" t="str">
        <f>IF(ISBLANK(Table2[[#This Row],[unique_id]]), "", PROPER(SUBSTITUTE(Table2[[#This Row],[unique_id]], "_", " ")))</f>
        <v>Ceiling Network Switch Plug Energy Total</v>
      </c>
      <c r="G392" s="30" t="s">
        <v>1474</v>
      </c>
      <c r="H392" s="30" t="s">
        <v>527</v>
      </c>
      <c r="I392" s="30" t="s">
        <v>291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76</v>
      </c>
      <c r="AC392" s="30" t="s">
        <v>328</v>
      </c>
      <c r="AD392" s="30" t="s">
        <v>903</v>
      </c>
      <c r="AF392" s="30">
        <v>10</v>
      </c>
      <c r="AG392" s="31" t="s">
        <v>34</v>
      </c>
      <c r="AH392" s="31" t="s">
        <v>901</v>
      </c>
      <c r="AJ392" s="30" t="str">
        <f>_xlfn.CONCAT("homeassistant/", Table2[[#This Row],[entity_namespace]], "/tasmota/",Table2[[#This Row],[unique_id]], "/config")</f>
        <v>homeassistant/sensor/tasmota/ceiling_network_switch_plug_energy_total/config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920</v>
      </c>
      <c r="AO392" s="30" t="s">
        <v>921</v>
      </c>
      <c r="AP392" s="30" t="s">
        <v>910</v>
      </c>
      <c r="AQ392" s="30" t="s">
        <v>911</v>
      </c>
      <c r="AR392" s="30" t="s">
        <v>1110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220</v>
      </c>
      <c r="BC392" s="30" t="s">
        <v>919</v>
      </c>
      <c r="BD392" s="30" t="s">
        <v>1115</v>
      </c>
      <c r="BF392" s="30" t="s">
        <v>891</v>
      </c>
      <c r="BG392" s="30" t="s">
        <v>404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7" s="55" customFormat="1" ht="16" customHeight="1" x14ac:dyDescent="0.2">
      <c r="A393" s="55">
        <v>2613</v>
      </c>
      <c r="B393" s="55" t="s">
        <v>580</v>
      </c>
      <c r="C393" s="55" t="s">
        <v>812</v>
      </c>
      <c r="D393" s="55" t="s">
        <v>148</v>
      </c>
      <c r="E393" s="56" t="s">
        <v>1461</v>
      </c>
      <c r="F393" s="57" t="str">
        <f>IF(ISBLANK(Table2[[#This Row],[unique_id]]), "", PROPER(SUBSTITUTE(Table2[[#This Row],[unique_id]], "_", " ")))</f>
        <v>Broken Template Rack Internet Modem Plug Proxy</v>
      </c>
      <c r="G393" s="55" t="s">
        <v>221</v>
      </c>
      <c r="H393" s="55" t="s">
        <v>527</v>
      </c>
      <c r="I393" s="55" t="s">
        <v>291</v>
      </c>
      <c r="O393" s="58" t="s">
        <v>792</v>
      </c>
      <c r="R393" s="55" t="s">
        <v>806</v>
      </c>
      <c r="S393" s="55" t="str">
        <f>Table2[[#This Row],[friendly_name]]</f>
        <v>Internet Modem</v>
      </c>
      <c r="T393" s="56" t="s">
        <v>1072</v>
      </c>
      <c r="V393" s="58"/>
      <c r="W393" s="58"/>
      <c r="X393" s="58"/>
      <c r="Y393" s="58"/>
      <c r="Z393" s="58"/>
      <c r="AA393" s="58"/>
      <c r="AG393" s="58"/>
      <c r="AH393" s="58"/>
      <c r="AT393" s="59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1029</v>
      </c>
      <c r="BC393" s="60" t="s">
        <v>361</v>
      </c>
      <c r="BD393" s="55" t="s">
        <v>233</v>
      </c>
      <c r="BF393" s="55" t="s">
        <v>362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7" s="55" customFormat="1" ht="16" customHeight="1" x14ac:dyDescent="0.2">
      <c r="A394" s="55">
        <v>2614</v>
      </c>
      <c r="B394" s="55" t="s">
        <v>580</v>
      </c>
      <c r="C394" s="55" t="s">
        <v>233</v>
      </c>
      <c r="D394" s="55" t="s">
        <v>134</v>
      </c>
      <c r="E394" s="55" t="s">
        <v>1462</v>
      </c>
      <c r="F394" s="57" t="str">
        <f>IF(ISBLANK(Table2[[#This Row],[unique_id]]), "", PROPER(SUBSTITUTE(Table2[[#This Row],[unique_id]], "_", " ")))</f>
        <v>Broken Rack Internet Modem Plug</v>
      </c>
      <c r="G394" s="55" t="s">
        <v>221</v>
      </c>
      <c r="H394" s="55" t="s">
        <v>527</v>
      </c>
      <c r="I394" s="55" t="s">
        <v>291</v>
      </c>
      <c r="M394" s="55" t="s">
        <v>257</v>
      </c>
      <c r="O394" s="58" t="s">
        <v>792</v>
      </c>
      <c r="R394" s="55" t="s">
        <v>806</v>
      </c>
      <c r="S394" s="55" t="str">
        <f>Table2[[#This Row],[friendly_name]]</f>
        <v>Internet Modem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254</v>
      </c>
      <c r="AG394" s="58"/>
      <c r="AH394" s="58"/>
      <c r="AT394" s="59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1029</v>
      </c>
      <c r="BC394" s="60" t="s">
        <v>361</v>
      </c>
      <c r="BD394" s="55" t="s">
        <v>233</v>
      </c>
      <c r="BF394" s="55" t="s">
        <v>362</v>
      </c>
      <c r="BG394" s="55" t="s">
        <v>28</v>
      </c>
      <c r="BJ394" s="55" t="s">
        <v>981</v>
      </c>
      <c r="BK394" s="55" t="s">
        <v>1301</v>
      </c>
      <c r="BL394" s="55" t="s">
        <v>355</v>
      </c>
      <c r="BM394" s="55" t="s">
        <v>1355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5" spans="1:67" s="69" customFormat="1" ht="16" customHeight="1" x14ac:dyDescent="0.2">
      <c r="A395" s="69">
        <v>2615</v>
      </c>
      <c r="B395" s="69" t="s">
        <v>26</v>
      </c>
      <c r="C395" s="69" t="s">
        <v>697</v>
      </c>
      <c r="D395" s="69" t="s">
        <v>134</v>
      </c>
      <c r="E395" s="69" t="s">
        <v>1512</v>
      </c>
      <c r="F395" s="75" t="str">
        <f>IF(ISBLANK(Table2[[#This Row],[unique_id]]), "", PROPER(SUBSTITUTE(Table2[[#This Row],[unique_id]], "_", " ")))</f>
        <v>Rack Backup Plug</v>
      </c>
      <c r="G395" s="69" t="s">
        <v>1542</v>
      </c>
      <c r="H395" s="69" t="s">
        <v>527</v>
      </c>
      <c r="I395" s="69" t="s">
        <v>291</v>
      </c>
      <c r="M395" s="69" t="s">
        <v>257</v>
      </c>
      <c r="O395" s="72" t="s">
        <v>792</v>
      </c>
      <c r="T395" s="73" t="s">
        <v>975</v>
      </c>
      <c r="V395" s="72"/>
      <c r="W395" s="72"/>
      <c r="X395" s="72"/>
      <c r="Y395" s="72"/>
      <c r="Z395" s="72"/>
      <c r="AA395" s="72" t="s">
        <v>1114</v>
      </c>
      <c r="AE395" s="69" t="s">
        <v>1545</v>
      </c>
      <c r="AF395" s="69">
        <v>10</v>
      </c>
      <c r="AG395" s="72" t="s">
        <v>34</v>
      </c>
      <c r="AH395" s="72" t="s">
        <v>901</v>
      </c>
      <c r="AJ395" s="69" t="str">
        <f>_xlfn.CONCAT("homeassistant/", Table2[[#This Row],[entity_namespace]], "/tasmota/",Table2[[#This Row],[unique_id]], "/config")</f>
        <v>homeassistant/switch/tasmota/rack_backup_plug/config</v>
      </c>
      <c r="AK395" s="69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95" s="69" t="str">
        <f>_xlfn.CONCAT("tasmota/device/",Table2[[#This Row],[unique_id]], "/cmnd/POWER")</f>
        <v>tasmota/device/rack_backup_plug/cmnd/POWER</v>
      </c>
      <c r="AM395" s="69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95" s="69" t="s">
        <v>920</v>
      </c>
      <c r="AO395" s="69" t="s">
        <v>921</v>
      </c>
      <c r="AP395" s="69" t="s">
        <v>910</v>
      </c>
      <c r="AQ395" s="69" t="s">
        <v>911</v>
      </c>
      <c r="AR395" s="69" t="s">
        <v>974</v>
      </c>
      <c r="AS395" s="69">
        <v>1</v>
      </c>
      <c r="AT395" s="76" t="str">
        <f>HYPERLINK(_xlfn.CONCAT("http://", Table2[[#This Row],[connection_ip]], "/?"))</f>
        <v>http://10.0.4.110/?</v>
      </c>
      <c r="AV395" s="6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95" s="6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95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95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69" t="str">
        <f>IF(ISBLANK(Table2[[#This Row],[device_model]]), "", Table2[[#This Row],[device_suggested_area]])</f>
        <v>Rack</v>
      </c>
      <c r="BB395" s="69" t="s">
        <v>1546</v>
      </c>
      <c r="BC395" s="74" t="s">
        <v>771</v>
      </c>
      <c r="BD395" s="69" t="s">
        <v>1115</v>
      </c>
      <c r="BF395" s="69" t="s">
        <v>891</v>
      </c>
      <c r="BG395" s="69" t="s">
        <v>28</v>
      </c>
      <c r="BK395" s="69" t="s">
        <v>1301</v>
      </c>
      <c r="BM395" s="30" t="s">
        <v>1549</v>
      </c>
      <c r="BN395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"10.0.4.110"]]</v>
      </c>
    </row>
    <row r="396" spans="1:67" s="69" customFormat="1" ht="16" customHeight="1" x14ac:dyDescent="0.2">
      <c r="A396" s="69">
        <v>2616</v>
      </c>
      <c r="B396" s="69" t="s">
        <v>26</v>
      </c>
      <c r="C396" s="69" t="s">
        <v>697</v>
      </c>
      <c r="D396" s="69" t="s">
        <v>134</v>
      </c>
      <c r="E396" s="69" t="s">
        <v>1550</v>
      </c>
      <c r="F396" s="75" t="str">
        <f>IF(ISBLANK(Table2[[#This Row],[unique_id]]), "", PROPER(SUBSTITUTE(Table2[[#This Row],[unique_id]], "_", " ")))</f>
        <v>Rack Screen Plug</v>
      </c>
      <c r="G396" s="69" t="s">
        <v>1543</v>
      </c>
      <c r="H396" s="69" t="s">
        <v>527</v>
      </c>
      <c r="I396" s="69" t="s">
        <v>291</v>
      </c>
      <c r="M396" s="69" t="s">
        <v>257</v>
      </c>
      <c r="O396" s="72" t="s">
        <v>792</v>
      </c>
      <c r="T396" s="73" t="s">
        <v>975</v>
      </c>
      <c r="V396" s="72"/>
      <c r="W396" s="72"/>
      <c r="X396" s="72"/>
      <c r="Y396" s="72"/>
      <c r="Z396" s="72"/>
      <c r="AA396" s="72" t="s">
        <v>1114</v>
      </c>
      <c r="AE396" s="69" t="s">
        <v>1544</v>
      </c>
      <c r="AF396" s="69">
        <v>10</v>
      </c>
      <c r="AG396" s="72" t="s">
        <v>34</v>
      </c>
      <c r="AH396" s="72" t="s">
        <v>901</v>
      </c>
      <c r="AJ396" s="69" t="str">
        <f>_xlfn.CONCAT("homeassistant/", Table2[[#This Row],[entity_namespace]], "/tasmota/",Table2[[#This Row],[unique_id]], "/config")</f>
        <v>homeassistant/switch/tasmota/rack_screen_plug/config</v>
      </c>
      <c r="AK396" s="69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96" s="69" t="str">
        <f>_xlfn.CONCAT("tasmota/device/",Table2[[#This Row],[unique_id]], "/cmnd/POWER")</f>
        <v>tasmota/device/rack_screen_plug/cmnd/POWER</v>
      </c>
      <c r="AM396" s="69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96" s="69" t="s">
        <v>920</v>
      </c>
      <c r="AO396" s="69" t="s">
        <v>921</v>
      </c>
      <c r="AP396" s="69" t="s">
        <v>910</v>
      </c>
      <c r="AQ396" s="69" t="s">
        <v>911</v>
      </c>
      <c r="AR396" s="69" t="s">
        <v>974</v>
      </c>
      <c r="AS396" s="69">
        <v>1</v>
      </c>
      <c r="AT396" s="76" t="str">
        <f>HYPERLINK(_xlfn.CONCAT("http://", Table2[[#This Row],[connection_ip]], "/?"))</f>
        <v>http://10.0.4.109/?</v>
      </c>
      <c r="AV396" s="6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96" s="6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96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96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69" t="str">
        <f>IF(ISBLANK(Table2[[#This Row],[device_model]]), "", Table2[[#This Row],[device_suggested_area]])</f>
        <v>Rack</v>
      </c>
      <c r="BB396" s="69" t="s">
        <v>1547</v>
      </c>
      <c r="BC396" s="74" t="s">
        <v>771</v>
      </c>
      <c r="BD396" s="69" t="s">
        <v>1115</v>
      </c>
      <c r="BF396" s="69" t="s">
        <v>891</v>
      </c>
      <c r="BG396" s="69" t="s">
        <v>28</v>
      </c>
      <c r="BK396" s="69" t="s">
        <v>1301</v>
      </c>
      <c r="BM396" s="30" t="s">
        <v>1548</v>
      </c>
      <c r="BN396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"10.0.4.109"]]</v>
      </c>
    </row>
    <row r="397" spans="1:67" ht="16" customHeight="1" x14ac:dyDescent="0.2">
      <c r="A397" s="30">
        <v>2617</v>
      </c>
      <c r="B397" s="30" t="s">
        <v>26</v>
      </c>
      <c r="C397" s="30" t="s">
        <v>697</v>
      </c>
      <c r="D397" s="30" t="s">
        <v>134</v>
      </c>
      <c r="E397" s="30" t="s">
        <v>892</v>
      </c>
      <c r="F397" s="36" t="str">
        <f>IF(ISBLANK(Table2[[#This Row],[unique_id]]), "", PROPER(SUBSTITUTE(Table2[[#This Row],[unique_id]], "_", " ")))</f>
        <v>Rack Fans Plug</v>
      </c>
      <c r="G397" s="30" t="s">
        <v>589</v>
      </c>
      <c r="H397" s="30" t="s">
        <v>527</v>
      </c>
      <c r="I397" s="30" t="s">
        <v>291</v>
      </c>
      <c r="M397" s="30" t="s">
        <v>257</v>
      </c>
      <c r="O397" s="31" t="s">
        <v>792</v>
      </c>
      <c r="P397" s="30"/>
      <c r="T397" s="37" t="s">
        <v>975</v>
      </c>
      <c r="U397" s="30"/>
      <c r="V397" s="31"/>
      <c r="W397" s="31"/>
      <c r="X397" s="31"/>
      <c r="Y397" s="31"/>
      <c r="Z397" s="31"/>
      <c r="AA397" s="31" t="s">
        <v>1114</v>
      </c>
      <c r="AB397" s="30"/>
      <c r="AC397" s="30"/>
      <c r="AE397" s="30" t="s">
        <v>591</v>
      </c>
      <c r="AF397" s="30">
        <v>10</v>
      </c>
      <c r="AG397" s="31" t="s">
        <v>34</v>
      </c>
      <c r="AH397" s="31" t="s">
        <v>901</v>
      </c>
      <c r="AJ397" s="30" t="str">
        <f>_xlfn.CONCAT("homeassistant/", Table2[[#This Row],[entity_namespace]], "/tasmota/",Table2[[#This Row],[unique_id]], "/config")</f>
        <v>homeassistant/switch/tasmota/rack_fans_plug/config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97" s="30" t="str">
        <f>_xlfn.CONCAT("tasmota/device/",Table2[[#This Row],[unique_id]], "/cmnd/POWER")</f>
        <v>tasmota/device/rack_fans_plug/cmnd/POWER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97" s="30" t="s">
        <v>920</v>
      </c>
      <c r="AO397" s="30" t="s">
        <v>921</v>
      </c>
      <c r="AP397" s="30" t="s">
        <v>910</v>
      </c>
      <c r="AQ397" s="30" t="s">
        <v>911</v>
      </c>
      <c r="AR397" s="30" t="s">
        <v>974</v>
      </c>
      <c r="AS397" s="30">
        <v>1</v>
      </c>
      <c r="AT397" s="34" t="str">
        <f>HYPERLINK(_xlfn.CONCAT("http://", Table2[[#This Row],[connection_ip]], "/?"))</f>
        <v>http://10.0.4.101/?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131</v>
      </c>
      <c r="BC397" s="39" t="s">
        <v>771</v>
      </c>
      <c r="BD397" s="30" t="s">
        <v>1115</v>
      </c>
      <c r="BF397" s="30" t="s">
        <v>891</v>
      </c>
      <c r="BG397" s="30" t="s">
        <v>28</v>
      </c>
      <c r="BK397" s="30" t="s">
        <v>1301</v>
      </c>
      <c r="BL397" s="30" t="s">
        <v>590</v>
      </c>
      <c r="BM397" s="30" t="s">
        <v>1356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98" spans="1:67" ht="16" customHeight="1" x14ac:dyDescent="0.2">
      <c r="A398" s="30">
        <v>2618</v>
      </c>
      <c r="B398" s="30" t="s">
        <v>26</v>
      </c>
      <c r="C398" s="30" t="s">
        <v>812</v>
      </c>
      <c r="D398" s="30" t="s">
        <v>148</v>
      </c>
      <c r="E398" s="37" t="s">
        <v>1432</v>
      </c>
      <c r="F398" s="36" t="str">
        <f>IF(ISBLANK(Table2[[#This Row],[unique_id]]), "", PROPER(SUBSTITUTE(Table2[[#This Row],[unique_id]], "_", " ")))</f>
        <v>Template Garden Sewerage Blower Plug Proxy</v>
      </c>
      <c r="G398" s="30" t="s">
        <v>1433</v>
      </c>
      <c r="H398" s="30" t="s">
        <v>527</v>
      </c>
      <c r="I398" s="30" t="s">
        <v>291</v>
      </c>
      <c r="O398" s="31" t="s">
        <v>792</v>
      </c>
      <c r="P398" s="30" t="s">
        <v>165</v>
      </c>
      <c r="Q398" s="30" t="s">
        <v>764</v>
      </c>
      <c r="R398" s="30" t="s">
        <v>527</v>
      </c>
      <c r="S398" s="30" t="str">
        <f>Table2[[#This Row],[friendly_name]]</f>
        <v>Garden Sewerage Blower</v>
      </c>
      <c r="T39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8" s="30"/>
      <c r="V398" s="31"/>
      <c r="W398" s="31"/>
      <c r="X398" s="31"/>
      <c r="Y398" s="31"/>
      <c r="Z398" s="31"/>
      <c r="AA398" s="31"/>
      <c r="AB398" s="30"/>
      <c r="AC398" s="30"/>
      <c r="AG398" s="31"/>
      <c r="AH398" s="31"/>
      <c r="AT398" s="40"/>
      <c r="AU398" s="30" t="s">
        <v>134</v>
      </c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577</v>
      </c>
      <c r="BB398" s="30" t="s">
        <v>1434</v>
      </c>
      <c r="BC398" s="30" t="s">
        <v>360</v>
      </c>
      <c r="BD398" s="30" t="s">
        <v>233</v>
      </c>
      <c r="BF398" s="30" t="s">
        <v>363</v>
      </c>
      <c r="BG398" s="30" t="s">
        <v>577</v>
      </c>
      <c r="BL398" s="36"/>
      <c r="BM398" s="36"/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7" ht="16" customHeight="1" x14ac:dyDescent="0.2">
      <c r="A399" s="30">
        <v>2619</v>
      </c>
      <c r="B399" s="30" t="s">
        <v>26</v>
      </c>
      <c r="C399" s="30" t="s">
        <v>233</v>
      </c>
      <c r="D399" s="30" t="s">
        <v>134</v>
      </c>
      <c r="E399" s="30" t="s">
        <v>1431</v>
      </c>
      <c r="F399" s="36" t="str">
        <f>IF(ISBLANK(Table2[[#This Row],[unique_id]]), "", PROPER(SUBSTITUTE(Table2[[#This Row],[unique_id]], "_", " ")))</f>
        <v>Garden Sewerage Blower Plug</v>
      </c>
      <c r="G399" s="30" t="s">
        <v>1433</v>
      </c>
      <c r="H399" s="30" t="s">
        <v>527</v>
      </c>
      <c r="I399" s="30" t="s">
        <v>291</v>
      </c>
      <c r="M399" s="30" t="s">
        <v>257</v>
      </c>
      <c r="O399" s="31" t="s">
        <v>792</v>
      </c>
      <c r="P399" s="30" t="s">
        <v>165</v>
      </c>
      <c r="Q399" s="30" t="s">
        <v>764</v>
      </c>
      <c r="R399" s="30" t="s">
        <v>527</v>
      </c>
      <c r="S399" s="30" t="str">
        <f>Table2[[#This Row],[friendly_name]]</f>
        <v>Garden Sewerage Blower</v>
      </c>
      <c r="T39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243</v>
      </c>
      <c r="AG399" s="31"/>
      <c r="AH399" s="31"/>
      <c r="AT399" s="40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">
        <v>577</v>
      </c>
      <c r="BB399" s="30" t="s">
        <v>1434</v>
      </c>
      <c r="BC399" s="30" t="s">
        <v>360</v>
      </c>
      <c r="BD399" s="30" t="s">
        <v>233</v>
      </c>
      <c r="BF399" s="30" t="s">
        <v>363</v>
      </c>
      <c r="BG399" s="30" t="s">
        <v>577</v>
      </c>
      <c r="BJ399" s="30" t="s">
        <v>982</v>
      </c>
      <c r="BK399" s="30" t="s">
        <v>1301</v>
      </c>
      <c r="BL399" s="36" t="s">
        <v>364</v>
      </c>
      <c r="BM399" s="36" t="s">
        <v>1322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400" spans="1:67" ht="16" customHeight="1" x14ac:dyDescent="0.2">
      <c r="A400" s="30">
        <v>2620</v>
      </c>
      <c r="B400" s="30" t="s">
        <v>26</v>
      </c>
      <c r="C400" s="30" t="s">
        <v>378</v>
      </c>
      <c r="D400" s="30" t="s">
        <v>134</v>
      </c>
      <c r="E400" s="39" t="s">
        <v>614</v>
      </c>
      <c r="F400" s="36" t="str">
        <f>IF(ISBLANK(Table2[[#This Row],[unique_id]]), "", PROPER(SUBSTITUTE(Table2[[#This Row],[unique_id]], "_", " ")))</f>
        <v>Deck Fans Outlet</v>
      </c>
      <c r="G400" s="30" t="s">
        <v>617</v>
      </c>
      <c r="H400" s="30" t="s">
        <v>527</v>
      </c>
      <c r="I400" s="30" t="s">
        <v>291</v>
      </c>
      <c r="M400" s="30" t="s">
        <v>257</v>
      </c>
      <c r="O400" s="31" t="s">
        <v>792</v>
      </c>
      <c r="P400" s="30" t="s">
        <v>165</v>
      </c>
      <c r="Q400" s="30" t="s">
        <v>764</v>
      </c>
      <c r="R400" s="30" t="s">
        <v>766</v>
      </c>
      <c r="S400" s="30" t="s">
        <v>823</v>
      </c>
      <c r="T400" s="37" t="s">
        <v>822</v>
      </c>
      <c r="U400" s="30"/>
      <c r="V400" s="31"/>
      <c r="W400" s="31" t="s">
        <v>490</v>
      </c>
      <c r="X400" s="31"/>
      <c r="Y400" s="42" t="s">
        <v>761</v>
      </c>
      <c r="Z400" s="31"/>
      <c r="AA400" s="31"/>
      <c r="AB400" s="30"/>
      <c r="AC400" s="30"/>
      <c r="AE400" s="30" t="s">
        <v>251</v>
      </c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400" s="37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Deck</v>
      </c>
      <c r="BA400" s="30" t="str">
        <f>IF(ISBLANK(Table2[[#This Row],[device_model]]), "", Table2[[#This Row],[device_suggested_area]])</f>
        <v>Deck</v>
      </c>
      <c r="BB400" s="37" t="s">
        <v>1019</v>
      </c>
      <c r="BC400" s="37" t="s">
        <v>619</v>
      </c>
      <c r="BD400" s="30" t="s">
        <v>378</v>
      </c>
      <c r="BF400" s="37" t="s">
        <v>620</v>
      </c>
      <c r="BG400" s="30" t="s">
        <v>358</v>
      </c>
      <c r="BL400" s="30" t="s">
        <v>621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401" spans="1:66" ht="16" customHeight="1" x14ac:dyDescent="0.2">
      <c r="A401" s="30">
        <v>2621</v>
      </c>
      <c r="B401" s="30" t="s">
        <v>26</v>
      </c>
      <c r="C401" s="30" t="s">
        <v>378</v>
      </c>
      <c r="D401" s="30" t="s">
        <v>134</v>
      </c>
      <c r="E401" s="39" t="s">
        <v>615</v>
      </c>
      <c r="F401" s="36" t="str">
        <f>IF(ISBLANK(Table2[[#This Row],[unique_id]]), "", PROPER(SUBSTITUTE(Table2[[#This Row],[unique_id]], "_", " ")))</f>
        <v>Kitchen Fan Outlet</v>
      </c>
      <c r="G401" s="30" t="s">
        <v>616</v>
      </c>
      <c r="H401" s="30" t="s">
        <v>527</v>
      </c>
      <c r="I401" s="30" t="s">
        <v>291</v>
      </c>
      <c r="M401" s="30" t="s">
        <v>257</v>
      </c>
      <c r="O401" s="31" t="s">
        <v>792</v>
      </c>
      <c r="P401" s="30" t="s">
        <v>165</v>
      </c>
      <c r="Q401" s="30" t="s">
        <v>764</v>
      </c>
      <c r="R401" s="30" t="s">
        <v>766</v>
      </c>
      <c r="S401" s="30" t="s">
        <v>823</v>
      </c>
      <c r="T401" s="37" t="s">
        <v>822</v>
      </c>
      <c r="U401" s="30"/>
      <c r="V401" s="31"/>
      <c r="W401" s="31" t="s">
        <v>490</v>
      </c>
      <c r="X401" s="31"/>
      <c r="Y401" s="42" t="s">
        <v>761</v>
      </c>
      <c r="Z401" s="31"/>
      <c r="AA401" s="31"/>
      <c r="AB401" s="30"/>
      <c r="AC401" s="30"/>
      <c r="AE401" s="30" t="s">
        <v>251</v>
      </c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401" s="37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Kitchen</v>
      </c>
      <c r="BA401" s="30" t="str">
        <f>IF(ISBLANK(Table2[[#This Row],[device_model]]), "", Table2[[#This Row],[device_suggested_area]])</f>
        <v>Kitchen</v>
      </c>
      <c r="BB401" s="37" t="s">
        <v>1020</v>
      </c>
      <c r="BC401" s="37" t="s">
        <v>619</v>
      </c>
      <c r="BD401" s="30" t="s">
        <v>378</v>
      </c>
      <c r="BF401" s="37" t="s">
        <v>620</v>
      </c>
      <c r="BG401" s="30" t="s">
        <v>206</v>
      </c>
      <c r="BL401" s="30" t="s">
        <v>622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402" spans="1:66" ht="16" customHeight="1" x14ac:dyDescent="0.2">
      <c r="A402" s="30">
        <v>2622</v>
      </c>
      <c r="B402" s="30" t="s">
        <v>26</v>
      </c>
      <c r="C402" s="30" t="s">
        <v>378</v>
      </c>
      <c r="D402" s="30" t="s">
        <v>134</v>
      </c>
      <c r="E402" s="39" t="s">
        <v>613</v>
      </c>
      <c r="F402" s="36" t="str">
        <f>IF(ISBLANK(Table2[[#This Row],[unique_id]]), "", PROPER(SUBSTITUTE(Table2[[#This Row],[unique_id]], "_", " ")))</f>
        <v>Edwin Wardrobe Outlet</v>
      </c>
      <c r="G402" s="30" t="s">
        <v>707</v>
      </c>
      <c r="H402" s="30" t="s">
        <v>527</v>
      </c>
      <c r="I402" s="30" t="s">
        <v>291</v>
      </c>
      <c r="M402" s="30" t="s">
        <v>257</v>
      </c>
      <c r="O402" s="31" t="s">
        <v>792</v>
      </c>
      <c r="P402" s="30" t="s">
        <v>165</v>
      </c>
      <c r="Q402" s="30" t="s">
        <v>764</v>
      </c>
      <c r="R402" s="30" t="s">
        <v>766</v>
      </c>
      <c r="S402" s="30" t="s">
        <v>823</v>
      </c>
      <c r="T402" s="37" t="s">
        <v>822</v>
      </c>
      <c r="U402" s="30"/>
      <c r="V402" s="31"/>
      <c r="W402" s="31" t="s">
        <v>490</v>
      </c>
      <c r="X402" s="31"/>
      <c r="Y402" s="42" t="s">
        <v>761</v>
      </c>
      <c r="Z402" s="42"/>
      <c r="AA402" s="42"/>
      <c r="AB402" s="30"/>
      <c r="AC402" s="30"/>
      <c r="AE402" s="30" t="s">
        <v>251</v>
      </c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402" s="37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edwin-wardrobe-outlet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Wardrobe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Edwin</v>
      </c>
      <c r="BA402" s="30" t="str">
        <f>IF(ISBLANK(Table2[[#This Row],[device_model]]), "", Table2[[#This Row],[device_suggested_area]])</f>
        <v>Edwin</v>
      </c>
      <c r="BB402" s="37" t="s">
        <v>1021</v>
      </c>
      <c r="BC402" s="37" t="s">
        <v>619</v>
      </c>
      <c r="BD402" s="30" t="s">
        <v>378</v>
      </c>
      <c r="BF402" s="37" t="s">
        <v>620</v>
      </c>
      <c r="BG402" s="30" t="s">
        <v>127</v>
      </c>
      <c r="BL402" s="30" t="s">
        <v>618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403" spans="1:66" ht="16" customHeight="1" x14ac:dyDescent="0.2">
      <c r="A403" s="30">
        <v>2623</v>
      </c>
      <c r="B403" s="30" t="s">
        <v>26</v>
      </c>
      <c r="C403" s="30" t="s">
        <v>451</v>
      </c>
      <c r="D403" s="30" t="s">
        <v>27</v>
      </c>
      <c r="E403" s="30" t="s">
        <v>818</v>
      </c>
      <c r="F403" s="36" t="str">
        <f>IF(ISBLANK(Table2[[#This Row],[unique_id]]), "", PROPER(SUBSTITUTE(Table2[[#This Row],[unique_id]], "_", " ")))</f>
        <v>Garden Repeater Linkquality</v>
      </c>
      <c r="G403" s="30" t="s">
        <v>701</v>
      </c>
      <c r="H403" s="30" t="s">
        <v>527</v>
      </c>
      <c r="I403" s="30" t="s">
        <v>291</v>
      </c>
      <c r="O403" s="31" t="s">
        <v>792</v>
      </c>
      <c r="P403" s="30" t="s">
        <v>165</v>
      </c>
      <c r="Q403" s="30" t="s">
        <v>764</v>
      </c>
      <c r="R403" s="30" t="s">
        <v>766</v>
      </c>
      <c r="S403" s="30" t="s">
        <v>823</v>
      </c>
      <c r="T403" s="37" t="s">
        <v>821</v>
      </c>
      <c r="U403" s="30"/>
      <c r="V403" s="31"/>
      <c r="W403" s="31" t="s">
        <v>490</v>
      </c>
      <c r="X403" s="31"/>
      <c r="Y403" s="42" t="s">
        <v>761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Garden</v>
      </c>
      <c r="BA403" s="30" t="str">
        <f>IF(ISBLANK(Table2[[#This Row],[device_model]]), "", Table2[[#This Row],[device_suggested_area]])</f>
        <v>Garden</v>
      </c>
      <c r="BB403" s="30" t="s">
        <v>993</v>
      </c>
      <c r="BC403" s="39" t="s">
        <v>699</v>
      </c>
      <c r="BD403" s="30" t="s">
        <v>451</v>
      </c>
      <c r="BF403" s="30" t="s">
        <v>698</v>
      </c>
      <c r="BG403" s="30" t="s">
        <v>577</v>
      </c>
      <c r="BL403" s="30" t="s">
        <v>700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4" spans="1:66" ht="16" customHeight="1" x14ac:dyDescent="0.2">
      <c r="A404" s="30">
        <v>2624</v>
      </c>
      <c r="B404" s="30" t="s">
        <v>26</v>
      </c>
      <c r="C404" s="30" t="s">
        <v>451</v>
      </c>
      <c r="D404" s="30" t="s">
        <v>27</v>
      </c>
      <c r="E404" s="30" t="s">
        <v>819</v>
      </c>
      <c r="F404" s="36" t="str">
        <f>IF(ISBLANK(Table2[[#This Row],[unique_id]]), "", PROPER(SUBSTITUTE(Table2[[#This Row],[unique_id]], "_", " ")))</f>
        <v>Landing Repeater Linkquality</v>
      </c>
      <c r="G404" s="30" t="s">
        <v>703</v>
      </c>
      <c r="H404" s="30" t="s">
        <v>527</v>
      </c>
      <c r="I404" s="30" t="s">
        <v>291</v>
      </c>
      <c r="O404" s="31" t="s">
        <v>792</v>
      </c>
      <c r="P404" s="30" t="s">
        <v>165</v>
      </c>
      <c r="Q404" s="30" t="s">
        <v>764</v>
      </c>
      <c r="R404" s="30" t="s">
        <v>766</v>
      </c>
      <c r="S404" s="30" t="s">
        <v>823</v>
      </c>
      <c r="T404" s="37" t="s">
        <v>821</v>
      </c>
      <c r="U404" s="30"/>
      <c r="V404" s="31"/>
      <c r="W404" s="31" t="s">
        <v>490</v>
      </c>
      <c r="X404" s="31"/>
      <c r="Y404" s="42" t="s">
        <v>761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Landing</v>
      </c>
      <c r="BA404" s="30" t="str">
        <f>IF(ISBLANK(Table2[[#This Row],[device_model]]), "", Table2[[#This Row],[device_suggested_area]])</f>
        <v>Landing</v>
      </c>
      <c r="BB404" s="30" t="s">
        <v>993</v>
      </c>
      <c r="BC404" s="39" t="s">
        <v>699</v>
      </c>
      <c r="BD404" s="30" t="s">
        <v>451</v>
      </c>
      <c r="BF404" s="30" t="s">
        <v>698</v>
      </c>
      <c r="BG404" s="30" t="s">
        <v>560</v>
      </c>
      <c r="BL404" s="30" t="s">
        <v>705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5" spans="1:66" ht="16" customHeight="1" x14ac:dyDescent="0.2">
      <c r="A405" s="30">
        <v>2625</v>
      </c>
      <c r="B405" s="30" t="s">
        <v>26</v>
      </c>
      <c r="C405" s="30" t="s">
        <v>451</v>
      </c>
      <c r="D405" s="30" t="s">
        <v>27</v>
      </c>
      <c r="E405" s="30" t="s">
        <v>820</v>
      </c>
      <c r="F405" s="36" t="str">
        <f>IF(ISBLANK(Table2[[#This Row],[unique_id]]), "", PROPER(SUBSTITUTE(Table2[[#This Row],[unique_id]], "_", " ")))</f>
        <v>Driveway Repeater Linkquality</v>
      </c>
      <c r="G405" s="30" t="s">
        <v>702</v>
      </c>
      <c r="H405" s="30" t="s">
        <v>527</v>
      </c>
      <c r="I405" s="30" t="s">
        <v>291</v>
      </c>
      <c r="O405" s="31" t="s">
        <v>792</v>
      </c>
      <c r="P405" s="30" t="s">
        <v>165</v>
      </c>
      <c r="Q405" s="30" t="s">
        <v>764</v>
      </c>
      <c r="R405" s="30" t="s">
        <v>766</v>
      </c>
      <c r="S405" s="30" t="s">
        <v>823</v>
      </c>
      <c r="T405" s="37" t="s">
        <v>821</v>
      </c>
      <c r="U405" s="30"/>
      <c r="V405" s="31"/>
      <c r="W405" s="31" t="s">
        <v>490</v>
      </c>
      <c r="X405" s="31"/>
      <c r="Y405" s="42" t="s">
        <v>761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Driveway</v>
      </c>
      <c r="BA405" s="30" t="str">
        <f>IF(ISBLANK(Table2[[#This Row],[device_model]]), "", Table2[[#This Row],[device_suggested_area]])</f>
        <v>Driveway</v>
      </c>
      <c r="BB405" s="30" t="s">
        <v>993</v>
      </c>
      <c r="BC405" s="39" t="s">
        <v>699</v>
      </c>
      <c r="BD405" s="30" t="s">
        <v>451</v>
      </c>
      <c r="BF405" s="30" t="s">
        <v>698</v>
      </c>
      <c r="BG405" s="30" t="s">
        <v>704</v>
      </c>
      <c r="BL405" s="30" t="s">
        <v>706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6" spans="1:66" ht="16" customHeight="1" x14ac:dyDescent="0.2">
      <c r="A406" s="30">
        <v>2626</v>
      </c>
      <c r="B406" s="30" t="s">
        <v>26</v>
      </c>
      <c r="C406" s="30" t="s">
        <v>150</v>
      </c>
      <c r="D406" s="30" t="s">
        <v>310</v>
      </c>
      <c r="E406" s="30" t="s">
        <v>890</v>
      </c>
      <c r="F406" s="36" t="str">
        <f>IF(ISBLANK(Table2[[#This Row],[unique_id]]), "", PROPER(SUBSTITUTE(Table2[[#This Row],[unique_id]], "_", " ")))</f>
        <v>Lighting Reset Adaptive Lighting All</v>
      </c>
      <c r="G406" s="30" t="s">
        <v>794</v>
      </c>
      <c r="H406" s="30" t="s">
        <v>545</v>
      </c>
      <c r="I406" s="30" t="s">
        <v>291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165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2627</v>
      </c>
      <c r="B407" s="30" t="s">
        <v>26</v>
      </c>
      <c r="C407" s="30" t="s">
        <v>150</v>
      </c>
      <c r="D407" s="30" t="s">
        <v>310</v>
      </c>
      <c r="E407" s="36" t="s">
        <v>532</v>
      </c>
      <c r="F407" s="36" t="str">
        <f>IF(ISBLANK(Table2[[#This Row],[unique_id]]), "", PROPER(SUBSTITUTE(Table2[[#This Row],[unique_id]], "_", " ")))</f>
        <v>Lighting Reset Adaptive Lighting Ada Lamp</v>
      </c>
      <c r="G407" s="36" t="s">
        <v>195</v>
      </c>
      <c r="H407" s="30" t="s">
        <v>545</v>
      </c>
      <c r="I407" s="30" t="s">
        <v>291</v>
      </c>
      <c r="J407" s="30" t="s">
        <v>531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32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130</v>
      </c>
      <c r="BI407" s="30" t="s">
        <v>689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2628</v>
      </c>
      <c r="B408" s="30" t="s">
        <v>26</v>
      </c>
      <c r="C408" s="30" t="s">
        <v>150</v>
      </c>
      <c r="D408" s="30" t="s">
        <v>310</v>
      </c>
      <c r="E408" s="36" t="s">
        <v>526</v>
      </c>
      <c r="F408" s="36" t="str">
        <f>IF(ISBLANK(Table2[[#This Row],[unique_id]]), "", PROPER(SUBSTITUTE(Table2[[#This Row],[unique_id]], "_", " ")))</f>
        <v>Lighting Reset Adaptive Lighting Edwin Lamp</v>
      </c>
      <c r="G408" s="36" t="s">
        <v>205</v>
      </c>
      <c r="H408" s="30" t="s">
        <v>545</v>
      </c>
      <c r="I408" s="30" t="s">
        <v>291</v>
      </c>
      <c r="J408" s="30" t="s">
        <v>531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127</v>
      </c>
      <c r="BI408" s="30" t="s">
        <v>689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2629</v>
      </c>
      <c r="B409" s="30" t="s">
        <v>26</v>
      </c>
      <c r="C409" s="30" t="s">
        <v>150</v>
      </c>
      <c r="D409" s="30" t="s">
        <v>310</v>
      </c>
      <c r="E409" s="36" t="s">
        <v>533</v>
      </c>
      <c r="F409" s="36" t="str">
        <f>IF(ISBLANK(Table2[[#This Row],[unique_id]]), "", PROPER(SUBSTITUTE(Table2[[#This Row],[unique_id]], "_", " ")))</f>
        <v>Lighting Reset Adaptive Lighting Edwin Night Light</v>
      </c>
      <c r="G409" s="36" t="s">
        <v>409</v>
      </c>
      <c r="H409" s="30" t="s">
        <v>545</v>
      </c>
      <c r="I409" s="30" t="s">
        <v>291</v>
      </c>
      <c r="J409" s="30" t="s">
        <v>544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127</v>
      </c>
      <c r="BI409" s="30" t="s">
        <v>689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2630</v>
      </c>
      <c r="B410" s="30" t="s">
        <v>26</v>
      </c>
      <c r="C410" s="30" t="s">
        <v>150</v>
      </c>
      <c r="D410" s="30" t="s">
        <v>310</v>
      </c>
      <c r="E410" s="36" t="s">
        <v>534</v>
      </c>
      <c r="F410" s="36" t="str">
        <f>IF(ISBLANK(Table2[[#This Row],[unique_id]]), "", PROPER(SUBSTITUTE(Table2[[#This Row],[unique_id]], "_", " ")))</f>
        <v>Lighting Reset Adaptive Lighting Hallway Main</v>
      </c>
      <c r="G410" s="36" t="s">
        <v>200</v>
      </c>
      <c r="H410" s="30" t="s">
        <v>545</v>
      </c>
      <c r="I410" s="30" t="s">
        <v>291</v>
      </c>
      <c r="J410" s="30" t="s">
        <v>552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405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2631</v>
      </c>
      <c r="B411" s="30" t="s">
        <v>26</v>
      </c>
      <c r="C411" s="30" t="s">
        <v>150</v>
      </c>
      <c r="D411" s="30" t="s">
        <v>310</v>
      </c>
      <c r="E411" s="36" t="s">
        <v>874</v>
      </c>
      <c r="F411" s="36" t="str">
        <f>IF(ISBLANK(Table2[[#This Row],[unique_id]]), "", PROPER(SUBSTITUTE(Table2[[#This Row],[unique_id]], "_", " ")))</f>
        <v>Lighting Reset Adaptive Lighting Hallway Sconces</v>
      </c>
      <c r="G411" s="36" t="s">
        <v>859</v>
      </c>
      <c r="H411" s="30" t="s">
        <v>545</v>
      </c>
      <c r="I411" s="30" t="s">
        <v>291</v>
      </c>
      <c r="J411" s="30" t="s">
        <v>875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405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2632</v>
      </c>
      <c r="B412" s="30" t="s">
        <v>26</v>
      </c>
      <c r="C412" s="30" t="s">
        <v>150</v>
      </c>
      <c r="D412" s="30" t="s">
        <v>310</v>
      </c>
      <c r="E412" s="36" t="s">
        <v>535</v>
      </c>
      <c r="F412" s="36" t="str">
        <f>IF(ISBLANK(Table2[[#This Row],[unique_id]]), "", PROPER(SUBSTITUTE(Table2[[#This Row],[unique_id]], "_", " ")))</f>
        <v>Lighting Reset Adaptive Lighting Dining Main</v>
      </c>
      <c r="G412" s="36" t="s">
        <v>138</v>
      </c>
      <c r="H412" s="30" t="s">
        <v>545</v>
      </c>
      <c r="I412" s="30" t="s">
        <v>291</v>
      </c>
      <c r="J412" s="30" t="s">
        <v>552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193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2633</v>
      </c>
      <c r="B413" s="30" t="s">
        <v>26</v>
      </c>
      <c r="C413" s="30" t="s">
        <v>150</v>
      </c>
      <c r="D413" s="30" t="s">
        <v>310</v>
      </c>
      <c r="E413" s="36" t="s">
        <v>536</v>
      </c>
      <c r="F413" s="36" t="str">
        <f>IF(ISBLANK(Table2[[#This Row],[unique_id]]), "", PROPER(SUBSTITUTE(Table2[[#This Row],[unique_id]], "_", " ")))</f>
        <v>Lighting Reset Adaptive Lighting Lounge Main</v>
      </c>
      <c r="G413" s="36" t="s">
        <v>207</v>
      </c>
      <c r="H413" s="30" t="s">
        <v>545</v>
      </c>
      <c r="I413" s="30" t="s">
        <v>291</v>
      </c>
      <c r="J413" s="30" t="s">
        <v>552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2634</v>
      </c>
      <c r="B414" s="30" t="s">
        <v>26</v>
      </c>
      <c r="C414" s="30" t="s">
        <v>150</v>
      </c>
      <c r="D414" s="30" t="s">
        <v>310</v>
      </c>
      <c r="E414" s="36" t="s">
        <v>587</v>
      </c>
      <c r="F414" s="36" t="str">
        <f>IF(ISBLANK(Table2[[#This Row],[unique_id]]), "", PROPER(SUBSTITUTE(Table2[[#This Row],[unique_id]], "_", " ")))</f>
        <v>Lighting Reset Adaptive Lighting Lounge Lamp</v>
      </c>
      <c r="G414" s="36" t="s">
        <v>557</v>
      </c>
      <c r="H414" s="30" t="s">
        <v>545</v>
      </c>
      <c r="I414" s="30" t="s">
        <v>291</v>
      </c>
      <c r="J414" s="30" t="s">
        <v>531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165</v>
      </c>
      <c r="BI414" s="30" t="s">
        <v>689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2635</v>
      </c>
      <c r="B415" s="30" t="s">
        <v>26</v>
      </c>
      <c r="C415" s="30" t="s">
        <v>150</v>
      </c>
      <c r="D415" s="30" t="s">
        <v>310</v>
      </c>
      <c r="E415" s="36" t="s">
        <v>537</v>
      </c>
      <c r="F415" s="36" t="str">
        <f>IF(ISBLANK(Table2[[#This Row],[unique_id]]), "", PROPER(SUBSTITUTE(Table2[[#This Row],[unique_id]], "_", " ")))</f>
        <v>Lighting Reset Adaptive Lighting Parents Main</v>
      </c>
      <c r="G415" s="36" t="s">
        <v>196</v>
      </c>
      <c r="H415" s="30" t="s">
        <v>545</v>
      </c>
      <c r="I415" s="30" t="s">
        <v>291</v>
      </c>
      <c r="J415" s="30" t="s">
        <v>552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2636</v>
      </c>
      <c r="B416" s="30" t="s">
        <v>26</v>
      </c>
      <c r="C416" s="30" t="s">
        <v>150</v>
      </c>
      <c r="D416" s="30" t="s">
        <v>310</v>
      </c>
      <c r="E416" s="36" t="s">
        <v>876</v>
      </c>
      <c r="F416" s="36" t="str">
        <f>IF(ISBLANK(Table2[[#This Row],[unique_id]]), "", PROPER(SUBSTITUTE(Table2[[#This Row],[unique_id]], "_", " ")))</f>
        <v>Lighting Reset Adaptive Lighting Parents Jane Bedside</v>
      </c>
      <c r="G416" s="36" t="s">
        <v>868</v>
      </c>
      <c r="H416" s="30" t="s">
        <v>545</v>
      </c>
      <c r="I416" s="30" t="s">
        <v>291</v>
      </c>
      <c r="J416" s="30" t="s">
        <v>878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2637</v>
      </c>
      <c r="B417" s="30" t="s">
        <v>26</v>
      </c>
      <c r="C417" s="30" t="s">
        <v>150</v>
      </c>
      <c r="D417" s="30" t="s">
        <v>310</v>
      </c>
      <c r="E417" s="36" t="s">
        <v>877</v>
      </c>
      <c r="F417" s="36" t="str">
        <f>IF(ISBLANK(Table2[[#This Row],[unique_id]]), "", PROPER(SUBSTITUTE(Table2[[#This Row],[unique_id]], "_", " ")))</f>
        <v>Lighting Reset Adaptive Lighting Parents Graham Bedside</v>
      </c>
      <c r="G417" s="36" t="s">
        <v>869</v>
      </c>
      <c r="H417" s="30" t="s">
        <v>545</v>
      </c>
      <c r="I417" s="30" t="s">
        <v>291</v>
      </c>
      <c r="J417" s="30" t="s">
        <v>879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192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2638</v>
      </c>
      <c r="B418" s="30" t="s">
        <v>26</v>
      </c>
      <c r="C418" s="30" t="s">
        <v>150</v>
      </c>
      <c r="D418" s="30" t="s">
        <v>310</v>
      </c>
      <c r="E418" s="36" t="s">
        <v>880</v>
      </c>
      <c r="F418" s="36" t="str">
        <f>IF(ISBLANK(Table2[[#This Row],[unique_id]]), "", PROPER(SUBSTITUTE(Table2[[#This Row],[unique_id]], "_", " ")))</f>
        <v>Lighting Reset Adaptive Lighting Study Lamp</v>
      </c>
      <c r="G418" s="36" t="s">
        <v>746</v>
      </c>
      <c r="H418" s="30" t="s">
        <v>545</v>
      </c>
      <c r="I418" s="30" t="s">
        <v>291</v>
      </c>
      <c r="J418" s="30" t="s">
        <v>531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357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2639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Kitchen Main</v>
      </c>
      <c r="G419" s="36" t="s">
        <v>202</v>
      </c>
      <c r="H419" s="30" t="s">
        <v>545</v>
      </c>
      <c r="I419" s="30" t="s">
        <v>291</v>
      </c>
      <c r="J419" s="30" t="s">
        <v>552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206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2640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Laundry Main</v>
      </c>
      <c r="G420" s="36" t="s">
        <v>204</v>
      </c>
      <c r="H420" s="30" t="s">
        <v>545</v>
      </c>
      <c r="I420" s="30" t="s">
        <v>291</v>
      </c>
      <c r="J420" s="30" t="s">
        <v>552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213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2641</v>
      </c>
      <c r="B421" s="30" t="s">
        <v>26</v>
      </c>
      <c r="C421" s="30" t="s">
        <v>150</v>
      </c>
      <c r="D421" s="30" t="s">
        <v>310</v>
      </c>
      <c r="E421" s="36" t="s">
        <v>540</v>
      </c>
      <c r="F421" s="36" t="str">
        <f>IF(ISBLANK(Table2[[#This Row],[unique_id]]), "", PROPER(SUBSTITUTE(Table2[[#This Row],[unique_id]], "_", " ")))</f>
        <v>Lighting Reset Adaptive Lighting Pantry Main</v>
      </c>
      <c r="G421" s="36" t="s">
        <v>203</v>
      </c>
      <c r="H421" s="30" t="s">
        <v>545</v>
      </c>
      <c r="I421" s="30" t="s">
        <v>291</v>
      </c>
      <c r="J421" s="30" t="s">
        <v>552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211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150</v>
      </c>
      <c r="D422" s="30" t="s">
        <v>310</v>
      </c>
      <c r="E422" s="36" t="s">
        <v>553</v>
      </c>
      <c r="F422" s="36" t="str">
        <f>IF(ISBLANK(Table2[[#This Row],[unique_id]]), "", PROPER(SUBSTITUTE(Table2[[#This Row],[unique_id]], "_", " ")))</f>
        <v>Lighting Reset Adaptive Lighting Office Main</v>
      </c>
      <c r="G422" s="36" t="s">
        <v>199</v>
      </c>
      <c r="H422" s="30" t="s">
        <v>545</v>
      </c>
      <c r="I422" s="30" t="s">
        <v>291</v>
      </c>
      <c r="J422" s="30" t="s">
        <v>552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212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2643</v>
      </c>
      <c r="B423" s="30" t="s">
        <v>26</v>
      </c>
      <c r="C423" s="30" t="s">
        <v>150</v>
      </c>
      <c r="D423" s="30" t="s">
        <v>310</v>
      </c>
      <c r="E423" s="36" t="s">
        <v>541</v>
      </c>
      <c r="F423" s="36" t="str">
        <f>IF(ISBLANK(Table2[[#This Row],[unique_id]]), "", PROPER(SUBSTITUTE(Table2[[#This Row],[unique_id]], "_", " ")))</f>
        <v>Lighting Reset Adaptive Lighting Bathroom Main</v>
      </c>
      <c r="G423" s="36" t="s">
        <v>198</v>
      </c>
      <c r="H423" s="30" t="s">
        <v>545</v>
      </c>
      <c r="I423" s="30" t="s">
        <v>291</v>
      </c>
      <c r="J423" s="30" t="s">
        <v>552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359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2644</v>
      </c>
      <c r="B424" s="30" t="s">
        <v>26</v>
      </c>
      <c r="C424" s="30" t="s">
        <v>150</v>
      </c>
      <c r="D424" s="30" t="s">
        <v>310</v>
      </c>
      <c r="E424" s="36" t="s">
        <v>881</v>
      </c>
      <c r="F424" s="36" t="str">
        <f>IF(ISBLANK(Table2[[#This Row],[unique_id]]), "", PROPER(SUBSTITUTE(Table2[[#This Row],[unique_id]], "_", " ")))</f>
        <v>Lighting Reset Adaptive Lighting Bathroom Sconces</v>
      </c>
      <c r="G424" s="36" t="s">
        <v>865</v>
      </c>
      <c r="H424" s="30" t="s">
        <v>545</v>
      </c>
      <c r="I424" s="30" t="s">
        <v>291</v>
      </c>
      <c r="J424" s="30" t="s">
        <v>875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359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2645</v>
      </c>
      <c r="B425" s="30" t="s">
        <v>26</v>
      </c>
      <c r="C425" s="30" t="s">
        <v>150</v>
      </c>
      <c r="D425" s="30" t="s">
        <v>310</v>
      </c>
      <c r="E425" s="36" t="s">
        <v>542</v>
      </c>
      <c r="F425" s="36" t="str">
        <f>IF(ISBLANK(Table2[[#This Row],[unique_id]]), "", PROPER(SUBSTITUTE(Table2[[#This Row],[unique_id]], "_", " ")))</f>
        <v>Lighting Reset Adaptive Lighting Ensuite Main</v>
      </c>
      <c r="G425" s="36" t="s">
        <v>197</v>
      </c>
      <c r="H425" s="30" t="s">
        <v>545</v>
      </c>
      <c r="I425" s="30" t="s">
        <v>291</v>
      </c>
      <c r="J425" s="30" t="s">
        <v>552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395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2646</v>
      </c>
      <c r="B426" s="30" t="s">
        <v>26</v>
      </c>
      <c r="C426" s="30" t="s">
        <v>150</v>
      </c>
      <c r="D426" s="30" t="s">
        <v>310</v>
      </c>
      <c r="E426" s="36" t="s">
        <v>882</v>
      </c>
      <c r="F426" s="36" t="str">
        <f>IF(ISBLANK(Table2[[#This Row],[unique_id]]), "", PROPER(SUBSTITUTE(Table2[[#This Row],[unique_id]], "_", " ")))</f>
        <v>Lighting Reset Adaptive Lighting Ensuite Sconces</v>
      </c>
      <c r="G426" s="36" t="s">
        <v>848</v>
      </c>
      <c r="H426" s="30" t="s">
        <v>545</v>
      </c>
      <c r="I426" s="30" t="s">
        <v>291</v>
      </c>
      <c r="J426" s="30" t="s">
        <v>875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2647</v>
      </c>
      <c r="B427" s="30" t="s">
        <v>26</v>
      </c>
      <c r="C427" s="30" t="s">
        <v>150</v>
      </c>
      <c r="D427" s="30" t="s">
        <v>310</v>
      </c>
      <c r="E427" s="36" t="s">
        <v>543</v>
      </c>
      <c r="F427" s="36" t="str">
        <f>IF(ISBLANK(Table2[[#This Row],[unique_id]]), "", PROPER(SUBSTITUTE(Table2[[#This Row],[unique_id]], "_", " ")))</f>
        <v>Lighting Reset Adaptive Lighting Wardrobe Main</v>
      </c>
      <c r="G427" s="36" t="s">
        <v>201</v>
      </c>
      <c r="H427" s="30" t="s">
        <v>545</v>
      </c>
      <c r="I427" s="30" t="s">
        <v>291</v>
      </c>
      <c r="J427" s="30" t="s">
        <v>552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496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2670</v>
      </c>
      <c r="B428" s="30" t="s">
        <v>26</v>
      </c>
      <c r="C428" s="30" t="s">
        <v>235</v>
      </c>
      <c r="D428" s="30" t="s">
        <v>145</v>
      </c>
      <c r="E428" s="30" t="s">
        <v>146</v>
      </c>
      <c r="F428" s="36" t="str">
        <f>IF(ISBLANK(Table2[[#This Row],[unique_id]]), "", PROPER(SUBSTITUTE(Table2[[#This Row],[unique_id]], "_", " ")))</f>
        <v>Ada Home</v>
      </c>
      <c r="G428" s="30" t="s">
        <v>185</v>
      </c>
      <c r="H428" s="30" t="s">
        <v>749</v>
      </c>
      <c r="I428" s="30" t="s">
        <v>144</v>
      </c>
      <c r="M428" s="30" t="s">
        <v>136</v>
      </c>
      <c r="N428" s="30" t="s">
        <v>270</v>
      </c>
      <c r="O428" s="31" t="s">
        <v>792</v>
      </c>
      <c r="P428" s="30" t="s">
        <v>165</v>
      </c>
      <c r="Q428" s="30" t="s">
        <v>764</v>
      </c>
      <c r="R428" s="41" t="s">
        <v>749</v>
      </c>
      <c r="S428" s="30" t="str">
        <f>_xlfn.CONCAT( Table2[[#This Row],[friendly_name]], " Devices")</f>
        <v>Ada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Ada</v>
      </c>
      <c r="BB428" s="30" t="s">
        <v>165</v>
      </c>
      <c r="BC428" s="30" t="s">
        <v>392</v>
      </c>
      <c r="BD428" s="30" t="s">
        <v>235</v>
      </c>
      <c r="BF428" s="30" t="s">
        <v>1048</v>
      </c>
      <c r="BG428" s="30" t="s">
        <v>130</v>
      </c>
      <c r="BK428" s="30" t="s">
        <v>1300</v>
      </c>
      <c r="BL428" s="41" t="s">
        <v>421</v>
      </c>
      <c r="BM428" s="39" t="s">
        <v>1302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9" spans="1:66" ht="16" customHeight="1" x14ac:dyDescent="0.2">
      <c r="A429" s="30">
        <v>2671</v>
      </c>
      <c r="B429" s="30" t="s">
        <v>26</v>
      </c>
      <c r="C429" s="30" t="s">
        <v>235</v>
      </c>
      <c r="D429" s="30" t="s">
        <v>145</v>
      </c>
      <c r="E429" s="30" t="s">
        <v>258</v>
      </c>
      <c r="F429" s="36" t="str">
        <f>IF(ISBLANK(Table2[[#This Row],[unique_id]]), "", PROPER(SUBSTITUTE(Table2[[#This Row],[unique_id]], "_", " ")))</f>
        <v>Edwin Home</v>
      </c>
      <c r="G429" s="30" t="s">
        <v>259</v>
      </c>
      <c r="H429" s="30" t="s">
        <v>749</v>
      </c>
      <c r="I429" s="30" t="s">
        <v>144</v>
      </c>
      <c r="M429" s="30" t="s">
        <v>136</v>
      </c>
      <c r="N429" s="30" t="s">
        <v>270</v>
      </c>
      <c r="O429" s="31" t="s">
        <v>792</v>
      </c>
      <c r="P429" s="30" t="s">
        <v>165</v>
      </c>
      <c r="Q429" s="30" t="s">
        <v>764</v>
      </c>
      <c r="R429" s="41" t="s">
        <v>749</v>
      </c>
      <c r="S429" s="30" t="str">
        <f>_xlfn.CONCAT( Table2[[#This Row],[friendly_name]], " Devices")</f>
        <v>Edwin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Edwin</v>
      </c>
      <c r="BB429" s="30" t="s">
        <v>165</v>
      </c>
      <c r="BC429" s="30" t="s">
        <v>392</v>
      </c>
      <c r="BD429" s="30" t="s">
        <v>235</v>
      </c>
      <c r="BF429" s="30" t="s">
        <v>1048</v>
      </c>
      <c r="BG429" s="30" t="s">
        <v>127</v>
      </c>
      <c r="BK429" s="30" t="s">
        <v>1300</v>
      </c>
      <c r="BL429" s="41" t="s">
        <v>420</v>
      </c>
      <c r="BM429" s="39" t="s">
        <v>1303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0" spans="1:66" ht="16" customHeight="1" x14ac:dyDescent="0.2">
      <c r="A430" s="30">
        <v>2672</v>
      </c>
      <c r="B430" s="30" t="s">
        <v>26</v>
      </c>
      <c r="C430" s="30" t="s">
        <v>235</v>
      </c>
      <c r="D430" s="30" t="s">
        <v>145</v>
      </c>
      <c r="E430" s="30" t="s">
        <v>266</v>
      </c>
      <c r="F430" s="36" t="str">
        <f>IF(ISBLANK(Table2[[#This Row],[unique_id]]), "", PROPER(SUBSTITUTE(Table2[[#This Row],[unique_id]], "_", " ")))</f>
        <v>Parents Home</v>
      </c>
      <c r="G430" s="30" t="s">
        <v>260</v>
      </c>
      <c r="H430" s="30" t="s">
        <v>749</v>
      </c>
      <c r="I430" s="30" t="s">
        <v>144</v>
      </c>
      <c r="M430" s="30" t="s">
        <v>136</v>
      </c>
      <c r="N430" s="30" t="s">
        <v>270</v>
      </c>
      <c r="O430" s="31" t="s">
        <v>792</v>
      </c>
      <c r="P430" s="30" t="s">
        <v>165</v>
      </c>
      <c r="Q430" s="30" t="s">
        <v>764</v>
      </c>
      <c r="R430" s="41" t="s">
        <v>749</v>
      </c>
      <c r="S430" s="30" t="str">
        <f>_xlfn.CONCAT( Table2[[#This Row],[friendly_name]], " Devices")</f>
        <v>Parents Home Devices</v>
      </c>
      <c r="T430" s="37" t="s">
        <v>774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Parents</v>
      </c>
      <c r="BB430" s="30" t="s">
        <v>165</v>
      </c>
      <c r="BC430" s="30" t="s">
        <v>1042</v>
      </c>
      <c r="BD430" s="30" t="s">
        <v>235</v>
      </c>
      <c r="BF430" s="30" t="s">
        <v>1049</v>
      </c>
      <c r="BG430" s="30" t="s">
        <v>192</v>
      </c>
      <c r="BK430" s="30" t="s">
        <v>1300</v>
      </c>
      <c r="BL430" s="41" t="s">
        <v>639</v>
      </c>
      <c r="BM430" s="39" t="s">
        <v>1304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1" spans="1:66" ht="16" customHeight="1" x14ac:dyDescent="0.2">
      <c r="A431" s="30">
        <v>2673</v>
      </c>
      <c r="B431" s="30" t="s">
        <v>26</v>
      </c>
      <c r="C431" s="30" t="s">
        <v>235</v>
      </c>
      <c r="D431" s="30" t="s">
        <v>145</v>
      </c>
      <c r="E431" s="30" t="s">
        <v>262</v>
      </c>
      <c r="F431" s="36" t="str">
        <f>IF(ISBLANK(Table2[[#This Row],[unique_id]]), "", PROPER(SUBSTITUTE(Table2[[#This Row],[unique_id]], "_", " ")))</f>
        <v>Kitchen Home</v>
      </c>
      <c r="G431" s="30" t="s">
        <v>261</v>
      </c>
      <c r="H431" s="30" t="s">
        <v>749</v>
      </c>
      <c r="I431" s="30" t="s">
        <v>144</v>
      </c>
      <c r="M431" s="30" t="s">
        <v>136</v>
      </c>
      <c r="N431" s="30" t="s">
        <v>270</v>
      </c>
      <c r="O431" s="31" t="s">
        <v>792</v>
      </c>
      <c r="P431" s="30" t="s">
        <v>165</v>
      </c>
      <c r="Q431" s="30" t="s">
        <v>764</v>
      </c>
      <c r="R431" s="41" t="s">
        <v>749</v>
      </c>
      <c r="S431" s="30" t="str">
        <f>_xlfn.CONCAT( Table2[[#This Row],[friendly_name]], " Devices")</f>
        <v>Kitchen Home Devices</v>
      </c>
      <c r="T431" s="37" t="s">
        <v>774</v>
      </c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165</v>
      </c>
      <c r="BC431" s="30" t="s">
        <v>1042</v>
      </c>
      <c r="BD431" s="30" t="s">
        <v>235</v>
      </c>
      <c r="BF431" s="30" t="s">
        <v>1049</v>
      </c>
      <c r="BG431" s="30" t="s">
        <v>206</v>
      </c>
      <c r="BK431" s="30" t="s">
        <v>1300</v>
      </c>
      <c r="BL431" s="41" t="s">
        <v>734</v>
      </c>
      <c r="BM431" s="39" t="s">
        <v>1305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2" spans="1:66" ht="16" customHeight="1" x14ac:dyDescent="0.2">
      <c r="A432" s="30">
        <v>2674</v>
      </c>
      <c r="B432" s="30" t="s">
        <v>26</v>
      </c>
      <c r="C432" s="30" t="s">
        <v>235</v>
      </c>
      <c r="D432" s="30" t="s">
        <v>145</v>
      </c>
      <c r="E432" s="30" t="s">
        <v>609</v>
      </c>
      <c r="F432" s="36" t="str">
        <f>IF(ISBLANK(Table2[[#This Row],[unique_id]]), "", PROPER(SUBSTITUTE(Table2[[#This Row],[unique_id]], "_", " ")))</f>
        <v>Office Home</v>
      </c>
      <c r="G432" s="30" t="s">
        <v>610</v>
      </c>
      <c r="H432" s="30" t="s">
        <v>749</v>
      </c>
      <c r="I432" s="30" t="s">
        <v>144</v>
      </c>
      <c r="M432" s="30" t="s">
        <v>136</v>
      </c>
      <c r="N432" s="30" t="s">
        <v>270</v>
      </c>
      <c r="O432" s="31" t="s">
        <v>792</v>
      </c>
      <c r="P432" s="30" t="s">
        <v>165</v>
      </c>
      <c r="Q432" s="30" t="s">
        <v>764</v>
      </c>
      <c r="R432" s="41" t="s">
        <v>749</v>
      </c>
      <c r="S432" s="30" t="str">
        <f>_xlfn.CONCAT( Table2[[#This Row],[friendly_name]], " Devices")</f>
        <v>Office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Office</v>
      </c>
      <c r="BB432" s="30" t="s">
        <v>165</v>
      </c>
      <c r="BC432" s="30" t="s">
        <v>392</v>
      </c>
      <c r="BD432" s="30" t="s">
        <v>235</v>
      </c>
      <c r="BF432" s="30" t="s">
        <v>1048</v>
      </c>
      <c r="BG432" s="30" t="s">
        <v>212</v>
      </c>
      <c r="BK432" s="30" t="s">
        <v>1300</v>
      </c>
      <c r="BL432" s="41" t="s">
        <v>418</v>
      </c>
      <c r="BM432" s="39" t="s">
        <v>1306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3" spans="1:66" ht="16" customHeight="1" x14ac:dyDescent="0.2">
      <c r="A433" s="30">
        <v>2675</v>
      </c>
      <c r="B433" s="30" t="s">
        <v>26</v>
      </c>
      <c r="C433" s="30" t="s">
        <v>235</v>
      </c>
      <c r="D433" s="30" t="s">
        <v>145</v>
      </c>
      <c r="E433" s="30" t="s">
        <v>642</v>
      </c>
      <c r="F433" s="36" t="str">
        <f>IF(ISBLANK(Table2[[#This Row],[unique_id]]), "", PROPER(SUBSTITUTE(Table2[[#This Row],[unique_id]], "_", " ")))</f>
        <v>Lounge Home</v>
      </c>
      <c r="G433" s="30" t="s">
        <v>643</v>
      </c>
      <c r="H433" s="30" t="s">
        <v>749</v>
      </c>
      <c r="I433" s="30" t="s">
        <v>144</v>
      </c>
      <c r="M433" s="30" t="s">
        <v>136</v>
      </c>
      <c r="N433" s="30" t="s">
        <v>270</v>
      </c>
      <c r="O433" s="31" t="s">
        <v>792</v>
      </c>
      <c r="P433" s="30" t="s">
        <v>165</v>
      </c>
      <c r="Q433" s="30" t="s">
        <v>764</v>
      </c>
      <c r="R433" s="41" t="s">
        <v>749</v>
      </c>
      <c r="S433" s="30" t="str">
        <f>_xlfn.CONCAT( Table2[[#This Row],[friendly_name]], " Devices")</f>
        <v>Lounge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165</v>
      </c>
      <c r="BC433" s="30" t="s">
        <v>392</v>
      </c>
      <c r="BD433" s="30" t="s">
        <v>235</v>
      </c>
      <c r="BF433" s="30" t="s">
        <v>1048</v>
      </c>
      <c r="BG433" s="30" t="s">
        <v>194</v>
      </c>
      <c r="BK433" s="30" t="s">
        <v>1300</v>
      </c>
      <c r="BL433" s="41" t="s">
        <v>419</v>
      </c>
      <c r="BM433" s="39" t="s">
        <v>1307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4" spans="1:66" ht="16" customHeight="1" x14ac:dyDescent="0.2">
      <c r="A434" s="30">
        <v>2676</v>
      </c>
      <c r="B434" s="30" t="s">
        <v>26</v>
      </c>
      <c r="C434" s="30" t="s">
        <v>235</v>
      </c>
      <c r="D434" s="30" t="s">
        <v>145</v>
      </c>
      <c r="E434" s="30" t="s">
        <v>824</v>
      </c>
      <c r="F434" s="36" t="str">
        <f>IF(ISBLANK(Table2[[#This Row],[unique_id]]), "", PROPER(SUBSTITUTE(Table2[[#This Row],[unique_id]], "_", " ")))</f>
        <v>Ada Tablet</v>
      </c>
      <c r="G434" s="30" t="s">
        <v>825</v>
      </c>
      <c r="H434" s="30" t="s">
        <v>749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Lounge</v>
      </c>
      <c r="BB434" s="30" t="s">
        <v>825</v>
      </c>
      <c r="BC434" s="30" t="s">
        <v>1050</v>
      </c>
      <c r="BD434" s="30" t="s">
        <v>235</v>
      </c>
      <c r="BF434" s="30" t="s">
        <v>827</v>
      </c>
      <c r="BG434" s="30" t="s">
        <v>194</v>
      </c>
      <c r="BK434" s="30" t="s">
        <v>1300</v>
      </c>
      <c r="BL434" s="41" t="s">
        <v>1279</v>
      </c>
      <c r="BM434" s="39" t="s">
        <v>1308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5" spans="1:66" ht="16" customHeight="1" x14ac:dyDescent="0.2">
      <c r="A435" s="30">
        <v>2677</v>
      </c>
      <c r="B435" s="30" t="s">
        <v>26</v>
      </c>
      <c r="C435" s="30" t="s">
        <v>235</v>
      </c>
      <c r="D435" s="30" t="s">
        <v>145</v>
      </c>
      <c r="E435" s="30" t="s">
        <v>828</v>
      </c>
      <c r="F435" s="36" t="str">
        <f>IF(ISBLANK(Table2[[#This Row],[unique_id]]), "", PROPER(SUBSTITUTE(Table2[[#This Row],[unique_id]], "_", " ")))</f>
        <v>Edwin Tablet</v>
      </c>
      <c r="G435" s="30" t="s">
        <v>829</v>
      </c>
      <c r="H435" s="30" t="s">
        <v>749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829</v>
      </c>
      <c r="BC435" s="30" t="s">
        <v>1050</v>
      </c>
      <c r="BD435" s="30" t="s">
        <v>235</v>
      </c>
      <c r="BF435" s="30" t="s">
        <v>827</v>
      </c>
      <c r="BG435" s="30" t="s">
        <v>206</v>
      </c>
      <c r="BK435" s="30" t="s">
        <v>1300</v>
      </c>
      <c r="BL435" s="41" t="s">
        <v>1280</v>
      </c>
      <c r="BM435" s="39" t="s">
        <v>1311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6" spans="1:66" ht="16" customHeight="1" x14ac:dyDescent="0.2">
      <c r="A436" s="30">
        <v>2678</v>
      </c>
      <c r="B436" s="30" t="s">
        <v>26</v>
      </c>
      <c r="C436" s="30" t="s">
        <v>581</v>
      </c>
      <c r="D436" s="30" t="s">
        <v>145</v>
      </c>
      <c r="E436" s="30" t="s">
        <v>606</v>
      </c>
      <c r="F436" s="36" t="str">
        <f>IF(ISBLANK(Table2[[#This Row],[unique_id]]), "", PROPER(SUBSTITUTE(Table2[[#This Row],[unique_id]], "_", " ")))</f>
        <v>Lg Webos Smart Tv</v>
      </c>
      <c r="G436" s="30" t="s">
        <v>180</v>
      </c>
      <c r="H436" s="30" t="s">
        <v>749</v>
      </c>
      <c r="I436" s="30" t="s">
        <v>144</v>
      </c>
      <c r="M436" s="30" t="s">
        <v>136</v>
      </c>
      <c r="N436" s="30" t="s">
        <v>270</v>
      </c>
      <c r="O436" s="31"/>
      <c r="P436" s="30"/>
      <c r="R436" s="41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985</v>
      </c>
      <c r="BC436" s="30" t="s">
        <v>584</v>
      </c>
      <c r="BD436" s="30" t="s">
        <v>581</v>
      </c>
      <c r="BF436" s="30" t="s">
        <v>583</v>
      </c>
      <c r="BG436" s="30" t="s">
        <v>194</v>
      </c>
      <c r="BK436" s="30" t="s">
        <v>1300</v>
      </c>
      <c r="BL436" s="41" t="s">
        <v>582</v>
      </c>
      <c r="BM436" s="39" t="s">
        <v>1309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7" spans="1:66" ht="16" customHeight="1" x14ac:dyDescent="0.2">
      <c r="A437" s="30">
        <v>2679</v>
      </c>
      <c r="B437" s="30" t="s">
        <v>580</v>
      </c>
      <c r="C437" s="30" t="s">
        <v>264</v>
      </c>
      <c r="D437" s="30" t="s">
        <v>145</v>
      </c>
      <c r="E437" s="30" t="s">
        <v>265</v>
      </c>
      <c r="F437" s="36" t="str">
        <f>IF(ISBLANK(Table2[[#This Row],[unique_id]]), "", PROPER(SUBSTITUTE(Table2[[#This Row],[unique_id]], "_", " ")))</f>
        <v>Parents Tv</v>
      </c>
      <c r="G437" s="30" t="s">
        <v>263</v>
      </c>
      <c r="H437" s="30" t="s">
        <v>749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985</v>
      </c>
      <c r="BC437" s="30" t="s">
        <v>1043</v>
      </c>
      <c r="BD437" s="30" t="s">
        <v>264</v>
      </c>
      <c r="BF437" s="30" t="s">
        <v>398</v>
      </c>
      <c r="BG437" s="30" t="s">
        <v>192</v>
      </c>
      <c r="BK437" s="30" t="s">
        <v>1300</v>
      </c>
      <c r="BL437" s="41" t="s">
        <v>400</v>
      </c>
      <c r="BM437" s="39" t="s">
        <v>1310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8" spans="1:66" ht="16" customHeight="1" x14ac:dyDescent="0.2">
      <c r="A438" s="30">
        <v>2680</v>
      </c>
      <c r="B438" s="30" t="s">
        <v>580</v>
      </c>
      <c r="C438" s="30" t="s">
        <v>235</v>
      </c>
      <c r="D438" s="30" t="s">
        <v>145</v>
      </c>
      <c r="E438" s="30" t="s">
        <v>687</v>
      </c>
      <c r="F438" s="36" t="str">
        <f>IF(ISBLANK(Table2[[#This Row],[unique_id]]), "", PROPER(SUBSTITUTE(Table2[[#This Row],[unique_id]], "_", " ")))</f>
        <v>Office Tv</v>
      </c>
      <c r="G438" s="30" t="s">
        <v>688</v>
      </c>
      <c r="H438" s="30" t="s">
        <v>749</v>
      </c>
      <c r="I438" s="30" t="s">
        <v>144</v>
      </c>
      <c r="M438" s="30" t="s">
        <v>136</v>
      </c>
      <c r="N438" s="30" t="s">
        <v>270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Office</v>
      </c>
      <c r="BB438" s="30" t="s">
        <v>985</v>
      </c>
      <c r="BC438" s="30" t="s">
        <v>393</v>
      </c>
      <c r="BD438" s="30" t="s">
        <v>235</v>
      </c>
      <c r="BF438" s="30" t="s">
        <v>394</v>
      </c>
      <c r="BG438" s="30" t="s">
        <v>212</v>
      </c>
      <c r="BK438" s="30" t="s">
        <v>1300</v>
      </c>
      <c r="BL438" s="41" t="s">
        <v>422</v>
      </c>
      <c r="BM438" s="39" t="s">
        <v>1312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9" spans="1:66" ht="16" customHeight="1" x14ac:dyDescent="0.2">
      <c r="A439" s="30">
        <v>2681</v>
      </c>
      <c r="B439" s="30" t="s">
        <v>26</v>
      </c>
      <c r="C439" s="30" t="s">
        <v>441</v>
      </c>
      <c r="D439" s="30" t="s">
        <v>333</v>
      </c>
      <c r="E439" s="30" t="s">
        <v>332</v>
      </c>
      <c r="F439" s="36" t="str">
        <f>IF(ISBLANK(Table2[[#This Row],[unique_id]]), "", PROPER(SUBSTITUTE(Table2[[#This Row],[unique_id]], "_", " ")))</f>
        <v>Column Break</v>
      </c>
      <c r="G439" s="30" t="s">
        <v>329</v>
      </c>
      <c r="H439" s="30" t="s">
        <v>749</v>
      </c>
      <c r="I439" s="30" t="s">
        <v>144</v>
      </c>
      <c r="M439" s="30" t="s">
        <v>330</v>
      </c>
      <c r="N439" s="30" t="s">
        <v>331</v>
      </c>
      <c r="O439" s="31"/>
      <c r="P439" s="30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/>
      </c>
      <c r="BF439" s="31"/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0" spans="1:66" ht="16" customHeight="1" x14ac:dyDescent="0.2">
      <c r="A440" s="30">
        <v>2682</v>
      </c>
      <c r="B440" s="30" t="s">
        <v>26</v>
      </c>
      <c r="C440" s="30" t="s">
        <v>182</v>
      </c>
      <c r="D440" s="30" t="s">
        <v>145</v>
      </c>
      <c r="E440" s="30" t="s">
        <v>738</v>
      </c>
      <c r="F440" s="36" t="str">
        <f>IF(ISBLANK(Table2[[#This Row],[unique_id]]), "", PROPER(SUBSTITUTE(Table2[[#This Row],[unique_id]], "_", " ")))</f>
        <v>Lounge Arc</v>
      </c>
      <c r="G440" s="30" t="s">
        <v>741</v>
      </c>
      <c r="H440" s="30" t="s">
        <v>749</v>
      </c>
      <c r="I440" s="30" t="s">
        <v>144</v>
      </c>
      <c r="M440" s="30" t="s">
        <v>136</v>
      </c>
      <c r="N440" s="30" t="s">
        <v>270</v>
      </c>
      <c r="O440" s="31" t="s">
        <v>792</v>
      </c>
      <c r="P440" s="30"/>
      <c r="R440" s="41"/>
      <c r="T440" s="37" t="str">
        <f>_xlfn.CONCAT("name: ", Table2[[#This Row],[friendly_name]])</f>
        <v>name: Lounge Arc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585</v>
      </c>
      <c r="BC440" s="30" t="s">
        <v>1046</v>
      </c>
      <c r="BD440" s="30" t="s">
        <v>182</v>
      </c>
      <c r="BF440" s="30">
        <v>15.4</v>
      </c>
      <c r="BG440" s="30" t="s">
        <v>194</v>
      </c>
      <c r="BK440" s="30" t="s">
        <v>1300</v>
      </c>
      <c r="BL440" s="30" t="s">
        <v>586</v>
      </c>
      <c r="BM440" s="39" t="s">
        <v>1313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1" spans="1:66" ht="16" customHeight="1" x14ac:dyDescent="0.2">
      <c r="A441" s="30">
        <v>2683</v>
      </c>
      <c r="B441" s="30" t="s">
        <v>580</v>
      </c>
      <c r="C441" s="30" t="s">
        <v>812</v>
      </c>
      <c r="D441" s="30" t="s">
        <v>148</v>
      </c>
      <c r="E441" s="30" t="s">
        <v>814</v>
      </c>
      <c r="F441" s="36" t="str">
        <f>IF(ISBLANK(Table2[[#This Row],[unique_id]]), "", PROPER(SUBSTITUTE(Table2[[#This Row],[unique_id]], "_", " ")))</f>
        <v>Template Kitchen Move Proxy</v>
      </c>
      <c r="G441" s="30" t="s">
        <v>742</v>
      </c>
      <c r="H441" s="30" t="s">
        <v>749</v>
      </c>
      <c r="I441" s="30" t="s">
        <v>144</v>
      </c>
      <c r="O441" s="31" t="s">
        <v>792</v>
      </c>
      <c r="P441" s="30" t="s">
        <v>165</v>
      </c>
      <c r="Q441" s="30" t="s">
        <v>764</v>
      </c>
      <c r="R441" s="41" t="s">
        <v>749</v>
      </c>
      <c r="S441" s="30" t="str">
        <f>_xlfn.CONCAT( Table2[[#This Row],[friendly_name]], " Devices")</f>
        <v>Kitchen Move Devices</v>
      </c>
      <c r="T441" s="37" t="s">
        <v>817</v>
      </c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 t="s">
        <v>145</v>
      </c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366</v>
      </c>
      <c r="BC441" s="30" t="s">
        <v>1044</v>
      </c>
      <c r="BD441" s="30" t="s">
        <v>182</v>
      </c>
      <c r="BF441" s="30">
        <v>15.4</v>
      </c>
      <c r="BG441" s="30" t="s">
        <v>206</v>
      </c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2684</v>
      </c>
      <c r="B442" s="30" t="s">
        <v>26</v>
      </c>
      <c r="C442" s="30" t="s">
        <v>182</v>
      </c>
      <c r="D442" s="30" t="s">
        <v>145</v>
      </c>
      <c r="E442" s="30" t="s">
        <v>737</v>
      </c>
      <c r="F442" s="36" t="str">
        <f>IF(ISBLANK(Table2[[#This Row],[unique_id]]), "", PROPER(SUBSTITUTE(Table2[[#This Row],[unique_id]], "_", " ")))</f>
        <v>Kitchen Move</v>
      </c>
      <c r="G442" s="30" t="s">
        <v>742</v>
      </c>
      <c r="H442" s="30" t="s">
        <v>749</v>
      </c>
      <c r="I442" s="30" t="s">
        <v>144</v>
      </c>
      <c r="M442" s="30" t="s">
        <v>136</v>
      </c>
      <c r="N442" s="30" t="s">
        <v>270</v>
      </c>
      <c r="O442" s="31" t="s">
        <v>792</v>
      </c>
      <c r="P442" s="30" t="s">
        <v>165</v>
      </c>
      <c r="Q442" s="30" t="s">
        <v>764</v>
      </c>
      <c r="R442" s="41" t="s">
        <v>749</v>
      </c>
      <c r="S442" s="30" t="str">
        <f>_xlfn.CONCAT( Table2[[#This Row],[friendly_name]], " Devices")</f>
        <v>Kitchen Move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366</v>
      </c>
      <c r="BC442" s="30" t="s">
        <v>1044</v>
      </c>
      <c r="BD442" s="30" t="s">
        <v>182</v>
      </c>
      <c r="BF442" s="30">
        <v>15.4</v>
      </c>
      <c r="BG442" s="30" t="s">
        <v>206</v>
      </c>
      <c r="BK442" s="30" t="s">
        <v>1300</v>
      </c>
      <c r="BL442" s="30" t="s">
        <v>369</v>
      </c>
      <c r="BM442" s="39" t="s">
        <v>1314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3" spans="1:66" ht="16" customHeight="1" x14ac:dyDescent="0.2">
      <c r="A443" s="30">
        <v>2685</v>
      </c>
      <c r="B443" s="30" t="s">
        <v>26</v>
      </c>
      <c r="C443" s="30" t="s">
        <v>182</v>
      </c>
      <c r="D443" s="30" t="s">
        <v>145</v>
      </c>
      <c r="E443" s="30" t="s">
        <v>736</v>
      </c>
      <c r="F443" s="36" t="str">
        <f>IF(ISBLANK(Table2[[#This Row],[unique_id]]), "", PROPER(SUBSTITUTE(Table2[[#This Row],[unique_id]], "_", " ")))</f>
        <v>Kitchen Five</v>
      </c>
      <c r="G443" s="30" t="s">
        <v>743</v>
      </c>
      <c r="H443" s="30" t="s">
        <v>749</v>
      </c>
      <c r="I443" s="30" t="s">
        <v>144</v>
      </c>
      <c r="M443" s="30" t="s">
        <v>136</v>
      </c>
      <c r="N443" s="30" t="s">
        <v>270</v>
      </c>
      <c r="O443" s="31" t="s">
        <v>792</v>
      </c>
      <c r="P443" s="30" t="s">
        <v>165</v>
      </c>
      <c r="Q443" s="30" t="s">
        <v>764</v>
      </c>
      <c r="R443" s="41" t="s">
        <v>749</v>
      </c>
      <c r="S443" s="30" t="str">
        <f>_xlfn.CONCAT( Table2[[#This Row],[friendly_name]], " Devices")</f>
        <v>Kitchen Five Devices</v>
      </c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Kitchen</v>
      </c>
      <c r="BB443" s="30" t="s">
        <v>816</v>
      </c>
      <c r="BC443" s="30" t="s">
        <v>1045</v>
      </c>
      <c r="BD443" s="30" t="s">
        <v>182</v>
      </c>
      <c r="BF443" s="30">
        <v>15.4</v>
      </c>
      <c r="BG443" s="30" t="s">
        <v>206</v>
      </c>
      <c r="BK443" s="30" t="s">
        <v>1300</v>
      </c>
      <c r="BL443" s="37" t="s">
        <v>368</v>
      </c>
      <c r="BM443" s="39" t="s">
        <v>1315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4" spans="1:66" ht="16" customHeight="1" x14ac:dyDescent="0.2">
      <c r="A444" s="30">
        <v>2686</v>
      </c>
      <c r="B444" s="30" t="s">
        <v>580</v>
      </c>
      <c r="C444" s="30" t="s">
        <v>812</v>
      </c>
      <c r="D444" s="30" t="s">
        <v>148</v>
      </c>
      <c r="E444" s="30" t="s">
        <v>815</v>
      </c>
      <c r="F444" s="36" t="str">
        <f>IF(ISBLANK(Table2[[#This Row],[unique_id]]), "", PROPER(SUBSTITUTE(Table2[[#This Row],[unique_id]], "_", " ")))</f>
        <v>Template Parents Move Proxy</v>
      </c>
      <c r="G444" s="30" t="s">
        <v>744</v>
      </c>
      <c r="H444" s="30" t="s">
        <v>749</v>
      </c>
      <c r="I444" s="30" t="s">
        <v>144</v>
      </c>
      <c r="O444" s="31" t="s">
        <v>792</v>
      </c>
      <c r="P444" s="30" t="s">
        <v>165</v>
      </c>
      <c r="Q444" s="30" t="s">
        <v>764</v>
      </c>
      <c r="R444" s="41" t="s">
        <v>749</v>
      </c>
      <c r="S444" s="30" t="str">
        <f>_xlfn.CONCAT( Table2[[#This Row],[friendly_name]], " Devices")</f>
        <v>Parents Move Devices</v>
      </c>
      <c r="T444" s="37" t="s">
        <v>817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 t="s">
        <v>145</v>
      </c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366</v>
      </c>
      <c r="BC444" s="30" t="s">
        <v>1044</v>
      </c>
      <c r="BD444" s="30" t="s">
        <v>182</v>
      </c>
      <c r="BF444" s="30">
        <v>15.4</v>
      </c>
      <c r="BG444" s="30" t="s">
        <v>192</v>
      </c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2687</v>
      </c>
      <c r="B445" s="30" t="s">
        <v>26</v>
      </c>
      <c r="C445" s="30" t="s">
        <v>182</v>
      </c>
      <c r="D445" s="30" t="s">
        <v>145</v>
      </c>
      <c r="E445" s="30" t="s">
        <v>735</v>
      </c>
      <c r="F445" s="36" t="str">
        <f>IF(ISBLANK(Table2[[#This Row],[unique_id]]), "", PROPER(SUBSTITUTE(Table2[[#This Row],[unique_id]], "_", " ")))</f>
        <v>Parents Move</v>
      </c>
      <c r="G445" s="30" t="s">
        <v>744</v>
      </c>
      <c r="H445" s="30" t="s">
        <v>749</v>
      </c>
      <c r="I445" s="30" t="s">
        <v>144</v>
      </c>
      <c r="M445" s="30" t="s">
        <v>136</v>
      </c>
      <c r="N445" s="30" t="s">
        <v>270</v>
      </c>
      <c r="O445" s="31" t="s">
        <v>792</v>
      </c>
      <c r="P445" s="30" t="s">
        <v>165</v>
      </c>
      <c r="Q445" s="30" t="s">
        <v>764</v>
      </c>
      <c r="R445" s="41" t="s">
        <v>749</v>
      </c>
      <c r="S445" s="30" t="str">
        <f>_xlfn.CONCAT( Table2[[#This Row],[friendly_name]], " Devices")</f>
        <v>Parents Move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366</v>
      </c>
      <c r="BC445" s="30" t="s">
        <v>1044</v>
      </c>
      <c r="BD445" s="30" t="s">
        <v>182</v>
      </c>
      <c r="BF445" s="30">
        <v>15.4</v>
      </c>
      <c r="BG445" s="30" t="s">
        <v>192</v>
      </c>
      <c r="BK445" s="30" t="s">
        <v>1300</v>
      </c>
      <c r="BL445" s="30" t="s">
        <v>367</v>
      </c>
      <c r="BM445" s="39" t="s">
        <v>1316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6" spans="1:66" ht="16" customHeight="1" x14ac:dyDescent="0.2">
      <c r="A446" s="30">
        <v>2688</v>
      </c>
      <c r="B446" s="30" t="s">
        <v>26</v>
      </c>
      <c r="C446" s="30" t="s">
        <v>264</v>
      </c>
      <c r="D446" s="30" t="s">
        <v>145</v>
      </c>
      <c r="E446" s="30" t="s">
        <v>1360</v>
      </c>
      <c r="F446" s="36" t="str">
        <f>IF(ISBLANK(Table2[[#This Row],[unique_id]]), "", PROPER(SUBSTITUTE(Table2[[#This Row],[unique_id]], "_", " ")))</f>
        <v>Parents Homepod</v>
      </c>
      <c r="G446" s="30" t="s">
        <v>1361</v>
      </c>
      <c r="H446" s="30" t="s">
        <v>749</v>
      </c>
      <c r="I446" s="30" t="s">
        <v>144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Parents</v>
      </c>
      <c r="BB446" s="30" t="s">
        <v>1362</v>
      </c>
      <c r="BC446" s="30" t="s">
        <v>1047</v>
      </c>
      <c r="BD446" s="30" t="s">
        <v>264</v>
      </c>
      <c r="BF446" s="30" t="s">
        <v>398</v>
      </c>
      <c r="BG446" s="30" t="s">
        <v>192</v>
      </c>
      <c r="BK446" s="30" t="s">
        <v>1300</v>
      </c>
      <c r="BL446" s="41" t="s">
        <v>401</v>
      </c>
      <c r="BM446" s="39" t="s">
        <v>1317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7" spans="1:66" ht="16" customHeight="1" x14ac:dyDescent="0.2">
      <c r="A447" s="30">
        <v>2700</v>
      </c>
      <c r="B447" s="30" t="s">
        <v>26</v>
      </c>
      <c r="C447" s="30" t="s">
        <v>150</v>
      </c>
      <c r="D447" s="30" t="s">
        <v>310</v>
      </c>
      <c r="E447" s="30" t="s">
        <v>655</v>
      </c>
      <c r="F447" s="36" t="str">
        <f>IF(ISBLANK(Table2[[#This Row],[unique_id]]), "", PROPER(SUBSTITUTE(Table2[[#This Row],[unique_id]], "_", " ")))</f>
        <v>Back Door Lock Security</v>
      </c>
      <c r="G447" s="30" t="s">
        <v>651</v>
      </c>
      <c r="H447" s="30" t="s">
        <v>633</v>
      </c>
      <c r="I447" s="30" t="s">
        <v>209</v>
      </c>
      <c r="M447" s="30" t="s">
        <v>136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E447" s="30" t="s">
        <v>666</v>
      </c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2701</v>
      </c>
      <c r="B448" s="30" t="s">
        <v>26</v>
      </c>
      <c r="C448" s="30" t="s">
        <v>150</v>
      </c>
      <c r="D448" s="30" t="s">
        <v>148</v>
      </c>
      <c r="E448" s="30" t="s">
        <v>668</v>
      </c>
      <c r="F448" s="36" t="str">
        <f>IF(ISBLANK(Table2[[#This Row],[unique_id]]), "", PROPER(SUBSTITUTE(Table2[[#This Row],[unique_id]], "_", " ")))</f>
        <v>Template Back Door State</v>
      </c>
      <c r="G448" s="30" t="s">
        <v>285</v>
      </c>
      <c r="H448" s="30" t="s">
        <v>633</v>
      </c>
      <c r="I448" s="30" t="s">
        <v>209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2702</v>
      </c>
      <c r="B449" s="30" t="s">
        <v>26</v>
      </c>
      <c r="C449" s="30" t="s">
        <v>624</v>
      </c>
      <c r="D449" s="30" t="s">
        <v>627</v>
      </c>
      <c r="E449" s="30" t="s">
        <v>628</v>
      </c>
      <c r="F449" s="36" t="str">
        <f>IF(ISBLANK(Table2[[#This Row],[unique_id]]), "", PROPER(SUBSTITUTE(Table2[[#This Row],[unique_id]], "_", " ")))</f>
        <v>Back Door Lock</v>
      </c>
      <c r="G449" s="30" t="s">
        <v>670</v>
      </c>
      <c r="H449" s="30" t="s">
        <v>633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490</v>
      </c>
      <c r="X449" s="31"/>
      <c r="Y449" s="42" t="s">
        <v>760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0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0" t="s">
        <v>1037</v>
      </c>
      <c r="BC449" s="30" t="s">
        <v>625</v>
      </c>
      <c r="BD449" s="30" t="s">
        <v>624</v>
      </c>
      <c r="BF449" s="30" t="s">
        <v>626</v>
      </c>
      <c r="BG449" s="30" t="s">
        <v>633</v>
      </c>
      <c r="BL449" s="30" t="s">
        <v>623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0" spans="1:66" ht="16" customHeight="1" x14ac:dyDescent="0.2">
      <c r="A450" s="30">
        <v>2703</v>
      </c>
      <c r="B450" s="30" t="s">
        <v>26</v>
      </c>
      <c r="C450" s="30" t="s">
        <v>334</v>
      </c>
      <c r="D450" s="30" t="s">
        <v>148</v>
      </c>
      <c r="E450" s="30" t="s">
        <v>661</v>
      </c>
      <c r="F450" s="36" t="str">
        <f>IF(ISBLANK(Table2[[#This Row],[unique_id]]), "", PROPER(SUBSTITUTE(Table2[[#This Row],[unique_id]], "_", " ")))</f>
        <v>Template Back Door Sensor Contact Last</v>
      </c>
      <c r="G450" s="30" t="s">
        <v>669</v>
      </c>
      <c r="H450" s="30" t="s">
        <v>633</v>
      </c>
      <c r="I450" s="30" t="s">
        <v>209</v>
      </c>
      <c r="M450" s="30" t="s">
        <v>136</v>
      </c>
      <c r="O450" s="31"/>
      <c r="P450" s="30"/>
      <c r="T450" s="37"/>
      <c r="U450" s="30"/>
      <c r="V450" s="31"/>
      <c r="W450" s="31" t="s">
        <v>490</v>
      </c>
      <c r="X450" s="31"/>
      <c r="Y450" s="42" t="s">
        <v>760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7" t="str">
        <f>Table2[[#This Row],[device_suggested_area]]</f>
        <v>Back Door</v>
      </c>
      <c r="BA450" s="30" t="str">
        <f>IF(ISBLANK(Table2[[#This Row],[device_model]]), "", Table2[[#This Row],[device_suggested_area]])</f>
        <v>Back Door</v>
      </c>
      <c r="BB450" s="37" t="s">
        <v>1041</v>
      </c>
      <c r="BC450" s="37" t="s">
        <v>644</v>
      </c>
      <c r="BD450" s="30" t="s">
        <v>1115</v>
      </c>
      <c r="BF450" s="30" t="s">
        <v>626</v>
      </c>
      <c r="BG450" s="30" t="s">
        <v>633</v>
      </c>
      <c r="BL450" s="30" t="s">
        <v>646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1" spans="1:66" ht="16" customHeight="1" x14ac:dyDescent="0.2">
      <c r="A451" s="30">
        <v>2704</v>
      </c>
      <c r="B451" s="30" t="s">
        <v>580</v>
      </c>
      <c r="C451" s="30" t="s">
        <v>234</v>
      </c>
      <c r="D451" s="30" t="s">
        <v>147</v>
      </c>
      <c r="F451" s="36" t="str">
        <f>IF(ISBLANK(Table2[[#This Row],[unique_id]]), "", PROPER(SUBSTITUTE(Table2[[#This Row],[unique_id]], "_", " ")))</f>
        <v/>
      </c>
      <c r="G451" s="30" t="s">
        <v>633</v>
      </c>
      <c r="H451" s="30" t="s">
        <v>641</v>
      </c>
      <c r="I451" s="30" t="s">
        <v>209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C451" s="37"/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2705</v>
      </c>
      <c r="B452" s="30" t="s">
        <v>26</v>
      </c>
      <c r="C452" s="30" t="s">
        <v>150</v>
      </c>
      <c r="D452" s="30" t="s">
        <v>310</v>
      </c>
      <c r="E452" s="30" t="s">
        <v>656</v>
      </c>
      <c r="F452" s="36" t="str">
        <f>IF(ISBLANK(Table2[[#This Row],[unique_id]]), "", PROPER(SUBSTITUTE(Table2[[#This Row],[unique_id]], "_", " ")))</f>
        <v>Front Door Lock Security</v>
      </c>
      <c r="G452" s="30" t="s">
        <v>651</v>
      </c>
      <c r="H452" s="30" t="s">
        <v>632</v>
      </c>
      <c r="I452" s="30" t="s">
        <v>209</v>
      </c>
      <c r="M452" s="30" t="s">
        <v>136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E452" s="30" t="s">
        <v>666</v>
      </c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2706</v>
      </c>
      <c r="B453" s="30" t="s">
        <v>26</v>
      </c>
      <c r="C453" s="30" t="s">
        <v>150</v>
      </c>
      <c r="D453" s="30" t="s">
        <v>148</v>
      </c>
      <c r="E453" s="30" t="s">
        <v>667</v>
      </c>
      <c r="F453" s="36" t="str">
        <f>IF(ISBLANK(Table2[[#This Row],[unique_id]]), "", PROPER(SUBSTITUTE(Table2[[#This Row],[unique_id]], "_", " ")))</f>
        <v>Template Front Door State</v>
      </c>
      <c r="G453" s="30" t="s">
        <v>285</v>
      </c>
      <c r="H453" s="30" t="s">
        <v>632</v>
      </c>
      <c r="I453" s="30" t="s">
        <v>209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L453" s="41"/>
      <c r="BM453" s="39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2707</v>
      </c>
      <c r="B454" s="30" t="s">
        <v>26</v>
      </c>
      <c r="C454" s="30" t="s">
        <v>624</v>
      </c>
      <c r="D454" s="30" t="s">
        <v>627</v>
      </c>
      <c r="E454" s="30" t="s">
        <v>629</v>
      </c>
      <c r="F454" s="36" t="str">
        <f>IF(ISBLANK(Table2[[#This Row],[unique_id]]), "", PROPER(SUBSTITUTE(Table2[[#This Row],[unique_id]], "_", " ")))</f>
        <v>Front Door Lock</v>
      </c>
      <c r="G454" s="30" t="s">
        <v>670</v>
      </c>
      <c r="H454" s="30" t="s">
        <v>632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490</v>
      </c>
      <c r="X454" s="31"/>
      <c r="Y454" s="42" t="s">
        <v>760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0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0" t="s">
        <v>1037</v>
      </c>
      <c r="BC454" s="30" t="s">
        <v>625</v>
      </c>
      <c r="BD454" s="30" t="s">
        <v>624</v>
      </c>
      <c r="BF454" s="30" t="s">
        <v>626</v>
      </c>
      <c r="BG454" s="30" t="s">
        <v>632</v>
      </c>
      <c r="BL454" s="30" t="s">
        <v>630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5" spans="1:66" ht="16" customHeight="1" x14ac:dyDescent="0.2">
      <c r="A455" s="30">
        <v>2708</v>
      </c>
      <c r="B455" s="30" t="s">
        <v>26</v>
      </c>
      <c r="C455" s="30" t="s">
        <v>334</v>
      </c>
      <c r="D455" s="30" t="s">
        <v>148</v>
      </c>
      <c r="E455" s="30" t="s">
        <v>660</v>
      </c>
      <c r="F455" s="36" t="str">
        <f>IF(ISBLANK(Table2[[#This Row],[unique_id]]), "", PROPER(SUBSTITUTE(Table2[[#This Row],[unique_id]], "_", " ")))</f>
        <v>Template Front Door Sensor Contact Last</v>
      </c>
      <c r="G455" s="30" t="s">
        <v>669</v>
      </c>
      <c r="H455" s="30" t="s">
        <v>632</v>
      </c>
      <c r="I455" s="30" t="s">
        <v>209</v>
      </c>
      <c r="M455" s="30" t="s">
        <v>136</v>
      </c>
      <c r="O455" s="31"/>
      <c r="P455" s="30"/>
      <c r="T455" s="37"/>
      <c r="U455" s="30"/>
      <c r="V455" s="31"/>
      <c r="W455" s="31" t="s">
        <v>490</v>
      </c>
      <c r="X455" s="31"/>
      <c r="Y455" s="42" t="s">
        <v>760</v>
      </c>
      <c r="Z455" s="31"/>
      <c r="AA455" s="31"/>
      <c r="AB455" s="30"/>
      <c r="AC455" s="30"/>
      <c r="AG455" s="31"/>
      <c r="AH455" s="31"/>
      <c r="AT455" s="40"/>
      <c r="AU455" s="3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5" s="37" t="str">
        <f>Table2[[#This Row],[device_suggested_area]]</f>
        <v>Front Door</v>
      </c>
      <c r="BA455" s="30" t="str">
        <f>IF(ISBLANK(Table2[[#This Row],[device_model]]), "", Table2[[#This Row],[device_suggested_area]])</f>
        <v>Front Door</v>
      </c>
      <c r="BB455" s="37" t="s">
        <v>1041</v>
      </c>
      <c r="BC455" s="37" t="s">
        <v>644</v>
      </c>
      <c r="BD455" s="30" t="s">
        <v>1115</v>
      </c>
      <c r="BF455" s="30" t="s">
        <v>626</v>
      </c>
      <c r="BG455" s="30" t="s">
        <v>632</v>
      </c>
      <c r="BL455" s="30" t="s">
        <v>645</v>
      </c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6" spans="1:66" ht="16" customHeight="1" x14ac:dyDescent="0.2">
      <c r="A456" s="30">
        <v>2709</v>
      </c>
      <c r="B456" s="30" t="s">
        <v>580</v>
      </c>
      <c r="C456" s="30" t="s">
        <v>234</v>
      </c>
      <c r="D456" s="30" t="s">
        <v>147</v>
      </c>
      <c r="F456" s="36" t="str">
        <f>IF(ISBLANK(Table2[[#This Row],[unique_id]]), "", PROPER(SUBSTITUTE(Table2[[#This Row],[unique_id]], "_", " ")))</f>
        <v/>
      </c>
      <c r="G456" s="30" t="s">
        <v>632</v>
      </c>
      <c r="H456" s="30" t="s">
        <v>640</v>
      </c>
      <c r="I456" s="30" t="s">
        <v>209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C456" s="37"/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2710</v>
      </c>
      <c r="B457" s="30" t="s">
        <v>26</v>
      </c>
      <c r="C457" s="30" t="s">
        <v>133</v>
      </c>
      <c r="D457" s="30" t="s">
        <v>148</v>
      </c>
      <c r="E457" s="30" t="s">
        <v>601</v>
      </c>
      <c r="F457" s="36" t="str">
        <f>IF(ISBLANK(Table2[[#This Row],[unique_id]]), "", PROPER(SUBSTITUTE(Table2[[#This Row],[unique_id]], "_", " ")))</f>
        <v>Ada Fan Occupancy</v>
      </c>
      <c r="G457" s="30" t="s">
        <v>130</v>
      </c>
      <c r="H457" s="30" t="s">
        <v>638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2711</v>
      </c>
      <c r="B458" s="30" t="s">
        <v>26</v>
      </c>
      <c r="C458" s="30" t="s">
        <v>133</v>
      </c>
      <c r="D458" s="30" t="s">
        <v>148</v>
      </c>
      <c r="E458" s="30" t="s">
        <v>600</v>
      </c>
      <c r="F458" s="36" t="str">
        <f>IF(ISBLANK(Table2[[#This Row],[unique_id]]), "", PROPER(SUBSTITUTE(Table2[[#This Row],[unique_id]], "_", " ")))</f>
        <v>Edwin Fan Occupancy</v>
      </c>
      <c r="G458" s="30" t="s">
        <v>127</v>
      </c>
      <c r="H458" s="30" t="s">
        <v>638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2712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Parents Fan Occupancy</v>
      </c>
      <c r="G459" s="30" t="s">
        <v>192</v>
      </c>
      <c r="H459" s="30" t="s">
        <v>638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2713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Lounge Fan Occupancy</v>
      </c>
      <c r="G460" s="30" t="s">
        <v>194</v>
      </c>
      <c r="H460" s="30" t="s">
        <v>638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2714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East Fan Occupancy</v>
      </c>
      <c r="G461" s="30" t="s">
        <v>215</v>
      </c>
      <c r="H461" s="30" t="s">
        <v>638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78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2715</v>
      </c>
      <c r="B462" s="30" t="s">
        <v>26</v>
      </c>
      <c r="C462" s="30" t="s">
        <v>133</v>
      </c>
      <c r="D462" s="30" t="s">
        <v>148</v>
      </c>
      <c r="E462" s="30" t="s">
        <v>605</v>
      </c>
      <c r="F462" s="36" t="str">
        <f>IF(ISBLANK(Table2[[#This Row],[unique_id]]), "", PROPER(SUBSTITUTE(Table2[[#This Row],[unique_id]], "_", " ")))</f>
        <v>Deck West Fan Occupancy</v>
      </c>
      <c r="G462" s="30" t="s">
        <v>214</v>
      </c>
      <c r="H462" s="30" t="s">
        <v>638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78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2716</v>
      </c>
      <c r="B463" s="30" t="s">
        <v>26</v>
      </c>
      <c r="C463" s="30" t="s">
        <v>441</v>
      </c>
      <c r="D463" s="30" t="s">
        <v>333</v>
      </c>
      <c r="E463" s="30" t="s">
        <v>332</v>
      </c>
      <c r="F463" s="36" t="str">
        <f>IF(ISBLANK(Table2[[#This Row],[unique_id]]), "", PROPER(SUBSTITUTE(Table2[[#This Row],[unique_id]], "_", " ")))</f>
        <v>Column Break</v>
      </c>
      <c r="G463" s="30" t="s">
        <v>329</v>
      </c>
      <c r="H463" s="30" t="s">
        <v>635</v>
      </c>
      <c r="I463" s="30" t="s">
        <v>209</v>
      </c>
      <c r="M463" s="30" t="s">
        <v>330</v>
      </c>
      <c r="N463" s="30" t="s">
        <v>331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78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2717</v>
      </c>
      <c r="B464" s="30" t="s">
        <v>26</v>
      </c>
      <c r="C464" s="30" t="s">
        <v>234</v>
      </c>
      <c r="D464" s="30" t="s">
        <v>148</v>
      </c>
      <c r="E464" s="30" t="s">
        <v>149</v>
      </c>
      <c r="F464" s="36" t="str">
        <f>IF(ISBLANK(Table2[[#This Row],[unique_id]]), "", PROPER(SUBSTITUTE(Table2[[#This Row],[unique_id]], "_", " ")))</f>
        <v>Uvc Ada Motion</v>
      </c>
      <c r="G464" s="30" t="s">
        <v>631</v>
      </c>
      <c r="H464" s="30" t="s">
        <v>635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78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2718</v>
      </c>
      <c r="B465" s="30" t="s">
        <v>26</v>
      </c>
      <c r="C465" s="30" t="s">
        <v>234</v>
      </c>
      <c r="D465" s="30" t="s">
        <v>147</v>
      </c>
      <c r="E465" s="30" t="s">
        <v>1374</v>
      </c>
      <c r="F465" s="36" t="str">
        <f>IF(ISBLANK(Table2[[#This Row],[unique_id]]), "", PROPER(SUBSTITUTE(Table2[[#This Row],[unique_id]], "_", " ")))</f>
        <v>Uvc Ada Medium Resolution Channel</v>
      </c>
      <c r="G465" s="30" t="s">
        <v>130</v>
      </c>
      <c r="H465" s="30" t="s">
        <v>637</v>
      </c>
      <c r="I465" s="30" t="s">
        <v>209</v>
      </c>
      <c r="M465" s="30" t="s">
        <v>136</v>
      </c>
      <c r="N465" s="30" t="s">
        <v>271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1475</v>
      </c>
      <c r="BA465" s="30" t="str">
        <f>IF(ISBLANK(Table2[[#This Row],[device_model]]), "", Table2[[#This Row],[device_suggested_area]])</f>
        <v>Ada</v>
      </c>
      <c r="BB465" s="30" t="str">
        <f>Table2[[#This Row],[device_suggested_area]]</f>
        <v>Ada</v>
      </c>
      <c r="BC465" s="30" t="s">
        <v>386</v>
      </c>
      <c r="BD465" s="30" t="s">
        <v>234</v>
      </c>
      <c r="BF465" s="30" t="s">
        <v>387</v>
      </c>
      <c r="BG465" s="30" t="s">
        <v>130</v>
      </c>
      <c r="BK465" s="30" t="s">
        <v>1301</v>
      </c>
      <c r="BL465" s="30" t="s">
        <v>384</v>
      </c>
      <c r="BM465" s="30" t="s">
        <v>1357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6" spans="1:66" ht="16" customHeight="1" x14ac:dyDescent="0.2">
      <c r="A466" s="30">
        <v>2719</v>
      </c>
      <c r="B466" s="30" t="s">
        <v>26</v>
      </c>
      <c r="C466" s="30" t="s">
        <v>234</v>
      </c>
      <c r="D466" s="30" t="s">
        <v>148</v>
      </c>
      <c r="E466" s="30" t="s">
        <v>208</v>
      </c>
      <c r="F466" s="36" t="str">
        <f>IF(ISBLANK(Table2[[#This Row],[unique_id]]), "", PROPER(SUBSTITUTE(Table2[[#This Row],[unique_id]], "_", " ")))</f>
        <v>Uvc Edwin Motion</v>
      </c>
      <c r="G466" s="30" t="s">
        <v>631</v>
      </c>
      <c r="H466" s="30" t="s">
        <v>634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78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2720</v>
      </c>
      <c r="B467" s="30" t="s">
        <v>26</v>
      </c>
      <c r="C467" s="30" t="s">
        <v>234</v>
      </c>
      <c r="D467" s="30" t="s">
        <v>147</v>
      </c>
      <c r="E467" s="30" t="s">
        <v>1375</v>
      </c>
      <c r="F467" s="36" t="str">
        <f>IF(ISBLANK(Table2[[#This Row],[unique_id]]), "", PROPER(SUBSTITUTE(Table2[[#This Row],[unique_id]], "_", " ")))</f>
        <v>Uvc Edwin Medium Resolution Channel</v>
      </c>
      <c r="G467" s="30" t="s">
        <v>127</v>
      </c>
      <c r="H467" s="30" t="s">
        <v>636</v>
      </c>
      <c r="I467" s="30" t="s">
        <v>209</v>
      </c>
      <c r="M467" s="30" t="s">
        <v>136</v>
      </c>
      <c r="N467" s="30" t="s">
        <v>271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1475</v>
      </c>
      <c r="BA467" s="30" t="str">
        <f>IF(ISBLANK(Table2[[#This Row],[device_model]]), "", Table2[[#This Row],[device_suggested_area]])</f>
        <v>Edwin</v>
      </c>
      <c r="BB467" s="30" t="str">
        <f>Table2[[#This Row],[device_suggested_area]]</f>
        <v>Edwin</v>
      </c>
      <c r="BC467" s="30" t="s">
        <v>386</v>
      </c>
      <c r="BD467" s="30" t="s">
        <v>234</v>
      </c>
      <c r="BF467" s="30" t="s">
        <v>387</v>
      </c>
      <c r="BG467" s="30" t="s">
        <v>127</v>
      </c>
      <c r="BK467" s="30" t="s">
        <v>1301</v>
      </c>
      <c r="BL467" s="30" t="s">
        <v>385</v>
      </c>
      <c r="BM467" s="30" t="s">
        <v>1358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8" spans="1:66" ht="16" customHeight="1" x14ac:dyDescent="0.2">
      <c r="A468" s="30">
        <v>2721</v>
      </c>
      <c r="B468" s="30" t="s">
        <v>26</v>
      </c>
      <c r="C468" s="30" t="s">
        <v>441</v>
      </c>
      <c r="D468" s="30" t="s">
        <v>333</v>
      </c>
      <c r="E468" s="30" t="s">
        <v>332</v>
      </c>
      <c r="F468" s="36" t="str">
        <f>IF(ISBLANK(Table2[[#This Row],[unique_id]]), "", PROPER(SUBSTITUTE(Table2[[#This Row],[unique_id]], "_", " ")))</f>
        <v>Column Break</v>
      </c>
      <c r="G468" s="30" t="s">
        <v>329</v>
      </c>
      <c r="H468" s="30" t="s">
        <v>636</v>
      </c>
      <c r="I468" s="30" t="s">
        <v>209</v>
      </c>
      <c r="M468" s="30" t="s">
        <v>330</v>
      </c>
      <c r="N468" s="30" t="s">
        <v>331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78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5000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1476</v>
      </c>
      <c r="BA469" s="30" t="str">
        <f>IF(ISBLANK(Table2[[#This Row],[device_model]]), "", Table2[[#This Row],[device_suggested_area]])</f>
        <v>Rack</v>
      </c>
      <c r="BC469" s="30" t="s">
        <v>1033</v>
      </c>
      <c r="BD469" s="30" t="s">
        <v>234</v>
      </c>
      <c r="BF469" s="30" t="s">
        <v>403</v>
      </c>
      <c r="BG469" s="30" t="s">
        <v>28</v>
      </c>
      <c r="BK469" s="77" t="s">
        <v>1294</v>
      </c>
      <c r="BL469" s="30" t="s">
        <v>406</v>
      </c>
      <c r="BM469" s="30" t="s">
        <v>1295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0" spans="1:66" ht="16" customHeight="1" x14ac:dyDescent="0.2">
      <c r="A470" s="30">
        <v>5001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1477</v>
      </c>
      <c r="BA470" s="30" t="str">
        <f>IF(ISBLANK(Table2[[#This Row],[device_model]]), "", Table2[[#This Row],[device_suggested_area]])</f>
        <v>Rack</v>
      </c>
      <c r="BB470" s="30" t="str">
        <f>Table2[[#This Row],[device_suggested_area]]</f>
        <v>Rack</v>
      </c>
      <c r="BC470" s="30" t="s">
        <v>1030</v>
      </c>
      <c r="BD470" s="30" t="s">
        <v>234</v>
      </c>
      <c r="BF470" s="30" t="s">
        <v>611</v>
      </c>
      <c r="BG470" s="30" t="s">
        <v>28</v>
      </c>
      <c r="BK470" s="30" t="s">
        <v>1294</v>
      </c>
      <c r="BL470" s="30" t="s">
        <v>612</v>
      </c>
      <c r="BM470" s="30" t="s">
        <v>1296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1" spans="1:66" ht="16" customHeight="1" x14ac:dyDescent="0.2">
      <c r="A471" s="30">
        <v>5002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1477</v>
      </c>
      <c r="BA471" s="30" t="str">
        <f>IF(ISBLANK(Table2[[#This Row],[device_model]]), "", Table2[[#This Row],[device_suggested_area]])</f>
        <v>Office</v>
      </c>
      <c r="BB471" s="30" t="str">
        <f>Table2[[#This Row],[device_suggested_area]]</f>
        <v>Office</v>
      </c>
      <c r="BC471" s="30" t="s">
        <v>1031</v>
      </c>
      <c r="BD471" s="30" t="s">
        <v>234</v>
      </c>
      <c r="BF471" s="30" t="s">
        <v>1071</v>
      </c>
      <c r="BG471" s="30" t="s">
        <v>212</v>
      </c>
      <c r="BK471" s="77" t="s">
        <v>1294</v>
      </c>
      <c r="BL471" s="30" t="s">
        <v>407</v>
      </c>
      <c r="BM471" s="30" t="s">
        <v>1522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2" spans="1:66" ht="16" customHeight="1" x14ac:dyDescent="0.2">
      <c r="A472" s="30">
        <v>5003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1477</v>
      </c>
      <c r="BA472" s="30" t="str">
        <f>IF(ISBLANK(Table2[[#This Row],[device_model]]), "", Table2[[#This Row],[device_suggested_area]])</f>
        <v>Ceiling</v>
      </c>
      <c r="BB472" s="30" t="str">
        <f>Table2[[#This Row],[device_suggested_area]]</f>
        <v>Ceiling</v>
      </c>
      <c r="BC472" s="30" t="s">
        <v>1521</v>
      </c>
      <c r="BD472" s="30" t="s">
        <v>234</v>
      </c>
      <c r="BF472" s="30" t="s">
        <v>1071</v>
      </c>
      <c r="BG472" s="30" t="s">
        <v>404</v>
      </c>
      <c r="BK472" s="77" t="s">
        <v>1294</v>
      </c>
      <c r="BL472" s="30" t="s">
        <v>1523</v>
      </c>
      <c r="BM472" s="30" t="s">
        <v>1297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3" spans="1:66" ht="16" customHeight="1" x14ac:dyDescent="0.2">
      <c r="A473" s="30">
        <v>5004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1478</v>
      </c>
      <c r="BA473" s="30" t="str">
        <f>IF(ISBLANK(Table2[[#This Row],[device_model]]), "", Table2[[#This Row],[device_suggested_area]])</f>
        <v>Hallway</v>
      </c>
      <c r="BB473" s="30" t="str">
        <f>Table2[[#This Row],[device_suggested_area]]</f>
        <v>Hallway</v>
      </c>
      <c r="BC473" s="30" t="s">
        <v>1419</v>
      </c>
      <c r="BD473" s="30" t="s">
        <v>234</v>
      </c>
      <c r="BF473" s="30" t="s">
        <v>1070</v>
      </c>
      <c r="BG473" s="30" t="s">
        <v>405</v>
      </c>
      <c r="BK473" s="30" t="s">
        <v>1294</v>
      </c>
      <c r="BL473" s="30" t="s">
        <v>1418</v>
      </c>
      <c r="BM473" s="30" t="s">
        <v>1298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4" spans="1:66" ht="16" customHeight="1" x14ac:dyDescent="0.2">
      <c r="A474" s="30">
        <v>5005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1478</v>
      </c>
      <c r="BA474" s="30" t="str">
        <f>IF(ISBLANK(Table2[[#This Row],[device_model]]), "", Table2[[#This Row],[device_suggested_area]])</f>
        <v>Deck North</v>
      </c>
      <c r="BB474" s="30" t="str">
        <f>Table2[[#This Row],[device_suggested_area]]</f>
        <v>Deck North</v>
      </c>
      <c r="BC474" s="30" t="s">
        <v>1032</v>
      </c>
      <c r="BD474" s="30" t="s">
        <v>234</v>
      </c>
      <c r="BF474" s="30" t="s">
        <v>1070</v>
      </c>
      <c r="BG474" s="30" t="s">
        <v>1471</v>
      </c>
      <c r="BK474" s="30" t="s">
        <v>1294</v>
      </c>
      <c r="BL474" s="30" t="s">
        <v>1473</v>
      </c>
      <c r="BM474" s="30" t="s">
        <v>1299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5" spans="1:66" ht="16" customHeight="1" x14ac:dyDescent="0.2">
      <c r="A475" s="30">
        <v>5006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1478</v>
      </c>
      <c r="BA475" s="30" t="str">
        <f>IF(ISBLANK(Table2[[#This Row],[device_model]]), "", Table2[[#This Row],[device_suggested_area]])</f>
        <v>Deck South</v>
      </c>
      <c r="BB475" s="30" t="str">
        <f>Table2[[#This Row],[device_suggested_area]]</f>
        <v>Deck South</v>
      </c>
      <c r="BC475" s="30" t="s">
        <v>1032</v>
      </c>
      <c r="BD475" s="30" t="s">
        <v>234</v>
      </c>
      <c r="BF475" s="30" t="s">
        <v>1070</v>
      </c>
      <c r="BG475" s="30" t="s">
        <v>1470</v>
      </c>
      <c r="BK475" s="30" t="s">
        <v>1294</v>
      </c>
      <c r="BL475" s="30" t="s">
        <v>408</v>
      </c>
      <c r="BM475" s="30" t="s">
        <v>1472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6" spans="1:66" ht="16" customHeight="1" x14ac:dyDescent="0.2">
      <c r="A476" s="30">
        <v>5007</v>
      </c>
      <c r="B476" s="39" t="s">
        <v>580</v>
      </c>
      <c r="C476" s="39" t="s">
        <v>234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1404</v>
      </c>
      <c r="BA476" s="30" t="str">
        <f>IF(ISBLANK(Table2[[#This Row],[device_model]]), "", Table2[[#This Row],[device_suggested_area]])</f>
        <v>Rack</v>
      </c>
      <c r="BB476" s="30" t="s">
        <v>1415</v>
      </c>
      <c r="BC476" s="30" t="s">
        <v>1406</v>
      </c>
      <c r="BD476" s="30" t="s">
        <v>1404</v>
      </c>
      <c r="BF476" s="30" t="s">
        <v>1412</v>
      </c>
      <c r="BG476" s="30" t="s">
        <v>28</v>
      </c>
      <c r="BL476" s="41"/>
      <c r="BM476" s="30" t="s">
        <v>1414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7" spans="1:66" ht="16" customHeight="1" x14ac:dyDescent="0.2">
      <c r="A477" s="30">
        <v>5008</v>
      </c>
      <c r="B477" s="39" t="s">
        <v>580</v>
      </c>
      <c r="C477" s="39" t="s">
        <v>1404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1405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1404</v>
      </c>
      <c r="BA477" s="30" t="str">
        <f>IF(ISBLANK(Table2[[#This Row],[device_model]]), "", Table2[[#This Row],[device_suggested_area]])</f>
        <v>Rack</v>
      </c>
      <c r="BB477" s="30" t="s">
        <v>1029</v>
      </c>
      <c r="BC477" s="30" t="s">
        <v>1406</v>
      </c>
      <c r="BD477" s="30" t="s">
        <v>1404</v>
      </c>
      <c r="BF477" s="30" t="s">
        <v>1412</v>
      </c>
      <c r="BG477" s="30" t="s">
        <v>28</v>
      </c>
      <c r="BL477" s="41"/>
      <c r="BM477" s="30" t="s">
        <v>1407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8" spans="1:66" ht="16" customHeight="1" x14ac:dyDescent="0.2">
      <c r="A478" s="30">
        <v>5009</v>
      </c>
      <c r="B478" s="39" t="s">
        <v>580</v>
      </c>
      <c r="C478" s="39" t="s">
        <v>1408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">
        <v>1409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1408</v>
      </c>
      <c r="BA478" s="30" t="str">
        <f>IF(ISBLANK(Table2[[#This Row],[device_model]]), "", Table2[[#This Row],[device_suggested_area]])</f>
        <v>Rack</v>
      </c>
      <c r="BB478" s="30" t="s">
        <v>1410</v>
      </c>
      <c r="BC478" s="30" t="s">
        <v>1411</v>
      </c>
      <c r="BD478" s="30" t="s">
        <v>1408</v>
      </c>
      <c r="BF478" s="30" t="s">
        <v>1412</v>
      </c>
      <c r="BG478" s="30" t="s">
        <v>28</v>
      </c>
      <c r="BL478" s="41"/>
      <c r="BM478" s="30" t="s">
        <v>1413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9" spans="1:66" ht="16" customHeight="1" x14ac:dyDescent="0.2">
      <c r="A479" s="30">
        <v>5010</v>
      </c>
      <c r="B479" s="39" t="s">
        <v>580</v>
      </c>
      <c r="C479" s="39" t="s">
        <v>388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1034</v>
      </c>
      <c r="BA479" s="30" t="str">
        <f>IF(ISBLANK(Table2[[#This Row],[device_model]]), "", Table2[[#This Row],[device_suggested_area]])</f>
        <v>Rack</v>
      </c>
      <c r="BB479" s="30" t="s">
        <v>388</v>
      </c>
      <c r="BC479" s="30" t="s">
        <v>389</v>
      </c>
      <c r="BD479" s="30" t="s">
        <v>391</v>
      </c>
      <c r="BF479" s="30" t="s">
        <v>390</v>
      </c>
      <c r="BG479" s="30" t="s">
        <v>28</v>
      </c>
      <c r="BK479" s="30" t="s">
        <v>1300</v>
      </c>
      <c r="BL479" s="41" t="s">
        <v>433</v>
      </c>
      <c r="BM479" s="30" t="s">
        <v>1318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0" spans="1:66" ht="16" customHeight="1" x14ac:dyDescent="0.2">
      <c r="A480" s="30">
        <v>5011</v>
      </c>
      <c r="B480" s="39" t="s">
        <v>26</v>
      </c>
      <c r="C480" s="39" t="s">
        <v>379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1061</v>
      </c>
      <c r="BA480" s="30" t="str">
        <f>IF(ISBLANK(Table2[[#This Row],[device_model]]), "", Table2[[#This Row],[device_suggested_area]])</f>
        <v>Wardrobe</v>
      </c>
      <c r="BB480" s="30" t="s">
        <v>1501</v>
      </c>
      <c r="BC480" s="30" t="s">
        <v>1040</v>
      </c>
      <c r="BD480" s="30" t="s">
        <v>555</v>
      </c>
      <c r="BF480" s="63" t="s">
        <v>1505</v>
      </c>
      <c r="BG480" s="30" t="s">
        <v>496</v>
      </c>
      <c r="BK480" s="30" t="s">
        <v>402</v>
      </c>
      <c r="BL480" s="30" t="s">
        <v>554</v>
      </c>
      <c r="BM480" s="30" t="s">
        <v>1293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1" spans="1:66" ht="16" customHeight="1" x14ac:dyDescent="0.2">
      <c r="A481" s="30">
        <v>5012</v>
      </c>
      <c r="B481" s="39" t="s">
        <v>580</v>
      </c>
      <c r="C481" s="39" t="s">
        <v>379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1061</v>
      </c>
      <c r="BA481" s="30" t="str">
        <f>IF(ISBLANK(Table2[[#This Row],[device_model]]), "", Table2[[#This Row],[device_suggested_area]])</f>
        <v>Guildford</v>
      </c>
      <c r="BB481" s="30" t="s">
        <v>1503</v>
      </c>
      <c r="BC481" s="30" t="s">
        <v>1504</v>
      </c>
      <c r="BD481" s="30" t="s">
        <v>555</v>
      </c>
      <c r="BF481" s="63" t="s">
        <v>1505</v>
      </c>
      <c r="BG481" s="30" t="s">
        <v>1502</v>
      </c>
      <c r="BL481" s="30" t="s">
        <v>1509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2" spans="1:66" ht="16" customHeight="1" x14ac:dyDescent="0.2">
      <c r="A482" s="30">
        <v>5013</v>
      </c>
      <c r="B482" s="39" t="s">
        <v>26</v>
      </c>
      <c r="C482" s="39" t="s">
        <v>379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>IF(ISBLANK(AI482),  "", _xlfn.CONCAT("haas/entity/sensor/", LOWER(C482), "/", E482, "/config"))</f>
        <v/>
      </c>
      <c r="AK482" s="30" t="str">
        <f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1060</v>
      </c>
      <c r="BA482" s="30" t="str">
        <f>IF(ISBLANK(Table2[[#This Row],[device_model]]), "", Table2[[#This Row],[device_suggested_area]])</f>
        <v>Rack</v>
      </c>
      <c r="BB482" s="30" t="s">
        <v>1506</v>
      </c>
      <c r="BC482" s="30" t="s">
        <v>1507</v>
      </c>
      <c r="BD482" s="30" t="s">
        <v>264</v>
      </c>
      <c r="BF482" s="63" t="s">
        <v>1511</v>
      </c>
      <c r="BG482" s="30" t="s">
        <v>28</v>
      </c>
      <c r="BK482" s="30" t="s">
        <v>402</v>
      </c>
      <c r="BL482" s="41" t="s">
        <v>1510</v>
      </c>
      <c r="BM482" s="30" t="s">
        <v>1289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3" spans="1:66" ht="16" customHeight="1" x14ac:dyDescent="0.2">
      <c r="A483" s="30">
        <v>5014</v>
      </c>
      <c r="B483" s="39" t="s">
        <v>26</v>
      </c>
      <c r="C483" s="39" t="s">
        <v>379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>IF(ISBLANK(AI483),  "", _xlfn.CONCAT("haas/entity/sensor/", LOWER(C483), "/", E483, "/config"))</f>
        <v/>
      </c>
      <c r="AK483" s="30" t="str">
        <f>IF(ISBLANK(AI483),  "", _xlfn.CONCAT(LOWER(C483), "/", E483))</f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1060</v>
      </c>
      <c r="BA483" s="30" t="str">
        <f>IF(ISBLANK(Table2[[#This Row],[device_model]]), "", Table2[[#This Row],[device_suggested_area]])</f>
        <v>Rack</v>
      </c>
      <c r="BB483" s="30" t="s">
        <v>1508</v>
      </c>
      <c r="BC483" s="30" t="s">
        <v>1038</v>
      </c>
      <c r="BD483" s="30" t="s">
        <v>264</v>
      </c>
      <c r="BF483" s="63" t="s">
        <v>1519</v>
      </c>
      <c r="BG483" s="30" t="s">
        <v>28</v>
      </c>
      <c r="BK483" s="77" t="s">
        <v>402</v>
      </c>
      <c r="BL483" s="46" t="s">
        <v>1520</v>
      </c>
      <c r="BM483" s="30" t="s">
        <v>1290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4" spans="1:66" ht="16" customHeight="1" x14ac:dyDescent="0.2">
      <c r="A484" s="30">
        <v>5015</v>
      </c>
      <c r="B484" s="39" t="s">
        <v>26</v>
      </c>
      <c r="C484" s="39" t="s">
        <v>379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>IF(ISBLANK(AI484),  "", _xlfn.CONCAT("haas/entity/sensor/", LOWER(C484), "/", E484, "/config"))</f>
        <v/>
      </c>
      <c r="AK484" s="30" t="str">
        <f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1060</v>
      </c>
      <c r="BA484" s="30" t="str">
        <f>IF(ISBLANK(Table2[[#This Row],[device_model]]), "", Table2[[#This Row],[device_suggested_area]])</f>
        <v>Rack</v>
      </c>
      <c r="BB484" s="30" t="s">
        <v>1486</v>
      </c>
      <c r="BC484" s="30" t="s">
        <v>1038</v>
      </c>
      <c r="BD484" s="30" t="s">
        <v>264</v>
      </c>
      <c r="BF484" s="63" t="s">
        <v>1505</v>
      </c>
      <c r="BG484" s="30" t="s">
        <v>28</v>
      </c>
      <c r="BK484" s="30" t="s">
        <v>402</v>
      </c>
      <c r="BL484" s="46" t="s">
        <v>1369</v>
      </c>
      <c r="BM484" s="30" t="s">
        <v>1291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5" spans="1:66" ht="16" customHeight="1" x14ac:dyDescent="0.2">
      <c r="A485" s="30">
        <v>5016</v>
      </c>
      <c r="B485" s="39" t="s">
        <v>26</v>
      </c>
      <c r="C485" s="39" t="s">
        <v>379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>IF(ISBLANK(AI485),  "", _xlfn.CONCAT("haas/entity/sensor/", LOWER(C485), "/", E485, "/config"))</f>
        <v/>
      </c>
      <c r="AK485" s="30" t="str">
        <f>IF(ISBLANK(AI485),  "", _xlfn.CONCAT(LOWER(C485), "/", E485))</f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1060</v>
      </c>
      <c r="BA485" s="30" t="str">
        <f>IF(ISBLANK(Table2[[#This Row],[device_model]]), "", Table2[[#This Row],[device_suggested_area]])</f>
        <v>Rack</v>
      </c>
      <c r="BB485" s="30" t="s">
        <v>1039</v>
      </c>
      <c r="BC485" s="30" t="s">
        <v>1038</v>
      </c>
      <c r="BD485" s="30" t="s">
        <v>264</v>
      </c>
      <c r="BF485" s="63" t="s">
        <v>1505</v>
      </c>
      <c r="BG485" s="30" t="s">
        <v>28</v>
      </c>
      <c r="BK485" s="30" t="s">
        <v>402</v>
      </c>
      <c r="BL485" s="30" t="s">
        <v>588</v>
      </c>
      <c r="BM485" s="30" t="s">
        <v>1292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6" spans="1:66" ht="16" customHeight="1" x14ac:dyDescent="0.2">
      <c r="A486" s="30">
        <v>5017</v>
      </c>
      <c r="B486" s="30" t="s">
        <v>26</v>
      </c>
      <c r="C486" s="30" t="s">
        <v>383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381</v>
      </c>
      <c r="BA486" s="30" t="str">
        <f>IF(ISBLANK(Table2[[#This Row],[device_model]]), "", Table2[[#This Row],[device_suggested_area]])</f>
        <v>Rack</v>
      </c>
      <c r="BB486" s="30" t="s">
        <v>383</v>
      </c>
      <c r="BC486" s="30" t="s">
        <v>382</v>
      </c>
      <c r="BD486" s="30" t="s">
        <v>381</v>
      </c>
      <c r="BF486" s="30" t="s">
        <v>780</v>
      </c>
      <c r="BG486" s="30" t="s">
        <v>28</v>
      </c>
      <c r="BK486" s="30" t="s">
        <v>1301</v>
      </c>
      <c r="BL486" s="30" t="s">
        <v>380</v>
      </c>
      <c r="BM486" s="30" t="s">
        <v>1359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7" spans="1:66" ht="16" customHeight="1" x14ac:dyDescent="0.2">
      <c r="A487" s="30">
        <v>5018</v>
      </c>
      <c r="B487" s="30" t="s">
        <v>26</v>
      </c>
      <c r="C487" s="30" t="s">
        <v>458</v>
      </c>
      <c r="E487" s="39"/>
      <c r="F487" s="36" t="str">
        <f>IF(ISBLANK(Table2[[#This Row],[unique_id]]), "", PROPER(SUBSTITUTE(Table2[[#This Row],[unique_id]], "_", " ")))</f>
        <v/>
      </c>
      <c r="I487" s="39"/>
      <c r="O487" s="31"/>
      <c r="P487" s="30"/>
      <c r="T487" s="37"/>
      <c r="U487" s="30"/>
      <c r="V487" s="31"/>
      <c r="W487" s="31" t="s">
        <v>490</v>
      </c>
      <c r="X487" s="31"/>
      <c r="Y487" s="42" t="s">
        <v>760</v>
      </c>
      <c r="Z487" s="42"/>
      <c r="AA487" s="42"/>
      <c r="AB487" s="30"/>
      <c r="AC487" s="30"/>
      <c r="AG487" s="31"/>
      <c r="AH487" s="31"/>
      <c r="AT4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7" s="37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7" t="str">
        <f>Table2[[#This Row],[device_suggested_area]]</f>
        <v>Home</v>
      </c>
      <c r="BA487" s="30" t="str">
        <f>IF(ISBLANK(Table2[[#This Row],[device_model]]), "", Table2[[#This Row],[device_suggested_area]])</f>
        <v>Home</v>
      </c>
      <c r="BB487" s="37" t="s">
        <v>1036</v>
      </c>
      <c r="BC487" s="37" t="s">
        <v>482</v>
      </c>
      <c r="BD487" s="30" t="s">
        <v>458</v>
      </c>
      <c r="BF487" s="37" t="s">
        <v>483</v>
      </c>
      <c r="BG487" s="30" t="s">
        <v>165</v>
      </c>
      <c r="BL487" s="30" t="s">
        <v>481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2025-11-05T07:44:57Z</dcterms:modified>
</cp:coreProperties>
</file>