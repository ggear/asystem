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F5DE050D-39F1-0042-A55F-A97A61F4E509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288" i="1" l="1"/>
  <c r="AL288" i="1"/>
  <c r="AK288" i="1"/>
  <c r="AJ288" i="1"/>
  <c r="AF288" i="1"/>
  <c r="F288" i="1"/>
  <c r="G288" i="1" s="1"/>
  <c r="AX288" i="1"/>
  <c r="BA288" i="1"/>
  <c r="BN288" i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Y288" i="1" l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<sst xmlns="http://schemas.openxmlformats.org/spreadsheetml/2006/main" count="7699" uniqueCount="1521">
  <si>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</si>
  <si>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</si>
  <si>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</si>
  <si>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</si>
  <si>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</si>
  <si>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</si>
  <si>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</si>
  <si>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</si>
  <si>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</si>
  <si>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</si>
  <si>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</si>
  <si>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</si>
  <si>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</si>
  <si>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</si>
  <si>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</si>
  <si>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</si>
  <si>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</si>
  <si>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</si>
  <si>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</si>
  <si>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</si>
  <si>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</si>
  <si>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</si>
  <si>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</si>
  <si>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</si>
  <si>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</si>
  <si>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</si>
  <si>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</si>
  <si>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</si>
  <si>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</si>
  <si>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</si>
  <si>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</si>
  <si>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</si>
  <si>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</si>
  <si>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</si>
  <si>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</si>
  <si>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</si>
  <si>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</si>
  <si>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</si>
  <si>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</si>
  <si>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</si>
  <si>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</si>
  <si>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</si>
  <si>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</si>
  <si>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</si>
  <si>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</si>
  <si>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</si>
  <si>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</si>
  <si>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</si>
  <si>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</si>
  <si>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</si>
  <si>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</si>
  <si>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</si>
  <si>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</si>
  <si>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</si>
  <si>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</si>
  <si>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</si>
  <si>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</si>
  <si>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</si>
  <si>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</si>
  <si>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</si>
  <si>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</si>
  <si>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</si>
  <si>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</si>
  <si>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</si>
  <si>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</si>
  <si>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</si>
  <si>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</si>
  <si>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</si>
  <si>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</si>
  <si>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</si>
  <si>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</si>
  <si>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</si>
  <si>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</si>
  <si>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</si>
  <si>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</si>
  <si>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</si>
  <si>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</si>
  <si>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</si>
  <si>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</si>
  <si>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</si>
  <si>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</si>
  <si>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</si>
  <si>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</si>
  <si>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</si>
  <si>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</si>
  <si>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</si>
  <si>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</si>
  <si>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</si>
  <si>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</si>
  <si>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</si>
  <si>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</si>
  <si>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</si>
  <si>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</si>
  <si>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</si>
  <si>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</si>
  <si>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</si>
  <si>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</si>
  <si>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</si>
  <si>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</si>
  <si>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</si>
  <si>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</si>
  <si>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</si>
  <si>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</si>
  <si>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</si>
  <si>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</si>
  <si>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</si>
  <si>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</si>
  <si>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</si>
  <si>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</si>
  <si>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</si>
  <si>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</si>
  <si>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</si>
  <si>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</si>
  <si>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</si>
  <si>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</si>
  <si>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</si>
  <si>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</si>
  <si>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</si>
  <si>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</si>
  <si>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</si>
  <si>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</si>
  <si>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</si>
  <si>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</si>
  <si>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</si>
  <si>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</si>
  <si>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</si>
  <si>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</si>
  <si>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</si>
  <si>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</si>
  <si>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</si>
  <si>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</si>
  <si>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</si>
  <si>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</si>
  <si>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</si>
  <si>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</si>
  <si>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</si>
  <si>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</si>
  <si>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</si>
  <si>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</si>
  <si>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</si>
  <si>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</si>
  <si>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</si>
  <si>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</si>
  <si>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</si>
  <si>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</si>
  <si>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</si>
  <si>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</si>
  <si>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</si>
  <si>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</si>
  <si>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</si>
  <si>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</si>
  <si>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</si>
  <si>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</si>
  <si>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</si>
  <si>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</si>
  <si>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</si>
  <si>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</si>
  <si>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</si>
  <si>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</si>
  <si>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</si>
  <si>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</si>
  <si>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</si>
  <si>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</si>
  <si>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</si>
  <si>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</si>
  <si>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</si>
  <si>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</si>
  <si>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</si>
  <si>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</si>
  <si>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</si>
  <si>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</si>
  <si>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</si>
  <si>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</si>
  <si>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</si>
  <si>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</si>
  <si>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</si>
  <si>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</si>
  <si>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</si>
  <si>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</si>
  <si>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</si>
  <si>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</si>
  <si>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</si>
  <si>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</si>
  <si>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</si>
  <si>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</si>
  <si>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</si>
  <si>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</si>
  <si>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</si>
  <si>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</si>
  <si>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</si>
  <si>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</si>
  <si>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</si>
  <si>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</si>
  <si>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</si>
  <si>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</si>
  <si>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</si>
  <si>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</si>
  <si>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</si>
  <si>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</si>
  <si>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</si>
  <si>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</si>
  <si>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</si>
  <si>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</si>
  <si>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</si>
  <si>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</si>
  <si>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</si>
  <si>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</si>
  <si>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</si>
  <si>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</si>
  <si>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</si>
  <si>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</si>
  <si>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</si>
  <si>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</si>
  <si>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</si>
  <si>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</si>
  <si>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</si>
  <si>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</si>
  <si>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</si>
  <si>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</si>
  <si>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</si>
  <si>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</si>
  <si>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</si>
  <si>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</si>
  <si>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</si>
  <si>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</si>
  <si>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</si>
  <si>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</si>
  <si>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</si>
  <si>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</si>
  <si>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</si>
  <si>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</si>
  <si>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</si>
  <si>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</si>
  <si>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</si>
  <si>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</si>
  <si>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</si>
  <si>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</si>
  <si>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</si>
  <si>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</si>
  <si>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</si>
  <si>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</si>
  <si>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</si>
  <si>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</si>
  <si>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</si>
  <si>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</si>
  <si>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</si>
  <si>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</si>
  <si>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</si>
  <si>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</si>
  <si>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</si>
  <si>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</si>
  <si>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</si>
  <si>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</si>
  <si>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</si>
  <si>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</si>
  <si>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</si>
  <si>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</si>
  <si>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</si>
  <si>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</si>
  <si>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</si>
  <si>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</si>
  <si>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</si>
  <si>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</si>
  <si>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</si>
  <si>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</si>
  <si>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</si>
  <si>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</si>
  <si>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</si>
  <si>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</si>
  <si>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</si>
  <si>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</si>
  <si>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</si>
  <si>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</si>
  <si>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</si>
  <si>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</si>
  <si>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</si>
  <si>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</si>
  <si>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</si>
  <si>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</si>
  <si>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</si>
  <si>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</si>
  <si>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</si>
  <si>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</si>
  <si>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</si>
  <si>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</si>
  <si>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</si>
  <si>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</si>
  <si>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</si>
  <si>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</si>
  <si>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</si>
  <si>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</si>
  <si>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</si>
  <si>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</si>
  <si>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</si>
  <si>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</si>
  <si>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</si>
  <si>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</si>
  <si>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</si>
  <si>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</si>
  <si>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</si>
  <si>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</si>
  <si>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</si>
  <si>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</si>
  <si>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</si>
  <si>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</si>
  <si>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</si>
  <si>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</si>
  <si>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</si>
  <si>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</si>
  <si>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</si>
  <si>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</si>
  <si>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</si>
  <si>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</si>
  <si>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</si>
  <si>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</si>
  <si>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</si>
  <si>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</si>
  <si>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</si>
  <si>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</si>
  <si>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</si>
  <si>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</si>
  <si>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</si>
  <si>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</si>
  <si>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</si>
  <si>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</si>
  <si>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</si>
  <si>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</si>
  <si>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</si>
  <si>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</si>
  <si>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</si>
  <si>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</si>
  <si>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</si>
  <si>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</si>
  <si>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</si>
  <si>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</si>
  <si>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</si>
  <si>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</si>
  <si>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</si>
  <si>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</si>
  <si>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</si>
  <si>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</si>
  <si>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</si>
  <si>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</si>
  <si>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</si>
  <si>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</si>
  <si>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</si>
  <si>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</si>
  <si>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</si>
  <si>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</si>
  <si>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</si>
  <si>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</si>
  <si>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</si>
  <si>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</si>
  <si>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</si>
  <si>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</si>
  <si>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</si>
  <si>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</si>
  <si>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</si>
  <si>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</si>
  <si>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</si>
  <si>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</si>
  <si>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</si>
  <si>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</si>
  <si>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</si>
  <si>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</si>
  <si>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</si>
  <si>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</si>
  <si>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</si>
  <si>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</si>
  <si>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</si>
  <si>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</si>
  <si>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</si>
  <si>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</si>
  <si>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</si>
  <si>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</si>
  <si>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</si>
  <si>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</si>
  <si>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</si>
  <si>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</si>
  <si>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</si>
  <si>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</si>
  <si>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</si>
  <si>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</si>
  <si>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</si>
  <si>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</si>
  <si>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</si>
  <si>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</si>
  <si>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</si>
  <si>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</si>
  <si>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</si>
  <si>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</si>
  <si>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</si>
  <si>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</si>
  <si>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</si>
  <si>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</si>
  <si>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</si>
  <si>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</si>
  <si>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</si>
  <si>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</si>
  <si>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</si>
  <si>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</si>
  <si>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</si>
  <si>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</si>
  <si>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</si>
  <si>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</si>
  <si>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</si>
  <si>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</si>
  <si>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</si>
  <si>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</si>
  <si>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</si>
  <si>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</si>
  <si>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</si>
  <si>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</si>
  <si>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</si>
  <si>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</si>
  <si>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</si>
  <si>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</si>
  <si>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</si>
  <si>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</si>
  <si>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</si>
  <si>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</si>
  <si>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</si>
  <si>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</si>
  <si>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</si>
  <si>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</si>
  <si>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</si>
  <si>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</si>
  <si>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</si>
  <si>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</si>
  <si>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</si>
  <si>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</si>
  <si>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</si>
  <si>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</si>
  <si>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</si>
  <si>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</si>
  <si>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</si>
  <si>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</si>
  <si>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</si>
  <si>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</si>
  <si>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</si>
  <si>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</si>
  <si>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</si>
  <si>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</si>
  <si>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</si>
  <si>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</si>
  <si>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</si>
  <si>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</si>
  <si>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</si>
  <si>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</si>
  <si>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</si>
  <si>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</si>
  <si>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</si>
  <si>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</si>
  <si>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</si>
  <si>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</si>
  <si>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</si>
  <si>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</si>
  <si>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</si>
  <si>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</si>
  <si>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</si>
  <si>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</si>
  <si>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</si>
  <si>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</si>
  <si>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</si>
  <si>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</si>
  <si>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</si>
  <si>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</si>
  <si>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</si>
  <si>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</si>
  <si>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</si>
  <si>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</si>
  <si>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</si>
  <si>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</si>
  <si>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</si>
  <si>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</si>
  <si>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</si>
  <si>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</si>
  <si>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</si>
  <si>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</si>
  <si>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</si>
  <si>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</si>
  <si>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</si>
  <si>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</si>
  <si>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</si>
  <si>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</si>
  <si>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</si>
  <si>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</si>
  <si>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</si>
  <si>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</si>
  <si>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</si>
  <si>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</si>
  <si>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</si>
  <si>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</si>
  <si>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</si>
  <si>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</si>
  <si>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</si>
  <si>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</si>
  <si>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</si>
  <si>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</si>
  <si>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</si>
  <si>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</si>
  <si>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</si>
  <si>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</si>
  <si>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</si>
  <si>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</si>
  <si>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</si>
  <si>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</si>
  <si>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</si>
  <si>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</si>
  <si>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</si>
  <si>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</si>
  <si>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</si>
  <si>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</si>
  <si>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</si>
  <si>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</si>
  <si>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</si>
  <si>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</si>
  <si>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</si>
  <si>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</si>
  <si>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</si>
  <si>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</si>
  <si>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</si>
  <si>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</si>
  <si>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</si>
  <si>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</si>
  <si>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</si>
  <si>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</si>
  <si>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</si>
  <si>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</si>
  <si>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</si>
  <si>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</si>
  <si>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</si>
  <si>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</si>
  <si>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</si>
  <si>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</si>
  <si>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</si>
  <si>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</si>
  <si>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</si>
  <si>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</si>
  <si>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</si>
  <si>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</si>
  <si>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</si>
  <si>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</si>
  <si>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</si>
  <si>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</si>
  <si>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</si>
  <si>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</si>
  <si>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</si>
  <si>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</si>
  <si>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</si>
  <si>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</si>
  <si>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</si>
  <si>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</si>
  <si>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</si>
  <si>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</si>
  <si>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</si>
  <si>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</si>
  <si>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</si>
  <si>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</si>
  <si>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</si>
  <si>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</si>
  <si>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</si>
  <si>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</si>
  <si>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</si>
  <si>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</si>
  <si>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</si>
  <si>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</si>
  <si>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</si>
  <si>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</si>
  <si>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</si>
  <si>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</si>
  <si>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</si>
  <si>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</si>
  <si>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</si>
  <si>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</si>
  <si>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</si>
  <si>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</si>
  <si>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</si>
  <si>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</si>
  <si>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</si>
  <si>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</si>
  <si>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</si>
  <si>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</si>
  <si>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</si>
  <si>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</si>
  <si>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</si>
  <si>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</si>
  <si>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</si>
  <si>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</si>
  <si>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</si>
  <si>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</si>
  <si>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</si>
  <si>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</si>
  <si>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</si>
  <si>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</si>
  <si>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</si>
  <si>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</si>
  <si>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</si>
  <si>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</si>
  <si>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</si>
  <si>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</si>
  <si>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</si>
  <si>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</si>
  <si>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</si>
  <si>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</si>
  <si>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</si>
  <si>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</si>
  <si>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</si>
  <si>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</si>
  <si>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</si>
  <si>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</si>
  <si>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</si>
  <si>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</si>
  <si>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</si>
  <si>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</si>
  <si>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</si>
  <si>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</si>
  <si>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</si>
  <si>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</si>
  <si>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</si>
  <si>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</si>
  <si>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</si>
  <si>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</si>
  <si>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</si>
  <si>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</si>
  <si>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</si>
  <si>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</si>
  <si>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</si>
  <si>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</si>
  <si>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</si>
  <si>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</si>
  <si>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</si>
  <si>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</si>
  <si>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</si>
  <si>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</si>
  <si>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</si>
  <si>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</si>
  <si>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</si>
  <si>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</si>
  <si>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</si>
  <si>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</si>
  <si>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</si>
  <si>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</si>
  <si>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</si>
  <si>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</si>
  <si>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</si>
  <si>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</si>
  <si>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</si>
  <si>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</si>
  <si>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</si>
  <si>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</si>
  <si>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</si>
  <si>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</si>
  <si>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</si>
  <si>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</si>
  <si>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</si>
  <si>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</si>
  <si>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</si>
  <si>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</si>
  <si>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</si>
  <si>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</si>
  <si>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</si>
  <si>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</si>
  <si>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</si>
  <si>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</si>
  <si>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</si>
  <si>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</si>
  <si>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</si>
  <si>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</si>
  <si>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</si>
  <si>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</si>
  <si>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</si>
  <si>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</si>
  <si>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</si>
  <si>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</si>
  <si>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</si>
  <si>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</si>
  <si>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</si>
  <si>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</si>
  <si>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</si>
  <si>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</si>
  <si>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</si>
  <si>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</si>
  <si>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</si>
  <si>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</si>
  <si>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</si>
  <si>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</si>
  <si>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</si>
  <si>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</si>
  <si>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</si>
  <si>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</si>
  <si>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</si>
  <si>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</si>
  <si>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</si>
  <si>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</si>
  <si>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</si>
  <si>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</si>
  <si>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</si>
  <si>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</si>
  <si>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</si>
  <si>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</si>
  <si>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</si>
  <si>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</si>
  <si>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</si>
  <si>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</si>
  <si>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</si>
  <si>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</si>
  <si>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</si>
  <si>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</si>
  <si>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</si>
  <si>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</si>
  <si>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</si>
  <si>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</si>
  <si>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</si>
  <si>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</si>
  <si>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</si>
  <si>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</si>
  <si>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</si>
  <si>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</si>
  <si>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</si>
  <si>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</si>
  <si>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</si>
  <si>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</si>
  <si>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</si>
  <si>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</si>
  <si>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</si>
  <si>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</si>
  <si>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</si>
  <si>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</si>
  <si>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</si>
  <si>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</si>
  <si>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</si>
  <si>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</si>
  <si>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</si>
  <si>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</si>
  <si>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</si>
  <si>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</si>
  <si>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</si>
  <si>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</si>
  <si>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</si>
  <si>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</si>
  <si>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</si>
  <si>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</si>
  <si>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</si>
  <si>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</si>
  <si>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</si>
  <si>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</si>
  <si>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</si>
  <si>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</si>
  <si>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</si>
  <si>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</si>
  <si>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</si>
  <si>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</si>
  <si>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</si>
  <si>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</si>
  <si>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</si>
  <si>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</si>
  <si>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</si>
  <si>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</si>
  <si>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</si>
  <si>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</si>
  <si>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</si>
  <si>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</si>
  <si>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</si>
  <si>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</si>
  <si>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</si>
  <si>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</si>
  <si>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</si>
  <si>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</si>
  <si>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</si>
  <si>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</si>
  <si>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</si>
  <si>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</si>
  <si>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</si>
  <si>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</si>
  <si>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</si>
  <si>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</si>
  <si>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</si>
  <si>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</si>
  <si>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</si>
  <si>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</si>
  <si>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</si>
  <si>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</si>
  <si>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</si>
  <si>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</si>
  <si>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</si>
  <si>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</si>
  <si>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</si>
  <si>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</si>
  <si>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</si>
  <si>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</si>
  <si>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</si>
  <si>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</si>
  <si>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</si>
  <si>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</si>
  <si>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</si>
  <si>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</si>
  <si>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</si>
  <si>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</si>
  <si>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</si>
  <si>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</si>
  <si>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</si>
  <si>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</si>
  <si>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</si>
  <si>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</si>
  <si>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</si>
  <si>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</si>
  <si>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</si>
  <si>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</si>
  <si>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</si>
  <si>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</si>
  <si>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</si>
  <si>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</si>
  <si>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</si>
  <si>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</si>
  <si>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</si>
  <si>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</si>
  <si>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</si>
  <si>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</si>
  <si>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</si>
  <si>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</si>
  <si>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</si>
  <si>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</si>
  <si>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</si>
  <si>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</si>
  <si>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</si>
  <si>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</si>
  <si>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</si>
  <si>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</si>
  <si>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</si>
  <si>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</si>
  <si>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</si>
  <si>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</si>
  <si>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</si>
  <si>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</si>
  <si>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</si>
  <si>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</si>
  <si>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</si>
  <si>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</si>
  <si>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</si>
  <si>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</si>
  <si>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</si>
  <si>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</si>
  <si>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</si>
  <si>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</si>
  <si>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</si>
  <si>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</si>
  <si>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</si>
  <si>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</si>
  <si>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</si>
  <si>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</si>
  <si>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</si>
  <si>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</si>
  <si>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</si>
  <si>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</si>
  <si>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</si>
  <si>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</si>
  <si>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</si>
  <si>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</si>
  <si>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</si>
  <si>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</si>
  <si>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</si>
  <si>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</si>
  <si>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</si>
  <si>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</si>
  <si>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</si>
  <si>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</si>
  <si>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</si>
  <si>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</si>
  <si>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</si>
  <si>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</si>
  <si>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</si>
  <si>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</si>
  <si>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</si>
  <si>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</si>
  <si>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</si>
  <si>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</si>
  <si>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</si>
  <si>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</si>
  <si>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</si>
  <si>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</si>
  <si>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</si>
  <si>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</si>
  <si>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</si>
  <si>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</si>
  <si>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</si>
  <si>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</si>
  <si>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</si>
  <si>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</si>
  <si>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</si>
  <si>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</si>
  <si>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</si>
  <si>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</si>
  <si>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</si>
  <si>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</si>
  <si>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</si>
  <si>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</si>
  <si>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</si>
  <si>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</si>
  <si>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</si>
  <si>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</si>
  <si>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</si>
  <si>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</si>
  <si>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</si>
  <si>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</si>
  <si>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</si>
  <si>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</si>
  <si>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</si>
  <si>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</si>
  <si>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</si>
  <si>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</si>
  <si>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</si>
  <si>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</si>
  <si>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</si>
  <si>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</si>
  <si>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</si>
  <si>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</si>
  <si>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</si>
  <si>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</si>
  <si>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</si>
  <si>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</si>
  <si>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</si>
  <si>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</si>
  <si>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</si>
  <si>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</si>
  <si>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</si>
  <si>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</si>
  <si>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</si>
  <si>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</si>
  <si>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</si>
  <si>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</si>
  <si>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</si>
  <si>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</si>
  <si>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</si>
  <si>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</si>
  <si>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</si>
  <si>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</si>
  <si>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</si>
  <si>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</si>
  <si>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</si>
  <si>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</si>
  <si>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</si>
  <si>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</si>
  <si>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</si>
  <si>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</si>
  <si>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</si>
  <si>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</si>
  <si>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</si>
  <si>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</si>
  <si>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</si>
  <si>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</si>
  <si>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</si>
  <si>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</si>
  <si>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</si>
  <si>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</si>
  <si>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</si>
  <si>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</si>
  <si>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</si>
  <si>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</si>
  <si>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</si>
  <si>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</si>
  <si>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</si>
  <si>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</si>
  <si>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</si>
  <si>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</si>
  <si>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</si>
  <si>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</si>
  <si>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</si>
  <si>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</si>
  <si>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</si>
  <si>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</si>
  <si>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</si>
  <si>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</si>
  <si>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</si>
  <si>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</si>
  <si>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</si>
  <si>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</si>
  <si>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</si>
  <si>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</si>
  <si>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</si>
  <si>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</si>
  <si>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</si>
  <si>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</si>
  <si>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</si>
  <si>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</si>
  <si>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</si>
  <si>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</si>
  <si>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</si>
  <si>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</si>
  <si>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</si>
  <si>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</si>
  <si>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</si>
  <si>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</si>
  <si>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</si>
  <si>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</si>
  <si>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</si>
  <si>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</si>
  <si>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</si>
  <si>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</si>
  <si>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</si>
  <si>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</si>
  <si>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</si>
  <si>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</si>
  <si>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</si>
  <si>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</si>
  <si>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</si>
  <si>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</si>
  <si>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</si>
  <si>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</si>
  <si>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</si>
  <si>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</si>
  <si>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</si>
  <si>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</si>
  <si>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</si>
  <si>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</si>
  <si>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</si>
  <si>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</si>
  <si>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</si>
  <si>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</si>
  <si>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</si>
  <si>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</si>
  <si>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</si>
  <si>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</si>
  <si>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</si>
  <si>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</si>
  <si>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</si>
  <si>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</si>
  <si>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</si>
  <si>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</si>
  <si>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</si>
  <si>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</si>
  <si>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</si>
  <si>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</si>
  <si>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</si>
  <si>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</si>
  <si>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</si>
  <si>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</si>
  <si>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</si>
  <si>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</si>
  <si>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</si>
  <si>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</si>
  <si>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</si>
  <si>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</si>
  <si>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</si>
  <si>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</si>
  <si>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</si>
  <si>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</si>
  <si>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</si>
  <si>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</si>
  <si>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</si>
  <si>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</si>
  <si>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</si>
  <si>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</si>
  <si>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</si>
  <si>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</si>
  <si>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</si>
  <si>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</si>
  <si>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</si>
  <si>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</si>
  <si>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</si>
  <si>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</si>
  <si>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</si>
  <si>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</si>
  <si>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</si>
  <si>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</si>
  <si>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</si>
  <si>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</si>
  <si>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</si>
  <si>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</si>
  <si>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</si>
  <si>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</si>
  <si>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</si>
  <si>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</si>
  <si>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</si>
  <si>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</si>
  <si>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</si>
  <si>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</si>
  <si>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</si>
  <si>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</si>
  <si>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</si>
  <si>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</si>
  <si>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</si>
  <si>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</si>
  <si>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</si>
  <si>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</si>
  <si>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</si>
  <si>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</si>
  <si>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</si>
  <si>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</si>
  <si>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</si>
  <si>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</si>
  <si>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</si>
  <si>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</si>
  <si>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</si>
  <si>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</si>
  <si>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</si>
  <si>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</si>
  <si>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</si>
  <si>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</si>
  <si>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</si>
  <si>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</si>
  <si>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</si>
  <si>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</si>
  <si>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</si>
  <si>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</si>
  <si>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</si>
  <si>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</si>
  <si>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</si>
  <si>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</si>
  <si>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</si>
  <si>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</si>
  <si>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</si>
  <si>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</si>
  <si>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</si>
  <si>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</si>
  <si>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</si>
  <si>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</si>
  <si>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</si>
  <si>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</si>
  <si>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</si>
  <si>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</si>
  <si>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</si>
  <si>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</si>
  <si>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</si>
  <si>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</si>
  <si>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</si>
  <si>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</si>
  <si>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</si>
  <si>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</si>
  <si>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</si>
  <si>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</si>
  <si>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</si>
  <si>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</si>
  <si>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</si>
  <si>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</si>
  <si>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</si>
  <si>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</si>
  <si>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</si>
  <si>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</si>
  <si>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</si>
  <si>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</si>
  <si>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</si>
  <si>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</si>
  <si>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</si>
  <si>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</si>
  <si>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</si>
  <si>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</si>
  <si>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</si>
  <si>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</si>
  <si>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</si>
  <si>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</si>
  <si>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</si>
  <si>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</si>
  <si>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</si>
  <si>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</si>
  <si>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</si>
  <si>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</si>
  <si>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</si>
  <si>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</si>
  <si>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</si>
  <si>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</si>
  <si>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</si>
  <si>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</si>
  <si>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</si>
  <si>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</si>
  <si>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</si>
  <si>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</si>
  <si>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</si>
  <si>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</si>
  <si>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</si>
  <si>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</si>
  <si>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</si>
  <si>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</si>
  <si>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</si>
  <si>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</si>
  <si>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</si>
  <si>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</si>
  <si>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</si>
  <si>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</si>
  <si>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</si>
  <si>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</si>
  <si>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</si>
  <si>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</si>
  <si>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</si>
  <si>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</si>
  <si>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</si>
  <si>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</si>
  <si>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</si>
  <si>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</si>
  <si>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</si>
  <si>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</si>
  <si>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</si>
  <si>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</si>
  <si>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</si>
  <si>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</si>
  <si>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</si>
  <si>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</si>
  <si>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</si>
  <si>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</si>
  <si>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</si>
  <si>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</si>
  <si>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</si>
  <si>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</si>
  <si>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</si>
  <si>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</si>
  <si>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</si>
  <si>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</si>
  <si>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</si>
  <si>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</si>
  <si>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</si>
  <si>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</si>
  <si>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</si>
  <si>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</si>
  <si>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</si>
  <si>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</si>
  <si>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</si>
  <si>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</si>
  <si>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</si>
  <si>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</si>
  <si>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</si>
  <si>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</si>
  <si>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</si>
  <si>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</si>
  <si>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</si>
  <si>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</si>
  <si>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</si>
  <si>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</si>
  <si>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</si>
  <si>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</si>
  <si>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</si>
  <si>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</si>
  <si>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</si>
  <si>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</si>
  <si>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</si>
  <si>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</si>
  <si>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</si>
  <si>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</si>
  <si>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</si>
  <si>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</si>
  <si>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</si>
  <si>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</si>
  <si>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</si>
  <si>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</si>
  <si>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</si>
  <si>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</si>
  <si>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</si>
  <si>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</si>
  <si>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</si>
  <si>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</si>
  <si>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</si>
  <si>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</si>
  <si>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</si>
  <si>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</si>
  <si>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</si>
  <si>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</si>
  <si>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</si>
  <si>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</si>
  <si>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</si>
  <si>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</si>
  <si>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</si>
  <si>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</si>
  <si>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</si>
  <si>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</si>
  <si>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</si>
  <si>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</si>
  <si>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</si>
  <si>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</si>
  <si>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</si>
  <si>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</si>
  <si>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</si>
  <si>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</si>
  <si>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</si>
  <si>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</si>
  <si>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</si>
  <si>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</si>
  <si>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</si>
  <si>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</si>
  <si>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</si>
  <si>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</si>
  <si>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</si>
  <si>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</si>
  <si>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</si>
  <si>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</si>
  <si>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</si>
  <si>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</si>
  <si>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</si>
  <si>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</si>
  <si>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</si>
  <si>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</si>
  <si>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</si>
  <si>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</si>
  <si>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</si>
  <si>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</si>
  <si>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</si>
  <si>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</si>
  <si>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</si>
  <si>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</si>
  <si>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</si>
  <si>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</si>
  <si>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</si>
  <si>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</si>
  <si>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</si>
  <si>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</si>
  <si>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</si>
  <si>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</si>
  <si>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</si>
  <si>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</si>
  <si>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</si>
  <si>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</si>
  <si>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</si>
  <si>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</si>
  <si>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</si>
  <si>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</si>
  <si>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</si>
  <si>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</si>
  <si>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</si>
  <si>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</si>
  <si>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</si>
  <si>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</si>
  <si>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</si>
  <si>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</si>
  <si>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</si>
  <si>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</si>
  <si>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</si>
  <si>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</si>
  <si>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</si>
  <si>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</si>
  <si>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</si>
  <si>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</si>
  <si>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</si>
  <si>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</si>
  <si>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</si>
  <si>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</si>
  <si>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</si>
  <si>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</si>
  <si>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</si>
  <si>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</si>
  <si>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</si>
  <si>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</si>
  <si>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</si>
  <si>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</si>
  <si>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</si>
  <si>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</si>
  <si>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</si>
  <si>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</si>
  <si>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</si>
  <si>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</si>
  <si>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</si>
  <si>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</si>
  <si>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</si>
  <si>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</si>
  <si>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</si>
  <si>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</si>
  <si>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</si>
  <si>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</si>
  <si>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</si>
  <si>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</si>
  <si>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</si>
  <si>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</si>
  <si>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</si>
  <si>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</si>
  <si>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</si>
  <si>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</si>
  <si>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</si>
  <si>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</si>
  <si>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</si>
  <si>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</si>
  <si>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</si>
  <si>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</si>
  <si>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</si>
  <si>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</si>
  <si>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</si>
  <si>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</si>
  <si>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</si>
  <si>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</si>
  <si>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</si>
  <si>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</si>
  <si>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</si>
  <si>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</si>
  <si>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</si>
  <si>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</si>
  <si>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</si>
  <si>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</si>
  <si>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</si>
  <si>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</si>
  <si>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</si>
  <si>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</si>
  <si>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</si>
  <si>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</si>
  <si>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</si>
  <si>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</si>
  <si>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</si>
  <si>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</si>
  <si>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</si>
  <si>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</si>
  <si>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</si>
  <si>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</si>
  <si>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</si>
  <si>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</si>
  <si>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</si>
  <si>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</si>
  <si>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</si>
  <si>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</si>
  <si>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</si>
  <si>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</si>
  <si>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</si>
  <si>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</si>
  <si>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</si>
  <si>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</si>
  <si>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</si>
  <si>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</si>
  <si>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</si>
  <si>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</si>
  <si>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</si>
  <si>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</si>
  <si>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</si>
  <si>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</si>
  <si>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</si>
  <si>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</si>
  <si>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</si>
  <si>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</si>
  <si>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</si>
  <si>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</si>
  <si>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</si>
  <si>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</si>
  <si>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</si>
  <si>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</si>
  <si>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</si>
  <si>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</si>
  <si>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</si>
  <si>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</si>
  <si>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</si>
  <si>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</si>
  <si>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</si>
  <si>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</si>
  <si>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</si>
  <si>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</si>
  <si>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</si>
  <si>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</si>
  <si>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</si>
  <si>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</si>
  <si>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</si>
  <si>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</si>
  <si>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</si>
  <si>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</si>
  <si>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</si>
  <si>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</si>
  <si>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</si>
  <si>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</si>
  <si>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</si>
  <si>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</si>
  <si>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</si>
  <si>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</si>
  <si>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</si>
  <si>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</si>
  <si>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</si>
  <si>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</si>
  <si>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</si>
  <si>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</si>
  <si>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</si>
  <si>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</si>
  <si>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</si>
  <si>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</si>
  <si>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</si>
  <si>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</si>
  <si>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</si>
  <si>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</si>
  <si>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</si>
  <si>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</si>
  <si>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</si>
  <si>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</si>
  <si>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</si>
  <si>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</si>
  <si>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</si>
  <si>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</si>
  <si>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</si>
  <si>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</si>
  <si>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</si>
  <si>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</si>
  <si>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</si>
  <si>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</si>
  <si>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</si>
  <si>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</si>
  <si>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</si>
  <si>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</si>
  <si>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</si>
  <si>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</si>
  <si>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</si>
  <si>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</si>
  <si>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</si>
  <si>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</si>
  <si>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</si>
  <si>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</si>
  <si>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</si>
  <si>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</si>
  <si>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</si>
  <si>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</si>
  <si>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</si>
  <si>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</si>
  <si>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</si>
  <si>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</si>
  <si>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</si>
  <si>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</si>
  <si>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</si>
  <si>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</si>
  <si>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</si>
  <si>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</si>
  <si>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</si>
  <si>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</si>
  <si>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</si>
  <si>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</si>
  <si>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</si>
  <si>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</si>
  <si>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service_networks</t>
  </si>
  <si>
    <t>mdi:certificate</t>
  </si>
  <si>
    <t>mdi:credit-card-wireless</t>
  </si>
  <si>
    <t>mdi:turbine</t>
  </si>
  <si>
    <t>network_domain</t>
  </si>
  <si>
    <t>mdi:archive-search-outline</t>
  </si>
  <si>
    <t>network_certs</t>
  </si>
  <si>
    <t>Certificates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</si>
</sst>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3" fillId="0" borderId="0" xfId="0" applyNumberFormat="1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49" fontId="8" fillId="0" borderId="0" xfId="0" applyNumberFormat="1" applyFont="1" applyFill="1" applyAlignment="1">
      <alignment horizontal="left" vertical="top"/>
    </xf>
    <xf numFmtId="0" fontId="11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zoomScale="121" zoomScaleNormal="120" workbookViewId="0">
      <selection activeCell="A4" sqref="A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>15*60</f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1515</v>
      </c>
      <c r="AF284" s="30">
        <f>15*60</f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>15*60</f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>15*60</f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1519</v>
      </c>
      <c r="F287" s="30" t="str">
        <f>IF(ISBLANK(Table2[[#This Row],[unique_id]]), "", PROPER(SUBSTITUTE(Table2[[#This Row],[unique_id]], "_", " ")))</f>
        <v>Network Certs</v>
      </c>
      <c r="G287" s="30" t="s">
        <v>1520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1514</v>
      </c>
      <c r="AF287" s="30">
        <f>15*60</f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networks/command/certs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1499</v>
      </c>
      <c r="D288" s="30" t="s">
        <v>133</v>
      </c>
      <c r="E288" s="30" t="s">
        <v>1517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1501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1518</v>
      </c>
      <c r="AF288" s="30">
        <f>15*60</f>
        <v>900</v>
      </c>
      <c r="AG288" s="31" t="s">
        <v>34</v>
      </c>
      <c r="AH288" s="31"/>
      <c r="AI288" s="30" t="s">
        <v>1504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networks/data/domain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networks/command/domain</v>
      </c>
      <c r="AM288" s="30" t="str">
        <f>IF(ISBLANK(Table2[[#This Row],[index]]),  "", _xlfn.CONCAT(LOWER(Table2[[#This Row],[device_via_device]]), "/status"))</f>
        <v>networks/status</v>
      </c>
      <c r="AR288" s="30" t="s">
        <v>1505</v>
      </c>
      <c r="AS288" s="30">
        <v>1</v>
      </c>
      <c r="AT288" s="32"/>
      <c r="AU288" s="66"/>
      <c r="AV288" s="63"/>
      <c r="AW288" s="63"/>
      <c r="AX288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8" s="63"/>
      <c r="BA288" s="64" t="str">
        <f>IF(ISBLANK(Table2[[#This Row],[device_model]]), "", Table2[[#This Row],[device_suggested_area]])</f>
        <v/>
      </c>
      <c r="BB288" s="63"/>
      <c r="BC288" s="63"/>
      <c r="BD288" s="63"/>
      <c r="BF288" s="65"/>
      <c r="BG288" s="63"/>
      <c r="BH288" s="63"/>
      <c r="BI288" s="63"/>
      <c r="BJ288" s="63"/>
      <c r="BK288" s="63"/>
      <c r="BL288" s="67"/>
      <c r="BM288" s="63"/>
      <c r="BN288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1513</v>
      </c>
      <c r="F298" s="30" t="str">
        <f>IF(ISBLANK(Table2[[#This Row],[unique_id]]), "", PROPER(SUBSTITUTE(Table2[[#This Row],[unique_id]], "_", " ")))</f>
        <v>Service Networks</v>
      </c>
      <c r="G298" s="30" t="s">
        <v>1499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1502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1502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2566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2568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2576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2582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2583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2594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2602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2603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2614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2617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2650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2651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2652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2653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2654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2655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2656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2657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2658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2659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2660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2661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2662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2663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2664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2665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2666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2667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2668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>IF(ISBLANK(AI474),  "", _xlfn.CONCAT("haas/entity/sensor/", LOWER(C474), "/", E474, "/config"))</f>
        <v/>
      </c>
      <c r="AK474" s="30" t="str">
        <f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>IF(ISBLANK(AI475),  "", _xlfn.CONCAT("haas/entity/sensor/", LOWER(C475), "/", E475, "/config"))</f>
        <v/>
      </c>
      <c r="AK475" s="30" t="str">
        <f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2026-07-30T11:55:47Z</dcterms:modified>
</cp:coreProperties>
</file>