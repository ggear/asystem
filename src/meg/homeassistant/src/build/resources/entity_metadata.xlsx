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46EF05F6-DA18-7445-9B6E-9141CF7CF634}" xr6:coauthVersionLast="47" xr6:coauthVersionMax="47" xr10:uidLastSave="{00000000-0000-0000-0000-000000000000}"/>
  <bookViews>
    <workbookView xWindow="4000" yWindow="2800" windowWidth="46560" windowHeight="26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88" i="1" l="1"/>
  <c r="BA388" i="1"/>
  <c r="AZ388" i="1"/>
  <c r="AW388" i="1" s="1"/>
  <c r="AX388" i="1" s="1"/>
  <c r="AT388" i="1"/>
  <c r="F388" i="1"/>
  <c r="BN295" i="1"/>
  <c r="BA295" i="1"/>
  <c r="AW295" i="1"/>
  <c r="AX295" i="1" s="1"/>
  <c r="AV295" i="1"/>
  <c r="F295" i="1"/>
  <c r="BN417" i="1"/>
  <c r="BA417" i="1"/>
  <c r="AW417" i="1"/>
  <c r="AX417" i="1" s="1"/>
  <c r="AV417" i="1"/>
  <c r="F417" i="1"/>
  <c r="BN181" i="1"/>
  <c r="BA181" i="1"/>
  <c r="AZ181" i="1"/>
  <c r="AW181" i="1" s="1"/>
  <c r="AT181" i="1"/>
  <c r="R181" i="1"/>
  <c r="S181" i="1" s="1"/>
  <c r="F181" i="1"/>
  <c r="BN179" i="1"/>
  <c r="BA179" i="1"/>
  <c r="AZ179" i="1"/>
  <c r="AW179" i="1" s="1"/>
  <c r="AX179" i="1" s="1"/>
  <c r="AT179" i="1"/>
  <c r="F179" i="1"/>
  <c r="BN379" i="1"/>
  <c r="AW379" i="1"/>
  <c r="AV379" i="1" s="1"/>
  <c r="T379" i="1"/>
  <c r="S379" i="1"/>
  <c r="F379" i="1"/>
  <c r="BN378" i="1"/>
  <c r="AW378" i="1"/>
  <c r="AX378" i="1" s="1"/>
  <c r="T378" i="1"/>
  <c r="S378" i="1"/>
  <c r="F378" i="1"/>
  <c r="BN405" i="1"/>
  <c r="BA405" i="1"/>
  <c r="AW405" i="1" s="1"/>
  <c r="AX405" i="1" s="1"/>
  <c r="T405" i="1"/>
  <c r="S405" i="1"/>
  <c r="F405" i="1"/>
  <c r="BN404" i="1"/>
  <c r="BA404" i="1"/>
  <c r="AW404" i="1" s="1"/>
  <c r="AX404" i="1" s="1"/>
  <c r="S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T401" i="1"/>
  <c r="AM401" i="1"/>
  <c r="AL401" i="1"/>
  <c r="AK401" i="1"/>
  <c r="AJ401" i="1"/>
  <c r="T401" i="1"/>
  <c r="S401" i="1"/>
  <c r="F401" i="1"/>
  <c r="BN400" i="1"/>
  <c r="BA400" i="1"/>
  <c r="AW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AW395" i="1"/>
  <c r="AX395" i="1" s="1"/>
  <c r="T395" i="1"/>
  <c r="S395" i="1"/>
  <c r="F395" i="1"/>
  <c r="BN394" i="1"/>
  <c r="AW394" i="1"/>
  <c r="AX394" i="1" s="1"/>
  <c r="T394" i="1"/>
  <c r="S394" i="1"/>
  <c r="F394" i="1"/>
  <c r="BN393" i="1"/>
  <c r="BA393" i="1"/>
  <c r="AW393" i="1" s="1"/>
  <c r="T393" i="1"/>
  <c r="S393" i="1"/>
  <c r="F393" i="1"/>
  <c r="BN392" i="1"/>
  <c r="BA392" i="1"/>
  <c r="AW392" i="1" s="1"/>
  <c r="S392" i="1"/>
  <c r="F392" i="1"/>
  <c r="BN391" i="1"/>
  <c r="BA391" i="1"/>
  <c r="AW391" i="1" s="1"/>
  <c r="T391" i="1"/>
  <c r="S391" i="1"/>
  <c r="F391" i="1"/>
  <c r="BN390" i="1"/>
  <c r="BA390" i="1"/>
  <c r="AW390" i="1" s="1"/>
  <c r="AX390" i="1" s="1"/>
  <c r="S390" i="1"/>
  <c r="F390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V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54" i="1"/>
  <c r="BA354" i="1"/>
  <c r="AW354" i="1" s="1"/>
  <c r="AT354" i="1"/>
  <c r="AM354" i="1"/>
  <c r="AL354" i="1"/>
  <c r="AK354" i="1"/>
  <c r="AJ354" i="1"/>
  <c r="F354" i="1"/>
  <c r="BN316" i="1"/>
  <c r="BA316" i="1"/>
  <c r="AW316" i="1" s="1"/>
  <c r="AK316" i="1"/>
  <c r="AJ316" i="1"/>
  <c r="F316" i="1"/>
  <c r="BN315" i="1"/>
  <c r="BA315" i="1"/>
  <c r="AW315" i="1" s="1"/>
  <c r="AK315" i="1"/>
  <c r="AJ315" i="1"/>
  <c r="F315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N328" i="1"/>
  <c r="BA328" i="1"/>
  <c r="AX328" i="1"/>
  <c r="AK328" i="1"/>
  <c r="AJ328" i="1"/>
  <c r="F328" i="1"/>
  <c r="AY328" i="1" s="1"/>
  <c r="BN327" i="1"/>
  <c r="BA327" i="1"/>
  <c r="AW327" i="1" s="1"/>
  <c r="AK327" i="1"/>
  <c r="AJ327" i="1"/>
  <c r="F327" i="1"/>
  <c r="BA475" i="1"/>
  <c r="BN476" i="1"/>
  <c r="BB476" i="1"/>
  <c r="AW476" i="1" s="1"/>
  <c r="BA476" i="1"/>
  <c r="F476" i="1"/>
  <c r="BN477" i="1"/>
  <c r="BB477" i="1"/>
  <c r="AW477" i="1" s="1"/>
  <c r="BA477" i="1"/>
  <c r="F477" i="1"/>
  <c r="BN489" i="1"/>
  <c r="BA489" i="1"/>
  <c r="AW489" i="1"/>
  <c r="AX489" i="1" s="1"/>
  <c r="AK489" i="1"/>
  <c r="AJ489" i="1"/>
  <c r="F489" i="1"/>
  <c r="BN488" i="1"/>
  <c r="BA488" i="1"/>
  <c r="AW488" i="1"/>
  <c r="AX488" i="1" s="1"/>
  <c r="AK488" i="1"/>
  <c r="AJ488" i="1"/>
  <c r="F488" i="1"/>
  <c r="BA486" i="1"/>
  <c r="BA485" i="1"/>
  <c r="BN485" i="1"/>
  <c r="AW485" i="1"/>
  <c r="AX485" i="1" s="1"/>
  <c r="AK485" i="1"/>
  <c r="AJ485" i="1"/>
  <c r="F485" i="1"/>
  <c r="BN484" i="1"/>
  <c r="BA484" i="1"/>
  <c r="AW484" i="1"/>
  <c r="AX484" i="1" s="1"/>
  <c r="AK484" i="1"/>
  <c r="AJ484" i="1"/>
  <c r="F484" i="1"/>
  <c r="AV470" i="1"/>
  <c r="AV455" i="1"/>
  <c r="AV460" i="1"/>
  <c r="AV468" i="1"/>
  <c r="BB478" i="1"/>
  <c r="AW478" i="1" s="1"/>
  <c r="AV478" i="1" s="1"/>
  <c r="BN478" i="1"/>
  <c r="BA478" i="1"/>
  <c r="F47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8" i="1"/>
  <c r="AW368" i="1" s="1"/>
  <c r="BA369" i="1"/>
  <c r="AW369" i="1" s="1"/>
  <c r="S369" i="1"/>
  <c r="S368" i="1"/>
  <c r="BN369" i="1"/>
  <c r="T369" i="1"/>
  <c r="F369" i="1"/>
  <c r="BN368" i="1"/>
  <c r="T368" i="1"/>
  <c r="F36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0" i="1"/>
  <c r="BA480" i="1"/>
  <c r="AW480" i="1"/>
  <c r="AX480" i="1" s="1"/>
  <c r="F480" i="1"/>
  <c r="BN482" i="1"/>
  <c r="BA482" i="1"/>
  <c r="AW482" i="1"/>
  <c r="AX482" i="1" s="1"/>
  <c r="F482" i="1"/>
  <c r="AW481" i="1"/>
  <c r="AX481" i="1" s="1"/>
  <c r="BN481" i="1"/>
  <c r="BA481" i="1"/>
  <c r="F48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39" i="1"/>
  <c r="BA439" i="1"/>
  <c r="AW439" i="1" s="1"/>
  <c r="AX439" i="1" s="1"/>
  <c r="F43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17" i="1"/>
  <c r="BA317" i="1"/>
  <c r="AW317" i="1" s="1"/>
  <c r="AK317" i="1"/>
  <c r="AJ317" i="1"/>
  <c r="F31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AK331" i="1"/>
  <c r="AJ331" i="1"/>
  <c r="F331" i="1"/>
  <c r="BA487" i="1"/>
  <c r="AW486" i="1"/>
  <c r="AX486" i="1" s="1"/>
  <c r="AW487" i="1"/>
  <c r="AX487" i="1" s="1"/>
  <c r="F486" i="1"/>
  <c r="AJ486" i="1"/>
  <c r="AK486" i="1"/>
  <c r="BN486" i="1"/>
  <c r="F487" i="1"/>
  <c r="AJ487" i="1"/>
  <c r="AK487" i="1"/>
  <c r="BN48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2" i="1"/>
  <c r="AX324" i="1"/>
  <c r="AX326" i="1"/>
  <c r="AX334" i="1"/>
  <c r="AX335" i="1"/>
  <c r="AX336" i="1"/>
  <c r="AX33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214" i="1"/>
  <c r="F215" i="1"/>
  <c r="F216" i="1"/>
  <c r="F146" i="1"/>
  <c r="F147" i="1"/>
  <c r="F148" i="1"/>
  <c r="F149" i="1"/>
  <c r="F150" i="1"/>
  <c r="F151" i="1"/>
  <c r="F152" i="1"/>
  <c r="F153" i="1"/>
  <c r="F154" i="1"/>
  <c r="F155" i="1"/>
  <c r="F156" i="1"/>
  <c r="F160" i="1"/>
  <c r="F182" i="1"/>
  <c r="F183" i="1"/>
  <c r="F157" i="1"/>
  <c r="F158" i="1"/>
  <c r="F159" i="1"/>
  <c r="F161" i="1"/>
  <c r="F212" i="1"/>
  <c r="F213" i="1"/>
  <c r="F220" i="1"/>
  <c r="F221" i="1"/>
  <c r="F197" i="1"/>
  <c r="F198" i="1"/>
  <c r="F162" i="1"/>
  <c r="F163" i="1"/>
  <c r="F164" i="1"/>
  <c r="F165" i="1"/>
  <c r="F166" i="1"/>
  <c r="F180" i="1"/>
  <c r="F167" i="1"/>
  <c r="F168" i="1"/>
  <c r="F169" i="1"/>
  <c r="F170" i="1"/>
  <c r="F171" i="1"/>
  <c r="F172" i="1"/>
  <c r="F173" i="1"/>
  <c r="F174" i="1"/>
  <c r="F217" i="1"/>
  <c r="F218" i="1"/>
  <c r="F219" i="1"/>
  <c r="F175" i="1"/>
  <c r="F176" i="1"/>
  <c r="F199" i="1"/>
  <c r="F209" i="1"/>
  <c r="F210" i="1"/>
  <c r="F211" i="1"/>
  <c r="F177" i="1"/>
  <c r="F178" i="1"/>
  <c r="F200" i="1"/>
  <c r="F201" i="1"/>
  <c r="F202" i="1"/>
  <c r="F203" i="1"/>
  <c r="F204" i="1"/>
  <c r="F205" i="1"/>
  <c r="F206" i="1"/>
  <c r="F207" i="1"/>
  <c r="F208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8" i="1"/>
  <c r="F319" i="1"/>
  <c r="F320" i="1"/>
  <c r="F321" i="1"/>
  <c r="F322" i="1"/>
  <c r="F323" i="1"/>
  <c r="F324" i="1"/>
  <c r="F325" i="1"/>
  <c r="F326" i="1"/>
  <c r="F333" i="1"/>
  <c r="F334" i="1"/>
  <c r="AY334" i="1" s="1"/>
  <c r="F335" i="1"/>
  <c r="AY335" i="1" s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8" i="1"/>
  <c r="F359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80" i="1"/>
  <c r="F381" i="1"/>
  <c r="F382" i="1"/>
  <c r="F383" i="1"/>
  <c r="F384" i="1"/>
  <c r="F385" i="1"/>
  <c r="F386" i="1"/>
  <c r="F387" i="1"/>
  <c r="F389" i="1"/>
  <c r="F406" i="1"/>
  <c r="F407" i="1"/>
  <c r="F408" i="1"/>
  <c r="F409" i="1"/>
  <c r="F410" i="1"/>
  <c r="F411" i="1"/>
  <c r="F412" i="1"/>
  <c r="F413" i="1"/>
  <c r="F414" i="1"/>
  <c r="F415" i="1"/>
  <c r="F416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7" i="1"/>
  <c r="F468" i="1"/>
  <c r="F469" i="1"/>
  <c r="F470" i="1"/>
  <c r="F471" i="1"/>
  <c r="F472" i="1"/>
  <c r="F473" i="1"/>
  <c r="F474" i="1"/>
  <c r="F475" i="1"/>
  <c r="F479" i="1"/>
  <c r="F483" i="1"/>
  <c r="F490" i="1"/>
  <c r="F491" i="1"/>
  <c r="AJ345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5" i="1"/>
  <c r="AJ323" i="1"/>
  <c r="AJ26" i="1"/>
  <c r="AJ319" i="1"/>
  <c r="AJ318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337" i="1"/>
  <c r="AJ333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5" i="1"/>
  <c r="BA335" i="1"/>
  <c r="AK335" i="1"/>
  <c r="AJ335" i="1"/>
  <c r="AJ336" i="1"/>
  <c r="AK336" i="1"/>
  <c r="BA336" i="1"/>
  <c r="BN336" i="1"/>
  <c r="AJ322" i="1"/>
  <c r="AK322" i="1"/>
  <c r="BA322" i="1"/>
  <c r="BN322" i="1"/>
  <c r="BN319" i="1"/>
  <c r="BA319" i="1"/>
  <c r="AW319" i="1" s="1"/>
  <c r="AK319" i="1"/>
  <c r="BN326" i="1"/>
  <c r="BA326" i="1"/>
  <c r="AK326" i="1"/>
  <c r="AJ326" i="1"/>
  <c r="BN325" i="1"/>
  <c r="BA325" i="1"/>
  <c r="AW325" i="1" s="1"/>
  <c r="AV325" i="1" s="1"/>
  <c r="AR325" i="1"/>
  <c r="AK325" i="1"/>
  <c r="BN324" i="1"/>
  <c r="BA324" i="1"/>
  <c r="AK324" i="1"/>
  <c r="AJ324" i="1"/>
  <c r="BN323" i="1"/>
  <c r="BA323" i="1"/>
  <c r="AW323" i="1" s="1"/>
  <c r="AV323" i="1" s="1"/>
  <c r="AR323" i="1"/>
  <c r="AK323" i="1"/>
  <c r="AJ334" i="1"/>
  <c r="AK334" i="1"/>
  <c r="BA334" i="1"/>
  <c r="BN334" i="1"/>
  <c r="AJ338" i="1"/>
  <c r="AK338" i="1"/>
  <c r="BA338" i="1"/>
  <c r="BN338" i="1"/>
  <c r="AR54" i="1"/>
  <c r="AR44" i="1"/>
  <c r="BN333" i="1"/>
  <c r="BA333" i="1"/>
  <c r="AW333" i="1" s="1"/>
  <c r="AV333" i="1" s="1"/>
  <c r="AK333" i="1"/>
  <c r="BA337" i="1"/>
  <c r="AW337" i="1" s="1"/>
  <c r="AK337" i="1"/>
  <c r="BN337" i="1"/>
  <c r="BN288" i="1"/>
  <c r="BA288" i="1"/>
  <c r="AW288" i="1" s="1"/>
  <c r="AV288" i="1" s="1"/>
  <c r="AK288" i="1"/>
  <c r="BN287" i="1"/>
  <c r="BA287" i="1"/>
  <c r="AW287" i="1" s="1"/>
  <c r="AV287" i="1" s="1"/>
  <c r="AK287" i="1"/>
  <c r="AK318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BN318" i="1"/>
  <c r="BA318" i="1"/>
  <c r="AW318" i="1" s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BA299" i="1"/>
  <c r="AW299" i="1" s="1"/>
  <c r="AV299" i="1" s="1"/>
  <c r="BN320" i="1"/>
  <c r="BA320" i="1"/>
  <c r="AW320" i="1"/>
  <c r="AX320" i="1" s="1"/>
  <c r="AV320" i="1"/>
  <c r="BN321" i="1"/>
  <c r="BA321" i="1"/>
  <c r="AW321" i="1"/>
  <c r="AX321" i="1" s="1"/>
  <c r="AV321" i="1"/>
  <c r="AR77" i="1"/>
  <c r="AR76" i="1"/>
  <c r="AR75" i="1"/>
  <c r="AR74" i="1"/>
  <c r="AR73" i="1"/>
  <c r="AR72" i="1"/>
  <c r="AR26" i="1"/>
  <c r="AY388" i="1" l="1"/>
  <c r="AV388" i="1"/>
  <c r="AY295" i="1"/>
  <c r="AY181" i="1"/>
  <c r="AY417" i="1"/>
  <c r="AV179" i="1"/>
  <c r="AY379" i="1"/>
  <c r="AY179" i="1"/>
  <c r="AV181" i="1"/>
  <c r="AX181" i="1"/>
  <c r="AV378" i="1"/>
  <c r="AY378" i="1"/>
  <c r="AY396" i="1"/>
  <c r="AX379" i="1"/>
  <c r="AY400" i="1"/>
  <c r="AV404" i="1"/>
  <c r="AY394" i="1"/>
  <c r="AY404" i="1"/>
  <c r="AX399" i="1"/>
  <c r="AV399" i="1"/>
  <c r="AX398" i="1"/>
  <c r="AV398" i="1"/>
  <c r="AX400" i="1"/>
  <c r="AV400" i="1"/>
  <c r="AX397" i="1"/>
  <c r="AV397" i="1"/>
  <c r="AY395" i="1"/>
  <c r="AY397" i="1"/>
  <c r="AY399" i="1"/>
  <c r="AY398" i="1"/>
  <c r="AY403" i="1"/>
  <c r="AY405" i="1"/>
  <c r="AV394" i="1"/>
  <c r="AX402" i="1"/>
  <c r="AV402" i="1"/>
  <c r="AX393" i="1"/>
  <c r="AV393" i="1"/>
  <c r="AY393" i="1"/>
  <c r="AY391" i="1"/>
  <c r="AX391" i="1"/>
  <c r="AV391" i="1"/>
  <c r="AX401" i="1"/>
  <c r="AV401" i="1"/>
  <c r="AY401" i="1"/>
  <c r="AY392" i="1"/>
  <c r="AY402" i="1"/>
  <c r="AX403" i="1"/>
  <c r="AV403" i="1"/>
  <c r="AV392" i="1"/>
  <c r="AX392" i="1"/>
  <c r="AX396" i="1"/>
  <c r="AV390" i="1"/>
  <c r="AV396" i="1"/>
  <c r="AY390" i="1"/>
  <c r="AV395" i="1"/>
  <c r="AV405" i="1"/>
  <c r="AY354" i="1"/>
  <c r="AX356" i="1"/>
  <c r="AY357" i="1"/>
  <c r="AX354" i="1"/>
  <c r="AY355" i="1"/>
  <c r="AX355" i="1"/>
  <c r="AV355" i="1"/>
  <c r="AY356" i="1"/>
  <c r="AX357" i="1"/>
  <c r="AV354" i="1"/>
  <c r="AX315" i="1"/>
  <c r="AY316" i="1"/>
  <c r="AV315" i="1"/>
  <c r="AY315" i="1"/>
  <c r="AX316" i="1"/>
  <c r="AV316" i="1"/>
  <c r="AX329" i="1"/>
  <c r="AV329" i="1"/>
  <c r="AY329" i="1"/>
  <c r="AX327" i="1"/>
  <c r="AY327" i="1"/>
  <c r="AV327" i="1"/>
  <c r="AY476" i="1"/>
  <c r="AV476" i="1"/>
  <c r="AX476" i="1"/>
  <c r="AX477" i="1"/>
  <c r="AV477" i="1"/>
  <c r="AY477" i="1"/>
  <c r="AY489" i="1"/>
  <c r="AV489" i="1"/>
  <c r="AY484" i="1"/>
  <c r="AV484" i="1"/>
  <c r="AY488" i="1"/>
  <c r="AV488" i="1"/>
  <c r="AY485" i="1"/>
  <c r="AV485" i="1"/>
  <c r="AV480" i="1"/>
  <c r="AY127" i="1"/>
  <c r="AY478" i="1"/>
  <c r="AX478" i="1"/>
  <c r="AV127" i="1"/>
  <c r="AY128" i="1"/>
  <c r="AV128" i="1"/>
  <c r="AY42" i="1"/>
  <c r="AY109" i="1"/>
  <c r="AY108" i="1"/>
  <c r="AV108" i="1"/>
  <c r="AX108" i="1"/>
  <c r="AV109" i="1"/>
  <c r="AY368" i="1"/>
  <c r="AX369" i="1"/>
  <c r="AV369" i="1"/>
  <c r="AY369" i="1"/>
  <c r="AX368" i="1"/>
  <c r="AV368" i="1"/>
  <c r="AY480" i="1"/>
  <c r="AY482" i="1"/>
  <c r="AY481" i="1"/>
  <c r="AY466" i="1"/>
  <c r="AX107" i="1"/>
  <c r="AV107" i="1"/>
  <c r="AY107" i="1"/>
  <c r="AX106" i="1"/>
  <c r="AV106" i="1"/>
  <c r="AY106" i="1"/>
  <c r="AY56" i="1"/>
  <c r="AY464" i="1"/>
  <c r="AY463" i="1"/>
  <c r="AY461" i="1"/>
  <c r="AY462" i="1"/>
  <c r="AY465" i="1"/>
  <c r="AY439" i="1"/>
  <c r="AV43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Y317" i="1"/>
  <c r="AX317" i="1"/>
  <c r="AV317" i="1"/>
  <c r="AX331" i="1"/>
  <c r="AY331" i="1"/>
  <c r="AY487" i="1"/>
  <c r="AV487" i="1"/>
  <c r="AV486" i="1"/>
  <c r="AY486" i="1"/>
  <c r="AY41" i="1"/>
  <c r="AY43" i="1"/>
  <c r="AX318" i="1"/>
  <c r="AX304" i="1"/>
  <c r="AX314" i="1"/>
  <c r="AX319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7" i="1"/>
  <c r="AX333" i="1"/>
  <c r="AX323" i="1"/>
  <c r="AX299" i="1"/>
  <c r="AX311" i="1"/>
  <c r="AX288" i="1"/>
  <c r="AX325" i="1"/>
  <c r="AY15" i="1"/>
  <c r="AY333" i="1"/>
  <c r="AV337" i="1"/>
  <c r="AY337" i="1"/>
  <c r="AY303" i="1"/>
  <c r="AY302" i="1"/>
  <c r="AV314" i="1"/>
  <c r="AY314" i="1"/>
  <c r="AY323" i="1"/>
  <c r="AV306" i="1"/>
  <c r="AY306" i="1"/>
  <c r="AY300" i="1"/>
  <c r="AV307" i="1"/>
  <c r="AY307" i="1"/>
  <c r="AV308" i="1"/>
  <c r="AY308" i="1"/>
  <c r="AV318" i="1"/>
  <c r="AY318" i="1"/>
  <c r="AY288" i="1"/>
  <c r="AV310" i="1"/>
  <c r="AY310" i="1"/>
  <c r="AV304" i="1"/>
  <c r="AY304" i="1"/>
  <c r="AV319" i="1"/>
  <c r="AY319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21" i="1"/>
  <c r="AY301" i="1"/>
  <c r="AY326" i="1"/>
  <c r="AY312" i="1"/>
  <c r="AY325" i="1"/>
  <c r="AY311" i="1"/>
  <c r="AY299" i="1"/>
  <c r="AY234" i="1"/>
  <c r="AY23" i="1"/>
  <c r="AY11" i="1"/>
  <c r="AY324" i="1"/>
  <c r="AY21" i="1"/>
  <c r="AY9" i="1"/>
  <c r="AY338" i="1"/>
  <c r="AY322" i="1"/>
  <c r="AY336" i="1"/>
  <c r="AY320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5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2" i="1"/>
  <c r="AX472" i="1" s="1"/>
  <c r="AW470" i="1"/>
  <c r="AX470" i="1" s="1"/>
  <c r="AW468" i="1"/>
  <c r="AX468" i="1" s="1"/>
  <c r="AW467" i="1"/>
  <c r="AX467" i="1" s="1"/>
  <c r="AV467" i="1"/>
  <c r="AW460" i="1"/>
  <c r="AX460" i="1" s="1"/>
  <c r="AW457" i="1"/>
  <c r="AX457" i="1" s="1"/>
  <c r="AV457" i="1"/>
  <c r="AW456" i="1"/>
  <c r="AX456" i="1" s="1"/>
  <c r="AV456" i="1"/>
  <c r="AW455" i="1"/>
  <c r="AX455" i="1" s="1"/>
  <c r="AW452" i="1"/>
  <c r="AX452" i="1" s="1"/>
  <c r="AV452" i="1"/>
  <c r="AW451" i="1"/>
  <c r="AX451" i="1" s="1"/>
  <c r="AV451" i="1"/>
  <c r="AW443" i="1"/>
  <c r="AX443" i="1" s="1"/>
  <c r="AV443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353" i="1"/>
  <c r="AX353" i="1" s="1"/>
  <c r="AV353" i="1"/>
  <c r="AW352" i="1"/>
  <c r="AX352" i="1" s="1"/>
  <c r="AV352" i="1"/>
  <c r="AW351" i="1"/>
  <c r="AX351" i="1" s="1"/>
  <c r="AV351" i="1"/>
  <c r="AW350" i="1"/>
  <c r="AX350" i="1" s="1"/>
  <c r="AV35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9" i="1"/>
  <c r="AX339" i="1" s="1"/>
  <c r="AV339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3" i="1"/>
  <c r="AV473" i="1" s="1"/>
  <c r="AW483" i="1"/>
  <c r="AW490" i="1"/>
  <c r="AX490" i="1" s="1"/>
  <c r="BA472" i="1"/>
  <c r="BA470" i="1"/>
  <c r="BA468" i="1"/>
  <c r="BA467" i="1"/>
  <c r="BA460" i="1"/>
  <c r="BA457" i="1"/>
  <c r="BA456" i="1"/>
  <c r="BA455" i="1"/>
  <c r="BA452" i="1"/>
  <c r="BA451" i="1"/>
  <c r="BA443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6" i="1"/>
  <c r="BA415" i="1"/>
  <c r="BA414" i="1"/>
  <c r="BA413" i="1"/>
  <c r="BA412" i="1"/>
  <c r="BA411" i="1"/>
  <c r="BA410" i="1"/>
  <c r="BA409" i="1"/>
  <c r="BA353" i="1"/>
  <c r="BA352" i="1"/>
  <c r="BA351" i="1"/>
  <c r="BA350" i="1"/>
  <c r="BA344" i="1"/>
  <c r="BA343" i="1"/>
  <c r="BA342" i="1"/>
  <c r="BA341" i="1"/>
  <c r="BA340" i="1"/>
  <c r="BA339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8" i="1"/>
  <c r="BA453" i="1"/>
  <c r="BA491" i="1"/>
  <c r="BA281" i="1"/>
  <c r="AW281" i="1" s="1"/>
  <c r="AX281" i="1" s="1"/>
  <c r="BA479" i="1"/>
  <c r="BA474" i="1"/>
  <c r="BA473" i="1"/>
  <c r="BA471" i="1"/>
  <c r="BA469" i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59" i="1"/>
  <c r="BA45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9" i="1"/>
  <c r="BA387" i="1"/>
  <c r="BA386" i="1"/>
  <c r="BA196" i="1"/>
  <c r="BA195" i="1"/>
  <c r="BA194" i="1"/>
  <c r="BA193" i="1"/>
  <c r="BA192" i="1"/>
  <c r="BA191" i="1"/>
  <c r="BA190" i="1"/>
  <c r="BA189" i="1"/>
  <c r="BA188" i="1"/>
  <c r="BA187" i="1"/>
  <c r="BA186" i="1"/>
  <c r="BA185" i="1"/>
  <c r="BA184" i="1"/>
  <c r="BA178" i="1"/>
  <c r="BA177" i="1"/>
  <c r="BA176" i="1"/>
  <c r="BA175" i="1"/>
  <c r="BA174" i="1"/>
  <c r="BA173" i="1"/>
  <c r="BA172" i="1"/>
  <c r="BA171" i="1"/>
  <c r="BA170" i="1"/>
  <c r="BA169" i="1"/>
  <c r="BA168" i="1"/>
  <c r="BA167" i="1"/>
  <c r="BA166" i="1"/>
  <c r="BA165" i="1"/>
  <c r="BA164" i="1"/>
  <c r="BA163" i="1"/>
  <c r="BA162" i="1"/>
  <c r="BA198" i="1"/>
  <c r="BA197" i="1"/>
  <c r="BA161" i="1"/>
  <c r="BA159" i="1"/>
  <c r="BA158" i="1"/>
  <c r="BA157" i="1"/>
  <c r="BA183" i="1"/>
  <c r="BA182" i="1"/>
  <c r="BA156" i="1"/>
  <c r="BA155" i="1"/>
  <c r="BA154" i="1"/>
  <c r="BA153" i="1"/>
  <c r="BA152" i="1"/>
  <c r="BA151" i="1"/>
  <c r="BA150" i="1"/>
  <c r="BA149" i="1"/>
  <c r="BA148" i="1"/>
  <c r="BA147" i="1"/>
  <c r="BA146" i="1"/>
  <c r="BA145" i="1"/>
  <c r="BA144" i="1"/>
  <c r="BA143" i="1"/>
  <c r="BA142" i="1"/>
  <c r="BA141" i="1"/>
  <c r="BA140" i="1"/>
  <c r="BA139" i="1"/>
  <c r="BA137" i="1"/>
  <c r="BA136" i="1"/>
  <c r="BA135" i="1"/>
  <c r="BA134" i="1"/>
  <c r="BA483" i="1"/>
  <c r="BA349" i="1"/>
  <c r="AW349" i="1" s="1"/>
  <c r="AX349" i="1" s="1"/>
  <c r="BA348" i="1"/>
  <c r="AW348" i="1" s="1"/>
  <c r="AX348" i="1" s="1"/>
  <c r="BA347" i="1"/>
  <c r="AW347" i="1" s="1"/>
  <c r="AX347" i="1" s="1"/>
  <c r="BA346" i="1"/>
  <c r="AW346" i="1" s="1"/>
  <c r="AX34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0" i="1"/>
  <c r="AW440" i="1" s="1"/>
  <c r="AX440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8" i="1"/>
  <c r="BA407" i="1"/>
  <c r="BA406" i="1"/>
  <c r="BA211" i="1"/>
  <c r="BA210" i="1"/>
  <c r="BA209" i="1"/>
  <c r="BA199" i="1"/>
  <c r="BA219" i="1"/>
  <c r="BA218" i="1"/>
  <c r="BA217" i="1"/>
  <c r="BA221" i="1"/>
  <c r="BA220" i="1"/>
  <c r="BA213" i="1"/>
  <c r="BA212" i="1"/>
  <c r="BA216" i="1"/>
  <c r="BA215" i="1"/>
  <c r="BA214" i="1"/>
  <c r="BA442" i="1"/>
  <c r="AW442" i="1" s="1"/>
  <c r="AX442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345" i="1"/>
  <c r="AW345" i="1" s="1"/>
  <c r="AX345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0" i="1"/>
  <c r="BA450" i="1"/>
  <c r="BA441" i="1"/>
  <c r="AW441" i="1" s="1"/>
  <c r="AX441" i="1" s="1"/>
  <c r="S373" i="1"/>
  <c r="S372" i="1"/>
  <c r="S371" i="1"/>
  <c r="S367" i="1"/>
  <c r="S383" i="1"/>
  <c r="S382" i="1"/>
  <c r="S381" i="1"/>
  <c r="S365" i="1"/>
  <c r="S363" i="1"/>
  <c r="T230" i="1"/>
  <c r="T226" i="1"/>
  <c r="T114" i="1"/>
  <c r="S445" i="1"/>
  <c r="S446" i="1"/>
  <c r="S449" i="1"/>
  <c r="S448" i="1"/>
  <c r="S359" i="1"/>
  <c r="S358" i="1"/>
  <c r="S361" i="1"/>
  <c r="S360" i="1"/>
  <c r="S385" i="1"/>
  <c r="S384" i="1"/>
  <c r="T375" i="1"/>
  <c r="T377" i="1"/>
  <c r="T224" i="1"/>
  <c r="T359" i="1"/>
  <c r="T373" i="1"/>
  <c r="T371" i="1"/>
  <c r="T367" i="1"/>
  <c r="T363" i="1"/>
  <c r="T381" i="1"/>
  <c r="T365" i="1"/>
  <c r="T383" i="1"/>
  <c r="T361" i="1"/>
  <c r="T385" i="1"/>
  <c r="S434" i="1"/>
  <c r="S436" i="1"/>
  <c r="S437" i="1"/>
  <c r="S447" i="1"/>
  <c r="S435" i="1"/>
  <c r="S433" i="1"/>
  <c r="S432" i="1"/>
  <c r="S380" i="1"/>
  <c r="S362" i="1"/>
  <c r="S364" i="1"/>
  <c r="S366" i="1"/>
  <c r="S370" i="1"/>
  <c r="BB479" i="1"/>
  <c r="AW479" i="1" s="1"/>
  <c r="BB475" i="1"/>
  <c r="AW475" i="1" s="1"/>
  <c r="BB474" i="1"/>
  <c r="AW474" i="1" s="1"/>
  <c r="BB471" i="1"/>
  <c r="AW471" i="1" s="1"/>
  <c r="BB469" i="1"/>
  <c r="AW469" i="1" s="1"/>
  <c r="AZ491" i="1"/>
  <c r="AW491" i="1" s="1"/>
  <c r="AX491" i="1" s="1"/>
  <c r="AZ458" i="1"/>
  <c r="AW458" i="1" s="1"/>
  <c r="AX458" i="1" s="1"/>
  <c r="AZ453" i="1"/>
  <c r="AW453" i="1" s="1"/>
  <c r="AX453" i="1" s="1"/>
  <c r="AZ459" i="1"/>
  <c r="AW459" i="1" s="1"/>
  <c r="AX459" i="1" s="1"/>
  <c r="AZ454" i="1"/>
  <c r="AW454" i="1" s="1"/>
  <c r="AX454" i="1" s="1"/>
  <c r="AZ389" i="1"/>
  <c r="AW389" i="1" s="1"/>
  <c r="AX389" i="1" s="1"/>
  <c r="AZ387" i="1"/>
  <c r="AW387" i="1" s="1"/>
  <c r="AX387" i="1" s="1"/>
  <c r="AZ386" i="1"/>
  <c r="AW386" i="1" s="1"/>
  <c r="AX386" i="1" s="1"/>
  <c r="AZ196" i="1"/>
  <c r="AW196" i="1" s="1"/>
  <c r="AX196" i="1" s="1"/>
  <c r="AZ195" i="1"/>
  <c r="AW195" i="1" s="1"/>
  <c r="AX195" i="1" s="1"/>
  <c r="AZ194" i="1"/>
  <c r="AW194" i="1" s="1"/>
  <c r="AX194" i="1" s="1"/>
  <c r="AZ193" i="1"/>
  <c r="AW193" i="1" s="1"/>
  <c r="AX193" i="1" s="1"/>
  <c r="AZ192" i="1"/>
  <c r="AW192" i="1" s="1"/>
  <c r="AX192" i="1" s="1"/>
  <c r="AZ191" i="1"/>
  <c r="AW191" i="1" s="1"/>
  <c r="AX191" i="1" s="1"/>
  <c r="AZ190" i="1"/>
  <c r="AW190" i="1" s="1"/>
  <c r="AX190" i="1" s="1"/>
  <c r="AZ189" i="1"/>
  <c r="AW189" i="1" s="1"/>
  <c r="AX189" i="1" s="1"/>
  <c r="AZ188" i="1"/>
  <c r="AW188" i="1" s="1"/>
  <c r="AX188" i="1" s="1"/>
  <c r="AZ187" i="1"/>
  <c r="AW187" i="1" s="1"/>
  <c r="AX187" i="1" s="1"/>
  <c r="AZ186" i="1"/>
  <c r="AW186" i="1" s="1"/>
  <c r="AX186" i="1" s="1"/>
  <c r="AZ185" i="1"/>
  <c r="AW185" i="1" s="1"/>
  <c r="AX185" i="1" s="1"/>
  <c r="AZ184" i="1"/>
  <c r="AW184" i="1" s="1"/>
  <c r="AX184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62" i="1"/>
  <c r="AW162" i="1" s="1"/>
  <c r="AX162" i="1" s="1"/>
  <c r="AZ198" i="1"/>
  <c r="AW198" i="1" s="1"/>
  <c r="AX198" i="1" s="1"/>
  <c r="AZ197" i="1"/>
  <c r="AW197" i="1" s="1"/>
  <c r="AX197" i="1" s="1"/>
  <c r="AZ161" i="1"/>
  <c r="AW161" i="1" s="1"/>
  <c r="AX161" i="1" s="1"/>
  <c r="AZ159" i="1"/>
  <c r="AW159" i="1" s="1"/>
  <c r="AX159" i="1" s="1"/>
  <c r="AZ158" i="1"/>
  <c r="AW158" i="1" s="1"/>
  <c r="AX158" i="1" s="1"/>
  <c r="AZ157" i="1"/>
  <c r="AW157" i="1" s="1"/>
  <c r="AX157" i="1" s="1"/>
  <c r="AZ183" i="1"/>
  <c r="AW183" i="1" s="1"/>
  <c r="AX183" i="1" s="1"/>
  <c r="AZ182" i="1"/>
  <c r="AW182" i="1" s="1"/>
  <c r="AX182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8" i="1"/>
  <c r="AW148" i="1" s="1"/>
  <c r="AX148" i="1" s="1"/>
  <c r="AZ147" i="1"/>
  <c r="AW147" i="1" s="1"/>
  <c r="AX147" i="1" s="1"/>
  <c r="AZ146" i="1"/>
  <c r="AW146" i="1" s="1"/>
  <c r="AX146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8" i="1"/>
  <c r="AW408" i="1" s="1"/>
  <c r="AX408" i="1" s="1"/>
  <c r="AZ407" i="1"/>
  <c r="AW407" i="1" s="1"/>
  <c r="AX407" i="1" s="1"/>
  <c r="AZ406" i="1"/>
  <c r="AW406" i="1" s="1"/>
  <c r="AX406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219" i="1"/>
  <c r="AW219" i="1" s="1"/>
  <c r="AX219" i="1" s="1"/>
  <c r="AZ218" i="1"/>
  <c r="AW218" i="1" s="1"/>
  <c r="AX218" i="1" s="1"/>
  <c r="AZ217" i="1"/>
  <c r="AW217" i="1" s="1"/>
  <c r="AX217" i="1" s="1"/>
  <c r="AZ221" i="1"/>
  <c r="AW221" i="1" s="1"/>
  <c r="AX221" i="1" s="1"/>
  <c r="AZ220" i="1"/>
  <c r="AW220" i="1" s="1"/>
  <c r="AX220" i="1" s="1"/>
  <c r="AZ213" i="1"/>
  <c r="AW213" i="1" s="1"/>
  <c r="AX213" i="1" s="1"/>
  <c r="AZ212" i="1"/>
  <c r="AW212" i="1" s="1"/>
  <c r="AX212" i="1" s="1"/>
  <c r="AZ216" i="1"/>
  <c r="AW216" i="1" s="1"/>
  <c r="AX216" i="1" s="1"/>
  <c r="AZ215" i="1"/>
  <c r="AW215" i="1" s="1"/>
  <c r="AX215" i="1" s="1"/>
  <c r="AZ214" i="1"/>
  <c r="AW214" i="1" s="1"/>
  <c r="AX214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6" i="1"/>
  <c r="S37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214" i="1"/>
  <c r="BN215" i="1"/>
  <c r="BN216" i="1"/>
  <c r="BN146" i="1"/>
  <c r="BN147" i="1"/>
  <c r="BN148" i="1"/>
  <c r="BN149" i="1"/>
  <c r="BN150" i="1"/>
  <c r="BN151" i="1"/>
  <c r="BN152" i="1"/>
  <c r="BN153" i="1"/>
  <c r="BN154" i="1"/>
  <c r="BN155" i="1"/>
  <c r="BN156" i="1"/>
  <c r="BN160" i="1"/>
  <c r="BN182" i="1"/>
  <c r="BN183" i="1"/>
  <c r="BN157" i="1"/>
  <c r="BN158" i="1"/>
  <c r="BN159" i="1"/>
  <c r="BN161" i="1"/>
  <c r="BN212" i="1"/>
  <c r="BN213" i="1"/>
  <c r="BN220" i="1"/>
  <c r="BN221" i="1"/>
  <c r="BN197" i="1"/>
  <c r="BN198" i="1"/>
  <c r="BN162" i="1"/>
  <c r="BN163" i="1"/>
  <c r="BN164" i="1"/>
  <c r="BN165" i="1"/>
  <c r="BN166" i="1"/>
  <c r="BN180" i="1"/>
  <c r="BN167" i="1"/>
  <c r="BN168" i="1"/>
  <c r="BN169" i="1"/>
  <c r="BN170" i="1"/>
  <c r="BN171" i="1"/>
  <c r="BN172" i="1"/>
  <c r="BN173" i="1"/>
  <c r="BN174" i="1"/>
  <c r="BN217" i="1"/>
  <c r="BN218" i="1"/>
  <c r="BN219" i="1"/>
  <c r="BN175" i="1"/>
  <c r="BN176" i="1"/>
  <c r="BN199" i="1"/>
  <c r="BN209" i="1"/>
  <c r="BN210" i="1"/>
  <c r="BN211" i="1"/>
  <c r="BN177" i="1"/>
  <c r="BN178" i="1"/>
  <c r="BN200" i="1"/>
  <c r="BN201" i="1"/>
  <c r="BN205" i="1"/>
  <c r="BN206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8" i="1"/>
  <c r="BN359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80" i="1"/>
  <c r="BN381" i="1"/>
  <c r="BN382" i="1"/>
  <c r="BN383" i="1"/>
  <c r="BN384" i="1"/>
  <c r="BN385" i="1"/>
  <c r="BN386" i="1"/>
  <c r="BN387" i="1"/>
  <c r="BN389" i="1"/>
  <c r="BN406" i="1"/>
  <c r="BN407" i="1"/>
  <c r="BN408" i="1"/>
  <c r="BN409" i="1"/>
  <c r="BN410" i="1"/>
  <c r="BN411" i="1"/>
  <c r="BN412" i="1"/>
  <c r="BN413" i="1"/>
  <c r="BN414" i="1"/>
  <c r="BN415" i="1"/>
  <c r="BN416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7" i="1"/>
  <c r="BN468" i="1"/>
  <c r="BN469" i="1"/>
  <c r="BN470" i="1"/>
  <c r="BN471" i="1"/>
  <c r="BN472" i="1"/>
  <c r="BN473" i="1"/>
  <c r="BN474" i="1"/>
  <c r="BN475" i="1"/>
  <c r="BN479" i="1"/>
  <c r="BN483" i="1"/>
  <c r="BN490" i="1"/>
  <c r="BN49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219" i="1"/>
  <c r="S219" i="1" s="1"/>
  <c r="R218" i="1"/>
  <c r="S218" i="1" s="1"/>
  <c r="R216" i="1"/>
  <c r="S216" i="1" s="1"/>
  <c r="R215" i="1"/>
  <c r="S215" i="1" s="1"/>
  <c r="R221" i="1"/>
  <c r="S221" i="1" s="1"/>
  <c r="R213" i="1"/>
  <c r="S213" i="1" s="1"/>
  <c r="R211" i="1"/>
  <c r="S211" i="1" s="1"/>
  <c r="R210" i="1"/>
  <c r="S210" i="1" s="1"/>
  <c r="R209" i="1"/>
  <c r="S209" i="1" s="1"/>
  <c r="T206" i="1"/>
  <c r="T201" i="1"/>
  <c r="T444" i="1"/>
  <c r="T205" i="1"/>
  <c r="T200" i="1"/>
  <c r="S377" i="1"/>
  <c r="S375" i="1"/>
  <c r="R223" i="1"/>
  <c r="R224" i="1"/>
  <c r="R195" i="1"/>
  <c r="S195" i="1" s="1"/>
  <c r="R194" i="1"/>
  <c r="S194" i="1" s="1"/>
  <c r="R188" i="1"/>
  <c r="S188" i="1" s="1"/>
  <c r="R187" i="1"/>
  <c r="S187" i="1" s="1"/>
  <c r="R186" i="1"/>
  <c r="S186" i="1" s="1"/>
  <c r="R185" i="1"/>
  <c r="S185" i="1" s="1"/>
  <c r="R178" i="1"/>
  <c r="S178" i="1" s="1"/>
  <c r="R176" i="1"/>
  <c r="S176" i="1" s="1"/>
  <c r="R174" i="1"/>
  <c r="S174" i="1" s="1"/>
  <c r="R172" i="1"/>
  <c r="S172" i="1" s="1"/>
  <c r="R170" i="1"/>
  <c r="S170" i="1" s="1"/>
  <c r="R168" i="1"/>
  <c r="S168" i="1" s="1"/>
  <c r="R166" i="1"/>
  <c r="S166" i="1" s="1"/>
  <c r="R165" i="1"/>
  <c r="S165" i="1" s="1"/>
  <c r="R164" i="1"/>
  <c r="S164" i="1" s="1"/>
  <c r="R163" i="1"/>
  <c r="S163" i="1" s="1"/>
  <c r="R198" i="1"/>
  <c r="S198" i="1" s="1"/>
  <c r="R161" i="1"/>
  <c r="S161" i="1" s="1"/>
  <c r="R159" i="1"/>
  <c r="S159" i="1" s="1"/>
  <c r="R158" i="1"/>
  <c r="S158" i="1" s="1"/>
  <c r="R183" i="1"/>
  <c r="S183" i="1" s="1"/>
  <c r="R160" i="1"/>
  <c r="S160" i="1" s="1"/>
  <c r="R156" i="1"/>
  <c r="S156" i="1" s="1"/>
  <c r="R155" i="1"/>
  <c r="S155" i="1" s="1"/>
  <c r="R154" i="1"/>
  <c r="S154" i="1" s="1"/>
  <c r="R152" i="1"/>
  <c r="S152" i="1" s="1"/>
  <c r="R151" i="1"/>
  <c r="S151" i="1" s="1"/>
  <c r="R150" i="1"/>
  <c r="S150" i="1" s="1"/>
  <c r="R149" i="1"/>
  <c r="S149" i="1" s="1"/>
  <c r="R148" i="1"/>
  <c r="S148" i="1" s="1"/>
  <c r="R147" i="1"/>
  <c r="S147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98" i="1"/>
  <c r="AT197" i="1"/>
  <c r="AT408" i="1"/>
  <c r="AT407" i="1"/>
  <c r="AT491" i="1"/>
  <c r="AT406" i="1"/>
  <c r="AT389" i="1"/>
  <c r="AT387" i="1"/>
  <c r="AT386" i="1"/>
  <c r="AT196" i="1"/>
  <c r="AT195" i="1"/>
  <c r="AT194" i="1"/>
  <c r="AT193" i="1"/>
  <c r="AT192" i="1"/>
  <c r="AT191" i="1"/>
  <c r="AT190" i="1"/>
  <c r="AT189" i="1"/>
  <c r="AT188" i="1"/>
  <c r="AT187" i="1"/>
  <c r="AT186" i="1"/>
  <c r="AT185" i="1"/>
  <c r="AT184" i="1"/>
  <c r="AT178" i="1"/>
  <c r="AT177" i="1"/>
  <c r="AT176" i="1"/>
  <c r="AT175" i="1"/>
  <c r="AT174" i="1"/>
  <c r="AT173" i="1"/>
  <c r="AT172" i="1"/>
  <c r="AT171" i="1"/>
  <c r="AT170" i="1"/>
  <c r="AT169" i="1"/>
  <c r="AT168" i="1"/>
  <c r="AT167" i="1"/>
  <c r="AT166" i="1"/>
  <c r="AT165" i="1"/>
  <c r="AT164" i="1"/>
  <c r="AT163" i="1"/>
  <c r="AT162" i="1"/>
  <c r="AT161" i="1"/>
  <c r="AT159" i="1"/>
  <c r="AT158" i="1"/>
  <c r="AT157" i="1"/>
  <c r="AT183" i="1"/>
  <c r="AT182" i="1"/>
  <c r="AT156" i="1"/>
  <c r="AT155" i="1"/>
  <c r="AT154" i="1"/>
  <c r="AT153" i="1"/>
  <c r="AT152" i="1"/>
  <c r="AT151" i="1"/>
  <c r="AT150" i="1"/>
  <c r="AT149" i="1"/>
  <c r="AT148" i="1"/>
  <c r="AT147" i="1"/>
  <c r="AT146" i="1"/>
  <c r="AT145" i="1"/>
  <c r="AT144" i="1"/>
  <c r="AT143" i="1"/>
  <c r="AT142" i="1"/>
  <c r="AT141" i="1"/>
  <c r="AT140" i="1"/>
  <c r="AT139" i="1"/>
  <c r="AT137" i="1"/>
  <c r="AT136" i="1"/>
  <c r="AT135" i="1"/>
  <c r="AT134" i="1"/>
  <c r="AX474" i="1" l="1"/>
  <c r="AV474" i="1"/>
  <c r="AX475" i="1"/>
  <c r="AV475" i="1"/>
  <c r="AX483" i="1"/>
  <c r="AV483" i="1"/>
  <c r="AX469" i="1"/>
  <c r="AV469" i="1"/>
  <c r="AX479" i="1"/>
  <c r="AV479" i="1"/>
  <c r="AX471" i="1"/>
  <c r="AV471" i="1"/>
  <c r="AX473" i="1"/>
  <c r="AW450" i="1"/>
  <c r="AX450" i="1" s="1"/>
  <c r="AY345" i="1"/>
  <c r="AY226" i="1"/>
  <c r="AV389" i="1"/>
  <c r="AV161" i="1"/>
  <c r="AY47" i="1"/>
  <c r="AV120" i="1"/>
  <c r="AY340" i="1"/>
  <c r="AY190" i="1"/>
  <c r="AY191" i="1"/>
  <c r="AY95" i="1"/>
  <c r="AY101" i="1"/>
  <c r="AY341" i="1"/>
  <c r="AY352" i="1"/>
  <c r="AV81" i="1"/>
  <c r="AY8" i="1"/>
  <c r="AY362" i="1"/>
  <c r="AV142" i="1"/>
  <c r="AV175" i="1"/>
  <c r="AY230" i="1"/>
  <c r="AY200" i="1"/>
  <c r="AY233" i="1"/>
  <c r="AY149" i="1"/>
  <c r="AV449" i="1"/>
  <c r="AY452" i="1"/>
  <c r="AY140" i="1"/>
  <c r="AY73" i="1"/>
  <c r="AV436" i="1"/>
  <c r="AY436" i="1"/>
  <c r="AY231" i="1"/>
  <c r="AY490" i="1"/>
  <c r="AY96" i="1"/>
  <c r="AY289" i="1"/>
  <c r="AY296" i="1"/>
  <c r="AY353" i="1"/>
  <c r="AY413" i="1"/>
  <c r="AY426" i="1"/>
  <c r="AY4" i="1"/>
  <c r="AY28" i="1"/>
  <c r="AY26" i="1"/>
  <c r="AV159" i="1"/>
  <c r="AY159" i="1"/>
  <c r="AY373" i="1"/>
  <c r="AY469" i="1"/>
  <c r="AY86" i="1"/>
  <c r="AY165" i="1"/>
  <c r="AY194" i="1"/>
  <c r="AY74" i="1"/>
  <c r="AY87" i="1"/>
  <c r="AV437" i="1"/>
  <c r="AY437" i="1"/>
  <c r="AV202" i="1"/>
  <c r="AY202" i="1"/>
  <c r="AY205" i="1"/>
  <c r="AY359" i="1"/>
  <c r="AY429" i="1"/>
  <c r="AY458" i="1"/>
  <c r="AY89" i="1"/>
  <c r="AV438" i="1"/>
  <c r="AY438" i="1"/>
  <c r="AY68" i="1"/>
  <c r="AV203" i="1"/>
  <c r="AY203" i="1"/>
  <c r="AY206" i="1"/>
  <c r="AY367" i="1"/>
  <c r="AV381" i="1"/>
  <c r="AY240" i="1"/>
  <c r="AY246" i="1"/>
  <c r="AY252" i="1"/>
  <c r="AY264" i="1"/>
  <c r="AY276" i="1"/>
  <c r="AY343" i="1"/>
  <c r="AY414" i="1"/>
  <c r="AY427" i="1"/>
  <c r="AV297" i="1"/>
  <c r="AV459" i="1"/>
  <c r="AY374" i="1"/>
  <c r="AY174" i="1"/>
  <c r="AV218" i="1"/>
  <c r="AY218" i="1"/>
  <c r="AY475" i="1"/>
  <c r="AY441" i="1"/>
  <c r="AV32" i="1"/>
  <c r="AV283" i="1"/>
  <c r="AY283" i="1"/>
  <c r="AV69" i="1"/>
  <c r="AY69" i="1"/>
  <c r="AY204" i="1"/>
  <c r="AY370" i="1"/>
  <c r="AY382" i="1"/>
  <c r="AV151" i="1"/>
  <c r="AV219" i="1"/>
  <c r="AY219" i="1"/>
  <c r="AY147" i="1"/>
  <c r="AV386" i="1"/>
  <c r="AY386" i="1"/>
  <c r="AV284" i="1"/>
  <c r="AY284" i="1"/>
  <c r="AY70" i="1"/>
  <c r="AV112" i="1"/>
  <c r="AY112" i="1"/>
  <c r="AY207" i="1"/>
  <c r="AY241" i="1"/>
  <c r="AY253" i="1"/>
  <c r="AY265" i="1"/>
  <c r="AY277" i="1"/>
  <c r="AY428" i="1"/>
  <c r="AY467" i="1"/>
  <c r="AY385" i="1"/>
  <c r="AV212" i="1"/>
  <c r="AY212" i="1"/>
  <c r="AY75" i="1"/>
  <c r="AY158" i="1"/>
  <c r="AV92" i="1"/>
  <c r="AY92" i="1"/>
  <c r="AV285" i="1"/>
  <c r="AY285" i="1"/>
  <c r="AY71" i="1"/>
  <c r="AY117" i="1"/>
  <c r="AY208" i="1"/>
  <c r="AV448" i="1"/>
  <c r="AY448" i="1"/>
  <c r="AY372" i="1"/>
  <c r="AY384" i="1"/>
  <c r="AY62" i="1"/>
  <c r="AY406" i="1"/>
  <c r="AY471" i="1"/>
  <c r="AY483" i="1"/>
  <c r="AY407" i="1"/>
  <c r="AV145" i="1"/>
  <c r="AY178" i="1"/>
  <c r="AY18" i="1"/>
  <c r="AY55" i="1"/>
  <c r="AV110" i="1"/>
  <c r="AY348" i="1"/>
  <c r="AV167" i="1"/>
  <c r="AY442" i="1"/>
  <c r="AY85" i="1"/>
  <c r="AY169" i="1"/>
  <c r="AY209" i="1"/>
  <c r="AY454" i="1"/>
  <c r="AY133" i="1"/>
  <c r="AY237" i="1"/>
  <c r="AY273" i="1"/>
  <c r="AY418" i="1"/>
  <c r="AY455" i="1"/>
  <c r="AY49" i="1"/>
  <c r="AY63" i="1"/>
  <c r="AV349" i="1"/>
  <c r="AY48" i="1"/>
  <c r="AY249" i="1"/>
  <c r="AV153" i="1"/>
  <c r="AY50" i="1"/>
  <c r="AY363" i="1"/>
  <c r="AY375" i="1"/>
  <c r="AY238" i="1"/>
  <c r="AY419" i="1"/>
  <c r="AY431" i="1"/>
  <c r="AY6" i="1"/>
  <c r="AY430" i="1"/>
  <c r="AY213" i="1"/>
  <c r="AV154" i="1"/>
  <c r="AY12" i="1"/>
  <c r="AY364" i="1"/>
  <c r="AV220" i="1"/>
  <c r="AV176" i="1"/>
  <c r="AY472" i="1"/>
  <c r="AY239" i="1"/>
  <c r="AY251" i="1"/>
  <c r="AY263" i="1"/>
  <c r="AY156" i="1"/>
  <c r="AV111" i="1"/>
  <c r="AY223" i="1"/>
  <c r="AY51" i="1"/>
  <c r="AY135" i="1"/>
  <c r="AY186" i="1"/>
  <c r="AV366" i="1"/>
  <c r="AY350" i="1"/>
  <c r="AY30" i="1"/>
  <c r="AY275" i="1"/>
  <c r="AV380" i="1"/>
  <c r="AY215" i="1"/>
  <c r="AY197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7" i="1"/>
  <c r="AY259" i="1"/>
  <c r="AY235" i="1"/>
  <c r="AY453" i="1"/>
  <c r="AY187" i="1"/>
  <c r="AY61" i="1"/>
  <c r="AY470" i="1"/>
  <c r="AY143" i="1"/>
  <c r="AY411" i="1"/>
  <c r="AY20" i="1"/>
  <c r="AY250" i="1"/>
  <c r="AY371" i="1"/>
  <c r="AV163" i="1"/>
  <c r="AV435" i="1"/>
  <c r="AV155" i="1"/>
  <c r="AY155" i="1"/>
  <c r="AV164" i="1"/>
  <c r="AV193" i="1"/>
  <c r="AY193" i="1"/>
  <c r="AY14" i="1"/>
  <c r="AY52" i="1"/>
  <c r="AV66" i="1"/>
  <c r="AV281" i="1"/>
  <c r="AY160" i="1"/>
  <c r="AY420" i="1"/>
  <c r="AV4" i="1"/>
  <c r="AV28" i="1"/>
  <c r="AY67" i="1"/>
  <c r="AY224" i="1"/>
  <c r="AY376" i="1"/>
  <c r="AY32" i="1"/>
  <c r="AY152" i="1"/>
  <c r="AY298" i="1"/>
  <c r="AY111" i="1"/>
  <c r="AY262" i="1"/>
  <c r="AY415" i="1"/>
  <c r="AY72" i="1"/>
  <c r="AY229" i="1"/>
  <c r="AY383" i="1"/>
  <c r="AY138" i="1"/>
  <c r="AY99" i="1"/>
  <c r="AY80" i="1"/>
  <c r="AY412" i="1"/>
  <c r="AY65" i="1"/>
  <c r="AV221" i="1"/>
  <c r="AY221" i="1"/>
  <c r="AV177" i="1"/>
  <c r="AV16" i="1"/>
  <c r="AY53" i="1"/>
  <c r="AY232" i="1"/>
  <c r="AY444" i="1"/>
  <c r="AY79" i="1"/>
  <c r="AY46" i="1"/>
  <c r="AY468" i="1"/>
  <c r="AY274" i="1"/>
  <c r="AY479" i="1"/>
  <c r="AY365" i="1"/>
  <c r="AY445" i="1"/>
  <c r="AY460" i="1"/>
  <c r="AY172" i="1"/>
  <c r="AY166" i="1"/>
  <c r="AY377" i="1"/>
  <c r="AY182" i="1"/>
  <c r="AV178" i="1"/>
  <c r="AY195" i="1"/>
  <c r="AV55" i="1"/>
  <c r="AY97" i="1"/>
  <c r="AY290" i="1"/>
  <c r="AY421" i="1"/>
  <c r="AY443" i="1"/>
  <c r="AY58" i="1"/>
  <c r="AY189" i="1"/>
  <c r="AY366" i="1"/>
  <c r="AY473" i="1"/>
  <c r="AY144" i="1"/>
  <c r="AY286" i="1"/>
  <c r="AY440" i="1"/>
  <c r="AY389" i="1"/>
  <c r="AY342" i="1"/>
  <c r="AY491" i="1"/>
  <c r="AY281" i="1"/>
  <c r="AY201" i="1"/>
  <c r="AY66" i="1"/>
  <c r="AY91" i="1"/>
  <c r="AY408" i="1"/>
  <c r="AY146" i="1"/>
  <c r="AY184" i="1"/>
  <c r="AY196" i="1"/>
  <c r="AY76" i="1"/>
  <c r="AV446" i="1"/>
  <c r="AV223" i="1"/>
  <c r="AY258" i="1"/>
  <c r="AY380" i="1"/>
  <c r="AY339" i="1"/>
  <c r="AY153" i="1"/>
  <c r="AY451" i="1"/>
  <c r="AY416" i="1"/>
  <c r="AY358" i="1"/>
  <c r="AY188" i="1"/>
  <c r="AY150" i="1"/>
  <c r="AY244" i="1"/>
  <c r="AY183" i="1"/>
  <c r="AV134" i="1"/>
  <c r="AY134" i="1"/>
  <c r="AV147" i="1"/>
  <c r="AV157" i="1"/>
  <c r="AV168" i="1"/>
  <c r="AY168" i="1"/>
  <c r="AV185" i="1"/>
  <c r="AY38" i="1"/>
  <c r="AY98" i="1"/>
  <c r="AY291" i="1"/>
  <c r="AY344" i="1"/>
  <c r="AY270" i="1"/>
  <c r="AY424" i="1"/>
  <c r="AY81" i="1"/>
  <c r="AY236" i="1"/>
  <c r="AY351" i="1"/>
  <c r="AY10" i="1"/>
  <c r="AY268" i="1"/>
  <c r="AY163" i="1"/>
  <c r="AY245" i="1"/>
  <c r="AY102" i="1"/>
  <c r="AV116" i="1"/>
  <c r="AV199" i="1"/>
  <c r="AY199" i="1"/>
  <c r="AV148" i="1"/>
  <c r="AV186" i="1"/>
  <c r="AV78" i="1"/>
  <c r="AY282" i="1"/>
  <c r="AY248" i="1"/>
  <c r="AY59" i="1"/>
  <c r="AY22" i="1"/>
  <c r="AY474" i="1"/>
  <c r="AY145" i="1"/>
  <c r="AY446" i="1"/>
  <c r="AY271" i="1"/>
  <c r="AY247" i="1"/>
  <c r="AY16" i="1"/>
  <c r="AY177" i="1"/>
  <c r="AY100" i="1"/>
  <c r="AY257" i="1"/>
  <c r="AY136" i="1"/>
  <c r="AY170" i="1"/>
  <c r="AV346" i="1"/>
  <c r="AY40" i="1"/>
  <c r="AY88" i="1"/>
  <c r="AY242" i="1"/>
  <c r="AY254" i="1"/>
  <c r="AY266" i="1"/>
  <c r="AY278" i="1"/>
  <c r="AY447" i="1"/>
  <c r="AY260" i="1"/>
  <c r="AY381" i="1"/>
  <c r="AY34" i="1"/>
  <c r="AY175" i="1"/>
  <c r="AY154" i="1"/>
  <c r="AY409" i="1"/>
  <c r="AY422" i="1"/>
  <c r="AY116" i="1"/>
  <c r="AY293" i="1"/>
  <c r="AY45" i="1"/>
  <c r="AY118" i="1"/>
  <c r="AV214" i="1"/>
  <c r="AY214" i="1"/>
  <c r="AY210" i="1"/>
  <c r="AY137" i="1"/>
  <c r="AY171" i="1"/>
  <c r="AV347" i="1"/>
  <c r="AY360" i="1"/>
  <c r="AY459" i="1"/>
  <c r="AY119" i="1"/>
  <c r="AY272" i="1"/>
  <c r="AY82" i="1"/>
  <c r="AY220" i="1"/>
  <c r="AY457" i="1"/>
  <c r="AY349" i="1"/>
  <c r="AY39" i="1"/>
  <c r="AY256" i="1"/>
  <c r="AY139" i="1"/>
  <c r="AY347" i="1"/>
  <c r="AY192" i="1"/>
  <c r="AY211" i="1"/>
  <c r="AY432" i="1"/>
  <c r="AY113" i="1"/>
  <c r="AY361" i="1"/>
  <c r="AY243" i="1"/>
  <c r="AY255" i="1"/>
  <c r="AY267" i="1"/>
  <c r="AY279" i="1"/>
  <c r="AY24" i="1"/>
  <c r="AY142" i="1"/>
  <c r="AY93" i="1"/>
  <c r="AY60" i="1"/>
  <c r="AY167" i="1"/>
  <c r="AY269" i="1"/>
  <c r="AY185" i="1"/>
  <c r="AY141" i="1"/>
  <c r="AY280" i="1"/>
  <c r="AY148" i="1"/>
  <c r="AY57" i="1"/>
  <c r="AY225" i="1"/>
  <c r="AY216" i="1"/>
  <c r="AY198" i="1"/>
  <c r="AY433" i="1"/>
  <c r="AY114" i="1"/>
  <c r="AV362" i="1"/>
  <c r="AV374" i="1"/>
  <c r="AY151" i="1"/>
  <c r="AY297" i="1"/>
  <c r="AY449" i="1"/>
  <c r="AY110" i="1"/>
  <c r="AY261" i="1"/>
  <c r="AY228" i="1"/>
  <c r="AY176" i="1"/>
  <c r="AY217" i="1"/>
  <c r="AY425" i="1"/>
  <c r="AY292" i="1"/>
  <c r="AY157" i="1"/>
  <c r="AY423" i="1"/>
  <c r="AY162" i="1"/>
  <c r="AV458" i="1"/>
  <c r="AV54" i="1"/>
  <c r="AV434" i="1"/>
  <c r="AY64" i="1"/>
  <c r="AV115" i="1"/>
  <c r="AV363" i="1"/>
  <c r="AV375" i="1"/>
  <c r="AY456" i="1"/>
  <c r="AY161" i="1"/>
  <c r="AY120" i="1"/>
  <c r="AY435" i="1"/>
  <c r="AY410" i="1"/>
  <c r="AY346" i="1"/>
  <c r="AY77" i="1"/>
  <c r="AY434" i="1"/>
  <c r="AY164" i="1"/>
  <c r="AV65" i="1"/>
  <c r="AV156" i="1"/>
  <c r="AV194" i="1"/>
  <c r="AV53" i="1"/>
  <c r="AV444" i="1"/>
  <c r="AV195" i="1"/>
  <c r="AV76" i="1"/>
  <c r="AV442" i="1"/>
  <c r="AV135" i="1"/>
  <c r="AV169" i="1"/>
  <c r="AV209" i="1"/>
  <c r="AV136" i="1"/>
  <c r="AV170" i="1"/>
  <c r="AV137" i="1"/>
  <c r="AV171" i="1"/>
  <c r="AV215" i="1"/>
  <c r="AV197" i="1"/>
  <c r="AV50" i="1"/>
  <c r="AV84" i="1"/>
  <c r="AV52" i="1"/>
  <c r="AV232" i="1"/>
  <c r="AV408" i="1"/>
  <c r="AV204" i="1"/>
  <c r="AV192" i="1"/>
  <c r="AV12" i="1"/>
  <c r="AV205" i="1"/>
  <c r="AV75" i="1"/>
  <c r="AV33" i="1"/>
  <c r="AV22" i="1"/>
  <c r="AV207" i="1"/>
  <c r="AV371" i="1"/>
  <c r="AV383" i="1"/>
  <c r="AV191" i="1"/>
  <c r="AV64" i="1"/>
  <c r="AV34" i="1"/>
  <c r="AV59" i="1"/>
  <c r="AV208" i="1"/>
  <c r="AV358" i="1"/>
  <c r="AV372" i="1"/>
  <c r="AV384" i="1"/>
  <c r="AV233" i="1"/>
  <c r="AV74" i="1"/>
  <c r="AV286" i="1"/>
  <c r="AV60" i="1"/>
  <c r="AV359" i="1"/>
  <c r="AV373" i="1"/>
  <c r="AV385" i="1"/>
  <c r="AV10" i="1"/>
  <c r="AV86" i="1"/>
  <c r="AV231" i="1"/>
  <c r="AV406" i="1"/>
  <c r="AV87" i="1"/>
  <c r="AV407" i="1"/>
  <c r="AV282" i="1"/>
  <c r="AV454" i="1"/>
  <c r="AV36" i="1"/>
  <c r="AV345" i="1"/>
  <c r="AV440" i="1"/>
  <c r="AV360" i="1"/>
  <c r="AV48" i="1"/>
  <c r="AV62" i="1"/>
  <c r="AV348" i="1"/>
  <c r="AV113" i="1"/>
  <c r="AV361" i="1"/>
  <c r="AV491" i="1"/>
  <c r="AV230" i="1"/>
  <c r="AV14" i="1"/>
  <c r="AV490" i="1"/>
  <c r="AV26" i="1"/>
  <c r="AV82" i="1"/>
  <c r="AV114" i="1"/>
  <c r="AV228" i="1"/>
  <c r="AV51" i="1"/>
  <c r="AV6" i="1"/>
  <c r="AV143" i="1"/>
  <c r="AV57" i="1"/>
  <c r="AV58" i="1"/>
  <c r="AV70" i="1"/>
  <c r="AV189" i="1"/>
  <c r="AV158" i="1"/>
  <c r="AV387" i="1"/>
  <c r="AV45" i="1"/>
  <c r="AV71" i="1"/>
  <c r="AV117" i="1"/>
  <c r="AV433" i="1"/>
  <c r="AV46" i="1"/>
  <c r="AV119" i="1"/>
  <c r="AV432" i="1"/>
  <c r="AV210" i="1"/>
  <c r="AV47" i="1"/>
  <c r="AV226" i="1"/>
  <c r="AV83" i="1"/>
  <c r="AV211" i="1"/>
  <c r="AV227" i="1"/>
  <c r="AV144" i="1"/>
  <c r="AV445" i="1"/>
  <c r="AV367" i="1"/>
  <c r="AV441" i="1"/>
  <c r="AV370" i="1"/>
  <c r="AV141" i="1"/>
  <c r="AV162" i="1"/>
  <c r="AV174" i="1"/>
  <c r="AV229" i="1"/>
  <c r="AV72" i="1"/>
  <c r="AV200" i="1"/>
  <c r="AV364" i="1"/>
  <c r="AV376" i="1"/>
  <c r="AV73" i="1"/>
  <c r="AV201" i="1"/>
  <c r="AV365" i="1"/>
  <c r="AV377" i="1"/>
  <c r="AV165" i="1"/>
  <c r="AV67" i="1"/>
  <c r="AV217" i="1"/>
  <c r="AV182" i="1"/>
  <c r="AV166" i="1"/>
  <c r="AV89" i="1"/>
  <c r="AV18" i="1"/>
  <c r="AV68" i="1"/>
  <c r="AV206" i="1"/>
  <c r="AV90" i="1"/>
  <c r="AV20" i="1"/>
  <c r="AV382" i="1"/>
  <c r="AV77" i="1"/>
  <c r="AV91" i="1"/>
  <c r="AV447" i="1"/>
  <c r="AV224" i="1"/>
  <c r="AV149" i="1"/>
  <c r="AV187" i="1"/>
  <c r="AV35" i="1"/>
  <c r="AV79" i="1"/>
  <c r="AV225" i="1"/>
  <c r="AV30" i="1"/>
  <c r="AV150" i="1"/>
  <c r="AV188" i="1"/>
  <c r="AV80" i="1"/>
  <c r="AV61" i="1"/>
  <c r="AV139" i="1"/>
  <c r="AV172" i="1"/>
  <c r="AV37" i="1"/>
  <c r="AV24" i="1"/>
  <c r="AV216" i="1"/>
  <c r="AV44" i="1"/>
  <c r="AV8" i="1"/>
  <c r="AV49" i="1"/>
  <c r="AV63" i="1"/>
  <c r="AV146" i="1"/>
  <c r="AV183" i="1"/>
  <c r="AW173" i="1"/>
  <c r="AX173" i="1" s="1"/>
  <c r="AV190" i="1"/>
  <c r="AV140" i="1"/>
  <c r="AV184" i="1"/>
  <c r="AV152" i="1"/>
  <c r="AV453" i="1"/>
  <c r="AV196" i="1"/>
  <c r="AV198" i="1"/>
  <c r="AV213" i="1"/>
  <c r="AY450" i="1" l="1"/>
  <c r="AV450" i="1"/>
  <c r="AY180" i="1"/>
  <c r="AV180" i="1"/>
  <c r="AY173" i="1"/>
  <c r="AV173" i="1"/>
</calcChain>
</file>

<file path=xl/sharedStrings.xml><?xml version="1.0" encoding="utf-8"?>
<sst xmlns="http://schemas.openxmlformats.org/spreadsheetml/2006/main" count="7859" uniqueCount="1563">
  <si>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</si>
  <si>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</si>
  <si>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</si>
  <si>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</si>
  <si>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</si>
  <si>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</si>
  <si>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</si>
  <si>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</si>
  <si>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</si>
  <si>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</si>
  <si>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</si>
  <si>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</si>
  <si>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</si>
  <si>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</si>
  <si>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</si>
  <si>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</si>
  <si>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</si>
  <si>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</si>
  <si>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</si>
  <si>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</si>
  <si>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</si>
  <si>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</si>
  <si>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</si>
  <si>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</si>
  <si>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</si>
  <si>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</si>
  <si>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</si>
  <si>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</si>
  <si>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</si>
  <si>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</si>
  <si>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</si>
  <si>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</si>
  <si>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</si>
  <si>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</si>
  <si>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</si>
  <si>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</si>
  <si>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</si>
  <si>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</si>
  <si>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</si>
  <si>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</si>
  <si>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</si>
  <si>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</si>
  <si>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</si>
  <si>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</si>
  <si>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</si>
  <si>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</si>
  <si>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</si>
  <si>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</si>
  <si>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</si>
  <si>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</si>
  <si>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</si>
  <si>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</si>
  <si>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</si>
  <si>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</si>
  <si>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</si>
  <si>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</si>
  <si>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</si>
  <si>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</si>
  <si>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</si>
  <si>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</si>
  <si>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</si>
  <si>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</si>
  <si>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</si>
  <si>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</si>
  <si>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</si>
  <si>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</si>
  <si>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</si>
  <si>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</si>
  <si>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</si>
  <si>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</si>
  <si>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</si>
  <si>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</si>
  <si>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</si>
  <si>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</si>
  <si>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</si>
  <si>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</si>
  <si>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</si>
  <si>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</si>
  <si>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</si>
  <si>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</si>
  <si>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</si>
  <si>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</si>
  <si>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</si>
  <si>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</si>
  <si>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</si>
  <si>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</si>
  <si>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</si>
  <si>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</si>
  <si>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</si>
  <si>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</si>
  <si>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</si>
  <si>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</si>
  <si>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</si>
  <si>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</si>
  <si>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</si>
  <si>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</si>
  <si>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</si>
  <si>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</si>
  <si>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</si>
  <si>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</si>
  <si>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</si>
  <si>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</si>
  <si>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</si>
  <si>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</si>
  <si>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</si>
  <si>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</si>
  <si>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</si>
  <si>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</si>
  <si>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</si>
  <si>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</si>
  <si>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</si>
  <si>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</si>
  <si>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</si>
  <si>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</si>
  <si>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</si>
  <si>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</si>
  <si>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</si>
  <si>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</si>
  <si>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</si>
  <si>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</si>
  <si>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</si>
  <si>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</si>
  <si>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</si>
  <si>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</si>
  <si>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</si>
  <si>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</si>
  <si>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</si>
  <si>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</si>
  <si>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</si>
  <si>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</si>
  <si>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</si>
  <si>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</si>
  <si>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</si>
  <si>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</si>
  <si>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</si>
  <si>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</si>
  <si>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</si>
  <si>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</si>
  <si>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</si>
  <si>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</si>
  <si>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</si>
  <si>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</si>
  <si>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</si>
  <si>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</si>
  <si>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</si>
  <si>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</si>
  <si>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</si>
  <si>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</si>
  <si>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</si>
  <si>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</si>
  <si>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</si>
  <si>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</si>
  <si>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</si>
  <si>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</si>
  <si>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</si>
  <si>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</si>
  <si>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</si>
  <si>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</si>
  <si>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</si>
  <si>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</si>
  <si>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</si>
  <si>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</si>
  <si>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</si>
  <si>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</si>
  <si>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</si>
  <si>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</si>
  <si>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</si>
  <si>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</si>
  <si>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</si>
  <si>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</si>
  <si>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</si>
  <si>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</si>
  <si>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</si>
  <si>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</si>
  <si>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</si>
  <si>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</si>
  <si>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</si>
  <si>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</si>
  <si>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</si>
  <si>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</si>
  <si>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</si>
  <si>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</si>
  <si>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</si>
  <si>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</si>
  <si>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</si>
  <si>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</si>
  <si>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</si>
  <si>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</si>
  <si>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</si>
  <si>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</si>
  <si>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</si>
  <si>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</si>
  <si>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</si>
  <si>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</si>
  <si>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</si>
  <si>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</si>
  <si>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</si>
  <si>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</si>
  <si>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</si>
  <si>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</si>
  <si>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</si>
  <si>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</si>
  <si>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</si>
  <si>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</si>
  <si>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</si>
  <si>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</si>
  <si>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</si>
  <si>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</si>
  <si>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</si>
  <si>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</si>
  <si>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</si>
  <si>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</si>
  <si>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</si>
  <si>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</si>
  <si>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</si>
  <si>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</si>
  <si>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</si>
  <si>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</si>
  <si>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</si>
  <si>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</si>
  <si>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</si>
  <si>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</si>
  <si>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</si>
  <si>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</si>
  <si>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</si>
  <si>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</si>
  <si>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</si>
  <si>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</si>
  <si>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</si>
  <si>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</si>
  <si>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</si>
  <si>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</si>
  <si>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</si>
  <si>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</si>
  <si>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</si>
  <si>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</si>
  <si>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</si>
  <si>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</si>
  <si>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</si>
  <si>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</si>
  <si>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</si>
  <si>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</si>
  <si>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</si>
  <si>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</si>
  <si>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</si>
  <si>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</si>
  <si>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</si>
  <si>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</si>
  <si>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</si>
  <si>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</si>
  <si>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</si>
  <si>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</si>
  <si>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</si>
  <si>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</si>
  <si>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</si>
  <si>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</si>
  <si>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</si>
  <si>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</si>
  <si>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</si>
  <si>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</si>
  <si>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</si>
  <si>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</si>
  <si>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</si>
  <si>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</si>
  <si>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</si>
  <si>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</si>
  <si>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</si>
  <si>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</si>
  <si>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</si>
  <si>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</si>
  <si>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</si>
  <si>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</si>
  <si>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</si>
  <si>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</si>
  <si>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</si>
  <si>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</si>
  <si>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</si>
  <si>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</si>
  <si>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</si>
  <si>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</si>
  <si>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</si>
  <si>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</si>
  <si>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</si>
  <si>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</si>
  <si>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</si>
  <si>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</si>
  <si>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</si>
  <si>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</si>
  <si>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</si>
  <si>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</si>
  <si>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</si>
  <si>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</si>
  <si>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</si>
  <si>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</si>
  <si>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</si>
  <si>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</si>
  <si>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</si>
  <si>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</si>
  <si>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</si>
  <si>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</si>
  <si>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</si>
  <si>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</si>
  <si>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</si>
  <si>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</si>
  <si>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</si>
  <si>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</si>
  <si>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</si>
  <si>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</si>
  <si>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</si>
  <si>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</si>
  <si>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</si>
  <si>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</si>
  <si>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</si>
  <si>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</si>
  <si>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</si>
  <si>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</si>
  <si>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</si>
  <si>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</si>
  <si>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</si>
  <si>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</si>
  <si>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</si>
  <si>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</si>
  <si>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</si>
  <si>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</si>
  <si>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</si>
  <si>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</si>
  <si>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</si>
  <si>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</si>
  <si>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</si>
  <si>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</si>
  <si>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</si>
  <si>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</si>
  <si>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</si>
  <si>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</si>
  <si>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</si>
  <si>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</si>
  <si>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</si>
  <si>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</si>
  <si>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</si>
  <si>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</si>
  <si>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</si>
  <si>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</si>
  <si>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</si>
  <si>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</si>
  <si>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</si>
  <si>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</si>
  <si>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</si>
  <si>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</si>
  <si>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</si>
  <si>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</si>
  <si>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</si>
  <si>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</si>
  <si>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</si>
  <si>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</si>
  <si>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</si>
  <si>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</si>
  <si>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</si>
  <si>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</si>
  <si>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</si>
  <si>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</si>
  <si>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</si>
  <si>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</si>
  <si>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</si>
  <si>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</si>
  <si>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</si>
  <si>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</si>
  <si>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</si>
  <si>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</si>
  <si>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</si>
  <si>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</si>
  <si>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</si>
  <si>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</si>
  <si>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</si>
  <si>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</si>
  <si>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</si>
  <si>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</si>
  <si>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</si>
  <si>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</si>
  <si>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</si>
  <si>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</si>
  <si>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</si>
  <si>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</si>
  <si>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</si>
  <si>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</si>
  <si>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</si>
  <si>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</si>
  <si>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</si>
  <si>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</si>
  <si>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</si>
  <si>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</si>
  <si>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</si>
  <si>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</si>
  <si>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</si>
  <si>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</si>
  <si>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</si>
  <si>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</si>
  <si>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</si>
  <si>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</si>
  <si>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</si>
  <si>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</si>
  <si>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</si>
  <si>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</si>
  <si>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</si>
  <si>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</si>
  <si>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</si>
  <si>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</si>
  <si>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</si>
  <si>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</si>
  <si>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</si>
  <si>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</si>
  <si>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</si>
  <si>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</si>
  <si>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</si>
  <si>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</si>
  <si>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</si>
  <si>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</si>
  <si>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</si>
  <si>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</si>
  <si>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</si>
  <si>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</si>
  <si>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</si>
  <si>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</si>
  <si>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</si>
  <si>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</si>
  <si>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</si>
  <si>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</si>
  <si>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</si>
  <si>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</si>
  <si>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</si>
  <si>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</si>
  <si>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</si>
  <si>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</si>
  <si>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</si>
  <si>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</si>
  <si>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</si>
  <si>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</si>
  <si>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</si>
  <si>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</si>
  <si>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</si>
  <si>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</si>
  <si>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</si>
  <si>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</si>
  <si>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</si>
  <si>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</si>
  <si>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</si>
  <si>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</si>
  <si>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</si>
  <si>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</si>
  <si>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</si>
  <si>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</si>
  <si>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</si>
  <si>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</si>
  <si>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</si>
  <si>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</si>
  <si>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</si>
  <si>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</si>
  <si>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</si>
  <si>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</si>
  <si>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</si>
  <si>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</si>
  <si>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</si>
  <si>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</si>
  <si>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</si>
  <si>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</si>
  <si>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</si>
  <si>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</si>
  <si>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</si>
  <si>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</si>
  <si>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</si>
  <si>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</si>
  <si>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</si>
  <si>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</si>
  <si>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</si>
  <si>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</si>
  <si>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</si>
  <si>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</si>
  <si>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</si>
  <si>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</si>
  <si>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</si>
  <si>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</si>
  <si>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</si>
  <si>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</si>
  <si>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</si>
  <si>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</si>
  <si>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</si>
  <si>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</si>
  <si>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</si>
  <si>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</si>
  <si>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</si>
  <si>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</si>
  <si>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</si>
  <si>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</si>
  <si>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</si>
  <si>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</si>
  <si>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</si>
  <si>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</si>
  <si>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</si>
  <si>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</si>
  <si>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</si>
  <si>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</si>
  <si>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</si>
  <si>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</si>
  <si>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</si>
  <si>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</si>
  <si>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</si>
  <si>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</si>
  <si>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</si>
  <si>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</si>
  <si>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</si>
  <si>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</si>
  <si>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</si>
  <si>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</si>
  <si>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</si>
  <si>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</si>
  <si>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</si>
  <si>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</si>
  <si>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</si>
  <si>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</si>
  <si>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</si>
  <si>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</si>
  <si>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</si>
  <si>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</si>
  <si>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</si>
  <si>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</si>
  <si>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</si>
  <si>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</si>
  <si>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</si>
  <si>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</si>
  <si>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</si>
  <si>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</si>
  <si>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</si>
  <si>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</si>
  <si>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</si>
  <si>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</si>
  <si>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</si>
  <si>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</si>
  <si>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</si>
  <si>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</si>
  <si>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</si>
  <si>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</si>
  <si>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</si>
  <si>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</si>
  <si>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</si>
  <si>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</si>
  <si>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</si>
  <si>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</si>
  <si>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</si>
  <si>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</si>
  <si>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</si>
  <si>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</si>
  <si>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</si>
  <si>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</si>
  <si>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</si>
  <si>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</si>
  <si>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</si>
  <si>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</si>
  <si>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</si>
  <si>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</si>
  <si>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</si>
  <si>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</si>
  <si>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</si>
  <si>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</si>
  <si>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</si>
  <si>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</si>
  <si>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</si>
  <si>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</si>
  <si>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</si>
  <si>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</si>
  <si>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</si>
  <si>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</si>
  <si>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</si>
  <si>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</si>
  <si>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</si>
  <si>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</si>
  <si>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</si>
  <si>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</si>
  <si>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</si>
  <si>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</si>
  <si>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</si>
  <si>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</si>
  <si>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</si>
  <si>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</si>
  <si>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</si>
  <si>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</si>
  <si>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</si>
  <si>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</si>
  <si>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</si>
  <si>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</si>
  <si>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</si>
  <si>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</si>
  <si>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</si>
  <si>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</si>
  <si>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</si>
  <si>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</si>
  <si>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</si>
  <si>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</si>
  <si>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</si>
  <si>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</si>
  <si>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</si>
  <si>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</si>
  <si>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</si>
  <si>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</si>
  <si>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</si>
  <si>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</si>
  <si>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</si>
  <si>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</si>
  <si>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</si>
  <si>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</si>
  <si>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</si>
  <si>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</si>
  <si>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</si>
  <si>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</si>
  <si>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</si>
  <si>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</si>
  <si>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</si>
  <si>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</si>
  <si>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</si>
  <si>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</si>
  <si>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</si>
  <si>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</si>
  <si>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</si>
  <si>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</si>
  <si>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</si>
  <si>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</si>
  <si>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</si>
  <si>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</si>
  <si>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</si>
  <si>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</si>
  <si>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</si>
  <si>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</si>
  <si>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</si>
  <si>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</si>
  <si>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</si>
  <si>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</si>
  <si>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</si>
  <si>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</si>
  <si>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</si>
  <si>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</si>
  <si>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</si>
  <si>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</si>
  <si>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</si>
  <si>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</si>
  <si>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</si>
  <si>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</si>
  <si>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</si>
  <si>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</si>
  <si>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</si>
  <si>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</si>
  <si>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</si>
  <si>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</si>
  <si>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</si>
  <si>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</si>
  <si>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</si>
  <si>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</si>
  <si>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</si>
  <si>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</si>
  <si>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</si>
  <si>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</si>
  <si>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</si>
  <si>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</si>
  <si>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</si>
  <si>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</si>
  <si>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</si>
  <si>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</si>
  <si>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</si>
  <si>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</si>
  <si>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</si>
  <si>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</si>
  <si>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</si>
  <si>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</si>
  <si>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</si>
  <si>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</si>
  <si>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</si>
  <si>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</si>
  <si>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</si>
  <si>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</si>
  <si>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</si>
  <si>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</si>
  <si>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</si>
  <si>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</si>
  <si>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</si>
  <si>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</si>
  <si>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</si>
  <si>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</si>
  <si>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</si>
  <si>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</si>
  <si>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</si>
  <si>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</si>
  <si>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</si>
  <si>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</si>
  <si>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</si>
  <si>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</si>
  <si>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</si>
  <si>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</si>
  <si>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</si>
  <si>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</si>
  <si>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</si>
  <si>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</si>
  <si>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</si>
  <si>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</si>
  <si>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</si>
  <si>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</si>
  <si>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</si>
  <si>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</si>
  <si>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</si>
  <si>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</si>
  <si>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</si>
  <si>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</si>
  <si>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</si>
  <si>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</si>
  <si>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</si>
  <si>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</si>
  <si>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</si>
  <si>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</si>
  <si>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</si>
  <si>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</si>
  <si>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</si>
  <si>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</si>
  <si>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</si>
  <si>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</si>
  <si>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</si>
  <si>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</si>
  <si>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</si>
  <si>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</si>
  <si>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</si>
  <si>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</si>
  <si>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</si>
  <si>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</si>
  <si>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</si>
  <si>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</si>
  <si>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</si>
  <si>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</si>
  <si>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</si>
  <si>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</si>
  <si>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</si>
  <si>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</si>
  <si>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</si>
  <si>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</si>
  <si>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</si>
  <si>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</si>
  <si>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</si>
  <si>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</si>
  <si>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</si>
  <si>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</si>
  <si>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</si>
  <si>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</si>
  <si>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</si>
  <si>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</si>
  <si>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</si>
  <si>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</si>
  <si>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</si>
  <si>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</si>
  <si>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</si>
  <si>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</si>
  <si>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</si>
  <si>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</si>
  <si>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</si>
  <si>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</si>
  <si>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</si>
  <si>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</si>
  <si>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</si>
  <si>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</si>
  <si>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</si>
  <si>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</si>
  <si>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</si>
  <si>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</si>
  <si>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</si>
  <si>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</si>
  <si>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</si>
  <si>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</si>
  <si>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</si>
  <si>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</si>
  <si>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</si>
  <si>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</si>
  <si>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</si>
  <si>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</si>
  <si>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</si>
  <si>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</si>
  <si>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</si>
  <si>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</si>
  <si>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</si>
  <si>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</si>
  <si>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</si>
  <si>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</si>
  <si>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</si>
  <si>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</si>
  <si>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</si>
  <si>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</si>
  <si>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</si>
  <si>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</si>
  <si>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</si>
  <si>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</si>
  <si>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</si>
  <si>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</si>
  <si>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</si>
  <si>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</si>
  <si>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</si>
  <si>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</si>
  <si>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</si>
  <si>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</si>
  <si>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</si>
  <si>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</si>
  <si>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</si>
  <si>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</si>
  <si>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</si>
  <si>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</si>
  <si>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</si>
  <si>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</si>
  <si>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</si>
  <si>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</si>
  <si>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</si>
  <si>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</si>
  <si>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</si>
  <si>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</si>
  <si>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</si>
  <si>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</si>
  <si>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</si>
  <si>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</si>
  <si>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</si>
  <si>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</si>
  <si>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</si>
  <si>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</si>
  <si>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</si>
  <si>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</si>
  <si>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</si>
  <si>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</si>
  <si>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</si>
  <si>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</si>
  <si>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</si>
  <si>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</si>
  <si>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</si>
  <si>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</si>
  <si>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</si>
  <si>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</si>
  <si>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</si>
  <si>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</si>
  <si>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</si>
  <si>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</si>
  <si>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</si>
  <si>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</si>
  <si>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</si>
  <si>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</si>
  <si>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</si>
  <si>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</si>
  <si>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</si>
  <si>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</si>
  <si>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</si>
  <si>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</si>
  <si>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</si>
  <si>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</si>
  <si>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</si>
  <si>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</si>
  <si>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</si>
  <si>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</si>
  <si>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</si>
  <si>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</si>
  <si>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</si>
  <si>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</si>
  <si>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</si>
  <si>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</si>
  <si>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</si>
  <si>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</si>
  <si>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</si>
  <si>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</si>
  <si>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</si>
  <si>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</si>
  <si>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</si>
  <si>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</si>
  <si>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</si>
  <si>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</si>
  <si>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</si>
  <si>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</si>
  <si>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</si>
  <si>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</si>
  <si>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</si>
  <si>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</si>
  <si>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</si>
  <si>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</si>
  <si>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</si>
  <si>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</si>
  <si>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</si>
  <si>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</si>
  <si>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</si>
  <si>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</si>
  <si>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</si>
  <si>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</si>
  <si>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</si>
  <si>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</si>
  <si>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</si>
  <si>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</si>
  <si>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</si>
  <si>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</si>
  <si>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</si>
  <si>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</si>
  <si>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</si>
  <si>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</si>
  <si>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</si>
  <si>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</si>
  <si>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</si>
  <si>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</si>
  <si>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</si>
  <si>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</si>
  <si>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</si>
  <si>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</si>
  <si>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</si>
  <si>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</si>
  <si>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</si>
  <si>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</si>
  <si>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</si>
  <si>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</si>
  <si>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</si>
  <si>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</si>
  <si>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</si>
  <si>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</si>
  <si>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</si>
  <si>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</si>
  <si>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</si>
  <si>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</si>
  <si>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</si>
  <si>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</si>
  <si>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</si>
  <si>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</si>
  <si>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</si>
  <si>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</si>
  <si>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</si>
  <si>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</si>
  <si>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</si>
  <si>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</si>
  <si>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</si>
  <si>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</si>
  <si>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</si>
  <si>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</si>
  <si>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</si>
  <si>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</si>
  <si>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</si>
  <si>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</si>
  <si>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</si>
  <si>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</si>
  <si>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</si>
  <si>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</si>
  <si>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</si>
  <si>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</si>
  <si>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</si>
  <si>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</si>
  <si>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</si>
  <si>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</si>
  <si>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</si>
  <si>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</si>
  <si>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</si>
  <si>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</si>
  <si>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</si>
  <si>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</si>
  <si>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</si>
  <si>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</si>
  <si>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</si>
  <si>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</si>
  <si>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</si>
  <si>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</si>
  <si>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</si>
  <si>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</si>
  <si>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</si>
  <si>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</si>
  <si>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</si>
  <si>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</si>
  <si>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</si>
  <si>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</si>
  <si>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</si>
  <si>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</si>
  <si>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</si>
  <si>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</si>
  <si>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</si>
  <si>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</si>
  <si>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</si>
  <si>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</si>
  <si>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</si>
  <si>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</si>
  <si>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</si>
  <si>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</si>
  <si>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</si>
  <si>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</si>
  <si>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</si>
  <si>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</si>
  <si>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</si>
  <si>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</si>
  <si>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</si>
  <si>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</si>
  <si>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</si>
  <si>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</si>
  <si>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</si>
  <si>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</si>
  <si>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</si>
  <si>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</si>
  <si>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</si>
  <si>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</si>
  <si>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</si>
  <si>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</si>
  <si>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</si>
  <si>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</si>
  <si>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</si>
  <si>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</si>
  <si>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</si>
  <si>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</si>
  <si>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</si>
  <si>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</si>
  <si>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</si>
  <si>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</si>
  <si>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</si>
  <si>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</si>
  <si>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</si>
  <si>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</si>
  <si>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</si>
  <si>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</si>
  <si>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</si>
  <si>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</si>
  <si>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</si>
  <si>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</si>
  <si>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</si>
  <si>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</si>
  <si>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</si>
  <si>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</si>
  <si>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</si>
  <si>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</si>
  <si>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</si>
  <si>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</si>
  <si>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</si>
  <si>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</si>
  <si>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</si>
  <si>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</si>
  <si>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</si>
  <si>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</si>
  <si>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</si>
  <si>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</si>
  <si>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</si>
  <si>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</si>
  <si>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</si>
  <si>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</si>
  <si>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</si>
  <si>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</si>
  <si>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</si>
  <si>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</si>
  <si>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</si>
  <si>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</si>
  <si>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</si>
  <si>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</si>
  <si>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</si>
  <si>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</si>
  <si>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</si>
  <si>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</si>
  <si>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</si>
  <si>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</si>
  <si>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</si>
  <si>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</si>
  <si>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</si>
  <si>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</si>
  <si>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</si>
  <si>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</si>
  <si>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</si>
  <si>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</si>
  <si>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</si>
  <si>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</si>
  <si>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</si>
  <si>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</si>
  <si>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</si>
  <si>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</si>
  <si>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</si>
  <si>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</si>
  <si>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</si>
  <si>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</si>
  <si>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</si>
  <si>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</si>
  <si>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</si>
  <si>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</si>
  <si>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</si>
  <si>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</si>
  <si>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</si>
  <si>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</si>
  <si>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</si>
  <si>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</si>
  <si>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</si>
  <si>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</si>
  <si>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</si>
  <si>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</si>
  <si>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</si>
  <si>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</si>
  <si>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</si>
  <si>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</si>
  <si>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</si>
  <si>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</si>
  <si>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</si>
  <si>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</si>
  <si>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</si>
  <si>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</si>
  <si>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</si>
  <si>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</si>
  <si>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</si>
  <si>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</si>
  <si>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</si>
  <si>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</si>
  <si>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</si>
  <si>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</si>
  <si>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</si>
  <si>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</si>
  <si>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</si>
  <si>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</si>
  <si>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</si>
  <si>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</si>
  <si>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</si>
  <si>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</si>
  <si>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</si>
  <si>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</si>
  <si>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</si>
  <si>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</si>
  <si>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</si>
  <si>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</si>
  <si>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</si>
  <si>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</si>
  <si>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</si>
  <si>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</si>
  <si>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</si>
  <si>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</si>
  <si>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</si>
  <si>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</si>
  <si>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</si>
  <si>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</si>
  <si>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</si>
  <si>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</si>
  <si>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</si>
  <si>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</si>
  <si>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</si>
  <si>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</si>
  <si>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</si>
  <si>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</si>
  <si>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</si>
  <si>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</si>
  <si>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</si>
  <si>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</si>
  <si>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</si>
  <si>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</si>
  <si>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</si>
  <si>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</si>
  <si>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</si>
  <si>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</si>
  <si>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</si>
  <si>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</si>
  <si>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</si>
  <si>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</si>
  <si>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</si>
  <si>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</si>
  <si>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</si>
  <si>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</si>
  <si>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</si>
  <si>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</si>
  <si>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</si>
  <si>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</si>
  <si>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</si>
  <si>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</si>
  <si>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</si>
  <si>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</si>
  <si>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</si>
  <si>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</si>
  <si>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</si>
  <si>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</si>
  <si>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</si>
  <si>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</si>
  <si>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</si>
  <si>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</si>
  <si>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</si>
  <si>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</si>
  <si>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</si>
  <si>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</si>
  <si>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</si>
  <si>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</si>
  <si>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</si>
  <si>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</si>
  <si>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</si>
  <si>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</si>
  <si>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</si>
  <si>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</si>
  <si>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</si>
  <si>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</si>
  <si>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</si>
  <si>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</si>
  <si>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</si>
  <si>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</si>
  <si>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</si>
  <si>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</si>
  <si>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</si>
  <si>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</si>
  <si>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</si>
  <si>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</si>
  <si>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</si>
  <si>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</si>
  <si>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</si>
  <si>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</si>
  <si>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</si>
  <si>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</si>
  <si>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</si>
  <si>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</si>
  <si>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</si>
  <si>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</si>
  <si>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</si>
  <si>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</si>
  <si>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</si>
  <si>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</si>
  <si>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</si>
  <si>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</si>
  <si>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</si>
  <si>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</si>
  <si>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</si>
  <si>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</si>
  <si>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</si>
  <si>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</si>
  <si>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</si>
  <si>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</si>
  <si>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</si>
  <si>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</si>
  <si>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</si>
  <si>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</si>
  <si>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</si>
  <si>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</si>
  <si>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</si>
  <si>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</si>
  <si>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</si>
  <si>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</si>
  <si>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</si>
  <si>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</si>
  <si>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</si>
  <si>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</si>
  <si>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</si>
  <si>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</si>
  <si>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</si>
  <si>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</si>
  <si>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</si>
  <si>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</si>
  <si>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</si>
  <si>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</si>
  <si>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</si>
  <si>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</si>
  <si>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</si>
  <si>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</si>
  <si>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</si>
  <si>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</si>
  <si>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</si>
  <si>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</si>
  <si>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</si>
  <si>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</si>
  <si>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</si>
  <si>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</si>
  <si>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</si>
  <si>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</si>
  <si>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</si>
  <si>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</si>
  <si>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</si>
  <si>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</si>
  <si>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</si>
  <si>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</si>
  <si>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</si>
  <si>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</si>
  <si>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</si>
  <si>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</si>
  <si>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</si>
  <si>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</si>
  <si>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</si>
  <si>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</si>
  <si>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</si>
  <si>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</si>
  <si>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</si>
  <si>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</si>
  <si>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</si>
  <si>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</si>
  <si>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</si>
  <si>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</si>
  <si>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</si>
  <si>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</si>
  <si>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</si>
  <si>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</si>
  <si>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</si>
  <si>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</si>
  <si>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</si>
  <si>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</si>
  <si>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</si>
  <si>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</si>
  <si>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</si>
  <si>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</si>
  <si>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</si>
  <si>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</si>
  <si>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</si>
  <si>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</si>
  <si>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</si>
  <si>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</si>
  <si>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</si>
  <si>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</si>
  <si>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</si>
  <si>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</si>
  <si>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</si>
  <si>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</si>
  <si>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</si>
  <si>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</si>
  <si>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</si>
  <si>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</si>
  <si>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</si>
  <si>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</si>
  <si>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</si>
  <si>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</si>
  <si>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</si>
  <si>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</si>
  <si>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</si>
  <si>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</si>
  <si>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</si>
  <si>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</si>
  <si>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</si>
  <si>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</si>
  <si>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</si>
  <si>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</si>
  <si>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</si>
  <si>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</si>
  <si>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</si>
  <si>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</si>
  <si>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</si>
  <si>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</si>
  <si>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</si>
  <si>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</si>
  <si>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</si>
  <si>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</si>
  <si>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</si>
  <si>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</si>
  <si>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</si>
  <si>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</si>
  <si>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</si>
  <si>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</si>
  <si>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</si>
  <si>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</si>
  <si>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</si>
  <si>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</si>
  <si>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</si>
  <si>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</si>
  <si>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</si>
  <si>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</si>
  <si>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</si>
  <si>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</si>
  <si>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</si>
  <si>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</si>
  <si>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</si>
  <si>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</si>
  <si>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</si>
  <si>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</si>
  <si>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</si>
  <si>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</si>
  <si>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</si>
  <si>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</si>
  <si>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</si>
  <si>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</si>
  <si>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</si>
  <si>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</si>
  <si>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</si>
  <si>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</si>
  <si>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</si>
  <si>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</si>
  <si>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</si>
  <si>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</si>
  <si>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</si>
  <si>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</si>
  <si>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</si>
  <si>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</si>
  <si>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</si>
  <si>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</si>
  <si>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</si>
  <si>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</si>
  <si>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</si>
  <si>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</si>
  <si>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</si>
  <si>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</si>
  <si>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</si>
  <si>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</si>
  <si>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</si>
  <si>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</si>
  <si>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</si>
  <si>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</si>
  <si>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</si>
  <si>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</si>
  <si>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</si>
  <si>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</si>
  <si>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</si>
  <si>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</si>
  <si>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</si>
  <si>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</si>
  <si>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</si>
  <si>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</si>
  <si>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</si>
  <si>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</si>
  <si>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</si>
  <si>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</si>
  <si>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</si>
  <si>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</si>
  <si>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</si>
  <si>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</si>
  <si>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</si>
  <si>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</si>
  <si>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</si>
  <si>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</si>
  <si>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</si>
  <si>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</si>
  <si>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</si>
  <si>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</si>
  <si>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</si>
  <si>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</si>
  <si>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</si>
  <si>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</si>
  <si>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</si>
  <si>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</si>
  <si>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</si>
  <si>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</si>
  <si>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</si>
  <si>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</si>
  <si>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</si>
  <si>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</si>
  <si>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</si>
  <si>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</si>
  <si>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</si>
  <si>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</si>
  <si>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</si>
  <si>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</si>
  <si>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</si>
  <si>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</si>
  <si>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</si>
  <si>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</si>
  <si>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</si>
  <si>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</si>
  <si>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</si>
  <si>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</si>
  <si>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</si>
  <si>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</si>
  <si>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</si>
  <si>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</si>
  <si>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</si>
  <si>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</si>
  <si>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</si>
  <si>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</si>
  <si>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</si>
  <si>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</si>
  <si>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</si>
  <si>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</si>
  <si>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</si>
  <si>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</si>
  <si>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</si>
  <si>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</si>
  <si>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</si>
  <si>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</si>
  <si>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</si>
  <si>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</si>
  <si>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</si>
  <si>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</si>
  <si>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</si>
  <si>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</si>
  <si>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</si>
  <si>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</si>
  <si>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</si>
  <si>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</si>
  <si>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</si>
  <si>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</si>
  <si>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</si>
  <si>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</si>
  <si>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</si>
  <si>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</si>
  <si>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</si>
  <si>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</si>
  <si>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</si>
  <si>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</si>
  <si>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</si>
  <si>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</si>
  <si>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</si>
  <si>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</si>
  <si>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</si>
  <si>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</si>
  <si>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</si>
  <si>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</si>
  <si>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</si>
  <si>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</si>
  <si>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</si>
  <si>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</si>
  <si>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</si>
  <si>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</si>
  <si>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</si>
  <si>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</si>
  <si>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</si>
  <si>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</si>
  <si>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</si>
  <si>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</si>
  <si>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</si>
  <si>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</si>
  <si>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</si>
  <si>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</si>
  <si>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</si>
  <si>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</si>
  <si>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</si>
  <si>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</si>
  <si>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</si>
  <si>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</si>
  <si>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</si>
  <si>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</si>
  <si>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</si>
  <si>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</si>
  <si>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</si>
  <si>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</si>
  <si>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</si>
  <si>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</si>
  <si>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</si>
  <si>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</si>
  <si>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</si>
  <si>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</si>
  <si>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</si>
  <si>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</si>
  <si>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</si>
  <si>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</si>
  <si>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</si>
  <si>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</si>
  <si>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</si>
  <si>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</si>
  <si>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</si>
  <si>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</si>
  <si>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</si>
  <si>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</si>
  <si>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</si>
  <si>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</si>
  <si>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</si>
  <si>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</si>
  <si>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</si>
  <si>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</si>
  <si>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</si>
  <si>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</si>
  <si>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</si>
  <si>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</si>
  <si>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</si>
  <si>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</si>
  <si>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</si>
  <si>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</si>
  <si>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</si>
  <si>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</si>
  <si>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</si>
  <si>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</si>
  <si>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</si>
  <si>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</si>
  <si>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</si>
  <si>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</si>
  <si>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</si>
  <si>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</si>
  <si>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</si>
  <si>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</si>
  <si>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</si>
  <si>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</si>
  <si>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</si>
  <si>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Lounge Reading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</si>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</sst>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51FF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1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49" fontId="3" fillId="6" borderId="0" xfId="0" applyNumberFormat="1" applyFont="1" applyFill="1" applyAlignment="1">
      <alignment horizontal="left" vertical="top"/>
    </xf>
    <xf numFmtId="0" fontId="3" fillId="6" borderId="0" xfId="0" applyFont="1" applyFill="1" applyAlignment="1">
      <alignment horizontal="left" vertical="top" wrapText="1"/>
    </xf>
    <xf numFmtId="0" fontId="3" fillId="6" borderId="0" xfId="0" applyFont="1" applyFill="1"/>
    <xf numFmtId="1" fontId="3" fillId="6" borderId="0" xfId="0" applyNumberFormat="1" applyFont="1" applyFill="1" applyAlignment="1">
      <alignment horizontal="left" vertical="top"/>
    </xf>
    <xf numFmtId="49" fontId="3" fillId="6" borderId="0" xfId="0" applyNumberFormat="1" applyFont="1" applyFill="1" applyAlignment="1">
      <alignment horizontal="left" vertical="top" wrapText="1"/>
    </xf>
    <xf numFmtId="0" fontId="8" fillId="6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1" totalsRowShown="0" headerRowDxfId="68" dataDxfId="66" headerRowBorderDxfId="67">
  <autoFilter ref="A3:BN491" xr:uid="{00000000-0009-0000-0100-000002000000}">
    <filterColumn colId="23">
      <customFilters>
        <customFilter operator="notEqual" val=" "/>
      </customFilters>
    </filterColumn>
  </autoFilter>
  <sortState xmlns:xlrd2="http://schemas.microsoft.com/office/spreadsheetml/2017/richdata2" ref="A134:BN221">
    <sortCondition ref="X3:X49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1"/>
  <sheetViews>
    <sheetView tabSelected="1" topLeftCell="R167" zoomScale="121" zoomScaleNormal="120" workbookViewId="0">
      <selection activeCell="X182" sqref="X182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1254</v>
      </c>
      <c r="AY1" s="6" t="s">
        <v>1254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1411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1255</v>
      </c>
      <c r="AY2" s="16" t="s">
        <v>1251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1252</v>
      </c>
      <c r="AY3" s="27" t="s">
        <v>1253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1456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1295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1295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1370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1371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1371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1295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1280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1281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1295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1281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1282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1283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1295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1283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1372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1373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1373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1374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1375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1375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1295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1256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1480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1376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1377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1377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1256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1273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1272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1459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1378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1279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1278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1379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1380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1256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1381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1382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1410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1383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1410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1384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1410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1385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1410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1386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1410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1387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1410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1388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1410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1389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1410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1390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1410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1277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1276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1422</v>
      </c>
      <c r="F94" s="36" t="str">
        <f>IF(ISBLANK(Table2[[#This Row],[unique_id]]), "", PROPER(SUBSTITUTE(Table2[[#This Row],[unique_id]], "_", " ")))</f>
        <v>Home Started</v>
      </c>
      <c r="G94" s="30" t="s">
        <v>1423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1395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1396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1416</v>
      </c>
      <c r="F103" s="36" t="str">
        <f>IF(ISBLANK(Table2[[#This Row],[unique_id]]), "", PROPER(SUBSTITUTE(Table2[[#This Row],[unique_id]], "_", " ")))</f>
        <v>Edwin Wakeup</v>
      </c>
      <c r="G103" s="30" t="s">
        <v>1414</v>
      </c>
      <c r="H103" s="30" t="s">
        <v>311</v>
      </c>
      <c r="I103" s="30" t="s">
        <v>132</v>
      </c>
      <c r="J103" s="30" t="s">
        <v>1419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1417</v>
      </c>
      <c r="F104" s="36" t="str">
        <f>IF(ISBLANK(Table2[[#This Row],[unique_id]]), "", PROPER(SUBSTITUTE(Table2[[#This Row],[unique_id]], "_", " ")))</f>
        <v>Edwin Playtime</v>
      </c>
      <c r="G104" s="30" t="s">
        <v>1424</v>
      </c>
      <c r="H104" s="30" t="s">
        <v>311</v>
      </c>
      <c r="I104" s="30" t="s">
        <v>132</v>
      </c>
      <c r="J104" s="30" t="s">
        <v>1420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1418</v>
      </c>
      <c r="F105" s="36" t="str">
        <f>IF(ISBLANK(Table2[[#This Row],[unique_id]]), "", PROPER(SUBSTITUTE(Table2[[#This Row],[unique_id]], "_", " ")))</f>
        <v>Edwin Goodnight</v>
      </c>
      <c r="G105" s="30" t="s">
        <v>1415</v>
      </c>
      <c r="H105" s="30" t="s">
        <v>311</v>
      </c>
      <c r="I105" s="30" t="s">
        <v>132</v>
      </c>
      <c r="J105" s="30" t="s">
        <v>1421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1428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1367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1429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1367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1296</v>
      </c>
      <c r="BL107" s="55" t="s">
        <v>346</v>
      </c>
      <c r="BM107" s="55" t="s">
        <v>1337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1367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1367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1296</v>
      </c>
      <c r="BL109" s="30" t="s">
        <v>353</v>
      </c>
      <c r="BM109" s="30" t="s">
        <v>1347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1296</v>
      </c>
      <c r="BL110" s="30" t="s">
        <v>371</v>
      </c>
      <c r="BM110" s="30" t="s">
        <v>1314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1296</v>
      </c>
      <c r="BL111" s="30" t="s">
        <v>372</v>
      </c>
      <c r="BM111" s="30" t="s">
        <v>1315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1296</v>
      </c>
      <c r="BL112" s="30" t="s">
        <v>375</v>
      </c>
      <c r="BM112" s="30" t="s">
        <v>1316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1296</v>
      </c>
      <c r="BL114" s="30" t="s">
        <v>921</v>
      </c>
      <c r="BM114" s="30" t="s">
        <v>1318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1296</v>
      </c>
      <c r="BL117" s="30" t="s">
        <v>376</v>
      </c>
      <c r="BM117" s="30" t="s">
        <v>1319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1296</v>
      </c>
      <c r="BL119" s="30" t="s">
        <v>373</v>
      </c>
      <c r="BM119" s="30" t="s">
        <v>1320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1296</v>
      </c>
      <c r="BL120" s="30" t="s">
        <v>374</v>
      </c>
      <c r="BM120" s="39" t="s">
        <v>1321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1269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1270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1364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1268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1267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1462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1460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1461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1271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1357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1357</v>
      </c>
      <c r="BA131" s="30" t="str">
        <f>IF(ISBLANK(Table2[[#This Row],[device_model]]), "", Table2[[#This Row],[device_suggested_area]])</f>
        <v>Home</v>
      </c>
      <c r="BB131" s="30" t="s">
        <v>1361</v>
      </c>
      <c r="BC131" s="30" t="s">
        <v>1358</v>
      </c>
      <c r="BD131" s="30" t="s">
        <v>1357</v>
      </c>
      <c r="BF131" s="30" t="s">
        <v>1359</v>
      </c>
      <c r="BG131" s="30" t="s">
        <v>165</v>
      </c>
      <c r="BK131" s="30" t="s">
        <v>1295</v>
      </c>
      <c r="BL131" s="46" t="s">
        <v>1360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1457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1457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1457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1457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1397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1457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1397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1457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1457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1457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1457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1457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1457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1616</v>
      </c>
      <c r="B146" s="30" t="s">
        <v>26</v>
      </c>
      <c r="C146" s="30" t="s">
        <v>377</v>
      </c>
      <c r="D146" s="30" t="s">
        <v>137</v>
      </c>
      <c r="E146" s="30" t="s">
        <v>297</v>
      </c>
      <c r="F146" s="36" t="str">
        <f>IF(ISBLANK(Table2[[#This Row],[unique_id]]), "", PROPER(SUBSTITUTE(Table2[[#This Row],[unique_id]], "_", " ")))</f>
        <v>Dining Main</v>
      </c>
      <c r="G146" s="30" t="s">
        <v>138</v>
      </c>
      <c r="H146" s="30" t="s">
        <v>139</v>
      </c>
      <c r="I146" s="30" t="s">
        <v>132</v>
      </c>
      <c r="J146" s="30" t="s">
        <v>724</v>
      </c>
      <c r="K146" s="30" t="s">
        <v>881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104</v>
      </c>
      <c r="Y146" s="42" t="s">
        <v>758</v>
      </c>
      <c r="Z146" s="42" t="s">
        <v>972</v>
      </c>
      <c r="AA146" s="42"/>
      <c r="AB146" s="30"/>
      <c r="AC146" s="30"/>
      <c r="AE146" s="30" t="s">
        <v>292</v>
      </c>
      <c r="AG146" s="31"/>
      <c r="AH146" s="31"/>
      <c r="AT14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Dining</v>
      </c>
      <c r="BA146" s="30" t="str">
        <f>IF(ISBLANK(Table2[[#This Row],[device_model]]), "", Table2[[#This Row],[device_suggested_area]])</f>
        <v>Dining</v>
      </c>
      <c r="BB146" s="30" t="s">
        <v>997</v>
      </c>
      <c r="BC146" s="30" t="s">
        <v>487</v>
      </c>
      <c r="BD146" s="30" t="s">
        <v>377</v>
      </c>
      <c r="BE146" s="30" t="s">
        <v>1457</v>
      </c>
      <c r="BF146" s="30" t="s">
        <v>488</v>
      </c>
      <c r="BG146" s="30" t="s">
        <v>193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1617</v>
      </c>
      <c r="B147" s="30" t="s">
        <v>26</v>
      </c>
      <c r="C147" s="30" t="s">
        <v>377</v>
      </c>
      <c r="D147" s="30" t="s">
        <v>137</v>
      </c>
      <c r="E147" s="30" t="s">
        <v>931</v>
      </c>
      <c r="F147" s="36" t="str">
        <f>IF(ISBLANK(Table2[[#This Row],[unique_id]]), "", PROPER(SUBSTITUTE(Table2[[#This Row],[unique_id]], "_", " ")))</f>
        <v>Dining Main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Dining Lights</v>
      </c>
      <c r="T147" s="37"/>
      <c r="U147" s="30"/>
      <c r="V147" s="31"/>
      <c r="W147" s="31" t="s">
        <v>489</v>
      </c>
      <c r="X147" s="47">
        <v>104</v>
      </c>
      <c r="Y147" s="42" t="s">
        <v>756</v>
      </c>
      <c r="Z147" s="42" t="s">
        <v>972</v>
      </c>
      <c r="AA147" s="42"/>
      <c r="AB147" s="30"/>
      <c r="AC147" s="30"/>
      <c r="AG147" s="31"/>
      <c r="AH147" s="31"/>
      <c r="AT14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Dining</v>
      </c>
      <c r="BA147" s="30" t="str">
        <f>IF(ISBLANK(Table2[[#This Row],[device_model]]), "", Table2[[#This Row],[device_suggested_area]])</f>
        <v>Dining</v>
      </c>
      <c r="BB147" s="30" t="s">
        <v>998</v>
      </c>
      <c r="BC147" s="30" t="s">
        <v>487</v>
      </c>
      <c r="BD147" s="30" t="s">
        <v>377</v>
      </c>
      <c r="BE147" s="30" t="s">
        <v>1457</v>
      </c>
      <c r="BF147" s="30" t="s">
        <v>488</v>
      </c>
      <c r="BG147" s="30" t="s">
        <v>193</v>
      </c>
      <c r="BL147" s="30" t="s">
        <v>502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48" spans="1:66" ht="16" customHeight="1" x14ac:dyDescent="0.2">
      <c r="A148" s="30">
        <v>1618</v>
      </c>
      <c r="B148" s="30" t="s">
        <v>26</v>
      </c>
      <c r="C148" s="30" t="s">
        <v>377</v>
      </c>
      <c r="D148" s="30" t="s">
        <v>137</v>
      </c>
      <c r="E148" s="30" t="s">
        <v>932</v>
      </c>
      <c r="F148" s="36" t="str">
        <f>IF(ISBLANK(Table2[[#This Row],[unique_id]]), "", PROPER(SUBSTITUTE(Table2[[#This Row],[unique_id]], "_", " ")))</f>
        <v>Dining Main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Dining Lights</v>
      </c>
      <c r="T148" s="37"/>
      <c r="U148" s="30"/>
      <c r="V148" s="31"/>
      <c r="W148" s="31" t="s">
        <v>489</v>
      </c>
      <c r="X148" s="47">
        <v>104</v>
      </c>
      <c r="Y148" s="42" t="s">
        <v>756</v>
      </c>
      <c r="Z148" s="42" t="s">
        <v>972</v>
      </c>
      <c r="AA148" s="42"/>
      <c r="AB148" s="30"/>
      <c r="AC148" s="30"/>
      <c r="AG148" s="31"/>
      <c r="AH148" s="31"/>
      <c r="AT14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Dining</v>
      </c>
      <c r="BA148" s="30" t="str">
        <f>IF(ISBLANK(Table2[[#This Row],[device_model]]), "", Table2[[#This Row],[device_suggested_area]])</f>
        <v>Dining</v>
      </c>
      <c r="BB148" s="30" t="s">
        <v>999</v>
      </c>
      <c r="BC148" s="30" t="s">
        <v>487</v>
      </c>
      <c r="BD148" s="30" t="s">
        <v>377</v>
      </c>
      <c r="BE148" s="30" t="s">
        <v>1457</v>
      </c>
      <c r="BF148" s="30" t="s">
        <v>488</v>
      </c>
      <c r="BG148" s="30" t="s">
        <v>193</v>
      </c>
      <c r="BL148" s="30" t="s">
        <v>503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49" spans="1:66" ht="16" customHeight="1" x14ac:dyDescent="0.2">
      <c r="A149" s="30">
        <v>1619</v>
      </c>
      <c r="B149" s="30" t="s">
        <v>26</v>
      </c>
      <c r="C149" s="30" t="s">
        <v>377</v>
      </c>
      <c r="D149" s="30" t="s">
        <v>137</v>
      </c>
      <c r="E149" s="30" t="s">
        <v>933</v>
      </c>
      <c r="F149" s="36" t="str">
        <f>IF(ISBLANK(Table2[[#This Row],[unique_id]]), "", PROPER(SUBSTITUTE(Table2[[#This Row],[unique_id]], "_", " ")))</f>
        <v>Dining Main Bulb 3</v>
      </c>
      <c r="H149" s="30" t="s">
        <v>139</v>
      </c>
      <c r="O149" s="31" t="s">
        <v>788</v>
      </c>
      <c r="P149" s="30" t="s">
        <v>165</v>
      </c>
      <c r="Q149" s="30" t="s">
        <v>760</v>
      </c>
      <c r="R149" s="30" t="str">
        <f>Table2[[#This Row],[entity_domain]]</f>
        <v>Lights</v>
      </c>
      <c r="S149" s="30" t="str">
        <f>_xlfn.CONCAT( Table2[[#This Row],[device_suggested_area]], " ",Table2[[#This Row],[powercalc_group_3]])</f>
        <v>Dining Lights</v>
      </c>
      <c r="T149" s="37"/>
      <c r="U149" s="30"/>
      <c r="V149" s="31"/>
      <c r="W149" s="31" t="s">
        <v>489</v>
      </c>
      <c r="X149" s="47">
        <v>104</v>
      </c>
      <c r="Y149" s="42" t="s">
        <v>756</v>
      </c>
      <c r="Z149" s="42" t="s">
        <v>972</v>
      </c>
      <c r="AA149" s="42"/>
      <c r="AB149" s="30"/>
      <c r="AC149" s="30"/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1000</v>
      </c>
      <c r="BC149" s="30" t="s">
        <v>487</v>
      </c>
      <c r="BD149" s="30" t="s">
        <v>377</v>
      </c>
      <c r="BE149" s="30" t="s">
        <v>1457</v>
      </c>
      <c r="BF149" s="30" t="s">
        <v>488</v>
      </c>
      <c r="BG149" s="30" t="s">
        <v>193</v>
      </c>
      <c r="BL149" s="30" t="s">
        <v>504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0" spans="1:66" ht="16" customHeight="1" x14ac:dyDescent="0.2">
      <c r="A150" s="30">
        <v>1620</v>
      </c>
      <c r="B150" s="30" t="s">
        <v>26</v>
      </c>
      <c r="C150" s="30" t="s">
        <v>377</v>
      </c>
      <c r="D150" s="30" t="s">
        <v>137</v>
      </c>
      <c r="E150" s="30" t="s">
        <v>934</v>
      </c>
      <c r="F150" s="36" t="str">
        <f>IF(ISBLANK(Table2[[#This Row],[unique_id]]), "", PROPER(SUBSTITUTE(Table2[[#This Row],[unique_id]], "_", " ")))</f>
        <v>Dining Main Bulb 4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1001</v>
      </c>
      <c r="BC150" s="30" t="s">
        <v>487</v>
      </c>
      <c r="BD150" s="30" t="s">
        <v>377</v>
      </c>
      <c r="BE150" s="30" t="s">
        <v>1457</v>
      </c>
      <c r="BF150" s="30" t="s">
        <v>488</v>
      </c>
      <c r="BG150" s="30" t="s">
        <v>193</v>
      </c>
      <c r="BL150" s="30" t="s">
        <v>505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1" spans="1:66" ht="16" customHeight="1" x14ac:dyDescent="0.2">
      <c r="A151" s="30">
        <v>1621</v>
      </c>
      <c r="B151" s="30" t="s">
        <v>26</v>
      </c>
      <c r="C151" s="30" t="s">
        <v>377</v>
      </c>
      <c r="D151" s="30" t="s">
        <v>137</v>
      </c>
      <c r="E151" s="30" t="s">
        <v>935</v>
      </c>
      <c r="F151" s="36" t="str">
        <f>IF(ISBLANK(Table2[[#This Row],[unique_id]]), "", PROPER(SUBSTITUTE(Table2[[#This Row],[unique_id]], "_", " ")))</f>
        <v>Dining Main Bulb 5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1002</v>
      </c>
      <c r="BC151" s="30" t="s">
        <v>487</v>
      </c>
      <c r="BD151" s="30" t="s">
        <v>377</v>
      </c>
      <c r="BE151" s="30" t="s">
        <v>1457</v>
      </c>
      <c r="BF151" s="30" t="s">
        <v>488</v>
      </c>
      <c r="BG151" s="30" t="s">
        <v>193</v>
      </c>
      <c r="BL151" s="30" t="s">
        <v>506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2" spans="1:66" ht="16" customHeight="1" x14ac:dyDescent="0.2">
      <c r="A152" s="30">
        <v>1622</v>
      </c>
      <c r="B152" s="30" t="s">
        <v>26</v>
      </c>
      <c r="C152" s="30" t="s">
        <v>377</v>
      </c>
      <c r="D152" s="30" t="s">
        <v>137</v>
      </c>
      <c r="E152" s="30" t="s">
        <v>936</v>
      </c>
      <c r="F152" s="36" t="str">
        <f>IF(ISBLANK(Table2[[#This Row],[unique_id]]), "", PROPER(SUBSTITUTE(Table2[[#This Row],[unique_id]], "_", " ")))</f>
        <v>Dining Main Bulb 6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1003</v>
      </c>
      <c r="BC152" s="30" t="s">
        <v>487</v>
      </c>
      <c r="BD152" s="30" t="s">
        <v>377</v>
      </c>
      <c r="BE152" s="30" t="s">
        <v>1457</v>
      </c>
      <c r="BF152" s="30" t="s">
        <v>488</v>
      </c>
      <c r="BG152" s="30" t="s">
        <v>193</v>
      </c>
      <c r="BL152" s="30" t="s">
        <v>507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3" spans="1:66" ht="16" customHeight="1" x14ac:dyDescent="0.2">
      <c r="A153" s="30">
        <v>1623</v>
      </c>
      <c r="B153" s="30" t="s">
        <v>26</v>
      </c>
      <c r="C153" s="30" t="s">
        <v>377</v>
      </c>
      <c r="D153" s="30" t="s">
        <v>137</v>
      </c>
      <c r="E153" s="30" t="s">
        <v>298</v>
      </c>
      <c r="F153" s="36" t="str">
        <f>IF(ISBLANK(Table2[[#This Row],[unique_id]]), "", PROPER(SUBSTITUTE(Table2[[#This Row],[unique_id]], "_", " ")))</f>
        <v>Lounge Main</v>
      </c>
      <c r="G153" s="30" t="s">
        <v>207</v>
      </c>
      <c r="H153" s="30" t="s">
        <v>139</v>
      </c>
      <c r="I153" s="30" t="s">
        <v>132</v>
      </c>
      <c r="J153" s="30" t="s">
        <v>724</v>
      </c>
      <c r="K153" s="30" t="s">
        <v>881</v>
      </c>
      <c r="M153" s="30" t="s">
        <v>136</v>
      </c>
      <c r="O153" s="31"/>
      <c r="P153" s="30"/>
      <c r="T153" s="37"/>
      <c r="U153" s="30"/>
      <c r="V153" s="31"/>
      <c r="W153" s="31" t="s">
        <v>490</v>
      </c>
      <c r="X153" s="47">
        <v>105</v>
      </c>
      <c r="Y153" s="42" t="s">
        <v>758</v>
      </c>
      <c r="Z153" s="42" t="s">
        <v>972</v>
      </c>
      <c r="AA153" s="42"/>
      <c r="AB153" s="30"/>
      <c r="AC153" s="30"/>
      <c r="AE153" s="30" t="s">
        <v>292</v>
      </c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Lounge</v>
      </c>
      <c r="BA153" s="30" t="str">
        <f>IF(ISBLANK(Table2[[#This Row],[device_model]]), "", Table2[[#This Row],[device_suggested_area]])</f>
        <v>Lounge</v>
      </c>
      <c r="BB153" s="30" t="s">
        <v>997</v>
      </c>
      <c r="BC153" s="30" t="s">
        <v>487</v>
      </c>
      <c r="BD153" s="30" t="s">
        <v>377</v>
      </c>
      <c r="BE153" s="30" t="s">
        <v>1457</v>
      </c>
      <c r="BF153" s="30" t="s">
        <v>488</v>
      </c>
      <c r="BG153" s="30" t="s">
        <v>194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4" spans="1:66" ht="16" customHeight="1" x14ac:dyDescent="0.2">
      <c r="A154" s="30">
        <v>1624</v>
      </c>
      <c r="B154" s="30" t="s">
        <v>26</v>
      </c>
      <c r="C154" s="30" t="s">
        <v>377</v>
      </c>
      <c r="D154" s="30" t="s">
        <v>137</v>
      </c>
      <c r="E154" s="30" t="s">
        <v>937</v>
      </c>
      <c r="F154" s="36" t="str">
        <f>IF(ISBLANK(Table2[[#This Row],[unique_id]]), "", PROPER(SUBSTITUTE(Table2[[#This Row],[unique_id]], "_", " ")))</f>
        <v>Lounge Main Bulb 1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Lounge Lights</v>
      </c>
      <c r="T154" s="37"/>
      <c r="U154" s="30"/>
      <c r="V154" s="31"/>
      <c r="W154" s="31" t="s">
        <v>489</v>
      </c>
      <c r="X154" s="47">
        <v>105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Lounge</v>
      </c>
      <c r="BA154" s="30" t="str">
        <f>IF(ISBLANK(Table2[[#This Row],[device_model]]), "", Table2[[#This Row],[device_suggested_area]])</f>
        <v>Lounge</v>
      </c>
      <c r="BB154" s="30" t="s">
        <v>998</v>
      </c>
      <c r="BC154" s="30" t="s">
        <v>487</v>
      </c>
      <c r="BD154" s="30" t="s">
        <v>377</v>
      </c>
      <c r="BE154" s="30" t="s">
        <v>1457</v>
      </c>
      <c r="BF154" s="30" t="s">
        <v>488</v>
      </c>
      <c r="BG154" s="30" t="s">
        <v>194</v>
      </c>
      <c r="BL154" s="30" t="s">
        <v>508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5" spans="1:66" ht="16" customHeight="1" x14ac:dyDescent="0.2">
      <c r="A155" s="30">
        <v>1625</v>
      </c>
      <c r="B155" s="30" t="s">
        <v>26</v>
      </c>
      <c r="C155" s="30" t="s">
        <v>377</v>
      </c>
      <c r="D155" s="30" t="s">
        <v>137</v>
      </c>
      <c r="E155" s="30" t="s">
        <v>938</v>
      </c>
      <c r="F155" s="36" t="str">
        <f>IF(ISBLANK(Table2[[#This Row],[unique_id]]), "", PROPER(SUBSTITUTE(Table2[[#This Row],[unique_id]], "_", " ")))</f>
        <v>Lounge Main Bulb 2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Lounge Lights</v>
      </c>
      <c r="T155" s="37"/>
      <c r="U155" s="30"/>
      <c r="V155" s="31"/>
      <c r="W155" s="31" t="s">
        <v>489</v>
      </c>
      <c r="X155" s="47">
        <v>105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Lounge</v>
      </c>
      <c r="BA155" s="30" t="str">
        <f>IF(ISBLANK(Table2[[#This Row],[device_model]]), "", Table2[[#This Row],[device_suggested_area]])</f>
        <v>Lounge</v>
      </c>
      <c r="BB155" s="30" t="s">
        <v>999</v>
      </c>
      <c r="BC155" s="30" t="s">
        <v>487</v>
      </c>
      <c r="BD155" s="30" t="s">
        <v>377</v>
      </c>
      <c r="BE155" s="30" t="s">
        <v>1457</v>
      </c>
      <c r="BF155" s="30" t="s">
        <v>488</v>
      </c>
      <c r="BG155" s="30" t="s">
        <v>194</v>
      </c>
      <c r="BL155" s="30" t="s">
        <v>509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6" spans="1:66" ht="16" customHeight="1" x14ac:dyDescent="0.2">
      <c r="A156" s="30">
        <v>1626</v>
      </c>
      <c r="B156" s="30" t="s">
        <v>26</v>
      </c>
      <c r="C156" s="30" t="s">
        <v>377</v>
      </c>
      <c r="D156" s="30" t="s">
        <v>137</v>
      </c>
      <c r="E156" s="30" t="s">
        <v>939</v>
      </c>
      <c r="F156" s="36" t="str">
        <f>IF(ISBLANK(Table2[[#This Row],[unique_id]]), "", PROPER(SUBSTITUTE(Table2[[#This Row],[unique_id]], "_", " ")))</f>
        <v>Lounge Main Bulb 3</v>
      </c>
      <c r="H156" s="30" t="s">
        <v>139</v>
      </c>
      <c r="O156" s="31" t="s">
        <v>788</v>
      </c>
      <c r="P156" s="30" t="s">
        <v>165</v>
      </c>
      <c r="Q156" s="30" t="s">
        <v>760</v>
      </c>
      <c r="R156" s="30" t="str">
        <f>Table2[[#This Row],[entity_domain]]</f>
        <v>Lights</v>
      </c>
      <c r="S156" s="30" t="str">
        <f>_xlfn.CONCAT( Table2[[#This Row],[device_suggested_area]], " ",Table2[[#This Row],[powercalc_group_3]])</f>
        <v>Lounge Lights</v>
      </c>
      <c r="T156" s="37"/>
      <c r="U156" s="30"/>
      <c r="V156" s="31"/>
      <c r="W156" s="31" t="s">
        <v>489</v>
      </c>
      <c r="X156" s="47">
        <v>105</v>
      </c>
      <c r="Y156" s="42" t="s">
        <v>756</v>
      </c>
      <c r="Z156" s="42" t="s">
        <v>972</v>
      </c>
      <c r="AA156" s="42"/>
      <c r="AB156" s="30"/>
      <c r="AC156" s="30"/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1000</v>
      </c>
      <c r="BC156" s="30" t="s">
        <v>487</v>
      </c>
      <c r="BD156" s="30" t="s">
        <v>377</v>
      </c>
      <c r="BE156" s="30" t="s">
        <v>1457</v>
      </c>
      <c r="BF156" s="30" t="s">
        <v>488</v>
      </c>
      <c r="BG156" s="30" t="s">
        <v>194</v>
      </c>
      <c r="BL156" s="30" t="s">
        <v>510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57" spans="1:66" ht="16" customHeight="1" x14ac:dyDescent="0.2">
      <c r="A157" s="30">
        <v>1632</v>
      </c>
      <c r="B157" s="30" t="s">
        <v>26</v>
      </c>
      <c r="C157" s="30" t="s">
        <v>377</v>
      </c>
      <c r="D157" s="30" t="s">
        <v>137</v>
      </c>
      <c r="E157" s="30" t="s">
        <v>299</v>
      </c>
      <c r="F157" s="36" t="str">
        <f>IF(ISBLANK(Table2[[#This Row],[unique_id]]), "", PROPER(SUBSTITUTE(Table2[[#This Row],[unique_id]], "_", " ")))</f>
        <v>Parents Main</v>
      </c>
      <c r="G157" s="30" t="s">
        <v>196</v>
      </c>
      <c r="H157" s="30" t="s">
        <v>139</v>
      </c>
      <c r="I157" s="30" t="s">
        <v>132</v>
      </c>
      <c r="J157" s="39" t="s">
        <v>724</v>
      </c>
      <c r="K157" s="30" t="s">
        <v>884</v>
      </c>
      <c r="M157" s="30" t="s">
        <v>136</v>
      </c>
      <c r="O157" s="31"/>
      <c r="P157" s="30"/>
      <c r="T157" s="37"/>
      <c r="U157" s="30"/>
      <c r="V157" s="31"/>
      <c r="W157" s="31" t="s">
        <v>490</v>
      </c>
      <c r="X157" s="47">
        <v>106</v>
      </c>
      <c r="Y157" s="42" t="s">
        <v>758</v>
      </c>
      <c r="Z157" s="42" t="s">
        <v>973</v>
      </c>
      <c r="AA157" s="42"/>
      <c r="AB157" s="30"/>
      <c r="AC157" s="30"/>
      <c r="AE157" s="30" t="s">
        <v>292</v>
      </c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Parents</v>
      </c>
      <c r="BA157" s="30" t="str">
        <f>IF(ISBLANK(Table2[[#This Row],[device_model]]), "", Table2[[#This Row],[device_suggested_area]])</f>
        <v>Parents</v>
      </c>
      <c r="BB157" s="30" t="s">
        <v>997</v>
      </c>
      <c r="BC157" s="30" t="s">
        <v>487</v>
      </c>
      <c r="BD157" s="30" t="s">
        <v>377</v>
      </c>
      <c r="BE157" s="30" t="s">
        <v>1457</v>
      </c>
      <c r="BF157" s="30" t="s">
        <v>488</v>
      </c>
      <c r="BG157" s="30" t="s">
        <v>192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8" spans="1:66" ht="16" customHeight="1" x14ac:dyDescent="0.2">
      <c r="A158" s="30">
        <v>1633</v>
      </c>
      <c r="B158" s="30" t="s">
        <v>26</v>
      </c>
      <c r="C158" s="30" t="s">
        <v>377</v>
      </c>
      <c r="D158" s="30" t="s">
        <v>137</v>
      </c>
      <c r="E158" s="30" t="s">
        <v>941</v>
      </c>
      <c r="F158" s="36" t="str">
        <f>IF(ISBLANK(Table2[[#This Row],[unique_id]]), "", PROPER(SUBSTITUTE(Table2[[#This Row],[unique_id]], "_", " ")))</f>
        <v>Parents Main Bulb 1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Parents Lights</v>
      </c>
      <c r="T158" s="37"/>
      <c r="U158" s="30"/>
      <c r="V158" s="31"/>
      <c r="W158" s="31" t="s">
        <v>489</v>
      </c>
      <c r="X158" s="47">
        <v>106</v>
      </c>
      <c r="Y158" s="42" t="s">
        <v>756</v>
      </c>
      <c r="Z158" s="42" t="s">
        <v>973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Parents</v>
      </c>
      <c r="BA158" s="30" t="str">
        <f>IF(ISBLANK(Table2[[#This Row],[device_model]]), "", Table2[[#This Row],[device_suggested_area]])</f>
        <v>Parents</v>
      </c>
      <c r="BB158" s="30" t="s">
        <v>998</v>
      </c>
      <c r="BC158" s="30" t="s">
        <v>487</v>
      </c>
      <c r="BD158" s="30" t="s">
        <v>377</v>
      </c>
      <c r="BE158" s="30" t="s">
        <v>1457</v>
      </c>
      <c r="BF158" s="30" t="s">
        <v>488</v>
      </c>
      <c r="BG158" s="30" t="s">
        <v>192</v>
      </c>
      <c r="BL158" s="30" t="s">
        <v>486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59" spans="1:66" ht="16" customHeight="1" x14ac:dyDescent="0.2">
      <c r="A159" s="30">
        <v>1634</v>
      </c>
      <c r="B159" s="30" t="s">
        <v>26</v>
      </c>
      <c r="C159" s="30" t="s">
        <v>377</v>
      </c>
      <c r="D159" s="30" t="s">
        <v>137</v>
      </c>
      <c r="E159" s="30" t="s">
        <v>942</v>
      </c>
      <c r="F159" s="36" t="str">
        <f>IF(ISBLANK(Table2[[#This Row],[unique_id]]), "", PROPER(SUBSTITUTE(Table2[[#This Row],[unique_id]], "_", " ")))</f>
        <v>Parents Main Bulb 2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Parents Lights</v>
      </c>
      <c r="T159" s="37"/>
      <c r="U159" s="30"/>
      <c r="V159" s="31"/>
      <c r="W159" s="31" t="s">
        <v>489</v>
      </c>
      <c r="X159" s="47">
        <v>106</v>
      </c>
      <c r="Y159" s="42" t="s">
        <v>756</v>
      </c>
      <c r="Z159" s="42" t="s">
        <v>973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Parents</v>
      </c>
      <c r="BA159" s="30" t="str">
        <f>IF(ISBLANK(Table2[[#This Row],[device_model]]), "", Table2[[#This Row],[device_suggested_area]])</f>
        <v>Parents</v>
      </c>
      <c r="BB159" s="30" t="s">
        <v>999</v>
      </c>
      <c r="BC159" s="30" t="s">
        <v>487</v>
      </c>
      <c r="BD159" s="30" t="s">
        <v>377</v>
      </c>
      <c r="BE159" s="30" t="s">
        <v>1457</v>
      </c>
      <c r="BF159" s="30" t="s">
        <v>488</v>
      </c>
      <c r="BG159" s="30" t="s">
        <v>192</v>
      </c>
      <c r="BL159" s="30" t="s">
        <v>493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s="64" customFormat="1" ht="16" customHeight="1" x14ac:dyDescent="0.2">
      <c r="A161" s="30">
        <v>1635</v>
      </c>
      <c r="B161" s="30" t="s">
        <v>26</v>
      </c>
      <c r="C161" s="30" t="s">
        <v>377</v>
      </c>
      <c r="D161" s="30" t="s">
        <v>137</v>
      </c>
      <c r="E161" s="30" t="s">
        <v>943</v>
      </c>
      <c r="F161" s="36" t="str">
        <f>IF(ISBLANK(Table2[[#This Row],[unique_id]]), "", PROPER(SUBSTITUTE(Table2[[#This Row],[unique_id]], "_", " ")))</f>
        <v>Parents Main Bulb 3</v>
      </c>
      <c r="G161" s="30"/>
      <c r="H161" s="30" t="s">
        <v>139</v>
      </c>
      <c r="I161" s="30"/>
      <c r="J161" s="30"/>
      <c r="K161" s="30"/>
      <c r="L161" s="30"/>
      <c r="M161" s="30"/>
      <c r="N161" s="30"/>
      <c r="O161" s="31" t="s">
        <v>788</v>
      </c>
      <c r="P161" s="30" t="s">
        <v>165</v>
      </c>
      <c r="Q161" s="30" t="s">
        <v>760</v>
      </c>
      <c r="R161" s="30" t="str">
        <f>Table2[[#This Row],[entity_domain]]</f>
        <v>Lights</v>
      </c>
      <c r="S161" s="30" t="str">
        <f>_xlfn.CONCAT( Table2[[#This Row],[device_suggested_area]], " ",Table2[[#This Row],[powercalc_group_3]])</f>
        <v>Parents Lights</v>
      </c>
      <c r="T161" s="37"/>
      <c r="U161" s="30"/>
      <c r="V161" s="31"/>
      <c r="W161" s="31" t="s">
        <v>489</v>
      </c>
      <c r="X161" s="47">
        <v>106</v>
      </c>
      <c r="Y161" s="42" t="s">
        <v>756</v>
      </c>
      <c r="Z161" s="42" t="s">
        <v>973</v>
      </c>
      <c r="AA161" s="42"/>
      <c r="AB161" s="30"/>
      <c r="AC161" s="30"/>
      <c r="AD161" s="30"/>
      <c r="AE161" s="30"/>
      <c r="AF161" s="30"/>
      <c r="AG161" s="31"/>
      <c r="AH161" s="31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Parents</v>
      </c>
      <c r="BA161" s="30" t="str">
        <f>IF(ISBLANK(Table2[[#This Row],[device_model]]), "", Table2[[#This Row],[device_suggested_area]])</f>
        <v>Parents</v>
      </c>
      <c r="BB161" s="30" t="s">
        <v>1000</v>
      </c>
      <c r="BC161" s="30" t="s">
        <v>487</v>
      </c>
      <c r="BD161" s="30" t="s">
        <v>377</v>
      </c>
      <c r="BE161" s="30" t="s">
        <v>1457</v>
      </c>
      <c r="BF161" s="30" t="s">
        <v>488</v>
      </c>
      <c r="BG161" s="30" t="s">
        <v>192</v>
      </c>
      <c r="BH161" s="30"/>
      <c r="BI161" s="30"/>
      <c r="BJ161" s="30"/>
      <c r="BK161" s="30"/>
      <c r="BL161" s="30" t="s">
        <v>494</v>
      </c>
      <c r="BM161" s="30"/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2" spans="1:66" s="64" customFormat="1" ht="16" customHeight="1" x14ac:dyDescent="0.2">
      <c r="A162" s="30">
        <v>1642</v>
      </c>
      <c r="B162" s="30" t="s">
        <v>26</v>
      </c>
      <c r="C162" s="30" t="s">
        <v>377</v>
      </c>
      <c r="D162" s="30" t="s">
        <v>137</v>
      </c>
      <c r="E162" s="30" t="s">
        <v>300</v>
      </c>
      <c r="F162" s="36" t="str">
        <f>IF(ISBLANK(Table2[[#This Row],[unique_id]]), "", PROPER(SUBSTITUTE(Table2[[#This Row],[unique_id]], "_", " ")))</f>
        <v>Kitchen Main</v>
      </c>
      <c r="G162" s="30" t="s">
        <v>202</v>
      </c>
      <c r="H162" s="30" t="s">
        <v>139</v>
      </c>
      <c r="I162" s="30" t="s">
        <v>132</v>
      </c>
      <c r="J162" s="39" t="s">
        <v>724</v>
      </c>
      <c r="K162" s="30" t="s">
        <v>881</v>
      </c>
      <c r="L162" s="30"/>
      <c r="M162" s="30" t="s">
        <v>136</v>
      </c>
      <c r="N162" s="30"/>
      <c r="O162" s="31"/>
      <c r="P162" s="30"/>
      <c r="Q162" s="30"/>
      <c r="R162" s="30"/>
      <c r="S162" s="30"/>
      <c r="T162" s="37"/>
      <c r="U162" s="30"/>
      <c r="V162" s="31"/>
      <c r="W162" s="31" t="s">
        <v>490</v>
      </c>
      <c r="X162" s="47">
        <v>107</v>
      </c>
      <c r="Y162" s="42" t="s">
        <v>758</v>
      </c>
      <c r="Z162" s="42" t="s">
        <v>972</v>
      </c>
      <c r="AA162" s="42"/>
      <c r="AB162" s="30"/>
      <c r="AC162" s="30"/>
      <c r="AD162" s="30"/>
      <c r="AE162" s="30" t="s">
        <v>292</v>
      </c>
      <c r="AF162" s="30"/>
      <c r="AG162" s="31"/>
      <c r="AH162" s="31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Kitchen</v>
      </c>
      <c r="BA162" s="30" t="str">
        <f>IF(ISBLANK(Table2[[#This Row],[device_model]]), "", Table2[[#This Row],[device_suggested_area]])</f>
        <v>Kitchen</v>
      </c>
      <c r="BB162" s="30" t="s">
        <v>997</v>
      </c>
      <c r="BC162" s="30" t="s">
        <v>565</v>
      </c>
      <c r="BD162" s="30" t="s">
        <v>377</v>
      </c>
      <c r="BE162" s="30" t="s">
        <v>1457</v>
      </c>
      <c r="BF162" s="30" t="s">
        <v>562</v>
      </c>
      <c r="BG162" s="30" t="s">
        <v>206</v>
      </c>
      <c r="BH162" s="30"/>
      <c r="BI162" s="30"/>
      <c r="BJ162" s="30"/>
      <c r="BK162" s="30"/>
      <c r="BL162" s="30"/>
      <c r="BM162" s="30"/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3" spans="1:66" s="64" customFormat="1" ht="16" customHeight="1" x14ac:dyDescent="0.2">
      <c r="A163" s="30">
        <v>1643</v>
      </c>
      <c r="B163" s="30" t="s">
        <v>26</v>
      </c>
      <c r="C163" s="30" t="s">
        <v>377</v>
      </c>
      <c r="D163" s="30" t="s">
        <v>137</v>
      </c>
      <c r="E163" s="30" t="s">
        <v>945</v>
      </c>
      <c r="F163" s="36" t="str">
        <f>IF(ISBLANK(Table2[[#This Row],[unique_id]]), "", PROPER(SUBSTITUTE(Table2[[#This Row],[unique_id]], "_", " ")))</f>
        <v>Kitchen Main Bulb 1</v>
      </c>
      <c r="G163" s="30"/>
      <c r="H163" s="30" t="s">
        <v>139</v>
      </c>
      <c r="I163" s="30"/>
      <c r="J163" s="30"/>
      <c r="K163" s="30"/>
      <c r="L163" s="30"/>
      <c r="M163" s="30"/>
      <c r="N163" s="30"/>
      <c r="O163" s="31" t="s">
        <v>788</v>
      </c>
      <c r="P163" s="30" t="s">
        <v>165</v>
      </c>
      <c r="Q163" s="30" t="s">
        <v>760</v>
      </c>
      <c r="R163" s="30" t="str">
        <f>Table2[[#This Row],[entity_domain]]</f>
        <v>Lights</v>
      </c>
      <c r="S163" s="30" t="str">
        <f>_xlfn.CONCAT( Table2[[#This Row],[device_suggested_area]], " ",Table2[[#This Row],[powercalc_group_3]])</f>
        <v>Kitchen Lights</v>
      </c>
      <c r="T163" s="37"/>
      <c r="U163" s="30"/>
      <c r="V163" s="31"/>
      <c r="W163" s="31" t="s">
        <v>489</v>
      </c>
      <c r="X163" s="47">
        <v>107</v>
      </c>
      <c r="Y163" s="42" t="s">
        <v>756</v>
      </c>
      <c r="Z163" s="42" t="s">
        <v>972</v>
      </c>
      <c r="AA163" s="42"/>
      <c r="AB163" s="30"/>
      <c r="AC163" s="30"/>
      <c r="AD163" s="30"/>
      <c r="AE163" s="30"/>
      <c r="AF163" s="30"/>
      <c r="AG163" s="31"/>
      <c r="AH163" s="31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Kitchen</v>
      </c>
      <c r="BA163" s="30" t="str">
        <f>IF(ISBLANK(Table2[[#This Row],[device_model]]), "", Table2[[#This Row],[device_suggested_area]])</f>
        <v>Kitchen</v>
      </c>
      <c r="BB163" s="30" t="s">
        <v>998</v>
      </c>
      <c r="BC163" s="30" t="s">
        <v>565</v>
      </c>
      <c r="BD163" s="30" t="s">
        <v>377</v>
      </c>
      <c r="BE163" s="30" t="s">
        <v>1457</v>
      </c>
      <c r="BF163" s="30" t="s">
        <v>562</v>
      </c>
      <c r="BG163" s="30" t="s">
        <v>206</v>
      </c>
      <c r="BH163" s="30"/>
      <c r="BI163" s="30"/>
      <c r="BJ163" s="30"/>
      <c r="BK163" s="30"/>
      <c r="BL163" s="30" t="s">
        <v>511</v>
      </c>
      <c r="BM163" s="30"/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64" spans="1:66" s="64" customFormat="1" ht="16" customHeight="1" x14ac:dyDescent="0.2">
      <c r="A164" s="30">
        <v>1644</v>
      </c>
      <c r="B164" s="30" t="s">
        <v>26</v>
      </c>
      <c r="C164" s="30" t="s">
        <v>377</v>
      </c>
      <c r="D164" s="30" t="s">
        <v>137</v>
      </c>
      <c r="E164" s="30" t="s">
        <v>946</v>
      </c>
      <c r="F164" s="36" t="str">
        <f>IF(ISBLANK(Table2[[#This Row],[unique_id]]), "", PROPER(SUBSTITUTE(Table2[[#This Row],[unique_id]], "_", " ")))</f>
        <v>Kitchen Main Bulb 2</v>
      </c>
      <c r="G164" s="30"/>
      <c r="H164" s="30" t="s">
        <v>139</v>
      </c>
      <c r="I164" s="30"/>
      <c r="J164" s="30"/>
      <c r="K164" s="30"/>
      <c r="L164" s="30"/>
      <c r="M164" s="30"/>
      <c r="N164" s="30"/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Kitchen Lights</v>
      </c>
      <c r="T164" s="37"/>
      <c r="U164" s="30"/>
      <c r="V164" s="31"/>
      <c r="W164" s="31" t="s">
        <v>489</v>
      </c>
      <c r="X164" s="47">
        <v>107</v>
      </c>
      <c r="Y164" s="42" t="s">
        <v>756</v>
      </c>
      <c r="Z164" s="42" t="s">
        <v>972</v>
      </c>
      <c r="AA164" s="42"/>
      <c r="AB164" s="30"/>
      <c r="AC164" s="30"/>
      <c r="AD164" s="30"/>
      <c r="AE164" s="30"/>
      <c r="AF164" s="30"/>
      <c r="AG164" s="31"/>
      <c r="AH164" s="31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Kitchen</v>
      </c>
      <c r="BA164" s="30" t="str">
        <f>IF(ISBLANK(Table2[[#This Row],[device_model]]), "", Table2[[#This Row],[device_suggested_area]])</f>
        <v>Kitchen</v>
      </c>
      <c r="BB164" s="30" t="s">
        <v>999</v>
      </c>
      <c r="BC164" s="30" t="s">
        <v>565</v>
      </c>
      <c r="BD164" s="30" t="s">
        <v>377</v>
      </c>
      <c r="BE164" s="30" t="s">
        <v>1457</v>
      </c>
      <c r="BF164" s="30" t="s">
        <v>562</v>
      </c>
      <c r="BG164" s="30" t="s">
        <v>206</v>
      </c>
      <c r="BH164" s="30"/>
      <c r="BI164" s="30"/>
      <c r="BJ164" s="30"/>
      <c r="BK164" s="30"/>
      <c r="BL164" s="30" t="s">
        <v>512</v>
      </c>
      <c r="BM164" s="30"/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65" spans="1:66" ht="16" customHeight="1" x14ac:dyDescent="0.2">
      <c r="A165" s="30">
        <v>1645</v>
      </c>
      <c r="B165" s="30" t="s">
        <v>26</v>
      </c>
      <c r="C165" s="30" t="s">
        <v>377</v>
      </c>
      <c r="D165" s="30" t="s">
        <v>137</v>
      </c>
      <c r="E165" s="30" t="s">
        <v>947</v>
      </c>
      <c r="F165" s="36" t="str">
        <f>IF(ISBLANK(Table2[[#This Row],[unique_id]]), "", PROPER(SUBSTITUTE(Table2[[#This Row],[unique_id]], "_", " ")))</f>
        <v>Kitchen Main Bulb 3</v>
      </c>
      <c r="H165" s="30" t="s">
        <v>139</v>
      </c>
      <c r="O165" s="31" t="s">
        <v>788</v>
      </c>
      <c r="P165" s="30" t="s">
        <v>165</v>
      </c>
      <c r="Q165" s="30" t="s">
        <v>760</v>
      </c>
      <c r="R165" s="30" t="str">
        <f>Table2[[#This Row],[entity_domain]]</f>
        <v>Lights</v>
      </c>
      <c r="S165" s="30" t="str">
        <f>_xlfn.CONCAT( Table2[[#This Row],[device_suggested_area]], " ",Table2[[#This Row],[powercalc_group_3]])</f>
        <v>Kitchen Lights</v>
      </c>
      <c r="T165" s="37"/>
      <c r="U165" s="30"/>
      <c r="V165" s="31"/>
      <c r="W165" s="31" t="s">
        <v>489</v>
      </c>
      <c r="X165" s="47">
        <v>107</v>
      </c>
      <c r="Y165" s="42" t="s">
        <v>756</v>
      </c>
      <c r="Z165" s="42" t="s">
        <v>972</v>
      </c>
      <c r="AA165" s="42"/>
      <c r="AB165" s="30"/>
      <c r="AC165" s="30"/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Kitchen</v>
      </c>
      <c r="BA165" s="30" t="str">
        <f>IF(ISBLANK(Table2[[#This Row],[device_model]]), "", Table2[[#This Row],[device_suggested_area]])</f>
        <v>Kitchen</v>
      </c>
      <c r="BB165" s="30" t="s">
        <v>1000</v>
      </c>
      <c r="BC165" s="30" t="s">
        <v>565</v>
      </c>
      <c r="BD165" s="30" t="s">
        <v>377</v>
      </c>
      <c r="BE165" s="30" t="s">
        <v>1457</v>
      </c>
      <c r="BF165" s="30" t="s">
        <v>562</v>
      </c>
      <c r="BG165" s="30" t="s">
        <v>206</v>
      </c>
      <c r="BL165" s="30" t="s">
        <v>513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66" spans="1:66" ht="16" customHeight="1" x14ac:dyDescent="0.2">
      <c r="A166" s="30">
        <v>1646</v>
      </c>
      <c r="B166" s="30" t="s">
        <v>26</v>
      </c>
      <c r="C166" s="30" t="s">
        <v>377</v>
      </c>
      <c r="D166" s="30" t="s">
        <v>137</v>
      </c>
      <c r="E166" s="30" t="s">
        <v>948</v>
      </c>
      <c r="F166" s="36" t="str">
        <f>IF(ISBLANK(Table2[[#This Row],[unique_id]]), "", PROPER(SUBSTITUTE(Table2[[#This Row],[unique_id]], "_", " ")))</f>
        <v>Kitchen Main Bulb 4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Kitchen Lights</v>
      </c>
      <c r="T166" s="37"/>
      <c r="U166" s="30"/>
      <c r="V166" s="31"/>
      <c r="W166" s="31" t="s">
        <v>489</v>
      </c>
      <c r="X166" s="47">
        <v>107</v>
      </c>
      <c r="Y166" s="42" t="s">
        <v>756</v>
      </c>
      <c r="Z166" s="42" t="s">
        <v>972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Kitchen</v>
      </c>
      <c r="BA166" s="30" t="str">
        <f>IF(ISBLANK(Table2[[#This Row],[device_model]]), "", Table2[[#This Row],[device_suggested_area]])</f>
        <v>Kitchen</v>
      </c>
      <c r="BB166" s="30" t="s">
        <v>1001</v>
      </c>
      <c r="BC166" s="30" t="s">
        <v>565</v>
      </c>
      <c r="BD166" s="30" t="s">
        <v>377</v>
      </c>
      <c r="BE166" s="30" t="s">
        <v>1457</v>
      </c>
      <c r="BF166" s="30" t="s">
        <v>562</v>
      </c>
      <c r="BG166" s="30" t="s">
        <v>206</v>
      </c>
      <c r="BL166" s="30" t="s">
        <v>514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67" spans="1:66" ht="16" customHeight="1" x14ac:dyDescent="0.2">
      <c r="A167" s="30">
        <v>1648</v>
      </c>
      <c r="B167" s="30" t="s">
        <v>26</v>
      </c>
      <c r="C167" s="30" t="s">
        <v>377</v>
      </c>
      <c r="D167" s="30" t="s">
        <v>137</v>
      </c>
      <c r="E167" s="30" t="s">
        <v>301</v>
      </c>
      <c r="F167" s="36" t="str">
        <f>IF(ISBLANK(Table2[[#This Row],[unique_id]]), "", PROPER(SUBSTITUTE(Table2[[#This Row],[unique_id]], "_", " ")))</f>
        <v>Laundry Main</v>
      </c>
      <c r="G167" s="30" t="s">
        <v>204</v>
      </c>
      <c r="H167" s="30" t="s">
        <v>139</v>
      </c>
      <c r="I167" s="30" t="s">
        <v>132</v>
      </c>
      <c r="J167" s="30" t="s">
        <v>723</v>
      </c>
      <c r="K167" s="30" t="s">
        <v>881</v>
      </c>
      <c r="M167" s="30" t="s">
        <v>136</v>
      </c>
      <c r="O167" s="31"/>
      <c r="P167" s="30"/>
      <c r="T167" s="37"/>
      <c r="U167" s="30"/>
      <c r="V167" s="31"/>
      <c r="W167" s="31" t="s">
        <v>490</v>
      </c>
      <c r="X167" s="47">
        <v>108</v>
      </c>
      <c r="Y167" s="42" t="s">
        <v>758</v>
      </c>
      <c r="Z167" s="42" t="s">
        <v>972</v>
      </c>
      <c r="AA167" s="42"/>
      <c r="AB167" s="30"/>
      <c r="AC167" s="30"/>
      <c r="AE167" s="30" t="s">
        <v>292</v>
      </c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Laundry</v>
      </c>
      <c r="BA167" s="30" t="str">
        <f>IF(ISBLANK(Table2[[#This Row],[device_model]]), "", Table2[[#This Row],[device_suggested_area]])</f>
        <v>Laundry</v>
      </c>
      <c r="BB167" s="30" t="s">
        <v>997</v>
      </c>
      <c r="BC167" s="30" t="s">
        <v>487</v>
      </c>
      <c r="BD167" s="30" t="s">
        <v>377</v>
      </c>
      <c r="BE167" s="30" t="s">
        <v>1457</v>
      </c>
      <c r="BF167" s="30" t="s">
        <v>488</v>
      </c>
      <c r="BG167" s="30" t="s">
        <v>213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8" spans="1:66" ht="16" customHeight="1" x14ac:dyDescent="0.2">
      <c r="A168" s="30">
        <v>1649</v>
      </c>
      <c r="B168" s="30" t="s">
        <v>26</v>
      </c>
      <c r="C168" s="30" t="s">
        <v>377</v>
      </c>
      <c r="D168" s="30" t="s">
        <v>137</v>
      </c>
      <c r="E168" s="30" t="s">
        <v>949</v>
      </c>
      <c r="F168" s="36" t="str">
        <f>IF(ISBLANK(Table2[[#This Row],[unique_id]]), "", PROPER(SUBSTITUTE(Table2[[#This Row],[unique_id]], "_", " ")))</f>
        <v>Laundry Main Bulb 1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Laundry Lights</v>
      </c>
      <c r="T168" s="37"/>
      <c r="U168" s="30"/>
      <c r="V168" s="31"/>
      <c r="W168" s="31" t="s">
        <v>489</v>
      </c>
      <c r="X168" s="47">
        <v>108</v>
      </c>
      <c r="Y168" s="42" t="s">
        <v>756</v>
      </c>
      <c r="Z168" s="42" t="s">
        <v>972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Laundry</v>
      </c>
      <c r="BA168" s="30" t="str">
        <f>IF(ISBLANK(Table2[[#This Row],[device_model]]), "", Table2[[#This Row],[device_suggested_area]])</f>
        <v>Laundry</v>
      </c>
      <c r="BB168" s="30" t="s">
        <v>998</v>
      </c>
      <c r="BC168" s="30" t="s">
        <v>487</v>
      </c>
      <c r="BD168" s="30" t="s">
        <v>377</v>
      </c>
      <c r="BE168" s="30" t="s">
        <v>1457</v>
      </c>
      <c r="BF168" s="30" t="s">
        <v>488</v>
      </c>
      <c r="BG168" s="30" t="s">
        <v>213</v>
      </c>
      <c r="BL168" s="30" t="s">
        <v>515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69" spans="1:66" ht="16" customHeight="1" x14ac:dyDescent="0.2">
      <c r="A169" s="30">
        <v>1650</v>
      </c>
      <c r="B169" s="30" t="s">
        <v>26</v>
      </c>
      <c r="C169" s="30" t="s">
        <v>377</v>
      </c>
      <c r="D169" s="30" t="s">
        <v>137</v>
      </c>
      <c r="E169" s="30" t="s">
        <v>302</v>
      </c>
      <c r="F169" s="36" t="str">
        <f>IF(ISBLANK(Table2[[#This Row],[unique_id]]), "", PROPER(SUBSTITUTE(Table2[[#This Row],[unique_id]], "_", " ")))</f>
        <v>Pantry Main</v>
      </c>
      <c r="G169" s="30" t="s">
        <v>203</v>
      </c>
      <c r="H169" s="30" t="s">
        <v>139</v>
      </c>
      <c r="I169" s="30" t="s">
        <v>132</v>
      </c>
      <c r="J169" s="30" t="s">
        <v>723</v>
      </c>
      <c r="K169" s="30" t="s">
        <v>881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109</v>
      </c>
      <c r="Y169" s="42" t="s">
        <v>758</v>
      </c>
      <c r="Z169" s="42" t="s">
        <v>972</v>
      </c>
      <c r="AA169" s="42"/>
      <c r="AB169" s="30"/>
      <c r="AC169" s="30"/>
      <c r="AE169" s="30" t="s">
        <v>292</v>
      </c>
      <c r="AG169" s="31"/>
      <c r="AH169" s="31"/>
      <c r="AT16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Pantry</v>
      </c>
      <c r="BA169" s="30" t="str">
        <f>IF(ISBLANK(Table2[[#This Row],[device_model]]), "", Table2[[#This Row],[device_suggested_area]])</f>
        <v>Pantry</v>
      </c>
      <c r="BB169" s="30" t="s">
        <v>997</v>
      </c>
      <c r="BC169" s="30" t="s">
        <v>487</v>
      </c>
      <c r="BD169" s="30" t="s">
        <v>377</v>
      </c>
      <c r="BE169" s="30" t="s">
        <v>1457</v>
      </c>
      <c r="BF169" s="30" t="s">
        <v>488</v>
      </c>
      <c r="BG169" s="30" t="s">
        <v>211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1651</v>
      </c>
      <c r="B170" s="30" t="s">
        <v>26</v>
      </c>
      <c r="C170" s="30" t="s">
        <v>377</v>
      </c>
      <c r="D170" s="30" t="s">
        <v>137</v>
      </c>
      <c r="E170" s="30" t="s">
        <v>950</v>
      </c>
      <c r="F170" s="36" t="str">
        <f>IF(ISBLANK(Table2[[#This Row],[unique_id]]), "", PROPER(SUBSTITUTE(Table2[[#This Row],[unique_id]], "_", " ")))</f>
        <v>Pantry Main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Pantry Lights</v>
      </c>
      <c r="T170" s="37"/>
      <c r="U170" s="30"/>
      <c r="V170" s="31"/>
      <c r="W170" s="31" t="s">
        <v>489</v>
      </c>
      <c r="X170" s="47">
        <v>109</v>
      </c>
      <c r="Y170" s="42" t="s">
        <v>756</v>
      </c>
      <c r="Z170" s="42" t="s">
        <v>972</v>
      </c>
      <c r="AA170" s="42"/>
      <c r="AB170" s="30"/>
      <c r="AC170" s="30"/>
      <c r="AG170" s="31"/>
      <c r="AH170" s="31"/>
      <c r="AT17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Pantry</v>
      </c>
      <c r="BA170" s="30" t="str">
        <f>IF(ISBLANK(Table2[[#This Row],[device_model]]), "", Table2[[#This Row],[device_suggested_area]])</f>
        <v>Pantry</v>
      </c>
      <c r="BB170" s="30" t="s">
        <v>998</v>
      </c>
      <c r="BC170" s="30" t="s">
        <v>487</v>
      </c>
      <c r="BD170" s="30" t="s">
        <v>377</v>
      </c>
      <c r="BE170" s="30" t="s">
        <v>1457</v>
      </c>
      <c r="BF170" s="30" t="s">
        <v>488</v>
      </c>
      <c r="BG170" s="30" t="s">
        <v>211</v>
      </c>
      <c r="BL170" s="30" t="s">
        <v>516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71" spans="1:66" ht="16" customHeight="1" x14ac:dyDescent="0.2">
      <c r="A171" s="30">
        <v>1652</v>
      </c>
      <c r="B171" s="30" t="s">
        <v>26</v>
      </c>
      <c r="C171" s="30" t="s">
        <v>377</v>
      </c>
      <c r="D171" s="30" t="s">
        <v>137</v>
      </c>
      <c r="E171" s="30" t="s">
        <v>303</v>
      </c>
      <c r="F171" s="36" t="str">
        <f>IF(ISBLANK(Table2[[#This Row],[unique_id]]), "", PROPER(SUBSTITUTE(Table2[[#This Row],[unique_id]], "_", " ")))</f>
        <v>Office Main</v>
      </c>
      <c r="G171" s="30" t="s">
        <v>199</v>
      </c>
      <c r="H171" s="30" t="s">
        <v>139</v>
      </c>
      <c r="I171" s="30" t="s">
        <v>132</v>
      </c>
      <c r="J171" s="30" t="s">
        <v>723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110</v>
      </c>
      <c r="Y171" s="42" t="s">
        <v>758</v>
      </c>
      <c r="Z171" s="42" t="s">
        <v>975</v>
      </c>
      <c r="AA171" s="42"/>
      <c r="AB171" s="30"/>
      <c r="AC171" s="30"/>
      <c r="AE171" s="30" t="s">
        <v>292</v>
      </c>
      <c r="AG171" s="31"/>
      <c r="AH171" s="31"/>
      <c r="AT17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Office</v>
      </c>
      <c r="BA171" s="30" t="str">
        <f>IF(ISBLANK(Table2[[#This Row],[device_model]]), "", Table2[[#This Row],[device_suggested_area]])</f>
        <v>Office</v>
      </c>
      <c r="BB171" s="30" t="s">
        <v>997</v>
      </c>
      <c r="BC171" s="30" t="s">
        <v>565</v>
      </c>
      <c r="BD171" s="30" t="s">
        <v>377</v>
      </c>
      <c r="BE171" s="30" t="s">
        <v>1457</v>
      </c>
      <c r="BF171" s="30" t="s">
        <v>562</v>
      </c>
      <c r="BG171" s="30" t="s">
        <v>212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1653</v>
      </c>
      <c r="B172" s="30" t="s">
        <v>26</v>
      </c>
      <c r="C172" s="30" t="s">
        <v>377</v>
      </c>
      <c r="D172" s="30" t="s">
        <v>137</v>
      </c>
      <c r="E172" s="30" t="s">
        <v>951</v>
      </c>
      <c r="F172" s="36" t="str">
        <f>IF(ISBLANK(Table2[[#This Row],[unique_id]]), "", PROPER(SUBSTITUTE(Table2[[#This Row],[unique_id]], "_", " ")))</f>
        <v>Office Main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Office Lights</v>
      </c>
      <c r="T172" s="37"/>
      <c r="U172" s="30"/>
      <c r="V172" s="31"/>
      <c r="W172" s="31" t="s">
        <v>489</v>
      </c>
      <c r="X172" s="47">
        <v>110</v>
      </c>
      <c r="Y172" s="42" t="s">
        <v>756</v>
      </c>
      <c r="Z172" s="42" t="s">
        <v>975</v>
      </c>
      <c r="AA172" s="42"/>
      <c r="AB172" s="30"/>
      <c r="AC172" s="30"/>
      <c r="AG172" s="31"/>
      <c r="AH172" s="31"/>
      <c r="AT17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Office</v>
      </c>
      <c r="BA172" s="30" t="str">
        <f>IF(ISBLANK(Table2[[#This Row],[device_model]]), "", Table2[[#This Row],[device_suggested_area]])</f>
        <v>Office</v>
      </c>
      <c r="BB172" s="30" t="s">
        <v>998</v>
      </c>
      <c r="BC172" s="30" t="s">
        <v>565</v>
      </c>
      <c r="BD172" s="30" t="s">
        <v>377</v>
      </c>
      <c r="BE172" s="30" t="s">
        <v>1457</v>
      </c>
      <c r="BF172" s="30" t="s">
        <v>562</v>
      </c>
      <c r="BG172" s="30" t="s">
        <v>212</v>
      </c>
      <c r="BL172" s="30" t="s">
        <v>517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73" spans="1:66" ht="16" customHeight="1" x14ac:dyDescent="0.2">
      <c r="A173" s="30">
        <v>1654</v>
      </c>
      <c r="B173" s="30" t="s">
        <v>26</v>
      </c>
      <c r="C173" s="30" t="s">
        <v>377</v>
      </c>
      <c r="D173" s="30" t="s">
        <v>137</v>
      </c>
      <c r="E173" s="30" t="s">
        <v>304</v>
      </c>
      <c r="F173" s="36" t="str">
        <f>IF(ISBLANK(Table2[[#This Row],[unique_id]]), "", PROPER(SUBSTITUTE(Table2[[#This Row],[unique_id]], "_", " ")))</f>
        <v>Bathroom Main</v>
      </c>
      <c r="G173" s="30" t="s">
        <v>198</v>
      </c>
      <c r="H173" s="30" t="s">
        <v>139</v>
      </c>
      <c r="I173" s="30" t="s">
        <v>132</v>
      </c>
      <c r="J173" s="30" t="s">
        <v>723</v>
      </c>
      <c r="K173" s="30" t="s">
        <v>884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111</v>
      </c>
      <c r="Y173" s="42" t="s">
        <v>758</v>
      </c>
      <c r="Z173" s="42" t="s">
        <v>973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Bathroom</v>
      </c>
      <c r="BA173" s="30" t="str">
        <f>IF(ISBLANK(Table2[[#This Row],[device_model]]), "", Table2[[#This Row],[device_suggested_area]])</f>
        <v>Bathroom</v>
      </c>
      <c r="BB173" s="30" t="s">
        <v>997</v>
      </c>
      <c r="BC173" s="30" t="s">
        <v>487</v>
      </c>
      <c r="BD173" s="30" t="s">
        <v>377</v>
      </c>
      <c r="BE173" s="30" t="s">
        <v>1457</v>
      </c>
      <c r="BF173" s="30" t="s">
        <v>488</v>
      </c>
      <c r="BG173" s="30" t="s">
        <v>358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1655</v>
      </c>
      <c r="B174" s="30" t="s">
        <v>26</v>
      </c>
      <c r="C174" s="30" t="s">
        <v>377</v>
      </c>
      <c r="D174" s="30" t="s">
        <v>137</v>
      </c>
      <c r="E174" s="30" t="s">
        <v>952</v>
      </c>
      <c r="F174" s="36" t="str">
        <f>IF(ISBLANK(Table2[[#This Row],[unique_id]]), "", PROPER(SUBSTITUTE(Table2[[#This Row],[unique_id]], "_", " ")))</f>
        <v>Bathroom Main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Bathroom Lights</v>
      </c>
      <c r="T174" s="37"/>
      <c r="U174" s="30"/>
      <c r="V174" s="31"/>
      <c r="W174" s="31" t="s">
        <v>489</v>
      </c>
      <c r="X174" s="47">
        <v>111</v>
      </c>
      <c r="Y174" s="42" t="s">
        <v>756</v>
      </c>
      <c r="Z174" s="42" t="s">
        <v>973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Bathroom</v>
      </c>
      <c r="BA174" s="30" t="str">
        <f>IF(ISBLANK(Table2[[#This Row],[device_model]]), "", Table2[[#This Row],[device_suggested_area]])</f>
        <v>Bathroom</v>
      </c>
      <c r="BB174" s="30" t="s">
        <v>998</v>
      </c>
      <c r="BC174" s="30" t="s">
        <v>487</v>
      </c>
      <c r="BD174" s="30" t="s">
        <v>377</v>
      </c>
      <c r="BE174" s="30" t="s">
        <v>1457</v>
      </c>
      <c r="BF174" s="30" t="s">
        <v>488</v>
      </c>
      <c r="BG174" s="30" t="s">
        <v>358</v>
      </c>
      <c r="BL174" s="30" t="s">
        <v>518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75" spans="1:66" ht="16" customHeight="1" x14ac:dyDescent="0.2">
      <c r="A175" s="30">
        <v>1659</v>
      </c>
      <c r="B175" s="30" t="s">
        <v>26</v>
      </c>
      <c r="C175" s="30" t="s">
        <v>377</v>
      </c>
      <c r="D175" s="30" t="s">
        <v>137</v>
      </c>
      <c r="E175" s="30" t="s">
        <v>305</v>
      </c>
      <c r="F175" s="36" t="str">
        <f>IF(ISBLANK(Table2[[#This Row],[unique_id]]), "", PROPER(SUBSTITUTE(Table2[[#This Row],[unique_id]], "_", " ")))</f>
        <v>Ensuite Main</v>
      </c>
      <c r="G175" s="30" t="s">
        <v>197</v>
      </c>
      <c r="H175" s="30" t="s">
        <v>139</v>
      </c>
      <c r="I175" s="30" t="s">
        <v>132</v>
      </c>
      <c r="J175" s="30" t="s">
        <v>723</v>
      </c>
      <c r="K175" s="30" t="s">
        <v>884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112</v>
      </c>
      <c r="Y175" s="42" t="s">
        <v>758</v>
      </c>
      <c r="Z175" s="42" t="s">
        <v>973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Ensuite</v>
      </c>
      <c r="BA175" s="30" t="str">
        <f>IF(ISBLANK(Table2[[#This Row],[device_model]]), "", Table2[[#This Row],[device_suggested_area]])</f>
        <v>Ensuite</v>
      </c>
      <c r="BB175" s="30" t="s">
        <v>997</v>
      </c>
      <c r="BC175" s="30" t="s">
        <v>565</v>
      </c>
      <c r="BD175" s="30" t="s">
        <v>377</v>
      </c>
      <c r="BE175" s="30" t="s">
        <v>1457</v>
      </c>
      <c r="BF175" s="30" t="s">
        <v>562</v>
      </c>
      <c r="BG175" s="30" t="s">
        <v>394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1660</v>
      </c>
      <c r="B176" s="30" t="s">
        <v>26</v>
      </c>
      <c r="C176" s="30" t="s">
        <v>377</v>
      </c>
      <c r="D176" s="30" t="s">
        <v>137</v>
      </c>
      <c r="E176" s="30" t="s">
        <v>953</v>
      </c>
      <c r="F176" s="36" t="str">
        <f>IF(ISBLANK(Table2[[#This Row],[unique_id]]), "", PROPER(SUBSTITUTE(Table2[[#This Row],[unique_id]], "_", " ")))</f>
        <v>Ensuite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Ensuite Lights</v>
      </c>
      <c r="T176" s="37"/>
      <c r="U176" s="30"/>
      <c r="V176" s="31"/>
      <c r="W176" s="31" t="s">
        <v>489</v>
      </c>
      <c r="X176" s="47">
        <v>112</v>
      </c>
      <c r="Y176" s="42" t="s">
        <v>756</v>
      </c>
      <c r="Z176" s="42" t="s">
        <v>973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Ensuite</v>
      </c>
      <c r="BA176" s="30" t="str">
        <f>IF(ISBLANK(Table2[[#This Row],[device_model]]), "", Table2[[#This Row],[device_suggested_area]])</f>
        <v>Ensuite</v>
      </c>
      <c r="BB176" s="30" t="s">
        <v>998</v>
      </c>
      <c r="BC176" s="30" t="s">
        <v>565</v>
      </c>
      <c r="BD176" s="30" t="s">
        <v>377</v>
      </c>
      <c r="BE176" s="30" t="s">
        <v>1457</v>
      </c>
      <c r="BF176" s="30" t="s">
        <v>562</v>
      </c>
      <c r="BG176" s="30" t="s">
        <v>394</v>
      </c>
      <c r="BL176" s="30" t="s">
        <v>519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77" spans="1:66" ht="16" customHeight="1" x14ac:dyDescent="0.2">
      <c r="A177" s="30">
        <v>1665</v>
      </c>
      <c r="B177" s="30" t="s">
        <v>26</v>
      </c>
      <c r="C177" s="30" t="s">
        <v>377</v>
      </c>
      <c r="D177" s="30" t="s">
        <v>137</v>
      </c>
      <c r="E177" s="30" t="s">
        <v>306</v>
      </c>
      <c r="F177" s="36" t="str">
        <f>IF(ISBLANK(Table2[[#This Row],[unique_id]]), "", PROPER(SUBSTITUTE(Table2[[#This Row],[unique_id]], "_", " ")))</f>
        <v>Wardrobe Main</v>
      </c>
      <c r="G177" s="30" t="s">
        <v>201</v>
      </c>
      <c r="H177" s="30" t="s">
        <v>139</v>
      </c>
      <c r="I177" s="30" t="s">
        <v>132</v>
      </c>
      <c r="J177" s="30" t="s">
        <v>723</v>
      </c>
      <c r="K177" s="39" t="s">
        <v>881</v>
      </c>
      <c r="M177" s="30" t="s">
        <v>136</v>
      </c>
      <c r="O177" s="31"/>
      <c r="P177" s="30"/>
      <c r="T177" s="37"/>
      <c r="U177" s="30"/>
      <c r="V177" s="31"/>
      <c r="W177" s="31" t="s">
        <v>490</v>
      </c>
      <c r="X177" s="47">
        <v>113</v>
      </c>
      <c r="Y177" s="42" t="s">
        <v>758</v>
      </c>
      <c r="Z177" s="42" t="s">
        <v>972</v>
      </c>
      <c r="AA177" s="42"/>
      <c r="AB177" s="30"/>
      <c r="AC177" s="30"/>
      <c r="AE177" s="30" t="s">
        <v>292</v>
      </c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Wardrobe</v>
      </c>
      <c r="BA177" s="30" t="str">
        <f>IF(ISBLANK(Table2[[#This Row],[device_model]]), "", Table2[[#This Row],[device_suggested_area]])</f>
        <v>Wardrobe</v>
      </c>
      <c r="BB177" s="30" t="s">
        <v>997</v>
      </c>
      <c r="BC177" s="30" t="s">
        <v>565</v>
      </c>
      <c r="BD177" s="30" t="s">
        <v>377</v>
      </c>
      <c r="BE177" s="30" t="s">
        <v>1457</v>
      </c>
      <c r="BF177" s="30" t="s">
        <v>562</v>
      </c>
      <c r="BG177" s="30" t="s">
        <v>495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8" spans="1:66" ht="16" customHeight="1" x14ac:dyDescent="0.2">
      <c r="A178" s="30">
        <v>1666</v>
      </c>
      <c r="B178" s="30" t="s">
        <v>26</v>
      </c>
      <c r="C178" s="30" t="s">
        <v>377</v>
      </c>
      <c r="D178" s="30" t="s">
        <v>137</v>
      </c>
      <c r="E178" s="30" t="s">
        <v>954</v>
      </c>
      <c r="F178" s="36" t="str">
        <f>IF(ISBLANK(Table2[[#This Row],[unique_id]]), "", PROPER(SUBSTITUTE(Table2[[#This Row],[unique_id]], "_", " ")))</f>
        <v>Wardrobe Main Bulb 1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Wardrobe Lights</v>
      </c>
      <c r="T178" s="37"/>
      <c r="U178" s="30"/>
      <c r="V178" s="31"/>
      <c r="W178" s="31" t="s">
        <v>489</v>
      </c>
      <c r="X178" s="47">
        <v>113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Wardrobe</v>
      </c>
      <c r="BA178" s="30" t="str">
        <f>IF(ISBLANK(Table2[[#This Row],[device_model]]), "", Table2[[#This Row],[device_suggested_area]])</f>
        <v>Wardrobe</v>
      </c>
      <c r="BB178" s="30" t="s">
        <v>998</v>
      </c>
      <c r="BC178" s="30" t="s">
        <v>565</v>
      </c>
      <c r="BD178" s="30" t="s">
        <v>377</v>
      </c>
      <c r="BE178" s="30" t="s">
        <v>1457</v>
      </c>
      <c r="BF178" s="30" t="s">
        <v>562</v>
      </c>
      <c r="BG178" s="30" t="s">
        <v>495</v>
      </c>
      <c r="BL178" s="30" t="s">
        <v>520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179" spans="1:66" ht="16" customHeight="1" x14ac:dyDescent="0.2">
      <c r="A179" s="64">
        <v>1628</v>
      </c>
      <c r="B179" s="64" t="s">
        <v>26</v>
      </c>
      <c r="C179" s="64" t="s">
        <v>377</v>
      </c>
      <c r="D179" s="64" t="s">
        <v>137</v>
      </c>
      <c r="E179" s="64" t="s">
        <v>555</v>
      </c>
      <c r="F179" s="67" t="str">
        <f>IF(ISBLANK(Table2[[#This Row],[unique_id]]), "", PROPER(SUBSTITUTE(Table2[[#This Row],[unique_id]], "_", " ")))</f>
        <v>Lounge Lamp</v>
      </c>
      <c r="G179" s="64" t="s">
        <v>556</v>
      </c>
      <c r="H179" s="64" t="s">
        <v>139</v>
      </c>
      <c r="I179" s="64" t="s">
        <v>132</v>
      </c>
      <c r="J179" s="64" t="s">
        <v>523</v>
      </c>
      <c r="K179" s="64" t="s">
        <v>885</v>
      </c>
      <c r="L179" s="64"/>
      <c r="M179" s="64" t="s">
        <v>136</v>
      </c>
      <c r="N179" s="64"/>
      <c r="O179" s="65"/>
      <c r="P179" s="64"/>
      <c r="Q179" s="64"/>
      <c r="R179" s="64"/>
      <c r="S179" s="64"/>
      <c r="T179" s="66"/>
      <c r="U179" s="64"/>
      <c r="V179" s="65"/>
      <c r="W179" s="65" t="s">
        <v>490</v>
      </c>
      <c r="X179" s="68">
        <v>123</v>
      </c>
      <c r="Y179" s="69" t="s">
        <v>758</v>
      </c>
      <c r="Z179" s="69" t="s">
        <v>972</v>
      </c>
      <c r="AA179" s="69"/>
      <c r="AB179" s="64"/>
      <c r="AC179" s="64"/>
      <c r="AD179" s="64"/>
      <c r="AE179" s="64" t="s">
        <v>292</v>
      </c>
      <c r="AF179" s="64"/>
      <c r="AG179" s="65"/>
      <c r="AH179" s="65"/>
      <c r="AI179" s="64"/>
      <c r="AJ179" s="64"/>
      <c r="AK179" s="64"/>
      <c r="AL179" s="64"/>
      <c r="AM179" s="64"/>
      <c r="AN179" s="64"/>
      <c r="AO179" s="64"/>
      <c r="AP179" s="64"/>
      <c r="AQ179" s="64"/>
      <c r="AR179" s="64"/>
      <c r="AS179" s="64"/>
      <c r="AT179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79" s="64"/>
      <c r="AV179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79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79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64" t="str">
        <f>Table2[[#This Row],[device_suggested_area]]</f>
        <v>Lounge</v>
      </c>
      <c r="BA179" s="64" t="str">
        <f>IF(ISBLANK(Table2[[#This Row],[device_model]]), "", Table2[[#This Row],[device_suggested_area]])</f>
        <v>Lounge</v>
      </c>
      <c r="BB179" s="64" t="s">
        <v>523</v>
      </c>
      <c r="BC179" s="64" t="s">
        <v>1557</v>
      </c>
      <c r="BD179" s="64" t="s">
        <v>377</v>
      </c>
      <c r="BE179" s="64" t="s">
        <v>1457</v>
      </c>
      <c r="BF179" s="64" t="s">
        <v>488</v>
      </c>
      <c r="BG179" s="64" t="s">
        <v>194</v>
      </c>
      <c r="BH179" s="64"/>
      <c r="BI179" s="64" t="s">
        <v>687</v>
      </c>
      <c r="BJ179" s="64"/>
      <c r="BK179" s="64"/>
      <c r="BL179" s="64"/>
      <c r="BM179" s="64"/>
      <c r="BN179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1263</v>
      </c>
      <c r="F180" s="36" t="str">
        <f>IF(ISBLANK(Table2[[#This Row],[unique_id]]), "", PROPER(SUBSTITUTE(Table2[[#This Row],[unique_id]], "_", " ")))</f>
        <v>Kitchen Bench Lights Plug</v>
      </c>
      <c r="G180" s="30" t="s">
        <v>1264</v>
      </c>
      <c r="H180" s="30" t="s">
        <v>139</v>
      </c>
      <c r="I180" s="30" t="s">
        <v>132</v>
      </c>
      <c r="J180" s="30" t="s">
        <v>1266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1265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1296</v>
      </c>
      <c r="BL180" s="30" t="s">
        <v>919</v>
      </c>
      <c r="BM180" s="30" t="s">
        <v>1322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64">
        <v>1629</v>
      </c>
      <c r="B181" s="64" t="s">
        <v>26</v>
      </c>
      <c r="C181" s="64" t="s">
        <v>377</v>
      </c>
      <c r="D181" s="64" t="s">
        <v>137</v>
      </c>
      <c r="E181" s="64" t="s">
        <v>940</v>
      </c>
      <c r="F181" s="67" t="str">
        <f>IF(ISBLANK(Table2[[#This Row],[unique_id]]), "", PROPER(SUBSTITUTE(Table2[[#This Row],[unique_id]], "_", " ")))</f>
        <v>Lounge Lamp Bulb 1</v>
      </c>
      <c r="G181" s="64"/>
      <c r="H181" s="64" t="s">
        <v>139</v>
      </c>
      <c r="I181" s="64"/>
      <c r="J181" s="64"/>
      <c r="K181" s="64"/>
      <c r="L181" s="64"/>
      <c r="M181" s="64"/>
      <c r="N181" s="64"/>
      <c r="O181" s="65" t="s">
        <v>788</v>
      </c>
      <c r="P181" s="64" t="s">
        <v>165</v>
      </c>
      <c r="Q181" s="64" t="s">
        <v>760</v>
      </c>
      <c r="R181" s="64" t="str">
        <f>Table2[[#This Row],[entity_domain]]</f>
        <v>Lights</v>
      </c>
      <c r="S181" s="64" t="str">
        <f>_xlfn.CONCAT( Table2[[#This Row],[device_suggested_area]], " ",Table2[[#This Row],[powercalc_group_3]])</f>
        <v>Lounge Lights</v>
      </c>
      <c r="T181" s="66"/>
      <c r="U181" s="64"/>
      <c r="V181" s="65"/>
      <c r="W181" s="65" t="s">
        <v>489</v>
      </c>
      <c r="X181" s="68">
        <v>123</v>
      </c>
      <c r="Y181" s="69" t="s">
        <v>756</v>
      </c>
      <c r="Z181" s="69" t="s">
        <v>1397</v>
      </c>
      <c r="AA181" s="69"/>
      <c r="AB181" s="64"/>
      <c r="AC181" s="64"/>
      <c r="AD181" s="64"/>
      <c r="AE181" s="64"/>
      <c r="AF181" s="64"/>
      <c r="AG181" s="65"/>
      <c r="AH181" s="65"/>
      <c r="AI181" s="64"/>
      <c r="AJ181" s="64"/>
      <c r="AK181" s="64"/>
      <c r="AL181" s="64"/>
      <c r="AM181" s="64"/>
      <c r="AN181" s="64"/>
      <c r="AO181" s="64"/>
      <c r="AP181" s="64"/>
      <c r="AQ181" s="64"/>
      <c r="AR181" s="64"/>
      <c r="AS181" s="64"/>
      <c r="AT181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81" s="64"/>
      <c r="AV18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8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8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64" t="str">
        <f>Table2[[#This Row],[device_suggested_area]]</f>
        <v>Lounge</v>
      </c>
      <c r="BA181" s="64" t="str">
        <f>IF(ISBLANK(Table2[[#This Row],[device_model]]), "", Table2[[#This Row],[device_suggested_area]])</f>
        <v>Lounge</v>
      </c>
      <c r="BB181" s="64" t="s">
        <v>995</v>
      </c>
      <c r="BC181" s="64" t="s">
        <v>1557</v>
      </c>
      <c r="BD181" s="64" t="s">
        <v>377</v>
      </c>
      <c r="BE181" s="64" t="s">
        <v>1457</v>
      </c>
      <c r="BF181" s="64" t="s">
        <v>488</v>
      </c>
      <c r="BG181" s="64" t="s">
        <v>194</v>
      </c>
      <c r="BH181" s="64"/>
      <c r="BI181" s="64" t="s">
        <v>687</v>
      </c>
      <c r="BJ181" s="64"/>
      <c r="BK181" s="64"/>
      <c r="BL181" s="64" t="s">
        <v>1555</v>
      </c>
      <c r="BM181" s="64"/>
      <c r="BN18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82" spans="1:66" ht="16" customHeight="1" x14ac:dyDescent="0.2">
      <c r="A182" s="64">
        <v>1630</v>
      </c>
      <c r="B182" s="64" t="s">
        <v>26</v>
      </c>
      <c r="C182" s="64" t="s">
        <v>377</v>
      </c>
      <c r="D182" s="64" t="s">
        <v>137</v>
      </c>
      <c r="E182" s="64" t="s">
        <v>1549</v>
      </c>
      <c r="F182" s="67" t="str">
        <f>IF(ISBLANK(Table2[[#This Row],[unique_id]]), "", PROPER(SUBSTITUTE(Table2[[#This Row],[unique_id]], "_", " ")))</f>
        <v>Lounge Reading</v>
      </c>
      <c r="G182" s="64" t="s">
        <v>1551</v>
      </c>
      <c r="H182" s="64" t="s">
        <v>139</v>
      </c>
      <c r="I182" s="64" t="s">
        <v>132</v>
      </c>
      <c r="J182" s="64" t="s">
        <v>523</v>
      </c>
      <c r="K182" s="64" t="s">
        <v>885</v>
      </c>
      <c r="L182" s="64"/>
      <c r="M182" s="64" t="s">
        <v>136</v>
      </c>
      <c r="N182" s="64"/>
      <c r="O182" s="65"/>
      <c r="P182" s="64"/>
      <c r="Q182" s="64"/>
      <c r="R182" s="64"/>
      <c r="S182" s="64"/>
      <c r="T182" s="66"/>
      <c r="U182" s="64"/>
      <c r="V182" s="65"/>
      <c r="W182" s="65" t="s">
        <v>490</v>
      </c>
      <c r="X182" s="68">
        <v>114</v>
      </c>
      <c r="Y182" s="69" t="s">
        <v>758</v>
      </c>
      <c r="Z182" s="69" t="s">
        <v>972</v>
      </c>
      <c r="AA182" s="69"/>
      <c r="AB182" s="64"/>
      <c r="AC182" s="64"/>
      <c r="AD182" s="64"/>
      <c r="AE182" s="64" t="s">
        <v>292</v>
      </c>
      <c r="AF182" s="64"/>
      <c r="AG182" s="65"/>
      <c r="AH182" s="65"/>
      <c r="AI182" s="64"/>
      <c r="AJ182" s="64"/>
      <c r="AK182" s="64"/>
      <c r="AL182" s="64"/>
      <c r="AM182" s="64"/>
      <c r="AN182" s="64"/>
      <c r="AO182" s="64"/>
      <c r="AP182" s="64"/>
      <c r="AQ182" s="64"/>
      <c r="AR182" s="64"/>
      <c r="AS182" s="64"/>
      <c r="AT182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82" s="64"/>
      <c r="AV18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8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8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64" t="str">
        <f>Table2[[#This Row],[device_suggested_area]]</f>
        <v>Lounge</v>
      </c>
      <c r="BA182" s="64" t="str">
        <f>IF(ISBLANK(Table2[[#This Row],[device_model]]), "", Table2[[#This Row],[device_suggested_area]])</f>
        <v>Lounge</v>
      </c>
      <c r="BB182" s="64" t="s">
        <v>1553</v>
      </c>
      <c r="BC182" s="64" t="s">
        <v>1556</v>
      </c>
      <c r="BD182" s="64" t="s">
        <v>377</v>
      </c>
      <c r="BE182" s="64" t="s">
        <v>1457</v>
      </c>
      <c r="BF182" s="64" t="s">
        <v>488</v>
      </c>
      <c r="BG182" s="64" t="s">
        <v>194</v>
      </c>
      <c r="BH182" s="64"/>
      <c r="BI182" s="64" t="s">
        <v>687</v>
      </c>
      <c r="BJ182" s="64"/>
      <c r="BK182" s="64"/>
      <c r="BL182" s="64"/>
      <c r="BM182" s="64"/>
      <c r="BN18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3" spans="1:66" ht="16" customHeight="1" x14ac:dyDescent="0.2">
      <c r="A183" s="64">
        <v>1631</v>
      </c>
      <c r="B183" s="64" t="s">
        <v>26</v>
      </c>
      <c r="C183" s="64" t="s">
        <v>377</v>
      </c>
      <c r="D183" s="64" t="s">
        <v>137</v>
      </c>
      <c r="E183" s="64" t="s">
        <v>1550</v>
      </c>
      <c r="F183" s="67" t="str">
        <f>IF(ISBLANK(Table2[[#This Row],[unique_id]]), "", PROPER(SUBSTITUTE(Table2[[#This Row],[unique_id]], "_", " ")))</f>
        <v>Lounge Reading Bulb 1</v>
      </c>
      <c r="G183" s="64"/>
      <c r="H183" s="64" t="s">
        <v>139</v>
      </c>
      <c r="I183" s="64"/>
      <c r="J183" s="64"/>
      <c r="K183" s="64"/>
      <c r="L183" s="64"/>
      <c r="M183" s="64"/>
      <c r="N183" s="64"/>
      <c r="O183" s="65" t="s">
        <v>788</v>
      </c>
      <c r="P183" s="64" t="s">
        <v>165</v>
      </c>
      <c r="Q183" s="64" t="s">
        <v>760</v>
      </c>
      <c r="R183" s="64" t="str">
        <f>Table2[[#This Row],[entity_domain]]</f>
        <v>Lights</v>
      </c>
      <c r="S183" s="64" t="str">
        <f>_xlfn.CONCAT( Table2[[#This Row],[device_suggested_area]], " ",Table2[[#This Row],[powercalc_group_3]])</f>
        <v>Lounge Lights</v>
      </c>
      <c r="T183" s="66"/>
      <c r="U183" s="64"/>
      <c r="V183" s="65"/>
      <c r="W183" s="65" t="s">
        <v>489</v>
      </c>
      <c r="X183" s="68">
        <v>114</v>
      </c>
      <c r="Y183" s="69" t="s">
        <v>756</v>
      </c>
      <c r="Z183" s="69" t="s">
        <v>1397</v>
      </c>
      <c r="AA183" s="69"/>
      <c r="AB183" s="64"/>
      <c r="AC183" s="64"/>
      <c r="AD183" s="64"/>
      <c r="AE183" s="64"/>
      <c r="AF183" s="64"/>
      <c r="AG183" s="65"/>
      <c r="AH183" s="65"/>
      <c r="AI183" s="64"/>
      <c r="AJ183" s="64"/>
      <c r="AK183" s="64"/>
      <c r="AL183" s="64"/>
      <c r="AM183" s="64"/>
      <c r="AN183" s="64"/>
      <c r="AO183" s="64"/>
      <c r="AP183" s="64"/>
      <c r="AQ183" s="64"/>
      <c r="AR183" s="64"/>
      <c r="AS183" s="64"/>
      <c r="AT183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83" s="64"/>
      <c r="AV18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8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8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64" t="str">
        <f>Table2[[#This Row],[device_suggested_area]]</f>
        <v>Lounge</v>
      </c>
      <c r="BA183" s="64" t="str">
        <f>IF(ISBLANK(Table2[[#This Row],[device_model]]), "", Table2[[#This Row],[device_suggested_area]])</f>
        <v>Lounge</v>
      </c>
      <c r="BB183" s="64" t="s">
        <v>1554</v>
      </c>
      <c r="BC183" s="64" t="s">
        <v>1556</v>
      </c>
      <c r="BD183" s="64" t="s">
        <v>377</v>
      </c>
      <c r="BE183" s="64" t="s">
        <v>1457</v>
      </c>
      <c r="BF183" s="64" t="s">
        <v>488</v>
      </c>
      <c r="BG183" s="64" t="s">
        <v>194</v>
      </c>
      <c r="BH183" s="64"/>
      <c r="BI183" s="64" t="s">
        <v>687</v>
      </c>
      <c r="BJ183" s="64"/>
      <c r="BK183" s="64"/>
      <c r="BL183" s="64" t="s">
        <v>557</v>
      </c>
      <c r="BM183" s="64"/>
      <c r="BN18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84" spans="1:66" ht="16" customHeight="1" x14ac:dyDescent="0.2">
      <c r="A184" s="30">
        <v>1676</v>
      </c>
      <c r="B184" s="30" t="s">
        <v>579</v>
      </c>
      <c r="C184" s="30" t="s">
        <v>377</v>
      </c>
      <c r="D184" s="30" t="s">
        <v>137</v>
      </c>
      <c r="E184" s="30" t="s">
        <v>574</v>
      </c>
      <c r="F184" s="36" t="str">
        <f>IF(ISBLANK(Table2[[#This Row],[unique_id]]), "", PROPER(SUBSTITUTE(Table2[[#This Row],[unique_id]], "_", " ")))</f>
        <v>Garden Pedestals</v>
      </c>
      <c r="G184" s="30" t="s">
        <v>575</v>
      </c>
      <c r="H184" s="30" t="s">
        <v>139</v>
      </c>
      <c r="I184" s="30" t="s">
        <v>132</v>
      </c>
      <c r="J184" s="30" t="s">
        <v>726</v>
      </c>
      <c r="O184" s="31"/>
      <c r="P184" s="30"/>
      <c r="T184" s="37"/>
      <c r="U184" s="30"/>
      <c r="V184" s="31"/>
      <c r="W184" s="31" t="s">
        <v>490</v>
      </c>
      <c r="X184" s="47">
        <v>115</v>
      </c>
      <c r="Y184" s="42" t="s">
        <v>759</v>
      </c>
      <c r="Z184" s="42"/>
      <c r="AA184" s="42"/>
      <c r="AB184" s="30"/>
      <c r="AC184" s="30"/>
      <c r="AE184" s="30" t="s">
        <v>292</v>
      </c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Garden</v>
      </c>
      <c r="BA184" s="30" t="str">
        <f>IF(ISBLANK(Table2[[#This Row],[device_model]]), "", Table2[[#This Row],[device_suggested_area]])</f>
        <v>Garden</v>
      </c>
      <c r="BB184" s="30" t="s">
        <v>726</v>
      </c>
      <c r="BC184" s="30" t="s">
        <v>566</v>
      </c>
      <c r="BD184" s="30" t="s">
        <v>377</v>
      </c>
      <c r="BE184" s="30" t="s">
        <v>1457</v>
      </c>
      <c r="BF184" s="30" t="s">
        <v>564</v>
      </c>
      <c r="BG184" s="30" t="s">
        <v>576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5" spans="1:66" ht="16" customHeight="1" x14ac:dyDescent="0.2">
      <c r="A185" s="30">
        <v>1677</v>
      </c>
      <c r="B185" s="30" t="s">
        <v>579</v>
      </c>
      <c r="C185" s="30" t="s">
        <v>377</v>
      </c>
      <c r="D185" s="30" t="s">
        <v>137</v>
      </c>
      <c r="E185" s="30" t="s">
        <v>957</v>
      </c>
      <c r="F185" s="36" t="str">
        <f>IF(ISBLANK(Table2[[#This Row],[unique_id]]), "", PROPER(SUBSTITUTE(Table2[[#This Row],[unique_id]], "_", " ")))</f>
        <v>Garden Pedestals Bulb 1</v>
      </c>
      <c r="H185" s="30" t="s">
        <v>139</v>
      </c>
      <c r="O185" s="31"/>
      <c r="P185" s="30" t="s">
        <v>165</v>
      </c>
      <c r="Q185" s="30" t="s">
        <v>760</v>
      </c>
      <c r="R185" s="30" t="str">
        <f>Table2[[#This Row],[entity_domain]]</f>
        <v>Lights</v>
      </c>
      <c r="S185" s="30" t="str">
        <f>_xlfn.CONCAT( Table2[[#This Row],[device_suggested_area]], " ",Table2[[#This Row],[powercalc_group_3]])</f>
        <v>Garden Lights</v>
      </c>
      <c r="T185" s="37"/>
      <c r="U185" s="30"/>
      <c r="V185" s="31"/>
      <c r="W185" s="31" t="s">
        <v>489</v>
      </c>
      <c r="X185" s="47">
        <v>115</v>
      </c>
      <c r="Y185" s="42" t="s">
        <v>756</v>
      </c>
      <c r="Z185" s="42"/>
      <c r="AA185" s="42"/>
      <c r="AB185" s="30"/>
      <c r="AC185" s="30"/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Garden</v>
      </c>
      <c r="BA185" s="30" t="str">
        <f>IF(ISBLANK(Table2[[#This Row],[device_model]]), "", Table2[[#This Row],[device_suggested_area]])</f>
        <v>Garden</v>
      </c>
      <c r="BB185" s="30" t="s">
        <v>1004</v>
      </c>
      <c r="BC185" s="30" t="s">
        <v>566</v>
      </c>
      <c r="BD185" s="30" t="s">
        <v>377</v>
      </c>
      <c r="BE185" s="30" t="s">
        <v>1457</v>
      </c>
      <c r="BF185" s="30" t="s">
        <v>564</v>
      </c>
      <c r="BG185" s="30" t="s">
        <v>576</v>
      </c>
      <c r="BL185" s="30" t="s">
        <v>563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186" spans="1:66" ht="16" customHeight="1" x14ac:dyDescent="0.2">
      <c r="A186" s="30">
        <v>1678</v>
      </c>
      <c r="B186" s="30" t="s">
        <v>579</v>
      </c>
      <c r="C186" s="30" t="s">
        <v>377</v>
      </c>
      <c r="D186" s="30" t="s">
        <v>137</v>
      </c>
      <c r="E186" s="30" t="s">
        <v>958</v>
      </c>
      <c r="F186" s="36" t="str">
        <f>IF(ISBLANK(Table2[[#This Row],[unique_id]]), "", PROPER(SUBSTITUTE(Table2[[#This Row],[unique_id]], "_", " ")))</f>
        <v>Garden Pedestals Bulb 2</v>
      </c>
      <c r="H186" s="30" t="s">
        <v>139</v>
      </c>
      <c r="O186" s="31"/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Garden Lights</v>
      </c>
      <c r="T186" s="37"/>
      <c r="U186" s="30"/>
      <c r="V186" s="31"/>
      <c r="W186" s="31" t="s">
        <v>489</v>
      </c>
      <c r="X186" s="47">
        <v>115</v>
      </c>
      <c r="Y186" s="42" t="s">
        <v>756</v>
      </c>
      <c r="Z186" s="42"/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Garden</v>
      </c>
      <c r="BA186" s="30" t="str">
        <f>IF(ISBLANK(Table2[[#This Row],[device_model]]), "", Table2[[#This Row],[device_suggested_area]])</f>
        <v>Garden</v>
      </c>
      <c r="BB186" s="30" t="s">
        <v>1005</v>
      </c>
      <c r="BC186" s="30" t="s">
        <v>566</v>
      </c>
      <c r="BD186" s="30" t="s">
        <v>377</v>
      </c>
      <c r="BE186" s="30" t="s">
        <v>1457</v>
      </c>
      <c r="BF186" s="30" t="s">
        <v>564</v>
      </c>
      <c r="BG186" s="30" t="s">
        <v>576</v>
      </c>
      <c r="BL186" s="30" t="s">
        <v>567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187" spans="1:66" ht="16" customHeight="1" x14ac:dyDescent="0.2">
      <c r="A187" s="30">
        <v>1679</v>
      </c>
      <c r="B187" s="30" t="s">
        <v>579</v>
      </c>
      <c r="C187" s="30" t="s">
        <v>377</v>
      </c>
      <c r="D187" s="30" t="s">
        <v>137</v>
      </c>
      <c r="E187" s="30" t="s">
        <v>959</v>
      </c>
      <c r="F187" s="36" t="str">
        <f>IF(ISBLANK(Table2[[#This Row],[unique_id]]), "", PROPER(SUBSTITUTE(Table2[[#This Row],[unique_id]], "_", " ")))</f>
        <v>Garden Pedestals Bulb 3</v>
      </c>
      <c r="H187" s="30" t="s">
        <v>139</v>
      </c>
      <c r="O187" s="31"/>
      <c r="P187" s="30" t="s">
        <v>165</v>
      </c>
      <c r="Q187" s="30" t="s">
        <v>760</v>
      </c>
      <c r="R187" s="30" t="str">
        <f>Table2[[#This Row],[entity_domain]]</f>
        <v>Lights</v>
      </c>
      <c r="S187" s="30" t="str">
        <f>_xlfn.CONCAT( Table2[[#This Row],[device_suggested_area]], " ",Table2[[#This Row],[powercalc_group_3]])</f>
        <v>Garden Lights</v>
      </c>
      <c r="T187" s="37"/>
      <c r="U187" s="30"/>
      <c r="V187" s="31"/>
      <c r="W187" s="31" t="s">
        <v>489</v>
      </c>
      <c r="X187" s="47">
        <v>115</v>
      </c>
      <c r="Y187" s="42" t="s">
        <v>756</v>
      </c>
      <c r="Z187" s="42"/>
      <c r="AA187" s="42"/>
      <c r="AB187" s="30"/>
      <c r="AC187" s="30"/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Garden</v>
      </c>
      <c r="BA187" s="30" t="str">
        <f>IF(ISBLANK(Table2[[#This Row],[device_model]]), "", Table2[[#This Row],[device_suggested_area]])</f>
        <v>Garden</v>
      </c>
      <c r="BB187" s="30" t="s">
        <v>1006</v>
      </c>
      <c r="BC187" s="30" t="s">
        <v>566</v>
      </c>
      <c r="BD187" s="30" t="s">
        <v>377</v>
      </c>
      <c r="BE187" s="30" t="s">
        <v>1457</v>
      </c>
      <c r="BF187" s="30" t="s">
        <v>564</v>
      </c>
      <c r="BG187" s="30" t="s">
        <v>576</v>
      </c>
      <c r="BL187" s="30" t="s">
        <v>568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188" spans="1:66" ht="16" customHeight="1" x14ac:dyDescent="0.2">
      <c r="A188" s="30">
        <v>1680</v>
      </c>
      <c r="B188" s="30" t="s">
        <v>579</v>
      </c>
      <c r="C188" s="30" t="s">
        <v>377</v>
      </c>
      <c r="D188" s="30" t="s">
        <v>137</v>
      </c>
      <c r="E188" s="30" t="s">
        <v>960</v>
      </c>
      <c r="F188" s="36" t="str">
        <f>IF(ISBLANK(Table2[[#This Row],[unique_id]]), "", PROPER(SUBSTITUTE(Table2[[#This Row],[unique_id]], "_", " ")))</f>
        <v>Garden Pedestals Bulb 4</v>
      </c>
      <c r="H188" s="30" t="s">
        <v>139</v>
      </c>
      <c r="O188" s="31"/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Garden Lights</v>
      </c>
      <c r="T188" s="37"/>
      <c r="U188" s="30"/>
      <c r="V188" s="31"/>
      <c r="W188" s="31" t="s">
        <v>489</v>
      </c>
      <c r="X188" s="47">
        <v>115</v>
      </c>
      <c r="Y188" s="42" t="s">
        <v>756</v>
      </c>
      <c r="Z188" s="42"/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Garden</v>
      </c>
      <c r="BA188" s="30" t="str">
        <f>IF(ISBLANK(Table2[[#This Row],[device_model]]), "", Table2[[#This Row],[device_suggested_area]])</f>
        <v>Garden</v>
      </c>
      <c r="BB188" s="30" t="s">
        <v>1007</v>
      </c>
      <c r="BC188" s="30" t="s">
        <v>566</v>
      </c>
      <c r="BD188" s="30" t="s">
        <v>377</v>
      </c>
      <c r="BE188" s="30" t="s">
        <v>1457</v>
      </c>
      <c r="BF188" s="30" t="s">
        <v>564</v>
      </c>
      <c r="BG188" s="30" t="s">
        <v>576</v>
      </c>
      <c r="BL188" s="30" t="s">
        <v>569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189" spans="1:66" ht="16" customHeight="1" x14ac:dyDescent="0.2">
      <c r="A189" s="30">
        <v>1681</v>
      </c>
      <c r="B189" s="30" t="s">
        <v>579</v>
      </c>
      <c r="C189" s="30" t="s">
        <v>377</v>
      </c>
      <c r="D189" s="30" t="s">
        <v>137</v>
      </c>
      <c r="F189" s="36" t="str">
        <f>IF(ISBLANK(Table2[[#This Row],[unique_id]]), "", PROPER(SUBSTITUTE(Table2[[#This Row],[unique_id]], "_", " ")))</f>
        <v/>
      </c>
      <c r="O189" s="31"/>
      <c r="P189" s="30"/>
      <c r="T189" s="37"/>
      <c r="U189" s="30"/>
      <c r="V189" s="31"/>
      <c r="W189" s="31" t="s">
        <v>489</v>
      </c>
      <c r="X189" s="47">
        <v>115</v>
      </c>
      <c r="Y189" s="42" t="s">
        <v>756</v>
      </c>
      <c r="Z189" s="42" t="s">
        <v>976</v>
      </c>
      <c r="AA189" s="42"/>
      <c r="AB189" s="30"/>
      <c r="AC189" s="30"/>
      <c r="AG189" s="31"/>
      <c r="AH189" s="31"/>
      <c r="AT1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Garden</v>
      </c>
      <c r="BA189" s="30" t="str">
        <f>IF(ISBLANK(Table2[[#This Row],[device_model]]), "", Table2[[#This Row],[device_suggested_area]])</f>
        <v>Garden</v>
      </c>
      <c r="BB189" s="30" t="s">
        <v>1008</v>
      </c>
      <c r="BC189" s="30" t="s">
        <v>566</v>
      </c>
      <c r="BD189" s="30" t="s">
        <v>377</v>
      </c>
      <c r="BE189" s="30" t="s">
        <v>1457</v>
      </c>
      <c r="BF189" s="30" t="s">
        <v>564</v>
      </c>
      <c r="BG189" s="30" t="s">
        <v>576</v>
      </c>
      <c r="BL189" s="30" t="s">
        <v>1054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190" spans="1:66" ht="16" customHeight="1" x14ac:dyDescent="0.2">
      <c r="A190" s="30">
        <v>1682</v>
      </c>
      <c r="B190" s="30" t="s">
        <v>579</v>
      </c>
      <c r="C190" s="30" t="s">
        <v>377</v>
      </c>
      <c r="D190" s="30" t="s">
        <v>137</v>
      </c>
      <c r="F190" s="36" t="str">
        <f>IF(ISBLANK(Table2[[#This Row],[unique_id]]), "", PROPER(SUBSTITUTE(Table2[[#This Row],[unique_id]], "_", " ")))</f>
        <v/>
      </c>
      <c r="O190" s="31"/>
      <c r="P190" s="30"/>
      <c r="T190" s="37"/>
      <c r="U190" s="30"/>
      <c r="V190" s="31"/>
      <c r="W190" s="31" t="s">
        <v>489</v>
      </c>
      <c r="X190" s="47">
        <v>115</v>
      </c>
      <c r="Y190" s="42" t="s">
        <v>756</v>
      </c>
      <c r="Z190" s="42" t="s">
        <v>976</v>
      </c>
      <c r="AA190" s="42"/>
      <c r="AB190" s="30"/>
      <c r="AC190" s="30"/>
      <c r="AG190" s="31"/>
      <c r="AH190" s="31"/>
      <c r="AT1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Garden</v>
      </c>
      <c r="BA190" s="30" t="str">
        <f>IF(ISBLANK(Table2[[#This Row],[device_model]]), "", Table2[[#This Row],[device_suggested_area]])</f>
        <v>Garden</v>
      </c>
      <c r="BB190" s="30" t="s">
        <v>1009</v>
      </c>
      <c r="BC190" s="30" t="s">
        <v>566</v>
      </c>
      <c r="BD190" s="30" t="s">
        <v>377</v>
      </c>
      <c r="BE190" s="30" t="s">
        <v>1457</v>
      </c>
      <c r="BF190" s="30" t="s">
        <v>564</v>
      </c>
      <c r="BG190" s="30" t="s">
        <v>576</v>
      </c>
      <c r="BL190" s="30" t="s">
        <v>1054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191" spans="1:66" ht="16" customHeight="1" x14ac:dyDescent="0.2">
      <c r="A191" s="30">
        <v>1683</v>
      </c>
      <c r="B191" s="30" t="s">
        <v>579</v>
      </c>
      <c r="C191" s="30" t="s">
        <v>377</v>
      </c>
      <c r="D191" s="30" t="s">
        <v>137</v>
      </c>
      <c r="F191" s="36" t="str">
        <f>IF(ISBLANK(Table2[[#This Row],[unique_id]]), "", PROPER(SUBSTITUTE(Table2[[#This Row],[unique_id]], "_", " ")))</f>
        <v/>
      </c>
      <c r="O191" s="31"/>
      <c r="P191" s="30"/>
      <c r="T191" s="37"/>
      <c r="U191" s="30"/>
      <c r="V191" s="31"/>
      <c r="W191" s="31" t="s">
        <v>489</v>
      </c>
      <c r="X191" s="47">
        <v>115</v>
      </c>
      <c r="Y191" s="42" t="s">
        <v>756</v>
      </c>
      <c r="Z191" s="42" t="s">
        <v>976</v>
      </c>
      <c r="AA191" s="42"/>
      <c r="AB191" s="30"/>
      <c r="AC191" s="30"/>
      <c r="AG191" s="31"/>
      <c r="AH191" s="31"/>
      <c r="AT1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Garden</v>
      </c>
      <c r="BA191" s="30" t="str">
        <f>IF(ISBLANK(Table2[[#This Row],[device_model]]), "", Table2[[#This Row],[device_suggested_area]])</f>
        <v>Garden</v>
      </c>
      <c r="BB191" s="30" t="s">
        <v>1010</v>
      </c>
      <c r="BC191" s="30" t="s">
        <v>566</v>
      </c>
      <c r="BD191" s="30" t="s">
        <v>377</v>
      </c>
      <c r="BE191" s="30" t="s">
        <v>1457</v>
      </c>
      <c r="BF191" s="30" t="s">
        <v>564</v>
      </c>
      <c r="BG191" s="30" t="s">
        <v>576</v>
      </c>
      <c r="BL191" s="30" t="s">
        <v>1054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192" spans="1:66" ht="16" customHeight="1" x14ac:dyDescent="0.2">
      <c r="A192" s="30">
        <v>1684</v>
      </c>
      <c r="B192" s="30" t="s">
        <v>579</v>
      </c>
      <c r="C192" s="30" t="s">
        <v>377</v>
      </c>
      <c r="D192" s="30" t="s">
        <v>137</v>
      </c>
      <c r="F192" s="36" t="str">
        <f>IF(ISBLANK(Table2[[#This Row],[unique_id]]), "", PROPER(SUBSTITUTE(Table2[[#This Row],[unique_id]], "_", " ")))</f>
        <v/>
      </c>
      <c r="O192" s="31"/>
      <c r="P192" s="30"/>
      <c r="T192" s="37"/>
      <c r="U192" s="30"/>
      <c r="V192" s="31"/>
      <c r="W192" s="31" t="s">
        <v>489</v>
      </c>
      <c r="X192" s="47">
        <v>115</v>
      </c>
      <c r="Y192" s="42" t="s">
        <v>756</v>
      </c>
      <c r="Z192" s="42" t="s">
        <v>976</v>
      </c>
      <c r="AA192" s="42"/>
      <c r="AB192" s="30"/>
      <c r="AC192" s="30"/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Garden</v>
      </c>
      <c r="BA192" s="30" t="str">
        <f>IF(ISBLANK(Table2[[#This Row],[device_model]]), "", Table2[[#This Row],[device_suggested_area]])</f>
        <v>Garden</v>
      </c>
      <c r="BB192" s="30" t="s">
        <v>1011</v>
      </c>
      <c r="BC192" s="30" t="s">
        <v>566</v>
      </c>
      <c r="BD192" s="30" t="s">
        <v>377</v>
      </c>
      <c r="BE192" s="30" t="s">
        <v>1457</v>
      </c>
      <c r="BF192" s="30" t="s">
        <v>564</v>
      </c>
      <c r="BG192" s="30" t="s">
        <v>576</v>
      </c>
      <c r="BL192" s="30" t="s">
        <v>1054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193" spans="1:66" ht="16" customHeight="1" x14ac:dyDescent="0.2">
      <c r="A193" s="30">
        <v>1685</v>
      </c>
      <c r="B193" s="30" t="s">
        <v>26</v>
      </c>
      <c r="C193" s="30" t="s">
        <v>377</v>
      </c>
      <c r="D193" s="30" t="s">
        <v>137</v>
      </c>
      <c r="E193" s="30" t="s">
        <v>577</v>
      </c>
      <c r="F193" s="36" t="str">
        <f>IF(ISBLANK(Table2[[#This Row],[unique_id]]), "", PROPER(SUBSTITUTE(Table2[[#This Row],[unique_id]], "_", " ")))</f>
        <v>Tree Spotlights</v>
      </c>
      <c r="G193" s="30" t="s">
        <v>573</v>
      </c>
      <c r="H193" s="30" t="s">
        <v>139</v>
      </c>
      <c r="I193" s="30" t="s">
        <v>132</v>
      </c>
      <c r="J193" s="30" t="s">
        <v>728</v>
      </c>
      <c r="O193" s="31"/>
      <c r="P193" s="30"/>
      <c r="T193" s="37"/>
      <c r="U193" s="30"/>
      <c r="V193" s="31"/>
      <c r="W193" s="31" t="s">
        <v>490</v>
      </c>
      <c r="X193" s="47">
        <v>116</v>
      </c>
      <c r="Y193" s="42" t="s">
        <v>759</v>
      </c>
      <c r="Z193" s="42"/>
      <c r="AA193" s="42"/>
      <c r="AB193" s="30"/>
      <c r="AC193" s="30"/>
      <c r="AE193" s="30" t="s">
        <v>292</v>
      </c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Tree</v>
      </c>
      <c r="BA193" s="30" t="str">
        <f>IF(ISBLANK(Table2[[#This Row],[device_model]]), "", Table2[[#This Row],[device_suggested_area]])</f>
        <v>Tree</v>
      </c>
      <c r="BB193" s="30" t="s">
        <v>728</v>
      </c>
      <c r="BC193" s="30" t="s">
        <v>572</v>
      </c>
      <c r="BD193" s="30" t="s">
        <v>377</v>
      </c>
      <c r="BE193" s="30" t="s">
        <v>1457</v>
      </c>
      <c r="BF193" s="30" t="s">
        <v>564</v>
      </c>
      <c r="BG193" s="30" t="s">
        <v>571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4" spans="1:66" ht="16" customHeight="1" x14ac:dyDescent="0.2">
      <c r="A194" s="30">
        <v>1686</v>
      </c>
      <c r="B194" s="30" t="s">
        <v>579</v>
      </c>
      <c r="C194" s="30" t="s">
        <v>377</v>
      </c>
      <c r="D194" s="30" t="s">
        <v>137</v>
      </c>
      <c r="E194" s="30" t="s">
        <v>961</v>
      </c>
      <c r="F194" s="36" t="str">
        <f>IF(ISBLANK(Table2[[#This Row],[unique_id]]), "", PROPER(SUBSTITUTE(Table2[[#This Row],[unique_id]], "_", " ")))</f>
        <v>Tree Spotlights Bulb 1</v>
      </c>
      <c r="H194" s="30" t="s">
        <v>139</v>
      </c>
      <c r="O194" s="31" t="s">
        <v>788</v>
      </c>
      <c r="P194" s="30" t="s">
        <v>165</v>
      </c>
      <c r="Q194" s="30" t="s">
        <v>760</v>
      </c>
      <c r="R194" s="30" t="str">
        <f>Table2[[#This Row],[entity_domain]]</f>
        <v>Lights</v>
      </c>
      <c r="S194" s="30" t="str">
        <f>_xlfn.CONCAT( Table2[[#This Row],[device_suggested_area]], " ",Table2[[#This Row],[powercalc_group_3]])</f>
        <v>Tree Lights</v>
      </c>
      <c r="T194" s="37"/>
      <c r="U194" s="30"/>
      <c r="V194" s="31"/>
      <c r="W194" s="31" t="s">
        <v>489</v>
      </c>
      <c r="X194" s="47">
        <v>116</v>
      </c>
      <c r="Y194" s="42" t="s">
        <v>756</v>
      </c>
      <c r="Z194" s="42"/>
      <c r="AA194" s="42"/>
      <c r="AB194" s="30"/>
      <c r="AC194" s="30"/>
      <c r="AG194" s="31"/>
      <c r="AH194" s="31"/>
      <c r="AT1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Tree</v>
      </c>
      <c r="BA194" s="30" t="str">
        <f>IF(ISBLANK(Table2[[#This Row],[device_model]]), "", Table2[[#This Row],[device_suggested_area]])</f>
        <v>Tree</v>
      </c>
      <c r="BB194" s="30" t="s">
        <v>1012</v>
      </c>
      <c r="BC194" s="30" t="s">
        <v>572</v>
      </c>
      <c r="BD194" s="30" t="s">
        <v>377</v>
      </c>
      <c r="BE194" s="30" t="s">
        <v>1457</v>
      </c>
      <c r="BF194" s="30" t="s">
        <v>564</v>
      </c>
      <c r="BG194" s="30" t="s">
        <v>571</v>
      </c>
      <c r="BL194" s="30" t="s">
        <v>570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195" spans="1:66" ht="16" customHeight="1" x14ac:dyDescent="0.2">
      <c r="A195" s="30">
        <v>1687</v>
      </c>
      <c r="B195" s="30" t="s">
        <v>579</v>
      </c>
      <c r="C195" s="30" t="s">
        <v>377</v>
      </c>
      <c r="D195" s="30" t="s">
        <v>137</v>
      </c>
      <c r="E195" s="30" t="s">
        <v>962</v>
      </c>
      <c r="F195" s="36" t="str">
        <f>IF(ISBLANK(Table2[[#This Row],[unique_id]]), "", PROPER(SUBSTITUTE(Table2[[#This Row],[unique_id]], "_", " ")))</f>
        <v>Tree Spotlights Bulb 2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Tree Lights</v>
      </c>
      <c r="T195" s="37"/>
      <c r="U195" s="30"/>
      <c r="V195" s="31"/>
      <c r="W195" s="31" t="s">
        <v>489</v>
      </c>
      <c r="X195" s="47">
        <v>116</v>
      </c>
      <c r="Y195" s="42" t="s">
        <v>756</v>
      </c>
      <c r="Z195" s="42"/>
      <c r="AA195" s="42"/>
      <c r="AB195" s="30"/>
      <c r="AC195" s="30"/>
      <c r="AG195" s="31"/>
      <c r="AH195" s="31"/>
      <c r="AT19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Tree</v>
      </c>
      <c r="BA195" s="30" t="str">
        <f>IF(ISBLANK(Table2[[#This Row],[device_model]]), "", Table2[[#This Row],[device_suggested_area]])</f>
        <v>Tree</v>
      </c>
      <c r="BB195" s="30" t="s">
        <v>1013</v>
      </c>
      <c r="BC195" s="30" t="s">
        <v>572</v>
      </c>
      <c r="BD195" s="30" t="s">
        <v>377</v>
      </c>
      <c r="BE195" s="30" t="s">
        <v>1457</v>
      </c>
      <c r="BF195" s="30" t="s">
        <v>564</v>
      </c>
      <c r="BG195" s="30" t="s">
        <v>571</v>
      </c>
      <c r="BL195" s="30" t="s">
        <v>578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196" spans="1:66" ht="16" customHeight="1" x14ac:dyDescent="0.2">
      <c r="A196" s="30">
        <v>1688</v>
      </c>
      <c r="B196" s="30" t="s">
        <v>579</v>
      </c>
      <c r="C196" s="30" t="s">
        <v>377</v>
      </c>
      <c r="D196" s="30" t="s">
        <v>137</v>
      </c>
      <c r="F196" s="36" t="str">
        <f>IF(ISBLANK(Table2[[#This Row],[unique_id]]), "", PROPER(SUBSTITUTE(Table2[[#This Row],[unique_id]], "_", " ")))</f>
        <v/>
      </c>
      <c r="O196" s="31"/>
      <c r="P196" s="30"/>
      <c r="T196" s="37"/>
      <c r="U196" s="30"/>
      <c r="V196" s="31"/>
      <c r="W196" s="31" t="s">
        <v>489</v>
      </c>
      <c r="X196" s="47">
        <v>116</v>
      </c>
      <c r="Y196" s="42" t="s">
        <v>756</v>
      </c>
      <c r="Z196" s="42" t="s">
        <v>976</v>
      </c>
      <c r="AA196" s="42"/>
      <c r="AB196" s="30"/>
      <c r="AC196" s="30"/>
      <c r="AG196" s="31"/>
      <c r="AH196" s="31"/>
      <c r="AT1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Tree</v>
      </c>
      <c r="BA196" s="30" t="str">
        <f>IF(ISBLANK(Table2[[#This Row],[device_model]]), "", Table2[[#This Row],[device_suggested_area]])</f>
        <v>Tree</v>
      </c>
      <c r="BB196" s="30" t="s">
        <v>1014</v>
      </c>
      <c r="BC196" s="30" t="s">
        <v>572</v>
      </c>
      <c r="BD196" s="30" t="s">
        <v>377</v>
      </c>
      <c r="BE196" s="30" t="s">
        <v>1457</v>
      </c>
      <c r="BF196" s="30" t="s">
        <v>564</v>
      </c>
      <c r="BG196" s="30" t="s">
        <v>571</v>
      </c>
      <c r="BL196" s="30" t="s">
        <v>1054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197" spans="1:66" ht="16" customHeight="1" x14ac:dyDescent="0.2">
      <c r="A197" s="30">
        <v>1640</v>
      </c>
      <c r="B197" s="30" t="s">
        <v>26</v>
      </c>
      <c r="C197" s="30" t="s">
        <v>377</v>
      </c>
      <c r="D197" s="30" t="s">
        <v>137</v>
      </c>
      <c r="E197" s="30" t="s">
        <v>741</v>
      </c>
      <c r="F197" s="36" t="str">
        <f>IF(ISBLANK(Table2[[#This Row],[unique_id]]), "", PROPER(SUBSTITUTE(Table2[[#This Row],[unique_id]], "_", " ")))</f>
        <v>Study Lamp</v>
      </c>
      <c r="G197" s="30" t="s">
        <v>742</v>
      </c>
      <c r="H197" s="30" t="s">
        <v>139</v>
      </c>
      <c r="I197" s="30" t="s">
        <v>132</v>
      </c>
      <c r="J197" s="30" t="s">
        <v>523</v>
      </c>
      <c r="K197" s="30" t="s">
        <v>885</v>
      </c>
      <c r="M197" s="30" t="s">
        <v>136</v>
      </c>
      <c r="O197" s="31"/>
      <c r="P197" s="30"/>
      <c r="T197" s="37"/>
      <c r="U197" s="30"/>
      <c r="V197" s="31"/>
      <c r="W197" s="31" t="s">
        <v>490</v>
      </c>
      <c r="X197" s="47">
        <v>117</v>
      </c>
      <c r="Y197" s="42" t="s">
        <v>758</v>
      </c>
      <c r="Z197" s="42" t="s">
        <v>972</v>
      </c>
      <c r="AA197" s="42"/>
      <c r="AB197" s="30"/>
      <c r="AC197" s="30"/>
      <c r="AE197" s="30" t="s">
        <v>292</v>
      </c>
      <c r="AG197" s="31"/>
      <c r="AH197" s="31"/>
      <c r="AT1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Study</v>
      </c>
      <c r="BA197" s="30" t="str">
        <f>IF(ISBLANK(Table2[[#This Row],[device_model]]), "", Table2[[#This Row],[device_suggested_area]])</f>
        <v>Study</v>
      </c>
      <c r="BB197" s="30" t="s">
        <v>523</v>
      </c>
      <c r="BC197" s="30" t="s">
        <v>487</v>
      </c>
      <c r="BD197" s="30" t="s">
        <v>377</v>
      </c>
      <c r="BE197" s="30" t="s">
        <v>1457</v>
      </c>
      <c r="BF197" s="30" t="s">
        <v>488</v>
      </c>
      <c r="BG197" s="30" t="s">
        <v>356</v>
      </c>
      <c r="BI197" s="30" t="s">
        <v>687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8" spans="1:66" ht="16" customHeight="1" x14ac:dyDescent="0.2">
      <c r="A198" s="30">
        <v>1641</v>
      </c>
      <c r="B198" s="30" t="s">
        <v>26</v>
      </c>
      <c r="C198" s="30" t="s">
        <v>377</v>
      </c>
      <c r="D198" s="30" t="s">
        <v>137</v>
      </c>
      <c r="E198" s="30" t="s">
        <v>944</v>
      </c>
      <c r="F198" s="36" t="str">
        <f>IF(ISBLANK(Table2[[#This Row],[unique_id]]), "", PROPER(SUBSTITUTE(Table2[[#This Row],[unique_id]], "_", " ")))</f>
        <v>Study Lamp Bulb 1</v>
      </c>
      <c r="H198" s="30" t="s">
        <v>139</v>
      </c>
      <c r="O198" s="31" t="s">
        <v>788</v>
      </c>
      <c r="P198" s="30" t="s">
        <v>165</v>
      </c>
      <c r="Q198" s="30" t="s">
        <v>760</v>
      </c>
      <c r="R198" s="30" t="str">
        <f>Table2[[#This Row],[entity_domain]]</f>
        <v>Lights</v>
      </c>
      <c r="S198" s="30" t="str">
        <f>_xlfn.CONCAT( Table2[[#This Row],[device_suggested_area]], " ",Table2[[#This Row],[powercalc_group_3]])</f>
        <v>Study Lights</v>
      </c>
      <c r="T198" s="37"/>
      <c r="U198" s="30"/>
      <c r="V198" s="31"/>
      <c r="W198" s="31" t="s">
        <v>489</v>
      </c>
      <c r="X198" s="47">
        <v>117</v>
      </c>
      <c r="Y198" s="42" t="s">
        <v>756</v>
      </c>
      <c r="Z198" s="42" t="s">
        <v>972</v>
      </c>
      <c r="AA198" s="42"/>
      <c r="AB198" s="30"/>
      <c r="AC198" s="30"/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Study</v>
      </c>
      <c r="BA198" s="30" t="str">
        <f>IF(ISBLANK(Table2[[#This Row],[device_model]]), "", Table2[[#This Row],[device_suggested_area]])</f>
        <v>Study</v>
      </c>
      <c r="BB198" s="30" t="s">
        <v>995</v>
      </c>
      <c r="BC198" s="30" t="s">
        <v>487</v>
      </c>
      <c r="BD198" s="30" t="s">
        <v>377</v>
      </c>
      <c r="BE198" s="30" t="s">
        <v>1457</v>
      </c>
      <c r="BF198" s="30" t="s">
        <v>488</v>
      </c>
      <c r="BG198" s="30" t="s">
        <v>356</v>
      </c>
      <c r="BI198" s="30" t="s">
        <v>687</v>
      </c>
      <c r="BL198" s="30" t="s">
        <v>743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99" spans="1:66" ht="16" customHeight="1" x14ac:dyDescent="0.2">
      <c r="A199" s="30">
        <v>1661</v>
      </c>
      <c r="B199" s="30" t="s">
        <v>26</v>
      </c>
      <c r="C199" s="30" t="s">
        <v>450</v>
      </c>
      <c r="D199" s="30" t="s">
        <v>137</v>
      </c>
      <c r="E199" s="30" t="s">
        <v>840</v>
      </c>
      <c r="F199" s="36" t="str">
        <f>IF(ISBLANK(Table2[[#This Row],[unique_id]]), "", PROPER(SUBSTITUTE(Table2[[#This Row],[unique_id]], "_", " ")))</f>
        <v>Ensuite Sconces</v>
      </c>
      <c r="G199" s="30" t="s">
        <v>844</v>
      </c>
      <c r="H199" s="30" t="s">
        <v>139</v>
      </c>
      <c r="I199" s="30" t="s">
        <v>132</v>
      </c>
      <c r="J199" s="30" t="s">
        <v>845</v>
      </c>
      <c r="K199" s="30" t="s">
        <v>883</v>
      </c>
      <c r="M199" s="30" t="s">
        <v>136</v>
      </c>
      <c r="O199" s="31"/>
      <c r="P199" s="30"/>
      <c r="T199" s="37"/>
      <c r="U199" s="30"/>
      <c r="V199" s="31"/>
      <c r="W199" s="31" t="s">
        <v>490</v>
      </c>
      <c r="X199" s="47">
        <v>118</v>
      </c>
      <c r="Y199" s="42" t="s">
        <v>758</v>
      </c>
      <c r="Z199" s="31" t="s">
        <v>974</v>
      </c>
      <c r="AA199" s="31"/>
      <c r="AB199" s="30"/>
      <c r="AC199" s="30"/>
      <c r="AE199" s="30" t="s">
        <v>292</v>
      </c>
      <c r="AG199" s="31"/>
      <c r="AH199" s="31"/>
      <c r="AT199" s="40"/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Ensuite</v>
      </c>
      <c r="BA199" s="30" t="str">
        <f>IF(ISBLANK(Table2[[#This Row],[device_model]]), "", Table2[[#This Row],[device_suggested_area]])</f>
        <v>Ensuite</v>
      </c>
      <c r="BB199" s="30" t="s">
        <v>845</v>
      </c>
      <c r="BC199" s="30" t="s">
        <v>848</v>
      </c>
      <c r="BD199" s="30" t="s">
        <v>450</v>
      </c>
      <c r="BF199" s="30" t="s">
        <v>846</v>
      </c>
      <c r="BG199" s="30" t="s">
        <v>394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1430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1431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1296</v>
      </c>
      <c r="BL201" s="55" t="s">
        <v>561</v>
      </c>
      <c r="BM201" s="55" t="s">
        <v>1323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1296</v>
      </c>
      <c r="BL203" s="30" t="s">
        <v>1053</v>
      </c>
      <c r="BM203" s="30" t="s">
        <v>1324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1237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1432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1433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1296</v>
      </c>
      <c r="BL206" s="55" t="s">
        <v>560</v>
      </c>
      <c r="BM206" s="55" t="s">
        <v>1325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1296</v>
      </c>
      <c r="BL208" s="30" t="s">
        <v>1052</v>
      </c>
      <c r="BM208" s="30" t="s">
        <v>1326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1662</v>
      </c>
      <c r="B209" s="30" t="s">
        <v>26</v>
      </c>
      <c r="C209" s="30" t="s">
        <v>450</v>
      </c>
      <c r="D209" s="30" t="s">
        <v>137</v>
      </c>
      <c r="E209" s="30" t="s">
        <v>841</v>
      </c>
      <c r="F209" s="36" t="str">
        <f>IF(ISBLANK(Table2[[#This Row],[unique_id]]), "", PROPER(SUBSTITUTE(Table2[[#This Row],[unique_id]], "_", " ")))</f>
        <v>Ensuite Sconces Bulb 1</v>
      </c>
      <c r="H209" s="30" t="s">
        <v>139</v>
      </c>
      <c r="O209" s="31" t="s">
        <v>788</v>
      </c>
      <c r="P209" s="30" t="s">
        <v>165</v>
      </c>
      <c r="Q209" s="30" t="s">
        <v>760</v>
      </c>
      <c r="R209" s="30" t="str">
        <f>Table2[[#This Row],[entity_domain]]</f>
        <v>Lights</v>
      </c>
      <c r="S209" s="30" t="str">
        <f>_xlfn.CONCAT( Table2[[#This Row],[device_suggested_area]], " ",Table2[[#This Row],[powercalc_group_3]])</f>
        <v>Ensuite Lights</v>
      </c>
      <c r="T209" s="37"/>
      <c r="U209" s="30"/>
      <c r="V209" s="31"/>
      <c r="W209" s="31" t="s">
        <v>489</v>
      </c>
      <c r="X209" s="47">
        <v>118</v>
      </c>
      <c r="Y209" s="42" t="s">
        <v>756</v>
      </c>
      <c r="Z209" s="31" t="s">
        <v>974</v>
      </c>
      <c r="AA209" s="31"/>
      <c r="AB209" s="30"/>
      <c r="AC209" s="30"/>
      <c r="AG209" s="31"/>
      <c r="AH209" s="31"/>
      <c r="AT209" s="40"/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Ensuite</v>
      </c>
      <c r="BA209" s="30" t="str">
        <f>IF(ISBLANK(Table2[[#This Row],[device_model]]), "", Table2[[#This Row],[device_suggested_area]])</f>
        <v>Ensuite</v>
      </c>
      <c r="BB209" s="30" t="s">
        <v>984</v>
      </c>
      <c r="BC209" s="30" t="s">
        <v>848</v>
      </c>
      <c r="BD209" s="30" t="s">
        <v>450</v>
      </c>
      <c r="BF209" s="30" t="s">
        <v>846</v>
      </c>
      <c r="BG209" s="30" t="s">
        <v>394</v>
      </c>
      <c r="BL209" s="30" t="s">
        <v>847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210" spans="1:66" ht="16" customHeight="1" x14ac:dyDescent="0.2">
      <c r="A210" s="30">
        <v>1663</v>
      </c>
      <c r="B210" s="30" t="s">
        <v>26</v>
      </c>
      <c r="C210" s="30" t="s">
        <v>450</v>
      </c>
      <c r="D210" s="30" t="s">
        <v>137</v>
      </c>
      <c r="E210" s="30" t="s">
        <v>842</v>
      </c>
      <c r="F210" s="36" t="str">
        <f>IF(ISBLANK(Table2[[#This Row],[unique_id]]), "", PROPER(SUBSTITUTE(Table2[[#This Row],[unique_id]], "_", " ")))</f>
        <v>Ensuite Sconces Bulb 2</v>
      </c>
      <c r="H210" s="30" t="s">
        <v>139</v>
      </c>
      <c r="O210" s="31" t="s">
        <v>788</v>
      </c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Ensuite Lights</v>
      </c>
      <c r="T210" s="37"/>
      <c r="U210" s="30"/>
      <c r="V210" s="31"/>
      <c r="W210" s="31" t="s">
        <v>489</v>
      </c>
      <c r="X210" s="47">
        <v>118</v>
      </c>
      <c r="Y210" s="42" t="s">
        <v>756</v>
      </c>
      <c r="Z210" s="31" t="s">
        <v>974</v>
      </c>
      <c r="AA210" s="31"/>
      <c r="AB210" s="30"/>
      <c r="AC210" s="30"/>
      <c r="AG210" s="31"/>
      <c r="AH210" s="31"/>
      <c r="AT210" s="40"/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Ensuite</v>
      </c>
      <c r="BA210" s="30" t="str">
        <f>IF(ISBLANK(Table2[[#This Row],[device_model]]), "", Table2[[#This Row],[device_suggested_area]])</f>
        <v>Ensuite</v>
      </c>
      <c r="BB210" s="30" t="s">
        <v>985</v>
      </c>
      <c r="BC210" s="30" t="s">
        <v>848</v>
      </c>
      <c r="BD210" s="30" t="s">
        <v>450</v>
      </c>
      <c r="BF210" s="30" t="s">
        <v>846</v>
      </c>
      <c r="BG210" s="30" t="s">
        <v>394</v>
      </c>
      <c r="BL210" s="30" t="s">
        <v>849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211" spans="1:66" ht="16" customHeight="1" x14ac:dyDescent="0.2">
      <c r="A211" s="30">
        <v>1664</v>
      </c>
      <c r="B211" s="30" t="s">
        <v>26</v>
      </c>
      <c r="C211" s="30" t="s">
        <v>450</v>
      </c>
      <c r="D211" s="30" t="s">
        <v>137</v>
      </c>
      <c r="E211" s="30" t="s">
        <v>843</v>
      </c>
      <c r="F211" s="36" t="str">
        <f>IF(ISBLANK(Table2[[#This Row],[unique_id]]), "", PROPER(SUBSTITUTE(Table2[[#This Row],[unique_id]], "_", " ")))</f>
        <v>Ensuite Sconces Bulb 3</v>
      </c>
      <c r="H211" s="30" t="s">
        <v>139</v>
      </c>
      <c r="O211" s="31" t="s">
        <v>788</v>
      </c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Ensuite Lights</v>
      </c>
      <c r="T211" s="37"/>
      <c r="U211" s="30"/>
      <c r="V211" s="31"/>
      <c r="W211" s="31" t="s">
        <v>489</v>
      </c>
      <c r="X211" s="47">
        <v>118</v>
      </c>
      <c r="Y211" s="42" t="s">
        <v>756</v>
      </c>
      <c r="Z211" s="31" t="s">
        <v>974</v>
      </c>
      <c r="AA211" s="31"/>
      <c r="AB211" s="30"/>
      <c r="AC211" s="30"/>
      <c r="AG211" s="31"/>
      <c r="AH211" s="31"/>
      <c r="AT211" s="40"/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Ensuite</v>
      </c>
      <c r="BA211" s="30" t="str">
        <f>IF(ISBLANK(Table2[[#This Row],[device_model]]), "", Table2[[#This Row],[device_suggested_area]])</f>
        <v>Ensuite</v>
      </c>
      <c r="BB211" s="30" t="s">
        <v>988</v>
      </c>
      <c r="BC211" s="30" t="s">
        <v>848</v>
      </c>
      <c r="BD211" s="30" t="s">
        <v>450</v>
      </c>
      <c r="BF211" s="30" t="s">
        <v>846</v>
      </c>
      <c r="BG211" s="30" t="s">
        <v>394</v>
      </c>
      <c r="BL211" s="30" t="s">
        <v>850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212" spans="1:66" ht="16" customHeight="1" x14ac:dyDescent="0.2">
      <c r="A212" s="30">
        <v>1636</v>
      </c>
      <c r="B212" s="30" t="s">
        <v>26</v>
      </c>
      <c r="C212" s="30" t="s">
        <v>450</v>
      </c>
      <c r="D212" s="30" t="s">
        <v>137</v>
      </c>
      <c r="E212" s="30" t="s">
        <v>866</v>
      </c>
      <c r="F212" s="36" t="str">
        <f>IF(ISBLANK(Table2[[#This Row],[unique_id]]), "", PROPER(SUBSTITUTE(Table2[[#This Row],[unique_id]], "_", " ")))</f>
        <v>Parents Jane Bedside</v>
      </c>
      <c r="G212" s="30" t="s">
        <v>864</v>
      </c>
      <c r="H212" s="30" t="s">
        <v>139</v>
      </c>
      <c r="I212" s="30" t="s">
        <v>132</v>
      </c>
      <c r="J212" s="30" t="s">
        <v>879</v>
      </c>
      <c r="K212" s="30" t="s">
        <v>883</v>
      </c>
      <c r="M212" s="30" t="s">
        <v>136</v>
      </c>
      <c r="O212" s="31"/>
      <c r="P212" s="30"/>
      <c r="T212" s="37"/>
      <c r="U212" s="30"/>
      <c r="V212" s="31"/>
      <c r="W212" s="31" t="s">
        <v>490</v>
      </c>
      <c r="X212" s="47">
        <v>119</v>
      </c>
      <c r="Y212" s="42" t="s">
        <v>758</v>
      </c>
      <c r="Z212" s="31" t="s">
        <v>974</v>
      </c>
      <c r="AA212" s="31"/>
      <c r="AB212" s="30"/>
      <c r="AC212" s="30"/>
      <c r="AE212" s="30" t="s">
        <v>292</v>
      </c>
      <c r="AG212" s="31"/>
      <c r="AH212" s="31"/>
      <c r="AT212" s="40"/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Parents</v>
      </c>
      <c r="BA212" s="30" t="str">
        <f>IF(ISBLANK(Table2[[#This Row],[device_model]]), "", Table2[[#This Row],[device_suggested_area]])</f>
        <v>Parents</v>
      </c>
      <c r="BB212" s="30" t="s">
        <v>864</v>
      </c>
      <c r="BC212" s="30" t="s">
        <v>848</v>
      </c>
      <c r="BD212" s="30" t="s">
        <v>450</v>
      </c>
      <c r="BF212" s="30" t="s">
        <v>846</v>
      </c>
      <c r="BG212" s="30" t="s">
        <v>192</v>
      </c>
      <c r="BI212" s="30" t="s">
        <v>687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3" spans="1:66" ht="16" customHeight="1" x14ac:dyDescent="0.2">
      <c r="A213" s="30">
        <v>1637</v>
      </c>
      <c r="B213" s="30" t="s">
        <v>26</v>
      </c>
      <c r="C213" s="30" t="s">
        <v>450</v>
      </c>
      <c r="D213" s="30" t="s">
        <v>137</v>
      </c>
      <c r="E213" s="30" t="s">
        <v>867</v>
      </c>
      <c r="F213" s="36" t="str">
        <f>IF(ISBLANK(Table2[[#This Row],[unique_id]]), "", PROPER(SUBSTITUTE(Table2[[#This Row],[unique_id]], "_", " ")))</f>
        <v>Parents Jane Bedside Bulb 1</v>
      </c>
      <c r="H213" s="30" t="s">
        <v>139</v>
      </c>
      <c r="O213" s="31" t="s">
        <v>788</v>
      </c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Parents Lights</v>
      </c>
      <c r="T213" s="37"/>
      <c r="U213" s="30"/>
      <c r="V213" s="31"/>
      <c r="W213" s="31" t="s">
        <v>489</v>
      </c>
      <c r="X213" s="47">
        <v>119</v>
      </c>
      <c r="Y213" s="42" t="s">
        <v>756</v>
      </c>
      <c r="Z213" s="31" t="s">
        <v>974</v>
      </c>
      <c r="AA213" s="31"/>
      <c r="AB213" s="30"/>
      <c r="AC213" s="30"/>
      <c r="AG213" s="31"/>
      <c r="AH213" s="31"/>
      <c r="AT213" s="40"/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Parents</v>
      </c>
      <c r="BA213" s="30" t="str">
        <f>IF(ISBLANK(Table2[[#This Row],[device_model]]), "", Table2[[#This Row],[device_suggested_area]])</f>
        <v>Parents</v>
      </c>
      <c r="BB213" s="30" t="s">
        <v>986</v>
      </c>
      <c r="BC213" s="30" t="s">
        <v>848</v>
      </c>
      <c r="BD213" s="30" t="s">
        <v>450</v>
      </c>
      <c r="BF213" s="30" t="s">
        <v>846</v>
      </c>
      <c r="BG213" s="30" t="s">
        <v>192</v>
      </c>
      <c r="BI213" s="30" t="s">
        <v>687</v>
      </c>
      <c r="BL213" s="30" t="s">
        <v>852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214" spans="1:66" ht="16" customHeight="1" x14ac:dyDescent="0.2">
      <c r="A214" s="30">
        <v>1613</v>
      </c>
      <c r="B214" s="30" t="s">
        <v>26</v>
      </c>
      <c r="C214" s="30" t="s">
        <v>450</v>
      </c>
      <c r="D214" s="30" t="s">
        <v>137</v>
      </c>
      <c r="E214" s="30" t="s">
        <v>853</v>
      </c>
      <c r="F214" s="36" t="str">
        <f>IF(ISBLANK(Table2[[#This Row],[unique_id]]), "", PROPER(SUBSTITUTE(Table2[[#This Row],[unique_id]], "_", " ")))</f>
        <v>Hallway Sconces</v>
      </c>
      <c r="G214" s="30" t="s">
        <v>855</v>
      </c>
      <c r="H214" s="30" t="s">
        <v>139</v>
      </c>
      <c r="I214" s="30" t="s">
        <v>132</v>
      </c>
      <c r="J214" s="30" t="s">
        <v>845</v>
      </c>
      <c r="K214" s="30" t="s">
        <v>918</v>
      </c>
      <c r="M214" s="30" t="s">
        <v>136</v>
      </c>
      <c r="O214" s="31"/>
      <c r="P214" s="30"/>
      <c r="T214" s="37"/>
      <c r="U214" s="30"/>
      <c r="V214" s="31"/>
      <c r="W214" s="31" t="s">
        <v>490</v>
      </c>
      <c r="X214" s="47">
        <v>120</v>
      </c>
      <c r="Y214" s="42" t="s">
        <v>758</v>
      </c>
      <c r="Z214" s="31" t="s">
        <v>974</v>
      </c>
      <c r="AA214" s="31"/>
      <c r="AB214" s="30"/>
      <c r="AC214" s="30"/>
      <c r="AE214" s="30" t="s">
        <v>292</v>
      </c>
      <c r="AG214" s="31"/>
      <c r="AH214" s="31"/>
      <c r="AT214" s="40"/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Hallway</v>
      </c>
      <c r="BA214" s="30" t="str">
        <f>IF(ISBLANK(Table2[[#This Row],[device_model]]), "", Table2[[#This Row],[device_suggested_area]])</f>
        <v>Hallway</v>
      </c>
      <c r="BB214" s="30" t="s">
        <v>845</v>
      </c>
      <c r="BC214" s="30" t="s">
        <v>848</v>
      </c>
      <c r="BD214" s="30" t="s">
        <v>450</v>
      </c>
      <c r="BF214" s="30" t="s">
        <v>846</v>
      </c>
      <c r="BG214" s="30" t="s">
        <v>404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5" spans="1:66" ht="16" customHeight="1" x14ac:dyDescent="0.2">
      <c r="A215" s="30">
        <v>1614</v>
      </c>
      <c r="B215" s="30" t="s">
        <v>26</v>
      </c>
      <c r="C215" s="30" t="s">
        <v>450</v>
      </c>
      <c r="D215" s="30" t="s">
        <v>137</v>
      </c>
      <c r="E215" s="30" t="s">
        <v>854</v>
      </c>
      <c r="F215" s="36" t="str">
        <f>IF(ISBLANK(Table2[[#This Row],[unique_id]]), "", PROPER(SUBSTITUTE(Table2[[#This Row],[unique_id]], "_", " ")))</f>
        <v>Hallway Sconces Bulb 1</v>
      </c>
      <c r="H215" s="30" t="s">
        <v>139</v>
      </c>
      <c r="O215" s="31" t="s">
        <v>788</v>
      </c>
      <c r="P215" s="30" t="s">
        <v>165</v>
      </c>
      <c r="Q215" s="30" t="s">
        <v>760</v>
      </c>
      <c r="R215" s="30" t="str">
        <f>Table2[[#This Row],[entity_domain]]</f>
        <v>Lights</v>
      </c>
      <c r="S215" s="30" t="str">
        <f>_xlfn.CONCAT( Table2[[#This Row],[device_suggested_area]], " ",Table2[[#This Row],[powercalc_group_3]])</f>
        <v>Hallway Lights</v>
      </c>
      <c r="T215" s="37"/>
      <c r="U215" s="30"/>
      <c r="V215" s="31"/>
      <c r="W215" s="31" t="s">
        <v>489</v>
      </c>
      <c r="X215" s="47">
        <v>120</v>
      </c>
      <c r="Y215" s="42" t="s">
        <v>756</v>
      </c>
      <c r="Z215" s="31" t="s">
        <v>974</v>
      </c>
      <c r="AA215" s="31"/>
      <c r="AB215" s="30"/>
      <c r="AC215" s="30"/>
      <c r="AG215" s="31"/>
      <c r="AH215" s="31"/>
      <c r="AT215" s="40"/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Hallway</v>
      </c>
      <c r="BA215" s="30" t="str">
        <f>IF(ISBLANK(Table2[[#This Row],[device_model]]), "", Table2[[#This Row],[device_suggested_area]])</f>
        <v>Hallway</v>
      </c>
      <c r="BB215" s="30" t="s">
        <v>984</v>
      </c>
      <c r="BC215" s="30" t="s">
        <v>848</v>
      </c>
      <c r="BD215" s="30" t="s">
        <v>450</v>
      </c>
      <c r="BF215" s="30" t="s">
        <v>846</v>
      </c>
      <c r="BG215" s="30" t="s">
        <v>404</v>
      </c>
      <c r="BL215" s="30" t="s">
        <v>856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216" spans="1:66" ht="16" customHeight="1" x14ac:dyDescent="0.2">
      <c r="A216" s="30">
        <v>1615</v>
      </c>
      <c r="B216" s="30" t="s">
        <v>26</v>
      </c>
      <c r="C216" s="30" t="s">
        <v>450</v>
      </c>
      <c r="D216" s="30" t="s">
        <v>137</v>
      </c>
      <c r="E216" s="30" t="s">
        <v>1250</v>
      </c>
      <c r="F216" s="36" t="str">
        <f>IF(ISBLANK(Table2[[#This Row],[unique_id]]), "", PROPER(SUBSTITUTE(Table2[[#This Row],[unique_id]], "_", " ")))</f>
        <v>Hallway Sconces Bulb 2</v>
      </c>
      <c r="H216" s="30" t="s">
        <v>139</v>
      </c>
      <c r="O216" s="31" t="s">
        <v>788</v>
      </c>
      <c r="P216" s="30" t="s">
        <v>165</v>
      </c>
      <c r="Q216" s="30" t="s">
        <v>760</v>
      </c>
      <c r="R216" s="30" t="str">
        <f>Table2[[#This Row],[entity_domain]]</f>
        <v>Lights</v>
      </c>
      <c r="S216" s="30" t="str">
        <f>_xlfn.CONCAT( Table2[[#This Row],[device_suggested_area]], " ",Table2[[#This Row],[powercalc_group_3]])</f>
        <v>Hallway Lights</v>
      </c>
      <c r="T216" s="37"/>
      <c r="U216" s="30"/>
      <c r="V216" s="31"/>
      <c r="W216" s="31" t="s">
        <v>489</v>
      </c>
      <c r="X216" s="47">
        <v>120</v>
      </c>
      <c r="Y216" s="42" t="s">
        <v>756</v>
      </c>
      <c r="Z216" s="31" t="s">
        <v>974</v>
      </c>
      <c r="AA216" s="31"/>
      <c r="AB216" s="30"/>
      <c r="AC216" s="30"/>
      <c r="AG216" s="31"/>
      <c r="AH216" s="31"/>
      <c r="AT216" s="40"/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Hallway</v>
      </c>
      <c r="BA216" s="30" t="str">
        <f>IF(ISBLANK(Table2[[#This Row],[device_model]]), "", Table2[[#This Row],[device_suggested_area]])</f>
        <v>Hallway</v>
      </c>
      <c r="BB216" s="30" t="s">
        <v>985</v>
      </c>
      <c r="BC216" s="30" t="s">
        <v>848</v>
      </c>
      <c r="BD216" s="30" t="s">
        <v>450</v>
      </c>
      <c r="BF216" s="30" t="s">
        <v>846</v>
      </c>
      <c r="BG216" s="30" t="s">
        <v>404</v>
      </c>
      <c r="BL216" s="30" t="s">
        <v>857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217" spans="1:66" ht="16" customHeight="1" x14ac:dyDescent="0.2">
      <c r="A217" s="30">
        <v>1656</v>
      </c>
      <c r="B217" s="30" t="s">
        <v>26</v>
      </c>
      <c r="C217" s="30" t="s">
        <v>450</v>
      </c>
      <c r="D217" s="30" t="s">
        <v>137</v>
      </c>
      <c r="E217" s="30" t="s">
        <v>858</v>
      </c>
      <c r="F217" s="36" t="str">
        <f>IF(ISBLANK(Table2[[#This Row],[unique_id]]), "", PROPER(SUBSTITUTE(Table2[[#This Row],[unique_id]], "_", " ")))</f>
        <v>Bathroom Sconces</v>
      </c>
      <c r="G217" s="30" t="s">
        <v>861</v>
      </c>
      <c r="H217" s="30" t="s">
        <v>139</v>
      </c>
      <c r="I217" s="30" t="s">
        <v>132</v>
      </c>
      <c r="J217" s="30" t="s">
        <v>845</v>
      </c>
      <c r="K217" s="30" t="s">
        <v>883</v>
      </c>
      <c r="M217" s="30" t="s">
        <v>136</v>
      </c>
      <c r="O217" s="31"/>
      <c r="P217" s="30"/>
      <c r="T217" s="37"/>
      <c r="U217" s="30"/>
      <c r="V217" s="31"/>
      <c r="W217" s="31" t="s">
        <v>490</v>
      </c>
      <c r="X217" s="47">
        <v>121</v>
      </c>
      <c r="Y217" s="42" t="s">
        <v>758</v>
      </c>
      <c r="Z217" s="31" t="s">
        <v>974</v>
      </c>
      <c r="AA217" s="31"/>
      <c r="AB217" s="30"/>
      <c r="AC217" s="30"/>
      <c r="AE217" s="30" t="s">
        <v>292</v>
      </c>
      <c r="AG217" s="31"/>
      <c r="AH217" s="31"/>
      <c r="AT217" s="40"/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Bathroom</v>
      </c>
      <c r="BA217" s="30" t="str">
        <f>IF(ISBLANK(Table2[[#This Row],[device_model]]), "", Table2[[#This Row],[device_suggested_area]])</f>
        <v>Bathroom</v>
      </c>
      <c r="BB217" s="30" t="s">
        <v>845</v>
      </c>
      <c r="BC217" s="30" t="s">
        <v>848</v>
      </c>
      <c r="BD217" s="30" t="s">
        <v>450</v>
      </c>
      <c r="BF217" s="30" t="s">
        <v>846</v>
      </c>
      <c r="BG217" s="30" t="s">
        <v>358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8" spans="1:66" ht="16" customHeight="1" x14ac:dyDescent="0.2">
      <c r="A218" s="30">
        <v>1657</v>
      </c>
      <c r="B218" s="30" t="s">
        <v>26</v>
      </c>
      <c r="C218" s="30" t="s">
        <v>450</v>
      </c>
      <c r="D218" s="30" t="s">
        <v>137</v>
      </c>
      <c r="E218" s="30" t="s">
        <v>859</v>
      </c>
      <c r="F218" s="36" t="str">
        <f>IF(ISBLANK(Table2[[#This Row],[unique_id]]), "", PROPER(SUBSTITUTE(Table2[[#This Row],[unique_id]], "_", " ")))</f>
        <v>Bathroom Sconces Bulb 1</v>
      </c>
      <c r="H218" s="30" t="s">
        <v>139</v>
      </c>
      <c r="O218" s="31" t="s">
        <v>788</v>
      </c>
      <c r="P218" s="30" t="s">
        <v>165</v>
      </c>
      <c r="Q218" s="30" t="s">
        <v>760</v>
      </c>
      <c r="R218" s="30" t="str">
        <f>Table2[[#This Row],[entity_domain]]</f>
        <v>Lights</v>
      </c>
      <c r="S218" s="30" t="str">
        <f>_xlfn.CONCAT( Table2[[#This Row],[device_suggested_area]], " ",Table2[[#This Row],[powercalc_group_3]])</f>
        <v>Bathroom Lights</v>
      </c>
      <c r="T218" s="37"/>
      <c r="U218" s="30"/>
      <c r="V218" s="31"/>
      <c r="W218" s="31" t="s">
        <v>489</v>
      </c>
      <c r="X218" s="47">
        <v>121</v>
      </c>
      <c r="Y218" s="42" t="s">
        <v>756</v>
      </c>
      <c r="Z218" s="31" t="s">
        <v>974</v>
      </c>
      <c r="AA218" s="31"/>
      <c r="AB218" s="30"/>
      <c r="AC218" s="30"/>
      <c r="AG218" s="31"/>
      <c r="AH218" s="31"/>
      <c r="AT218" s="40"/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Bathroom</v>
      </c>
      <c r="BA218" s="30" t="str">
        <f>IF(ISBLANK(Table2[[#This Row],[device_model]]), "", Table2[[#This Row],[device_suggested_area]])</f>
        <v>Bathroom</v>
      </c>
      <c r="BB218" s="30" t="s">
        <v>984</v>
      </c>
      <c r="BC218" s="30" t="s">
        <v>848</v>
      </c>
      <c r="BD218" s="30" t="s">
        <v>450</v>
      </c>
      <c r="BF218" s="30" t="s">
        <v>846</v>
      </c>
      <c r="BG218" s="30" t="s">
        <v>358</v>
      </c>
      <c r="BL218" s="30" t="s">
        <v>862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219" spans="1:66" ht="16" customHeight="1" x14ac:dyDescent="0.2">
      <c r="A219" s="30">
        <v>1658</v>
      </c>
      <c r="B219" s="30" t="s">
        <v>26</v>
      </c>
      <c r="C219" s="30" t="s">
        <v>450</v>
      </c>
      <c r="D219" s="30" t="s">
        <v>137</v>
      </c>
      <c r="E219" s="30" t="s">
        <v>860</v>
      </c>
      <c r="F219" s="36" t="str">
        <f>IF(ISBLANK(Table2[[#This Row],[unique_id]]), "", PROPER(SUBSTITUTE(Table2[[#This Row],[unique_id]], "_", " ")))</f>
        <v>Bathroom Sconces Bulb 2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Bathroom Lights</v>
      </c>
      <c r="T219" s="37"/>
      <c r="U219" s="30"/>
      <c r="V219" s="31"/>
      <c r="W219" s="31" t="s">
        <v>489</v>
      </c>
      <c r="X219" s="47">
        <v>121</v>
      </c>
      <c r="Y219" s="42" t="s">
        <v>756</v>
      </c>
      <c r="Z219" s="31" t="s">
        <v>974</v>
      </c>
      <c r="AA219" s="31"/>
      <c r="AB219" s="30"/>
      <c r="AC219" s="30"/>
      <c r="AG219" s="31"/>
      <c r="AH219" s="31"/>
      <c r="AT219" s="40"/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Bathroom</v>
      </c>
      <c r="BA219" s="30" t="str">
        <f>IF(ISBLANK(Table2[[#This Row],[device_model]]), "", Table2[[#This Row],[device_suggested_area]])</f>
        <v>Bathroom</v>
      </c>
      <c r="BB219" s="30" t="s">
        <v>985</v>
      </c>
      <c r="BC219" s="30" t="s">
        <v>848</v>
      </c>
      <c r="BD219" s="30" t="s">
        <v>450</v>
      </c>
      <c r="BF219" s="30" t="s">
        <v>846</v>
      </c>
      <c r="BG219" s="30" t="s">
        <v>358</v>
      </c>
      <c r="BL219" s="30" t="s">
        <v>863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220" spans="1:66" ht="16" customHeight="1" x14ac:dyDescent="0.2">
      <c r="A220" s="30">
        <v>1638</v>
      </c>
      <c r="B220" s="30" t="s">
        <v>26</v>
      </c>
      <c r="C220" s="30" t="s">
        <v>450</v>
      </c>
      <c r="D220" s="30" t="s">
        <v>137</v>
      </c>
      <c r="E220" s="30" t="s">
        <v>868</v>
      </c>
      <c r="F220" s="36" t="str">
        <f>IF(ISBLANK(Table2[[#This Row],[unique_id]]), "", PROPER(SUBSTITUTE(Table2[[#This Row],[unique_id]], "_", " ")))</f>
        <v>Parents Graham Bedside</v>
      </c>
      <c r="G220" s="30" t="s">
        <v>865</v>
      </c>
      <c r="H220" s="30" t="s">
        <v>139</v>
      </c>
      <c r="I220" s="30" t="s">
        <v>132</v>
      </c>
      <c r="J220" s="30" t="s">
        <v>880</v>
      </c>
      <c r="K220" s="30" t="s">
        <v>883</v>
      </c>
      <c r="M220" s="30" t="s">
        <v>136</v>
      </c>
      <c r="O220" s="31"/>
      <c r="P220" s="30"/>
      <c r="T220" s="37"/>
      <c r="U220" s="30"/>
      <c r="V220" s="31"/>
      <c r="W220" s="31" t="s">
        <v>490</v>
      </c>
      <c r="X220" s="47">
        <v>122</v>
      </c>
      <c r="Y220" s="42" t="s">
        <v>758</v>
      </c>
      <c r="Z220" s="31" t="s">
        <v>974</v>
      </c>
      <c r="AA220" s="31"/>
      <c r="AB220" s="30"/>
      <c r="AC220" s="30"/>
      <c r="AE220" s="30" t="s">
        <v>292</v>
      </c>
      <c r="AG220" s="31"/>
      <c r="AH220" s="31"/>
      <c r="AT220" s="40"/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Parents</v>
      </c>
      <c r="BA220" s="30" t="str">
        <f>IF(ISBLANK(Table2[[#This Row],[device_model]]), "", Table2[[#This Row],[device_suggested_area]])</f>
        <v>Parents</v>
      </c>
      <c r="BB220" s="30" t="s">
        <v>865</v>
      </c>
      <c r="BC220" s="30" t="s">
        <v>848</v>
      </c>
      <c r="BD220" s="30" t="s">
        <v>450</v>
      </c>
      <c r="BF220" s="30" t="s">
        <v>846</v>
      </c>
      <c r="BG220" s="30" t="s">
        <v>192</v>
      </c>
      <c r="BI220" s="30" t="s">
        <v>687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1" spans="1:66" ht="16" customHeight="1" x14ac:dyDescent="0.2">
      <c r="A221" s="30">
        <v>1639</v>
      </c>
      <c r="B221" s="30" t="s">
        <v>26</v>
      </c>
      <c r="C221" s="30" t="s">
        <v>450</v>
      </c>
      <c r="D221" s="30" t="s">
        <v>137</v>
      </c>
      <c r="E221" s="30" t="s">
        <v>869</v>
      </c>
      <c r="F221" s="36" t="str">
        <f>IF(ISBLANK(Table2[[#This Row],[unique_id]]), "", PROPER(SUBSTITUTE(Table2[[#This Row],[unique_id]], "_", " ")))</f>
        <v>Parents Graham Bedside Bulb 1</v>
      </c>
      <c r="H221" s="30" t="s">
        <v>139</v>
      </c>
      <c r="O221" s="31" t="s">
        <v>788</v>
      </c>
      <c r="P221" s="30" t="s">
        <v>165</v>
      </c>
      <c r="Q221" s="30" t="s">
        <v>760</v>
      </c>
      <c r="R221" s="30" t="str">
        <f>Table2[[#This Row],[entity_domain]]</f>
        <v>Lights</v>
      </c>
      <c r="S221" s="30" t="str">
        <f>_xlfn.CONCAT( Table2[[#This Row],[device_suggested_area]], " ",Table2[[#This Row],[powercalc_group_3]])</f>
        <v>Parents Lights</v>
      </c>
      <c r="T221" s="37"/>
      <c r="U221" s="30"/>
      <c r="V221" s="31"/>
      <c r="W221" s="31" t="s">
        <v>489</v>
      </c>
      <c r="X221" s="47">
        <v>122</v>
      </c>
      <c r="Y221" s="42" t="s">
        <v>756</v>
      </c>
      <c r="Z221" s="31" t="s">
        <v>974</v>
      </c>
      <c r="AA221" s="31"/>
      <c r="AB221" s="30"/>
      <c r="AC221" s="30"/>
      <c r="AG221" s="31"/>
      <c r="AH221" s="31"/>
      <c r="AT221" s="40"/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Parents</v>
      </c>
      <c r="BA221" s="30" t="str">
        <f>IF(ISBLANK(Table2[[#This Row],[device_model]]), "", Table2[[#This Row],[device_suggested_area]])</f>
        <v>Parents</v>
      </c>
      <c r="BB221" s="30" t="s">
        <v>987</v>
      </c>
      <c r="BC221" s="30" t="s">
        <v>848</v>
      </c>
      <c r="BD221" s="30" t="s">
        <v>450</v>
      </c>
      <c r="BF221" s="30" t="s">
        <v>846</v>
      </c>
      <c r="BG221" s="30" t="s">
        <v>192</v>
      </c>
      <c r="BI221" s="30" t="s">
        <v>687</v>
      </c>
      <c r="BL221" s="30" t="s">
        <v>851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1296</v>
      </c>
      <c r="BL224" s="30" t="s">
        <v>350</v>
      </c>
      <c r="BM224" s="30" t="s">
        <v>1327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1296</v>
      </c>
      <c r="BL226" s="30" t="s">
        <v>442</v>
      </c>
      <c r="BM226" s="30" t="s">
        <v>1328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1296</v>
      </c>
      <c r="BL230" s="30" t="s">
        <v>1046</v>
      </c>
      <c r="BM230" s="30" t="s">
        <v>1329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1366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1366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1295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1259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1260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1261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1257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1262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1229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1232</v>
      </c>
      <c r="H287" s="30" t="s">
        <v>1228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1231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1230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1233</v>
      </c>
      <c r="H288" s="30" t="s">
        <v>1228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1231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1558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1560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1559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1545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1256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1194</v>
      </c>
      <c r="D299" s="30" t="s">
        <v>148</v>
      </c>
      <c r="E299" s="30" t="s">
        <v>1196</v>
      </c>
      <c r="F299" s="30" t="str">
        <f>IF(ISBLANK(Table2[[#This Row],[unique_id]]), "", PROPER(SUBSTITUTE(Table2[[#This Row],[unique_id]], "_", " ")))</f>
        <v>Service Homeassistant Availability</v>
      </c>
      <c r="G299" s="30" t="s">
        <v>1224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9" s="30" t="str">
        <f>IF(ISBLANK(Table2[[#This Row],[index]]),  "", _xlfn.CONCAT("asystem/supervisor/", SUBSTITUTE(LOWER(Table2[[#This Row],[unique_id]]), "_", "/")))</f>
        <v>asystem/supervisor/service/homeassistant/availability</v>
      </c>
      <c r="AM299" s="30" t="s">
        <v>1226</v>
      </c>
      <c r="AR299" s="30" t="s">
        <v>970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1195</v>
      </c>
      <c r="BC299" s="30" t="s">
        <v>1123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1194</v>
      </c>
      <c r="D300" s="30" t="s">
        <v>148</v>
      </c>
      <c r="E300" s="30" t="s">
        <v>1197</v>
      </c>
      <c r="F300" s="30" t="str">
        <f>IF(ISBLANK(Table2[[#This Row],[unique_id]]), "", PROPER(SUBSTITUTE(Table2[[#This Row],[unique_id]], "_", " ")))</f>
        <v>Service Plex Availability</v>
      </c>
      <c r="G300" s="30" t="s">
        <v>1211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300" s="30" t="str">
        <f>IF(ISBLANK(Table2[[#This Row],[index]]),  "", _xlfn.CONCAT("asystem/supervisor/", SUBSTITUTE(LOWER(Table2[[#This Row],[unique_id]]), "_", "/")))</f>
        <v>asystem/supervisor/service/plex/availability</v>
      </c>
      <c r="AM300" s="30" t="s">
        <v>1226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1195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hidden="1" customHeight="1" x14ac:dyDescent="0.2">
      <c r="A301" s="30">
        <v>2519</v>
      </c>
      <c r="B301" s="30" t="s">
        <v>26</v>
      </c>
      <c r="C301" s="30" t="s">
        <v>1194</v>
      </c>
      <c r="D301" s="30" t="s">
        <v>148</v>
      </c>
      <c r="E301" s="30" t="s">
        <v>1198</v>
      </c>
      <c r="F301" s="30" t="str">
        <f>IF(ISBLANK(Table2[[#This Row],[unique_id]]), "", PROPER(SUBSTITUTE(Table2[[#This Row],[unique_id]], "_", " ")))</f>
        <v>Service Grafana Availability</v>
      </c>
      <c r="G301" s="30" t="s">
        <v>1212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301" s="30" t="str">
        <f>IF(ISBLANK(Table2[[#This Row],[index]]),  "", _xlfn.CONCAT("asystem/supervisor/", SUBSTITUTE(LOWER(Table2[[#This Row],[unique_id]]), "_", "/")))</f>
        <v>asystem/supervisor/service/grafana/availability</v>
      </c>
      <c r="AM301" s="30" t="s">
        <v>1226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1195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hidden="1" customHeight="1" x14ac:dyDescent="0.2">
      <c r="A302" s="30">
        <v>2520</v>
      </c>
      <c r="B302" s="30" t="s">
        <v>26</v>
      </c>
      <c r="C302" s="30" t="s">
        <v>1194</v>
      </c>
      <c r="D302" s="30" t="s">
        <v>148</v>
      </c>
      <c r="E302" s="30" t="s">
        <v>1199</v>
      </c>
      <c r="F302" s="30" t="str">
        <f>IF(ISBLANK(Table2[[#This Row],[unique_id]]), "", PROPER(SUBSTITUTE(Table2[[#This Row],[unique_id]], "_", " ")))</f>
        <v>Service Wrangle Availability</v>
      </c>
      <c r="G302" s="30" t="s">
        <v>1213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302" s="30" t="str">
        <f>IF(ISBLANK(Table2[[#This Row],[index]]),  "", _xlfn.CONCAT("asystem/supervisor/", SUBSTITUTE(LOWER(Table2[[#This Row],[unique_id]]), "_", "/")))</f>
        <v>asystem/supervisor/service/wrangle/availability</v>
      </c>
      <c r="AM302" s="30" t="s">
        <v>1226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1195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hidden="1" customHeight="1" x14ac:dyDescent="0.2">
      <c r="A303" s="30">
        <v>2521</v>
      </c>
      <c r="B303" s="30" t="s">
        <v>26</v>
      </c>
      <c r="C303" s="30" t="s">
        <v>1194</v>
      </c>
      <c r="D303" s="30" t="s">
        <v>148</v>
      </c>
      <c r="E303" s="30" t="s">
        <v>1200</v>
      </c>
      <c r="F303" s="30" t="str">
        <f>IF(ISBLANK(Table2[[#This Row],[unique_id]]), "", PROPER(SUBSTITUTE(Table2[[#This Row],[unique_id]], "_", " ")))</f>
        <v>Service Internet Availability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3" s="30" t="str">
        <f>IF(ISBLANK(Table2[[#This Row],[index]]),  "", _xlfn.CONCAT("asystem/supervisor/", SUBSTITUTE(LOWER(Table2[[#This Row],[unique_id]]), "_", "/")))</f>
        <v>asystem/supervisor/service/internet/availability</v>
      </c>
      <c r="AM303" s="30" t="s">
        <v>1226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1195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hidden="1" customHeight="1" x14ac:dyDescent="0.2">
      <c r="A304" s="30">
        <v>2522</v>
      </c>
      <c r="B304" s="30" t="s">
        <v>26</v>
      </c>
      <c r="C304" s="30" t="s">
        <v>1194</v>
      </c>
      <c r="D304" s="30" t="s">
        <v>148</v>
      </c>
      <c r="E304" s="30" t="s">
        <v>1201</v>
      </c>
      <c r="F304" s="30" t="str">
        <f>IF(ISBLANK(Table2[[#This Row],[unique_id]]), "", PROPER(SUBSTITUTE(Table2[[#This Row],[unique_id]], "_", " ")))</f>
        <v>Service Unifi Availability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4" s="30" t="str">
        <f>IF(ISBLANK(Table2[[#This Row],[index]]),  "", _xlfn.CONCAT("asystem/supervisor/", SUBSTITUTE(LOWER(Table2[[#This Row],[unique_id]]), "_", "/")))</f>
        <v>asystem/supervisor/service/unifi/availability</v>
      </c>
      <c r="AM304" s="30" t="s">
        <v>1226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1195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hidden="1" customHeight="1" x14ac:dyDescent="0.2">
      <c r="A305" s="30">
        <v>2523</v>
      </c>
      <c r="B305" s="30" t="s">
        <v>26</v>
      </c>
      <c r="C305" s="30" t="s">
        <v>1194</v>
      </c>
      <c r="D305" s="30" t="s">
        <v>148</v>
      </c>
      <c r="E305" s="30" t="s">
        <v>1193</v>
      </c>
      <c r="F305" s="30" t="str">
        <f>IF(ISBLANK(Table2[[#This Row],[unique_id]]), "", PROPER(SUBSTITUTE(Table2[[#This Row],[unique_id]], "_", " ")))</f>
        <v>Service Zigbee2Mqtt Availability</v>
      </c>
      <c r="G305" s="30" t="s">
        <v>1214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5" s="30" t="str">
        <f>IF(ISBLANK(Table2[[#This Row],[index]]),  "", _xlfn.CONCAT("asystem/supervisor/", SUBSTITUTE(LOWER(Table2[[#This Row],[unique_id]]), "_", "/")))</f>
        <v>asystem/supervisor/service/zigbee2mqtt/availability</v>
      </c>
      <c r="AM305" s="30" t="s">
        <v>1226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1195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hidden="1" customHeight="1" x14ac:dyDescent="0.2">
      <c r="A306" s="30">
        <v>2524</v>
      </c>
      <c r="B306" s="30" t="s">
        <v>26</v>
      </c>
      <c r="C306" s="30" t="s">
        <v>1194</v>
      </c>
      <c r="D306" s="30" t="s">
        <v>148</v>
      </c>
      <c r="E306" s="30" t="s">
        <v>1202</v>
      </c>
      <c r="F306" s="30" t="str">
        <f>IF(ISBLANK(Table2[[#This Row],[unique_id]]), "", PROPER(SUBSTITUTE(Table2[[#This Row],[unique_id]], "_", " ")))</f>
        <v>Service Weewx Availability</v>
      </c>
      <c r="G306" s="30" t="s">
        <v>1215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6" s="30" t="str">
        <f>IF(ISBLANK(Table2[[#This Row],[index]]),  "", _xlfn.CONCAT("asystem/supervisor/", SUBSTITUTE(LOWER(Table2[[#This Row],[unique_id]]), "_", "/")))</f>
        <v>asystem/supervisor/service/weewx/availability</v>
      </c>
      <c r="AM306" s="30" t="s">
        <v>1226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1195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hidden="1" customHeight="1" x14ac:dyDescent="0.2">
      <c r="A307" s="30">
        <v>2525</v>
      </c>
      <c r="B307" s="30" t="s">
        <v>26</v>
      </c>
      <c r="C307" s="30" t="s">
        <v>1194</v>
      </c>
      <c r="D307" s="30" t="s">
        <v>148</v>
      </c>
      <c r="E307" s="30" t="s">
        <v>1203</v>
      </c>
      <c r="F307" s="30" t="str">
        <f>IF(ISBLANK(Table2[[#This Row],[unique_id]]), "", PROPER(SUBSTITUTE(Table2[[#This Row],[unique_id]], "_", " ")))</f>
        <v>Service Digitemp Availability</v>
      </c>
      <c r="G307" s="30" t="s">
        <v>1216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7" s="30" t="str">
        <f>IF(ISBLANK(Table2[[#This Row],[index]]),  "", _xlfn.CONCAT("asystem/supervisor/", SUBSTITUTE(LOWER(Table2[[#This Row],[unique_id]]), "_", "/")))</f>
        <v>asystem/supervisor/service/digitemp/availability</v>
      </c>
      <c r="AM307" s="30" t="s">
        <v>1226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1195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hidden="1" customHeight="1" x14ac:dyDescent="0.2">
      <c r="A308" s="30">
        <v>2526</v>
      </c>
      <c r="B308" s="30" t="s">
        <v>26</v>
      </c>
      <c r="C308" s="30" t="s">
        <v>1194</v>
      </c>
      <c r="D308" s="30" t="s">
        <v>148</v>
      </c>
      <c r="E308" s="30" t="s">
        <v>1204</v>
      </c>
      <c r="F308" s="30" t="str">
        <f>IF(ISBLANK(Table2[[#This Row],[unique_id]]), "", PROPER(SUBSTITUTE(Table2[[#This Row],[unique_id]], "_", " ")))</f>
        <v>Service Nginx Availability</v>
      </c>
      <c r="G308" s="30" t="s">
        <v>1217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8" s="30" t="str">
        <f>IF(ISBLANK(Table2[[#This Row],[index]]),  "", _xlfn.CONCAT("asystem/supervisor/", SUBSTITUTE(LOWER(Table2[[#This Row],[unique_id]]), "_", "/")))</f>
        <v>asystem/supervisor/service/nginx/availability</v>
      </c>
      <c r="AM308" s="30" t="s">
        <v>1226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1195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hidden="1" customHeight="1" x14ac:dyDescent="0.2">
      <c r="A309" s="30">
        <v>2527</v>
      </c>
      <c r="B309" s="30" t="s">
        <v>26</v>
      </c>
      <c r="C309" s="30" t="s">
        <v>1194</v>
      </c>
      <c r="D309" s="30" t="s">
        <v>148</v>
      </c>
      <c r="E309" s="30" t="s">
        <v>1205</v>
      </c>
      <c r="F309" s="30" t="str">
        <f>IF(ISBLANK(Table2[[#This Row],[unique_id]]), "", PROPER(SUBSTITUTE(Table2[[#This Row],[unique_id]], "_", " ")))</f>
        <v>Service Influxdb Availability</v>
      </c>
      <c r="G309" s="30" t="s">
        <v>1218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9" s="30" t="str">
        <f>IF(ISBLANK(Table2[[#This Row],[index]]),  "", _xlfn.CONCAT("asystem/supervisor/", SUBSTITUTE(LOWER(Table2[[#This Row],[unique_id]]), "_", "/")))</f>
        <v>asystem/supervisor/service/influxdb/availability</v>
      </c>
      <c r="AM309" s="30" t="s">
        <v>1226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1195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hidden="1" customHeight="1" x14ac:dyDescent="0.2">
      <c r="A310" s="30">
        <v>2528</v>
      </c>
      <c r="B310" s="30" t="s">
        <v>26</v>
      </c>
      <c r="C310" s="30" t="s">
        <v>1194</v>
      </c>
      <c r="D310" s="30" t="s">
        <v>148</v>
      </c>
      <c r="E310" s="30" t="s">
        <v>1206</v>
      </c>
      <c r="F310" s="30" t="str">
        <f>IF(ISBLANK(Table2[[#This Row],[unique_id]]), "", PROPER(SUBSTITUTE(Table2[[#This Row],[unique_id]], "_", " ")))</f>
        <v>Service Mariadb Availability</v>
      </c>
      <c r="G310" s="30" t="s">
        <v>1219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10" s="30" t="str">
        <f>IF(ISBLANK(Table2[[#This Row],[index]]),  "", _xlfn.CONCAT("asystem/supervisor/", SUBSTITUTE(LOWER(Table2[[#This Row],[unique_id]]), "_", "/")))</f>
        <v>asystem/supervisor/service/mariadb/availability</v>
      </c>
      <c r="AM310" s="30" t="s">
        <v>1226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1195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hidden="1" customHeight="1" x14ac:dyDescent="0.2">
      <c r="A311" s="30">
        <v>2529</v>
      </c>
      <c r="B311" s="30" t="s">
        <v>26</v>
      </c>
      <c r="C311" s="30" t="s">
        <v>1194</v>
      </c>
      <c r="D311" s="30" t="s">
        <v>148</v>
      </c>
      <c r="E311" s="30" t="s">
        <v>1207</v>
      </c>
      <c r="F311" s="30" t="str">
        <f>IF(ISBLANK(Table2[[#This Row],[unique_id]]), "", PROPER(SUBSTITUTE(Table2[[#This Row],[unique_id]], "_", " ")))</f>
        <v>Service Postgres Availability</v>
      </c>
      <c r="G311" s="30" t="s">
        <v>1220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11" s="30" t="str">
        <f>IF(ISBLANK(Table2[[#This Row],[index]]),  "", _xlfn.CONCAT("asystem/supervisor/", SUBSTITUTE(LOWER(Table2[[#This Row],[unique_id]]), "_", "/")))</f>
        <v>asystem/supervisor/service/postgres/availability</v>
      </c>
      <c r="AM311" s="30" t="s">
        <v>1226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1195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hidden="1" customHeight="1" x14ac:dyDescent="0.2">
      <c r="A312" s="30">
        <v>2530</v>
      </c>
      <c r="B312" s="30" t="s">
        <v>26</v>
      </c>
      <c r="C312" s="30" t="s">
        <v>1194</v>
      </c>
      <c r="D312" s="30" t="s">
        <v>148</v>
      </c>
      <c r="E312" s="30" t="s">
        <v>1208</v>
      </c>
      <c r="F312" s="30" t="str">
        <f>IF(ISBLANK(Table2[[#This Row],[unique_id]]), "", PROPER(SUBSTITUTE(Table2[[#This Row],[unique_id]], "_", " ")))</f>
        <v>Service Letsencrypt Availability</v>
      </c>
      <c r="G312" s="30" t="s">
        <v>1221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12" s="30" t="str">
        <f>IF(ISBLANK(Table2[[#This Row],[index]]),  "", _xlfn.CONCAT("asystem/supervisor/", SUBSTITUTE(LOWER(Table2[[#This Row],[unique_id]]), "_", "/")))</f>
        <v>asystem/supervisor/service/letsencrypt/availability</v>
      </c>
      <c r="AM312" s="30" t="s">
        <v>1226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1195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hidden="1" customHeight="1" x14ac:dyDescent="0.2">
      <c r="A313" s="30">
        <v>2531</v>
      </c>
      <c r="B313" s="30" t="s">
        <v>26</v>
      </c>
      <c r="C313" s="30" t="s">
        <v>1194</v>
      </c>
      <c r="D313" s="30" t="s">
        <v>148</v>
      </c>
      <c r="E313" s="30" t="s">
        <v>1209</v>
      </c>
      <c r="F313" s="30" t="str">
        <f>IF(ISBLANK(Table2[[#This Row],[unique_id]]), "", PROPER(SUBSTITUTE(Table2[[#This Row],[unique_id]], "_", " ")))</f>
        <v>Service Unifipoller Availability</v>
      </c>
      <c r="G313" s="30" t="s">
        <v>1222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3" s="30" t="str">
        <f>IF(ISBLANK(Table2[[#This Row],[index]]),  "", _xlfn.CONCAT("asystem/supervisor/", SUBSTITUTE(LOWER(Table2[[#This Row],[unique_id]]), "_", "/")))</f>
        <v>asystem/supervisor/service/unifipoller/availability</v>
      </c>
      <c r="AM313" s="30" t="s">
        <v>1226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1195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hidden="1" customHeight="1" x14ac:dyDescent="0.2">
      <c r="A314" s="30">
        <v>2532</v>
      </c>
      <c r="B314" s="30" t="s">
        <v>26</v>
      </c>
      <c r="C314" s="30" t="s">
        <v>1194</v>
      </c>
      <c r="D314" s="30" t="s">
        <v>148</v>
      </c>
      <c r="E314" s="30" t="s">
        <v>1210</v>
      </c>
      <c r="F314" s="30" t="str">
        <f>IF(ISBLANK(Table2[[#This Row],[unique_id]]), "", PROPER(SUBSTITUTE(Table2[[#This Row],[unique_id]], "_", " ")))</f>
        <v>Service Monitor Availability</v>
      </c>
      <c r="G314" s="30" t="s">
        <v>1223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4" s="30" t="str">
        <f>IF(ISBLANK(Table2[[#This Row],[index]]),  "", _xlfn.CONCAT("asystem/supervisor/", SUBSTITUTE(LOWER(Table2[[#This Row],[unique_id]]), "_", "/")))</f>
        <v>asystem/supervisor/service/monitor/availability</v>
      </c>
      <c r="AM314" s="30" t="s">
        <v>1226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1195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2533</v>
      </c>
      <c r="B315" s="30" t="s">
        <v>26</v>
      </c>
      <c r="C315" s="30" t="s">
        <v>1194</v>
      </c>
      <c r="D315" s="30" t="s">
        <v>148</v>
      </c>
      <c r="E315" s="30" t="s">
        <v>1523</v>
      </c>
      <c r="F315" s="30" t="str">
        <f>IF(ISBLANK(Table2[[#This Row],[unique_id]]), "", PROPER(SUBSTITUTE(Table2[[#This Row],[unique_id]], "_", " ")))</f>
        <v>Host Mad Availability</v>
      </c>
      <c r="G315" s="30" t="s">
        <v>1517</v>
      </c>
      <c r="H315" s="30" t="s">
        <v>1225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1192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5" s="30" t="str">
        <f>IF(ISBLANK(Table2[[#This Row],[index]]),  "", _xlfn.CONCAT("asystem/supervisor/", SUBSTITUTE(LOWER(Table2[[#This Row],[unique_id]]), "_", "/")))</f>
        <v>asystem/supervisor/host/mad/availability</v>
      </c>
      <c r="AM315" s="30" t="s">
        <v>1226</v>
      </c>
      <c r="AR315" s="30" t="s">
        <v>970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1195</v>
      </c>
      <c r="BC315" s="30" t="s">
        <v>1123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2534</v>
      </c>
      <c r="B316" s="30" t="s">
        <v>26</v>
      </c>
      <c r="C316" s="30" t="s">
        <v>1194</v>
      </c>
      <c r="D316" s="30" t="s">
        <v>148</v>
      </c>
      <c r="E316" s="30" t="s">
        <v>1524</v>
      </c>
      <c r="F316" s="30" t="str">
        <f>IF(ISBLANK(Table2[[#This Row],[unique_id]]), "", PROPER(SUBSTITUTE(Table2[[#This Row],[unique_id]], "_", " ")))</f>
        <v>Host Max Availability</v>
      </c>
      <c r="G316" s="30" t="s">
        <v>1518</v>
      </c>
      <c r="H316" s="30" t="s">
        <v>1225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1192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6" s="30" t="str">
        <f>IF(ISBLANK(Table2[[#This Row],[index]]),  "", _xlfn.CONCAT("asystem/supervisor/", SUBSTITUTE(LOWER(Table2[[#This Row],[unique_id]]), "_", "/")))</f>
        <v>asystem/supervisor/host/max/availability</v>
      </c>
      <c r="AM316" s="30" t="s">
        <v>1226</v>
      </c>
      <c r="AR316" s="30" t="s">
        <v>970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1195</v>
      </c>
      <c r="BC316" s="30" t="s">
        <v>1123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2535</v>
      </c>
      <c r="B317" s="30" t="s">
        <v>26</v>
      </c>
      <c r="C317" s="30" t="s">
        <v>1194</v>
      </c>
      <c r="D317" s="30" t="s">
        <v>148</v>
      </c>
      <c r="E317" s="30" t="s">
        <v>1473</v>
      </c>
      <c r="F317" s="30" t="str">
        <f>IF(ISBLANK(Table2[[#This Row],[unique_id]]), "", PROPER(SUBSTITUTE(Table2[[#This Row],[unique_id]], "_", " ")))</f>
        <v>Host May Availability</v>
      </c>
      <c r="G317" s="30" t="s">
        <v>1472</v>
      </c>
      <c r="H317" s="30" t="s">
        <v>1225</v>
      </c>
      <c r="I317" s="30" t="s">
        <v>291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D317" s="30" t="s">
        <v>1192</v>
      </c>
      <c r="AF317" s="30">
        <v>120</v>
      </c>
      <c r="AG317" s="31" t="s">
        <v>34</v>
      </c>
      <c r="AH317" s="31"/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7" s="30" t="str">
        <f>IF(ISBLANK(Table2[[#This Row],[index]]),  "", _xlfn.CONCAT("asystem/supervisor/", SUBSTITUTE(LOWER(Table2[[#This Row],[unique_id]]), "_", "/")))</f>
        <v>asystem/supervisor/host/may/availability</v>
      </c>
      <c r="AM317" s="30" t="s">
        <v>1226</v>
      </c>
      <c r="AR317" s="30" t="s">
        <v>970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1195</v>
      </c>
      <c r="BC317" s="30" t="s">
        <v>1123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2536</v>
      </c>
      <c r="B318" s="30" t="s">
        <v>26</v>
      </c>
      <c r="C318" s="30" t="s">
        <v>1194</v>
      </c>
      <c r="D318" s="30" t="s">
        <v>148</v>
      </c>
      <c r="E318" s="30" t="s">
        <v>1227</v>
      </c>
      <c r="F318" s="30" t="str">
        <f>IF(ISBLANK(Table2[[#This Row],[unique_id]]), "", PROPER(SUBSTITUTE(Table2[[#This Row],[unique_id]], "_", " ")))</f>
        <v>Host Meg Availability</v>
      </c>
      <c r="G318" s="30" t="s">
        <v>1240</v>
      </c>
      <c r="H318" s="30" t="s">
        <v>1225</v>
      </c>
      <c r="I318" s="30" t="s">
        <v>291</v>
      </c>
      <c r="M318" s="30" t="s">
        <v>136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D318" s="30" t="s">
        <v>1192</v>
      </c>
      <c r="AF318" s="30">
        <v>120</v>
      </c>
      <c r="AG318" s="31" t="s">
        <v>34</v>
      </c>
      <c r="AH318" s="31"/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8" s="30" t="str">
        <f>IF(ISBLANK(Table2[[#This Row],[index]]),  "", _xlfn.CONCAT("asystem/supervisor/", SUBSTITUTE(LOWER(Table2[[#This Row],[unique_id]]), "_", "/")))</f>
        <v>asystem/supervisor/host/meg/availability</v>
      </c>
      <c r="AM318" s="30" t="s">
        <v>1226</v>
      </c>
      <c r="AR318" s="30" t="s">
        <v>970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1195</v>
      </c>
      <c r="BC318" s="30" t="s">
        <v>1123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hidden="1" customHeight="1" x14ac:dyDescent="0.2">
      <c r="A319" s="30">
        <v>2537</v>
      </c>
      <c r="B319" s="30" t="s">
        <v>26</v>
      </c>
      <c r="C319" s="30" t="s">
        <v>1194</v>
      </c>
      <c r="D319" s="30" t="s">
        <v>148</v>
      </c>
      <c r="E319" s="30" t="s">
        <v>1483</v>
      </c>
      <c r="F319" s="30" t="str">
        <f>IF(ISBLANK(Table2[[#This Row],[unique_id]]), "", PROPER(SUBSTITUTE(Table2[[#This Row],[unique_id]], "_", " ")))</f>
        <v>Host Jen Availability</v>
      </c>
      <c r="G319" s="30" t="s">
        <v>1490</v>
      </c>
      <c r="H319" s="30" t="s">
        <v>1225</v>
      </c>
      <c r="I319" s="30" t="s">
        <v>291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D319" s="30" t="s">
        <v>1192</v>
      </c>
      <c r="AF319" s="30">
        <v>120</v>
      </c>
      <c r="AG319" s="31" t="s">
        <v>34</v>
      </c>
      <c r="AH319" s="31"/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9" s="30" t="str">
        <f>IF(ISBLANK(Table2[[#This Row],[index]]),  "", _xlfn.CONCAT("asystem/supervisor/", SUBSTITUTE(LOWER(Table2[[#This Row],[unique_id]]), "_", "/")))</f>
        <v>asystem/supervisor/host/jen/availability</v>
      </c>
      <c r="AM319" s="30" t="s">
        <v>1226</v>
      </c>
      <c r="AR319" s="30" t="s">
        <v>970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1195</v>
      </c>
      <c r="BC319" s="30" t="s">
        <v>1123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2538</v>
      </c>
      <c r="B320" s="30" t="s">
        <v>26</v>
      </c>
      <c r="C320" s="30" t="s">
        <v>440</v>
      </c>
      <c r="D320" s="30" t="s">
        <v>333</v>
      </c>
      <c r="E320" s="30" t="s">
        <v>332</v>
      </c>
      <c r="F320" s="36" t="str">
        <f>IF(ISBLANK(Table2[[#This Row],[unique_id]]), "", PROPER(SUBSTITUTE(Table2[[#This Row],[unique_id]], "_", " ")))</f>
        <v>Column Break</v>
      </c>
      <c r="G320" s="30" t="s">
        <v>329</v>
      </c>
      <c r="H320" s="30" t="s">
        <v>1225</v>
      </c>
      <c r="I320" s="30" t="s">
        <v>291</v>
      </c>
      <c r="M320" s="30" t="s">
        <v>330</v>
      </c>
      <c r="N320" s="30" t="s">
        <v>331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G320" s="31"/>
      <c r="AH320" s="31"/>
      <c r="AR320" s="39"/>
      <c r="AT320" s="32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150</v>
      </c>
      <c r="D321" s="30" t="s">
        <v>606</v>
      </c>
      <c r="E321" s="30" t="s">
        <v>1362</v>
      </c>
      <c r="F321" s="36" t="str">
        <f>IF(ISBLANK(Table2[[#This Row],[unique_id]]), "", PROPER(SUBSTITUTE(Table2[[#This Row],[unique_id]], "_", " ")))</f>
        <v>Google Assistant Synchronize Devices</v>
      </c>
      <c r="G321" s="30" t="s">
        <v>1190</v>
      </c>
      <c r="H321" s="30" t="s">
        <v>607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1241</v>
      </c>
      <c r="D322" s="30" t="s">
        <v>27</v>
      </c>
      <c r="E322" s="30" t="s">
        <v>1247</v>
      </c>
      <c r="F322" s="30" t="str">
        <f>IF(ISBLANK(Table2[[#This Row],[unique_id]]), "", PROPER(SUBSTITUTE(Table2[[#This Row],[unique_id]], "_", " ")))</f>
        <v>Template Utility Temperature Proxy</v>
      </c>
      <c r="G322" s="30" t="s">
        <v>1242</v>
      </c>
      <c r="H322" s="30" t="s">
        <v>1244</v>
      </c>
      <c r="I322" s="30" t="s">
        <v>291</v>
      </c>
      <c r="K322" s="30" t="s">
        <v>1173</v>
      </c>
      <c r="M322" s="30" t="s">
        <v>136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R322" s="39"/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1115</v>
      </c>
      <c r="D323" s="30" t="s">
        <v>27</v>
      </c>
      <c r="E323" s="30" t="s">
        <v>1116</v>
      </c>
      <c r="F323" s="36" t="str">
        <f>IF(ISBLANK(Table2[[#This Row],[unique_id]]), "", PROPER(SUBSTITUTE(Table2[[#This Row],[unique_id]], "_", " ")))</f>
        <v>Rack Top Temperature</v>
      </c>
      <c r="G323" s="30" t="s">
        <v>1118</v>
      </c>
      <c r="H323" s="30" t="s">
        <v>1244</v>
      </c>
      <c r="I323" s="30" t="s">
        <v>291</v>
      </c>
      <c r="K323" s="30" t="s">
        <v>1165</v>
      </c>
      <c r="O323" s="31"/>
      <c r="P323" s="30"/>
      <c r="T323" s="37"/>
      <c r="U323" s="30"/>
      <c r="V323" s="31" t="s">
        <v>1185</v>
      </c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F323" s="30">
        <v>300</v>
      </c>
      <c r="AG323" s="31" t="s">
        <v>34</v>
      </c>
      <c r="AH323" s="31"/>
      <c r="AI323" s="30" t="s">
        <v>1480</v>
      </c>
      <c r="AJ32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3" s="30" t="str">
        <f>IF(ISBLANK(Table2[[#This Row],[index]]),  "", _xlfn.CONCAT("telegraf/", Table2[[#This Row],[unique_id_device]], "/", LOWER(Table2[[#This Row],[device_via_device]])))</f>
        <v>telegraf/macmini-may/digitemp</v>
      </c>
      <c r="AR323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87</v>
      </c>
      <c r="BC323" s="30" t="s">
        <v>1119</v>
      </c>
      <c r="BD323" s="30" t="s">
        <v>1115</v>
      </c>
      <c r="BF323" s="30" t="s">
        <v>1120</v>
      </c>
      <c r="BG323" s="30" t="s">
        <v>28</v>
      </c>
      <c r="BL323" s="30" t="s">
        <v>1141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4" spans="1:66" ht="16" hidden="1" customHeight="1" x14ac:dyDescent="0.2">
      <c r="A324" s="30">
        <v>2542</v>
      </c>
      <c r="B324" s="30" t="s">
        <v>26</v>
      </c>
      <c r="C324" s="30" t="s">
        <v>1115</v>
      </c>
      <c r="D324" s="30" t="s">
        <v>27</v>
      </c>
      <c r="E324" s="30" t="s">
        <v>1165</v>
      </c>
      <c r="F324" s="30" t="str">
        <f>IF(ISBLANK(Table2[[#This Row],[unique_id]]), "", PROPER(SUBSTITUTE(Table2[[#This Row],[unique_id]], "_", " ")))</f>
        <v>Compensation Sensor Rack Top Temperature</v>
      </c>
      <c r="G324" s="30" t="s">
        <v>1118</v>
      </c>
      <c r="H324" s="30" t="s">
        <v>1244</v>
      </c>
      <c r="I324" s="30" t="s">
        <v>291</v>
      </c>
      <c r="J324" s="30" t="s">
        <v>87</v>
      </c>
      <c r="M324" s="30" t="s">
        <v>136</v>
      </c>
      <c r="O324" s="31"/>
      <c r="P324" s="30"/>
      <c r="T324" s="37"/>
      <c r="U324" s="30" t="s">
        <v>436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1117</v>
      </c>
      <c r="F325" s="36" t="str">
        <f>IF(ISBLANK(Table2[[#This Row],[unique_id]]), "", PROPER(SUBSTITUTE(Table2[[#This Row],[unique_id]], "_", " ")))</f>
        <v>Rack Bottom Temperature</v>
      </c>
      <c r="G325" s="30" t="s">
        <v>1124</v>
      </c>
      <c r="H325" s="30" t="s">
        <v>1244</v>
      </c>
      <c r="I325" s="30" t="s">
        <v>291</v>
      </c>
      <c r="K325" s="30" t="s">
        <v>1166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1480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6" spans="1:66" ht="16" hidden="1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1166</v>
      </c>
      <c r="F326" s="30" t="str">
        <f>IF(ISBLANK(Table2[[#This Row],[unique_id]]), "", PROPER(SUBSTITUTE(Table2[[#This Row],[unique_id]], "_", " ")))</f>
        <v>Compensation Sensor Rack Bottom Temperature</v>
      </c>
      <c r="G326" s="30" t="s">
        <v>1124</v>
      </c>
      <c r="H326" s="30" t="s">
        <v>1244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2545</v>
      </c>
      <c r="B327" s="30" t="s">
        <v>26</v>
      </c>
      <c r="C327" s="30" t="s">
        <v>1223</v>
      </c>
      <c r="D327" s="30" t="s">
        <v>27</v>
      </c>
      <c r="E327" s="30" t="s">
        <v>1513</v>
      </c>
      <c r="F327" s="30" t="str">
        <f>IF(ISBLANK(Table2[[#This Row],[unique_id]]), "", PROPER(SUBSTITUTE(Table2[[#This Row],[unique_id]], "_", " ")))</f>
        <v>Host Mad Temperature</v>
      </c>
      <c r="G327" s="30" t="s">
        <v>1517</v>
      </c>
      <c r="H327" s="30" t="s">
        <v>1244</v>
      </c>
      <c r="I327" s="30" t="s">
        <v>291</v>
      </c>
      <c r="K327" s="30" t="s">
        <v>1514</v>
      </c>
      <c r="O327" s="31"/>
      <c r="P327" s="30"/>
      <c r="T327" s="37"/>
      <c r="U327" s="30"/>
      <c r="V327" s="31" t="s">
        <v>315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5</v>
      </c>
      <c r="AG327" s="31" t="s">
        <v>34</v>
      </c>
      <c r="AH327" s="31"/>
      <c r="AI327" s="30" t="s">
        <v>1519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7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7" s="30" t="s">
        <v>1527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1521</v>
      </c>
      <c r="BC327" s="30" t="s">
        <v>1236</v>
      </c>
      <c r="BD327" s="30" t="s">
        <v>1235</v>
      </c>
      <c r="BF327" s="30" t="s">
        <v>990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2546</v>
      </c>
      <c r="B328" s="30" t="s">
        <v>26</v>
      </c>
      <c r="C328" s="30" t="s">
        <v>1223</v>
      </c>
      <c r="D328" s="30" t="s">
        <v>27</v>
      </c>
      <c r="E328" s="30" t="s">
        <v>1514</v>
      </c>
      <c r="F328" s="30" t="str">
        <f>IF(ISBLANK(Table2[[#This Row],[unique_id]]), "", PROPER(SUBSTITUTE(Table2[[#This Row],[unique_id]], "_", " ")))</f>
        <v>Compensation Sensor Host Mad Temperature</v>
      </c>
      <c r="G328" s="30" t="s">
        <v>1517</v>
      </c>
      <c r="H328" s="30" t="s">
        <v>1244</v>
      </c>
      <c r="I328" s="30" t="s">
        <v>291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1223</v>
      </c>
      <c r="D329" s="30" t="s">
        <v>27</v>
      </c>
      <c r="E329" s="30" t="s">
        <v>1515</v>
      </c>
      <c r="F329" s="30" t="str">
        <f>IF(ISBLANK(Table2[[#This Row],[unique_id]]), "", PROPER(SUBSTITUTE(Table2[[#This Row],[unique_id]], "_", " ")))</f>
        <v>Host Max Temperature</v>
      </c>
      <c r="G329" s="30" t="s">
        <v>1518</v>
      </c>
      <c r="H329" s="30" t="s">
        <v>1244</v>
      </c>
      <c r="I329" s="30" t="s">
        <v>291</v>
      </c>
      <c r="K329" s="30" t="s">
        <v>1516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1520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9" s="30" t="s">
        <v>1526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1522</v>
      </c>
      <c r="BC329" s="30" t="s">
        <v>1236</v>
      </c>
      <c r="BD329" s="30" t="s">
        <v>1235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1223</v>
      </c>
      <c r="D330" s="30" t="s">
        <v>27</v>
      </c>
      <c r="E330" s="30" t="s">
        <v>1516</v>
      </c>
      <c r="F330" s="30" t="str">
        <f>IF(ISBLANK(Table2[[#This Row],[unique_id]]), "", PROPER(SUBSTITUTE(Table2[[#This Row],[unique_id]], "_", " ")))</f>
        <v>Compensation Sensor Host Max Temperature</v>
      </c>
      <c r="G330" s="30" t="s">
        <v>1518</v>
      </c>
      <c r="H330" s="30" t="s">
        <v>1244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1223</v>
      </c>
      <c r="D331" s="30" t="s">
        <v>27</v>
      </c>
      <c r="E331" s="30" t="s">
        <v>1474</v>
      </c>
      <c r="F331" s="30" t="str">
        <f>IF(ISBLANK(Table2[[#This Row],[unique_id]]), "", PROPER(SUBSTITUTE(Table2[[#This Row],[unique_id]], "_", " ")))</f>
        <v>Host May Temperature</v>
      </c>
      <c r="G331" s="30" t="s">
        <v>1472</v>
      </c>
      <c r="H331" s="30" t="s">
        <v>1244</v>
      </c>
      <c r="I331" s="30" t="s">
        <v>291</v>
      </c>
      <c r="K331" s="30" t="s">
        <v>1475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1" s="30" t="s">
        <v>1525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1481</v>
      </c>
      <c r="BC331" s="30" t="s">
        <v>1236</v>
      </c>
      <c r="BD331" s="30" t="s">
        <v>1235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1223</v>
      </c>
      <c r="D332" s="30" t="s">
        <v>27</v>
      </c>
      <c r="E332" s="30" t="s">
        <v>1475</v>
      </c>
      <c r="F332" s="30" t="str">
        <f>IF(ISBLANK(Table2[[#This Row],[unique_id]]), "", PROPER(SUBSTITUTE(Table2[[#This Row],[unique_id]], "_", " ")))</f>
        <v>Compensation Sensor Host May Temperature</v>
      </c>
      <c r="G332" s="30" t="s">
        <v>1472</v>
      </c>
      <c r="H332" s="30" t="s">
        <v>1244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1223</v>
      </c>
      <c r="D333" s="30" t="s">
        <v>27</v>
      </c>
      <c r="E333" s="30" t="s">
        <v>1234</v>
      </c>
      <c r="F333" s="30" t="str">
        <f>IF(ISBLANK(Table2[[#This Row],[unique_id]]), "", PROPER(SUBSTITUTE(Table2[[#This Row],[unique_id]], "_", " ")))</f>
        <v>Host Meg Temperature</v>
      </c>
      <c r="G333" s="30" t="s">
        <v>1240</v>
      </c>
      <c r="H333" s="30" t="s">
        <v>1244</v>
      </c>
      <c r="I333" s="30" t="s">
        <v>291</v>
      </c>
      <c r="K333" s="30" t="s">
        <v>1239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1142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3" s="30" t="s">
        <v>1238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1365</v>
      </c>
      <c r="BC333" s="30" t="s">
        <v>1236</v>
      </c>
      <c r="BD333" s="30" t="s">
        <v>1235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26</v>
      </c>
      <c r="C334" s="30" t="s">
        <v>1223</v>
      </c>
      <c r="D334" s="30" t="s">
        <v>27</v>
      </c>
      <c r="E334" s="30" t="s">
        <v>1239</v>
      </c>
      <c r="F334" s="30" t="str">
        <f>IF(ISBLANK(Table2[[#This Row],[unique_id]]), "", PROPER(SUBSTITUTE(Table2[[#This Row],[unique_id]], "_", " ")))</f>
        <v>Compensation Sensor Host Meg Temperature</v>
      </c>
      <c r="G334" s="30" t="s">
        <v>1240</v>
      </c>
      <c r="H334" s="30" t="s">
        <v>1244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2553</v>
      </c>
      <c r="B335" s="30" t="s">
        <v>26</v>
      </c>
      <c r="C335" s="30" t="s">
        <v>1241</v>
      </c>
      <c r="D335" s="30" t="s">
        <v>27</v>
      </c>
      <c r="E335" s="30" t="s">
        <v>1249</v>
      </c>
      <c r="F335" s="30" t="str">
        <f>IF(ISBLANK(Table2[[#This Row],[unique_id]]), "", PROPER(SUBSTITUTE(Table2[[#This Row],[unique_id]], "_", " ")))</f>
        <v>Template Deck Festoons Plug Temperature Proxy</v>
      </c>
      <c r="G335" s="30" t="s">
        <v>1246</v>
      </c>
      <c r="H335" s="30" t="s">
        <v>1245</v>
      </c>
      <c r="I335" s="30" t="s">
        <v>291</v>
      </c>
      <c r="K335" s="30" t="s">
        <v>1164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2554</v>
      </c>
      <c r="B336" s="30" t="s">
        <v>26</v>
      </c>
      <c r="C336" s="30" t="s">
        <v>1241</v>
      </c>
      <c r="D336" s="30" t="s">
        <v>27</v>
      </c>
      <c r="E336" s="30" t="s">
        <v>1248</v>
      </c>
      <c r="F336" s="30" t="str">
        <f>IF(ISBLANK(Table2[[#This Row],[unique_id]]), "", PROPER(SUBSTITUTE(Table2[[#This Row],[unique_id]], "_", " ")))</f>
        <v>Template Wardrobe Temperature Proxy</v>
      </c>
      <c r="G336" s="30" t="s">
        <v>1458</v>
      </c>
      <c r="H336" s="30" t="s">
        <v>1243</v>
      </c>
      <c r="I336" s="30" t="s">
        <v>291</v>
      </c>
      <c r="K336" s="30" t="s">
        <v>1170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1223</v>
      </c>
      <c r="D337" s="30" t="s">
        <v>27</v>
      </c>
      <c r="E337" s="30" t="s">
        <v>1489</v>
      </c>
      <c r="F337" s="30" t="str">
        <f>IF(ISBLANK(Table2[[#This Row],[unique_id]]), "", PROPER(SUBSTITUTE(Table2[[#This Row],[unique_id]], "_", " ")))</f>
        <v>Host Jen Temperature</v>
      </c>
      <c r="G337" s="30" t="s">
        <v>1490</v>
      </c>
      <c r="H337" s="30" t="s">
        <v>1243</v>
      </c>
      <c r="I337" s="30" t="s">
        <v>291</v>
      </c>
      <c r="K337" s="30" t="s">
        <v>1484</v>
      </c>
      <c r="O337" s="31"/>
      <c r="P337" s="30"/>
      <c r="T337" s="37"/>
      <c r="U337" s="30"/>
      <c r="V337" s="31" t="s">
        <v>315</v>
      </c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F337" s="30">
        <v>5</v>
      </c>
      <c r="AG337" s="31" t="s">
        <v>34</v>
      </c>
      <c r="AH337" s="31"/>
      <c r="AI337" s="30" t="s">
        <v>1485</v>
      </c>
      <c r="AJ33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7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7" s="30" t="s">
        <v>1486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1491</v>
      </c>
      <c r="BC337" s="30" t="s">
        <v>1236</v>
      </c>
      <c r="BD337" s="30" t="s">
        <v>1235</v>
      </c>
      <c r="BF337" s="30" t="s">
        <v>990</v>
      </c>
      <c r="BG337" s="30" t="s">
        <v>495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1223</v>
      </c>
      <c r="D338" s="30" t="s">
        <v>27</v>
      </c>
      <c r="E338" s="30" t="s">
        <v>1484</v>
      </c>
      <c r="F338" s="30" t="str">
        <f>IF(ISBLANK(Table2[[#This Row],[unique_id]]), "", PROPER(SUBSTITUTE(Table2[[#This Row],[unique_id]], "_", " ")))</f>
        <v>Compensation Sensor Host Jen Temperature</v>
      </c>
      <c r="G338" s="30" t="s">
        <v>1490</v>
      </c>
      <c r="H338" s="30" t="s">
        <v>1243</v>
      </c>
      <c r="I338" s="30" t="s">
        <v>291</v>
      </c>
      <c r="M338" s="30" t="s">
        <v>136</v>
      </c>
      <c r="O338" s="31"/>
      <c r="P338" s="30"/>
      <c r="T338" s="37"/>
      <c r="U338" s="30" t="s">
        <v>436</v>
      </c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622</v>
      </c>
      <c r="D339" s="30" t="s">
        <v>27</v>
      </c>
      <c r="E339" s="30" t="s">
        <v>660</v>
      </c>
      <c r="F339" s="36" t="str">
        <f>IF(ISBLANK(Table2[[#This Row],[unique_id]]), "", PROPER(SUBSTITUTE(Table2[[#This Row],[unique_id]], "_", " ")))</f>
        <v>Back Door Lock Battery</v>
      </c>
      <c r="G339" s="30" t="s">
        <v>646</v>
      </c>
      <c r="H339" s="30" t="s">
        <v>1189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622</v>
      </c>
      <c r="D340" s="30" t="s">
        <v>27</v>
      </c>
      <c r="E340" s="30" t="s">
        <v>661</v>
      </c>
      <c r="F340" s="36" t="str">
        <f>IF(ISBLANK(Table2[[#This Row],[unique_id]]), "", PROPER(SUBSTITUTE(Table2[[#This Row],[unique_id]], "_", " ")))</f>
        <v>Front Door Lock Battery</v>
      </c>
      <c r="G340" s="30" t="s">
        <v>645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334</v>
      </c>
      <c r="D341" s="30" t="s">
        <v>27</v>
      </c>
      <c r="E341" s="30" t="s">
        <v>663</v>
      </c>
      <c r="F341" s="36" t="str">
        <f>IF(ISBLANK(Table2[[#This Row],[unique_id]]), "", PROPER(SUBSTITUTE(Table2[[#This Row],[unique_id]], "_", " ")))</f>
        <v>Template Back Door Sensor Battery Last</v>
      </c>
      <c r="G341" s="30" t="s">
        <v>648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334</v>
      </c>
      <c r="D342" s="30" t="s">
        <v>27</v>
      </c>
      <c r="E342" s="30" t="s">
        <v>662</v>
      </c>
      <c r="F342" s="36" t="str">
        <f>IF(ISBLANK(Table2[[#This Row],[unique_id]]), "", PROPER(SUBSTITUTE(Table2[[#This Row],[unique_id]], "_", " ")))</f>
        <v>Template Front Door Sensor Battery Last</v>
      </c>
      <c r="G342" s="30" t="s">
        <v>647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579</v>
      </c>
      <c r="C343" s="30" t="s">
        <v>457</v>
      </c>
      <c r="D343" s="30" t="s">
        <v>27</v>
      </c>
      <c r="E343" s="30" t="s">
        <v>485</v>
      </c>
      <c r="F343" s="36" t="str">
        <f>IF(ISBLANK(Table2[[#This Row],[unique_id]]), "", PROPER(SUBSTITUTE(Table2[[#This Row],[unique_id]], "_", " ")))</f>
        <v>Home Cube Remote Battery</v>
      </c>
      <c r="G343" s="30" t="s">
        <v>465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s="49" customFormat="1" ht="16" hidden="1" customHeight="1" x14ac:dyDescent="0.2">
      <c r="A344" s="30">
        <v>2562</v>
      </c>
      <c r="B344" s="49" t="s">
        <v>26</v>
      </c>
      <c r="C344" s="49" t="s">
        <v>150</v>
      </c>
      <c r="D344" s="49" t="s">
        <v>27</v>
      </c>
      <c r="E344" s="49" t="s">
        <v>657</v>
      </c>
      <c r="F344" s="50" t="str">
        <f>IF(ISBLANK(Table2[[#This Row],[unique_id]]), "", PROPER(SUBSTITUTE(Table2[[#This Row],[unique_id]], "_", " ")))</f>
        <v>Template Weatherstation Console Battery Percent Int</v>
      </c>
      <c r="G344" s="49" t="s">
        <v>655</v>
      </c>
      <c r="H344" s="49" t="s">
        <v>1189</v>
      </c>
      <c r="I344" s="49" t="s">
        <v>291</v>
      </c>
      <c r="M344" s="49" t="s">
        <v>136</v>
      </c>
      <c r="O344" s="51"/>
      <c r="T344" s="52"/>
      <c r="V344" s="51"/>
      <c r="W344" s="51"/>
      <c r="X344" s="51"/>
      <c r="Y344" s="51"/>
      <c r="Z344" s="51"/>
      <c r="AA344" s="51"/>
      <c r="AB344" s="49" t="s">
        <v>31</v>
      </c>
      <c r="AC344" s="49" t="s">
        <v>32</v>
      </c>
      <c r="AD344" s="49" t="s">
        <v>656</v>
      </c>
      <c r="AG344" s="51"/>
      <c r="AH344" s="51"/>
      <c r="AR344" s="53"/>
      <c r="AT344" s="54"/>
      <c r="AU344" s="51"/>
      <c r="AV344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49" t="str">
        <f>IF(ISBLANK(Table2[[#This Row],[device_model]]), "", Table2[[#This Row],[device_suggested_area]])</f>
        <v/>
      </c>
      <c r="BF344" s="51"/>
      <c r="BN344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hidden="1" customHeight="1" x14ac:dyDescent="0.2">
      <c r="A345" s="30">
        <v>2563</v>
      </c>
      <c r="B345" s="49" t="s">
        <v>26</v>
      </c>
      <c r="C345" s="49" t="s">
        <v>39</v>
      </c>
      <c r="D345" s="49" t="s">
        <v>27</v>
      </c>
      <c r="E345" s="49" t="s">
        <v>170</v>
      </c>
      <c r="F345" s="50" t="str">
        <f>IF(ISBLANK(Table2[[#This Row],[unique_id]]), "", PROPER(SUBSTITUTE(Table2[[#This Row],[unique_id]], "_", " ")))</f>
        <v>Weatherstation Console Battery Voltage</v>
      </c>
      <c r="G345" s="49" t="s">
        <v>464</v>
      </c>
      <c r="H345" s="49" t="s">
        <v>1189</v>
      </c>
      <c r="I345" s="49" t="s">
        <v>291</v>
      </c>
      <c r="O345" s="51"/>
      <c r="T345" s="52"/>
      <c r="V345" s="51" t="s">
        <v>1258</v>
      </c>
      <c r="W345" s="51"/>
      <c r="X345" s="51"/>
      <c r="Y345" s="51"/>
      <c r="Z345" s="51"/>
      <c r="AA345" s="51"/>
      <c r="AB345" s="49" t="s">
        <v>31</v>
      </c>
      <c r="AC345" s="49" t="s">
        <v>83</v>
      </c>
      <c r="AD345" s="49" t="s">
        <v>84</v>
      </c>
      <c r="AE345" s="49" t="s">
        <v>272</v>
      </c>
      <c r="AF345" s="49">
        <v>300</v>
      </c>
      <c r="AG345" s="51" t="s">
        <v>34</v>
      </c>
      <c r="AH345" s="51"/>
      <c r="AI345" s="49" t="s">
        <v>85</v>
      </c>
      <c r="AJ345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5" s="49" t="str">
        <f>IF(ISBLANK(Table2[[#This Row],[index]]),  "", _xlfn.CONCAT(LOWER(Table2[[#This Row],[device_via_device]]), "/", Table2[[#This Row],[unique_id]]))</f>
        <v>weewx/weatherstation_console_battery_voltage</v>
      </c>
      <c r="AR345" s="53" t="s">
        <v>1187</v>
      </c>
      <c r="AS345" s="49">
        <v>1</v>
      </c>
      <c r="AT345" s="54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>Wardrobe</v>
      </c>
      <c r="BB345" s="49" t="s">
        <v>1256</v>
      </c>
      <c r="BC345" s="49" t="s">
        <v>36</v>
      </c>
      <c r="BD345" s="49" t="s">
        <v>37</v>
      </c>
      <c r="BF345" s="49" t="s">
        <v>1064</v>
      </c>
      <c r="BG345" s="49" t="s">
        <v>495</v>
      </c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26</v>
      </c>
      <c r="C346" s="30" t="s">
        <v>128</v>
      </c>
      <c r="D346" s="30" t="s">
        <v>27</v>
      </c>
      <c r="E346" s="39" t="s">
        <v>1391</v>
      </c>
      <c r="F346" s="36" t="str">
        <f>IF(ISBLANK(Table2[[#This Row],[unique_id]]), "", PROPER(SUBSTITUTE(Table2[[#This Row],[unique_id]], "_", " ")))</f>
        <v>Office Pantry Battery</v>
      </c>
      <c r="G346" s="30" t="s">
        <v>458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Pantry</v>
      </c>
      <c r="BB346" s="30" t="s">
        <v>992</v>
      </c>
      <c r="BC346" s="30" t="s">
        <v>994</v>
      </c>
      <c r="BD346" s="30" t="s">
        <v>128</v>
      </c>
      <c r="BF346" s="30" t="s">
        <v>424</v>
      </c>
      <c r="BG346" s="30" t="s">
        <v>211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hidden="1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1392</v>
      </c>
      <c r="F347" s="36" t="str">
        <f>IF(ISBLANK(Table2[[#This Row],[unique_id]]), "", PROPER(SUBSTITUTE(Table2[[#This Row],[unique_id]], "_", " ")))</f>
        <v>Office Lounge Battery</v>
      </c>
      <c r="G347" s="30" t="s">
        <v>459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Lounge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194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hidden="1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1393</v>
      </c>
      <c r="F348" s="36" t="str">
        <f>IF(ISBLANK(Table2[[#This Row],[unique_id]]), "", PROPER(SUBSTITUTE(Table2[[#This Row],[unique_id]], "_", " ")))</f>
        <v>Office Dining Battery</v>
      </c>
      <c r="G348" s="30" t="s">
        <v>460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Dining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193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1394</v>
      </c>
      <c r="F349" s="36" t="str">
        <f>IF(ISBLANK(Table2[[#This Row],[unique_id]]), "", PROPER(SUBSTITUTE(Table2[[#This Row],[unique_id]], "_", " ")))</f>
        <v>Office Basement Battery</v>
      </c>
      <c r="G349" s="30" t="s">
        <v>461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Basement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210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182</v>
      </c>
      <c r="D350" s="30" t="s">
        <v>27</v>
      </c>
      <c r="E350" s="30" t="s">
        <v>736</v>
      </c>
      <c r="F350" s="36" t="str">
        <f>IF(ISBLANK(Table2[[#This Row],[unique_id]]), "", PROPER(SUBSTITUTE(Table2[[#This Row],[unique_id]], "_", " ")))</f>
        <v>Parents Move Battery</v>
      </c>
      <c r="G350" s="30" t="s">
        <v>462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182</v>
      </c>
      <c r="D351" s="30" t="s">
        <v>27</v>
      </c>
      <c r="E351" s="30" t="s">
        <v>735</v>
      </c>
      <c r="F351" s="36" t="str">
        <f>IF(ISBLANK(Table2[[#This Row],[unique_id]]), "", PROPER(SUBSTITUTE(Table2[[#This Row],[unique_id]], "_", " ")))</f>
        <v>Kitchen Move Battery</v>
      </c>
      <c r="G351" s="30" t="s">
        <v>463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440</v>
      </c>
      <c r="D352" s="30" t="s">
        <v>333</v>
      </c>
      <c r="E352" s="30" t="s">
        <v>332</v>
      </c>
      <c r="F352" s="36" t="str">
        <f>IF(ISBLANK(Table2[[#This Row],[unique_id]]), "", PROPER(SUBSTITUTE(Table2[[#This Row],[unique_id]], "_", " ")))</f>
        <v>Column Break</v>
      </c>
      <c r="G352" s="30" t="s">
        <v>329</v>
      </c>
      <c r="H352" s="30" t="s">
        <v>1189</v>
      </c>
      <c r="I352" s="30" t="s">
        <v>291</v>
      </c>
      <c r="M352" s="30" t="s">
        <v>330</v>
      </c>
      <c r="N352" s="30" t="s">
        <v>331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R352" s="39"/>
      <c r="AT352" s="32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777</v>
      </c>
      <c r="D353" s="30" t="s">
        <v>27</v>
      </c>
      <c r="E353" s="30" t="s">
        <v>828</v>
      </c>
      <c r="F353" s="36" t="str">
        <f>IF(ISBLANK(Table2[[#This Row],[unique_id]]), "", PROPER(SUBSTITUTE(Table2[[#This Row],[unique_id]], "_", " ")))</f>
        <v>All Standby</v>
      </c>
      <c r="G353" s="30" t="s">
        <v>829</v>
      </c>
      <c r="H353" s="30" t="s">
        <v>526</v>
      </c>
      <c r="I353" s="30" t="s">
        <v>291</v>
      </c>
      <c r="O353" s="31" t="s">
        <v>788</v>
      </c>
      <c r="P353" s="30"/>
      <c r="R353" s="41"/>
      <c r="T353" s="37" t="s">
        <v>827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695</v>
      </c>
      <c r="D354" s="30" t="s">
        <v>134</v>
      </c>
      <c r="E354" s="30" t="s">
        <v>1528</v>
      </c>
      <c r="F354" s="36" t="str">
        <f>IF(ISBLANK(Table2[[#This Row],[unique_id]]), "", PROPER(SUBSTITUTE(Table2[[#This Row],[unique_id]], "_", " ")))</f>
        <v>Rack Printer Plug</v>
      </c>
      <c r="G354" s="30" t="s">
        <v>1543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/>
      <c r="T354" s="37" t="s">
        <v>971</v>
      </c>
      <c r="U354" s="30"/>
      <c r="V354" s="31"/>
      <c r="W354" s="31"/>
      <c r="X354" s="31"/>
      <c r="Y354" s="31"/>
      <c r="Z354" s="31"/>
      <c r="AA354" s="31" t="s">
        <v>1109</v>
      </c>
      <c r="AB354" s="30"/>
      <c r="AC354" s="30"/>
      <c r="AE354" s="30" t="s">
        <v>1529</v>
      </c>
      <c r="AF354" s="30">
        <v>10</v>
      </c>
      <c r="AG354" s="31" t="s">
        <v>34</v>
      </c>
      <c r="AH354" s="31" t="s">
        <v>897</v>
      </c>
      <c r="AJ354" s="30" t="str">
        <f>_xlfn.CONCAT("homeassistant/", Table2[[#This Row],[entity_namespace]], "/tasmota/",Table2[[#This Row],[unique_id]], "/config")</f>
        <v>homeassistant/switch/tasmota/rack_printer_plug/config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4" s="30" t="str">
        <f>_xlfn.CONCAT("tasmota/device/",Table2[[#This Row],[unique_id]], "/cmnd/POWER")</f>
        <v>tasmota/device/rack_printer_plug/cmnd/POWER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4" s="30" t="s">
        <v>916</v>
      </c>
      <c r="AO354" s="30" t="s">
        <v>917</v>
      </c>
      <c r="AP354" s="30" t="s">
        <v>906</v>
      </c>
      <c r="AQ354" s="30" t="s">
        <v>907</v>
      </c>
      <c r="AR354" s="30" t="s">
        <v>970</v>
      </c>
      <c r="AS354" s="30">
        <v>1</v>
      </c>
      <c r="AT354" s="34" t="str">
        <f>HYPERLINK(_xlfn.CONCAT("http://", Table2[[#This Row],[connection_ip]], "/?"))</f>
        <v>http://10.0.4.111/?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382</v>
      </c>
      <c r="BC354" s="39" t="s">
        <v>767</v>
      </c>
      <c r="BD354" s="30" t="s">
        <v>1110</v>
      </c>
      <c r="BF354" s="30" t="s">
        <v>887</v>
      </c>
      <c r="BG354" s="30" t="s">
        <v>28</v>
      </c>
      <c r="BK354" s="30" t="s">
        <v>1296</v>
      </c>
      <c r="BL354" s="30" t="s">
        <v>1548</v>
      </c>
      <c r="BM354" s="30" t="s">
        <v>1544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5" spans="1:66" ht="16" hidden="1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1538</v>
      </c>
      <c r="F355" s="36" t="str">
        <f>IF(ISBLANK(Table2[[#This Row],[unique_id]]), "", PROPER(SUBSTITUTE(Table2[[#This Row],[unique_id]], "_", " ")))</f>
        <v>Rack Screen Plug</v>
      </c>
      <c r="G355" s="30" t="s">
        <v>1531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1532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homeassistant/switch/tasmota/rack_screen_plug/config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5" s="30" t="str">
        <f>_xlfn.CONCAT("tasmota/device/",Table2[[#This Row],[unique_id]], "/cmnd/POWER")</f>
        <v>tasmota/device/rack_screen_plug/cmnd/POWER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http://10.0.4.109/?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1535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1296</v>
      </c>
      <c r="BL355" s="30" t="s">
        <v>1540</v>
      </c>
      <c r="BM355" s="30" t="s">
        <v>1536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6" spans="1:66" ht="16" hidden="1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1505</v>
      </c>
      <c r="F356" s="36" t="str">
        <f>IF(ISBLANK(Table2[[#This Row],[unique_id]]), "", PROPER(SUBSTITUTE(Table2[[#This Row],[unique_id]], "_", " ")))</f>
        <v>Rack Backup Plug</v>
      </c>
      <c r="G356" s="30" t="s">
        <v>1530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1533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homeassistant/switch/tasmota/rack_backup_plug/config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6" s="30" t="str">
        <f>_xlfn.CONCAT("tasmota/device/",Table2[[#This Row],[unique_id]], "/cmnd/POWER")</f>
        <v>tasmota/device/rack_backup_plug/cmnd/POWER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http://10.0.4.110/?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1534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1296</v>
      </c>
      <c r="BL356" s="30" t="s">
        <v>1539</v>
      </c>
      <c r="BM356" s="30" t="s">
        <v>1537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888</v>
      </c>
      <c r="F357" s="36" t="str">
        <f>IF(ISBLANK(Table2[[#This Row],[unique_id]]), "", PROPER(SUBSTITUTE(Table2[[#This Row],[unique_id]], "_", " ")))</f>
        <v>Rack Fans Plug</v>
      </c>
      <c r="G357" s="30" t="s">
        <v>588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590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homeassistant/switch/tasmota/rack_fans_plug/config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7" s="30" t="str">
        <f>_xlfn.CONCAT("tasmota/device/",Table2[[#This Row],[unique_id]], "/cmnd/POWER")</f>
        <v>tasmota/device/rack_fans_plug/cmnd/POWER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http://10.0.4.101/?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131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1296</v>
      </c>
      <c r="BL357" s="30" t="s">
        <v>589</v>
      </c>
      <c r="BM357" s="30" t="s">
        <v>1350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808</v>
      </c>
      <c r="D358" s="30" t="s">
        <v>148</v>
      </c>
      <c r="E358" s="37" t="s">
        <v>1071</v>
      </c>
      <c r="F358" s="36" t="str">
        <f>IF(ISBLANK(Table2[[#This Row],[unique_id]]), "", PROPER(SUBSTITUTE(Table2[[#This Row],[unique_id]], "_", " ")))</f>
        <v>Template Lounge Tv Plug Proxy</v>
      </c>
      <c r="G358" s="30" t="s">
        <v>180</v>
      </c>
      <c r="H358" s="30" t="s">
        <v>526</v>
      </c>
      <c r="I358" s="30" t="s">
        <v>291</v>
      </c>
      <c r="O358" s="31" t="s">
        <v>788</v>
      </c>
      <c r="P358" s="30" t="s">
        <v>165</v>
      </c>
      <c r="Q358" s="30" t="s">
        <v>760</v>
      </c>
      <c r="R358" s="41" t="s">
        <v>745</v>
      </c>
      <c r="S358" s="30" t="str">
        <f>Table2[[#This Row],[friendly_name]]</f>
        <v>Lounge TV</v>
      </c>
      <c r="T358" s="37" t="s">
        <v>1068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R358" s="39"/>
      <c r="AT358" s="32"/>
      <c r="AU358" s="30" t="s">
        <v>134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Lounge</v>
      </c>
      <c r="BB358" s="30" t="s">
        <v>981</v>
      </c>
      <c r="BC358" s="30" t="s">
        <v>359</v>
      </c>
      <c r="BD358" s="30" t="s">
        <v>233</v>
      </c>
      <c r="BF358" s="30" t="s">
        <v>362</v>
      </c>
      <c r="BG358" s="30" t="s">
        <v>194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hidden="1" customHeight="1" x14ac:dyDescent="0.2">
      <c r="A359" s="30">
        <v>2577</v>
      </c>
      <c r="B359" s="30" t="s">
        <v>26</v>
      </c>
      <c r="C359" s="30" t="s">
        <v>233</v>
      </c>
      <c r="D359" s="30" t="s">
        <v>134</v>
      </c>
      <c r="E359" s="30" t="s">
        <v>1070</v>
      </c>
      <c r="F359" s="36" t="str">
        <f>IF(ISBLANK(Table2[[#This Row],[unique_id]]), "", PROPER(SUBSTITUTE(Table2[[#This Row],[unique_id]], "_", " ")))</f>
        <v>Lounge Tv Plug</v>
      </c>
      <c r="G359" s="30" t="s">
        <v>180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250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J359" s="30" t="s">
        <v>978</v>
      </c>
      <c r="BK359" s="30" t="s">
        <v>1296</v>
      </c>
      <c r="BL359" s="30" t="s">
        <v>349</v>
      </c>
      <c r="BM359" s="30" t="s">
        <v>1330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0" spans="1:66" s="55" customFormat="1" ht="16" hidden="1" customHeight="1" x14ac:dyDescent="0.2">
      <c r="A360" s="30">
        <v>2578</v>
      </c>
      <c r="B360" s="55" t="s">
        <v>579</v>
      </c>
      <c r="C360" s="55" t="s">
        <v>808</v>
      </c>
      <c r="D360" s="55" t="s">
        <v>148</v>
      </c>
      <c r="E360" s="56" t="s">
        <v>1434</v>
      </c>
      <c r="F360" s="57" t="str">
        <f>IF(ISBLANK(Table2[[#This Row],[unique_id]]), "", PROPER(SUBSTITUTE(Table2[[#This Row],[unique_id]], "_", " ")))</f>
        <v>Broken Template Lounge Sub Plug Proxy</v>
      </c>
      <c r="G360" s="55" t="s">
        <v>792</v>
      </c>
      <c r="H360" s="55" t="s">
        <v>526</v>
      </c>
      <c r="I360" s="55" t="s">
        <v>291</v>
      </c>
      <c r="O360" s="58" t="s">
        <v>788</v>
      </c>
      <c r="P360" s="55" t="s">
        <v>165</v>
      </c>
      <c r="Q360" s="55" t="s">
        <v>760</v>
      </c>
      <c r="R360" s="61" t="s">
        <v>745</v>
      </c>
      <c r="S360" s="55" t="str">
        <f>Table2[[#This Row],[friendly_name]]</f>
        <v>Lounge Sub</v>
      </c>
      <c r="T360" s="56" t="s">
        <v>1068</v>
      </c>
      <c r="V360" s="58"/>
      <c r="W360" s="58"/>
      <c r="X360" s="58"/>
      <c r="Y360" s="58"/>
      <c r="Z360" s="58"/>
      <c r="AA360" s="58"/>
      <c r="AG360" s="58"/>
      <c r="AH360" s="58"/>
      <c r="AR360" s="60"/>
      <c r="AT360" s="62"/>
      <c r="AU360" s="55" t="s">
        <v>134</v>
      </c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Lounge</v>
      </c>
      <c r="BB360" s="55" t="s">
        <v>1021</v>
      </c>
      <c r="BC360" s="60" t="s">
        <v>360</v>
      </c>
      <c r="BD360" s="55" t="s">
        <v>233</v>
      </c>
      <c r="BF360" s="55" t="s">
        <v>361</v>
      </c>
      <c r="BG360" s="55" t="s">
        <v>194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5" customFormat="1" ht="16" hidden="1" customHeight="1" x14ac:dyDescent="0.2">
      <c r="A361" s="30">
        <v>2579</v>
      </c>
      <c r="B361" s="55" t="s">
        <v>579</v>
      </c>
      <c r="C361" s="55" t="s">
        <v>233</v>
      </c>
      <c r="D361" s="55" t="s">
        <v>134</v>
      </c>
      <c r="E361" s="55" t="s">
        <v>1435</v>
      </c>
      <c r="F361" s="57" t="str">
        <f>IF(ISBLANK(Table2[[#This Row],[unique_id]]), "", PROPER(SUBSTITUTE(Table2[[#This Row],[unique_id]], "_", " ")))</f>
        <v>Broken Lounge Sub Plug</v>
      </c>
      <c r="G361" s="55" t="s">
        <v>792</v>
      </c>
      <c r="H361" s="55" t="s">
        <v>526</v>
      </c>
      <c r="I361" s="55" t="s">
        <v>291</v>
      </c>
      <c r="M361" s="55" t="s">
        <v>257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1" s="58"/>
      <c r="W361" s="58"/>
      <c r="X361" s="58"/>
      <c r="Y361" s="58"/>
      <c r="Z361" s="58"/>
      <c r="AA361" s="58"/>
      <c r="AE361" s="55" t="s">
        <v>793</v>
      </c>
      <c r="AG361" s="58"/>
      <c r="AH361" s="58"/>
      <c r="AT361" s="59"/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J361" s="55" t="s">
        <v>977</v>
      </c>
      <c r="BK361" s="55" t="s">
        <v>1296</v>
      </c>
      <c r="BL361" s="55" t="s">
        <v>340</v>
      </c>
      <c r="BM361" s="55" t="s">
        <v>1331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2" spans="1:66" s="55" customFormat="1" ht="16" hidden="1" customHeight="1" x14ac:dyDescent="0.2">
      <c r="A362" s="30">
        <v>2580</v>
      </c>
      <c r="B362" s="55" t="s">
        <v>579</v>
      </c>
      <c r="C362" s="55" t="s">
        <v>808</v>
      </c>
      <c r="D362" s="55" t="s">
        <v>148</v>
      </c>
      <c r="E362" s="56" t="s">
        <v>1436</v>
      </c>
      <c r="F362" s="57" t="str">
        <f>IF(ISBLANK(Table2[[#This Row],[unique_id]]), "", PROPER(SUBSTITUTE(Table2[[#This Row],[unique_id]], "_", " ")))</f>
        <v>Broken Template Study Outlet Plug Proxy</v>
      </c>
      <c r="G362" s="55" t="s">
        <v>226</v>
      </c>
      <c r="H362" s="55" t="s">
        <v>526</v>
      </c>
      <c r="I362" s="55" t="s">
        <v>291</v>
      </c>
      <c r="O362" s="58" t="s">
        <v>788</v>
      </c>
      <c r="P362" s="55" t="s">
        <v>165</v>
      </c>
      <c r="Q362" s="55" t="s">
        <v>760</v>
      </c>
      <c r="R362" s="55" t="s">
        <v>526</v>
      </c>
      <c r="S362" s="55" t="str">
        <f>Table2[[#This Row],[friendly_name]]</f>
        <v>Study Outlet</v>
      </c>
      <c r="T362" s="56" t="s">
        <v>1067</v>
      </c>
      <c r="V362" s="58"/>
      <c r="W362" s="58"/>
      <c r="X362" s="58"/>
      <c r="Y362" s="58"/>
      <c r="Z362" s="58"/>
      <c r="AA362" s="58"/>
      <c r="AG362" s="58"/>
      <c r="AH362" s="58"/>
      <c r="AT362" s="59"/>
      <c r="AU362" s="55" t="s">
        <v>134</v>
      </c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Study</v>
      </c>
      <c r="BB362" s="55" t="s">
        <v>1019</v>
      </c>
      <c r="BC362" s="60" t="s">
        <v>360</v>
      </c>
      <c r="BD362" s="55" t="s">
        <v>233</v>
      </c>
      <c r="BF362" s="55" t="s">
        <v>361</v>
      </c>
      <c r="BG362" s="55" t="s">
        <v>356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233</v>
      </c>
      <c r="D363" s="55" t="s">
        <v>134</v>
      </c>
      <c r="E363" s="55" t="s">
        <v>1437</v>
      </c>
      <c r="F363" s="57" t="str">
        <f>IF(ISBLANK(Table2[[#This Row],[unique_id]]), "", PROPER(SUBSTITUTE(Table2[[#This Row],[unique_id]], "_", " ")))</f>
        <v>Broken Study Outlet Plug</v>
      </c>
      <c r="G363" s="55" t="s">
        <v>226</v>
      </c>
      <c r="H363" s="55" t="s">
        <v>526</v>
      </c>
      <c r="I363" s="55" t="s">
        <v>291</v>
      </c>
      <c r="M363" s="55" t="s">
        <v>257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3" s="58"/>
      <c r="W363" s="58"/>
      <c r="X363" s="58"/>
      <c r="Y363" s="58"/>
      <c r="Z363" s="58"/>
      <c r="AA363" s="58"/>
      <c r="AE363" s="55" t="s">
        <v>251</v>
      </c>
      <c r="AG363" s="58"/>
      <c r="AH363" s="58"/>
      <c r="AT363" s="59"/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J363" s="55" t="s">
        <v>977</v>
      </c>
      <c r="BK363" s="55" t="s">
        <v>1296</v>
      </c>
      <c r="BL363" s="55" t="s">
        <v>351</v>
      </c>
      <c r="BM363" s="55" t="s">
        <v>1332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808</v>
      </c>
      <c r="D364" s="55" t="s">
        <v>148</v>
      </c>
      <c r="E364" s="56" t="s">
        <v>1438</v>
      </c>
      <c r="F364" s="57" t="str">
        <f>IF(ISBLANK(Table2[[#This Row],[unique_id]]), "", PROPER(SUBSTITUTE(Table2[[#This Row],[unique_id]], "_", " ")))</f>
        <v>Broken Template Office Outlet Plug Proxy</v>
      </c>
      <c r="G364" s="55" t="s">
        <v>225</v>
      </c>
      <c r="H364" s="55" t="s">
        <v>526</v>
      </c>
      <c r="I364" s="55" t="s">
        <v>291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Office Outlet</v>
      </c>
      <c r="T364" s="56" t="s">
        <v>1067</v>
      </c>
      <c r="V364" s="58"/>
      <c r="W364" s="58"/>
      <c r="X364" s="58"/>
      <c r="Y364" s="58"/>
      <c r="Z364" s="58"/>
      <c r="AA364" s="58"/>
      <c r="AG364" s="58"/>
      <c r="AH364" s="58"/>
      <c r="AT364" s="59"/>
      <c r="AU364" s="55" t="s">
        <v>134</v>
      </c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Office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212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233</v>
      </c>
      <c r="D365" s="55" t="s">
        <v>134</v>
      </c>
      <c r="E365" s="55" t="s">
        <v>1439</v>
      </c>
      <c r="F365" s="57" t="str">
        <f>IF(ISBLANK(Table2[[#This Row],[unique_id]]), "", PROPER(SUBSTITUTE(Table2[[#This Row],[unique_id]], "_", " ")))</f>
        <v>Broken Office Outlet Plug</v>
      </c>
      <c r="G365" s="55" t="s">
        <v>225</v>
      </c>
      <c r="H365" s="55" t="s">
        <v>526</v>
      </c>
      <c r="I365" s="55" t="s">
        <v>291</v>
      </c>
      <c r="M365" s="55" t="s">
        <v>257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5" s="58"/>
      <c r="W365" s="58"/>
      <c r="X365" s="58"/>
      <c r="Y365" s="58"/>
      <c r="Z365" s="58"/>
      <c r="AA365" s="58"/>
      <c r="AE365" s="55" t="s">
        <v>251</v>
      </c>
      <c r="AG365" s="58"/>
      <c r="AH365" s="58"/>
      <c r="AT365" s="59"/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J365" s="55" t="s">
        <v>978</v>
      </c>
      <c r="BK365" s="55" t="s">
        <v>1296</v>
      </c>
      <c r="BL365" s="55" t="s">
        <v>352</v>
      </c>
      <c r="BM365" s="55" t="s">
        <v>1333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808</v>
      </c>
      <c r="D366" s="55" t="s">
        <v>148</v>
      </c>
      <c r="E366" s="56" t="s">
        <v>1440</v>
      </c>
      <c r="F366" s="57" t="str">
        <f>IF(ISBLANK(Table2[[#This Row],[unique_id]]), "", PROPER(SUBSTITUTE(Table2[[#This Row],[unique_id]], "_", " ")))</f>
        <v>Broken Template Kitchen Dish Washer Plug Proxy</v>
      </c>
      <c r="G366" s="55" t="s">
        <v>228</v>
      </c>
      <c r="H366" s="55" t="s">
        <v>526</v>
      </c>
      <c r="I366" s="55" t="s">
        <v>291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Dish Washer</v>
      </c>
      <c r="T366" s="56" t="s">
        <v>1067</v>
      </c>
      <c r="V366" s="58"/>
      <c r="W366" s="58"/>
      <c r="X366" s="58"/>
      <c r="Y366" s="58"/>
      <c r="Z366" s="58"/>
      <c r="AA366" s="58"/>
      <c r="AG366" s="58"/>
      <c r="AH366" s="58"/>
      <c r="AT366" s="59"/>
      <c r="AU366" s="55" t="s">
        <v>134</v>
      </c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Kitchen</v>
      </c>
      <c r="BB366" s="55" t="s">
        <v>228</v>
      </c>
      <c r="BC366" s="60" t="s">
        <v>360</v>
      </c>
      <c r="BD366" s="55" t="s">
        <v>233</v>
      </c>
      <c r="BF366" s="55" t="s">
        <v>361</v>
      </c>
      <c r="BG366" s="55" t="s">
        <v>206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233</v>
      </c>
      <c r="D367" s="55" t="s">
        <v>134</v>
      </c>
      <c r="E367" s="55" t="s">
        <v>1441</v>
      </c>
      <c r="F367" s="57" t="str">
        <f>IF(ISBLANK(Table2[[#This Row],[unique_id]]), "", PROPER(SUBSTITUTE(Table2[[#This Row],[unique_id]], "_", " ")))</f>
        <v>Broken Kitchen Dish Washer Plug</v>
      </c>
      <c r="G367" s="55" t="s">
        <v>228</v>
      </c>
      <c r="H367" s="55" t="s">
        <v>526</v>
      </c>
      <c r="I367" s="55" t="s">
        <v>291</v>
      </c>
      <c r="M367" s="55" t="s">
        <v>257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7" s="58"/>
      <c r="W367" s="58"/>
      <c r="X367" s="58"/>
      <c r="Y367" s="58"/>
      <c r="Z367" s="58"/>
      <c r="AA367" s="58"/>
      <c r="AE367" s="55" t="s">
        <v>244</v>
      </c>
      <c r="AG367" s="58"/>
      <c r="AH367" s="58"/>
      <c r="AT367" s="59"/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J367" s="55" t="s">
        <v>978</v>
      </c>
      <c r="BK367" s="55" t="s">
        <v>1296</v>
      </c>
      <c r="BL367" s="55" t="s">
        <v>343</v>
      </c>
      <c r="BM367" s="55" t="s">
        <v>1334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8" spans="1:66" ht="16" hidden="1" customHeight="1" x14ac:dyDescent="0.2">
      <c r="A368" s="30">
        <v>2586</v>
      </c>
      <c r="B368" s="30" t="s">
        <v>26</v>
      </c>
      <c r="C368" s="30" t="s">
        <v>808</v>
      </c>
      <c r="D368" s="30" t="s">
        <v>148</v>
      </c>
      <c r="E368" s="37" t="s">
        <v>964</v>
      </c>
      <c r="F368" s="36" t="str">
        <f>IF(ISBLANK(Table2[[#This Row],[unique_id]]), "", PROPER(SUBSTITUTE(Table2[[#This Row],[unique_id]], "_", " ")))</f>
        <v>Template Kitchen Dish Washer Plug Proxy</v>
      </c>
      <c r="G368" s="30" t="s">
        <v>228</v>
      </c>
      <c r="H368" s="30" t="s">
        <v>526</v>
      </c>
      <c r="I368" s="30" t="s">
        <v>291</v>
      </c>
      <c r="O368" s="31" t="s">
        <v>788</v>
      </c>
      <c r="P368" s="30" t="s">
        <v>165</v>
      </c>
      <c r="Q368" s="30" t="s">
        <v>761</v>
      </c>
      <c r="R368" s="30" t="s">
        <v>771</v>
      </c>
      <c r="S368" s="30" t="str">
        <f>Table2[[#This Row],[friendly_name]]</f>
        <v>Dish Washer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134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228</v>
      </c>
      <c r="BC368" s="30" t="s">
        <v>359</v>
      </c>
      <c r="BD368" s="30" t="s">
        <v>233</v>
      </c>
      <c r="BF368" s="30" t="s">
        <v>362</v>
      </c>
      <c r="BG368" s="30" t="s">
        <v>206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hidden="1" customHeight="1" x14ac:dyDescent="0.2">
      <c r="A369" s="30">
        <v>2587</v>
      </c>
      <c r="B369" s="30" t="s">
        <v>26</v>
      </c>
      <c r="C369" s="30" t="s">
        <v>233</v>
      </c>
      <c r="D369" s="30" t="s">
        <v>134</v>
      </c>
      <c r="E369" s="30" t="s">
        <v>835</v>
      </c>
      <c r="F369" s="36" t="str">
        <f>IF(ISBLANK(Table2[[#This Row],[unique_id]]), "", PROPER(SUBSTITUTE(Table2[[#This Row],[unique_id]], "_", " ")))</f>
        <v>Kitchen Dish Washer Plug</v>
      </c>
      <c r="G369" s="30" t="s">
        <v>228</v>
      </c>
      <c r="H369" s="30" t="s">
        <v>526</v>
      </c>
      <c r="I369" s="30" t="s">
        <v>291</v>
      </c>
      <c r="M369" s="30" t="s">
        <v>257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244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J369" s="30" t="s">
        <v>978</v>
      </c>
      <c r="BK369" s="30" t="s">
        <v>1296</v>
      </c>
      <c r="BL369" s="30" t="s">
        <v>355</v>
      </c>
      <c r="BM369" s="30" t="s">
        <v>1345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808</v>
      </c>
      <c r="D370" s="55" t="s">
        <v>148</v>
      </c>
      <c r="E370" s="56" t="s">
        <v>1442</v>
      </c>
      <c r="F370" s="57" t="str">
        <f>IF(ISBLANK(Table2[[#This Row],[unique_id]]), "", PROPER(SUBSTITUTE(Table2[[#This Row],[unique_id]], "_", " ")))</f>
        <v>Broken Template Laundry Clothes Dryer Plug Proxy</v>
      </c>
      <c r="G370" s="55" t="s">
        <v>229</v>
      </c>
      <c r="H370" s="55" t="s">
        <v>526</v>
      </c>
      <c r="I370" s="55" t="s">
        <v>291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Clothes Dryer</v>
      </c>
      <c r="T370" s="56" t="s">
        <v>1067</v>
      </c>
      <c r="V370" s="58"/>
      <c r="W370" s="58"/>
      <c r="X370" s="58"/>
      <c r="Y370" s="58"/>
      <c r="Z370" s="58"/>
      <c r="AA370" s="58"/>
      <c r="AG370" s="58"/>
      <c r="AH370" s="58"/>
      <c r="AT370" s="59"/>
      <c r="AU370" s="55" t="s">
        <v>134</v>
      </c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229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5" customFormat="1" ht="16" hidden="1" customHeight="1" x14ac:dyDescent="0.2">
      <c r="A371" s="30">
        <v>2589</v>
      </c>
      <c r="B371" s="55" t="s">
        <v>579</v>
      </c>
      <c r="C371" s="55" t="s">
        <v>233</v>
      </c>
      <c r="D371" s="55" t="s">
        <v>134</v>
      </c>
      <c r="E371" s="55" t="s">
        <v>1443</v>
      </c>
      <c r="F371" s="57" t="str">
        <f>IF(ISBLANK(Table2[[#This Row],[unique_id]]), "", PROPER(SUBSTITUTE(Table2[[#This Row],[unique_id]], "_", " ")))</f>
        <v>Broken Laundry Clothes Dryer Plug</v>
      </c>
      <c r="G371" s="55" t="s">
        <v>229</v>
      </c>
      <c r="H371" s="55" t="s">
        <v>526</v>
      </c>
      <c r="I371" s="55" t="s">
        <v>291</v>
      </c>
      <c r="M371" s="55" t="s">
        <v>257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1" s="58"/>
      <c r="W371" s="58"/>
      <c r="X371" s="58"/>
      <c r="Y371" s="58"/>
      <c r="Z371" s="58"/>
      <c r="AA371" s="58"/>
      <c r="AE371" s="55" t="s">
        <v>245</v>
      </c>
      <c r="AG371" s="58"/>
      <c r="AH371" s="58"/>
      <c r="AT371" s="59"/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J371" s="55" t="s">
        <v>977</v>
      </c>
      <c r="BK371" s="55" t="s">
        <v>1296</v>
      </c>
      <c r="BL371" s="55" t="s">
        <v>344</v>
      </c>
      <c r="BM371" s="55" t="s">
        <v>1335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2" spans="1:66" s="55" customFormat="1" ht="16" hidden="1" customHeight="1" x14ac:dyDescent="0.2">
      <c r="A372" s="30">
        <v>2590</v>
      </c>
      <c r="B372" s="55" t="s">
        <v>579</v>
      </c>
      <c r="C372" s="55" t="s">
        <v>808</v>
      </c>
      <c r="D372" s="55" t="s">
        <v>148</v>
      </c>
      <c r="E372" s="56" t="s">
        <v>1444</v>
      </c>
      <c r="F372" s="57" t="str">
        <f>IF(ISBLANK(Table2[[#This Row],[unique_id]]), "", PROPER(SUBSTITUTE(Table2[[#This Row],[unique_id]], "_", " ")))</f>
        <v>Broken Template Laundry Washing Machine Plug Proxy</v>
      </c>
      <c r="G372" s="55" t="s">
        <v>227</v>
      </c>
      <c r="H372" s="55" t="s">
        <v>526</v>
      </c>
      <c r="I372" s="55" t="s">
        <v>291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Washing Machine</v>
      </c>
      <c r="T372" s="56" t="s">
        <v>1067</v>
      </c>
      <c r="V372" s="58"/>
      <c r="W372" s="58"/>
      <c r="X372" s="58"/>
      <c r="Y372" s="58"/>
      <c r="Z372" s="58"/>
      <c r="AA372" s="58"/>
      <c r="AG372" s="58"/>
      <c r="AH372" s="58"/>
      <c r="AT372" s="59"/>
      <c r="AU372" s="55" t="s">
        <v>134</v>
      </c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227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233</v>
      </c>
      <c r="D373" s="55" t="s">
        <v>134</v>
      </c>
      <c r="E373" s="55" t="s">
        <v>1445</v>
      </c>
      <c r="F373" s="57" t="str">
        <f>IF(ISBLANK(Table2[[#This Row],[unique_id]]), "", PROPER(SUBSTITUTE(Table2[[#This Row],[unique_id]], "_", " ")))</f>
        <v>Broken Laundry Washing Machine Plug</v>
      </c>
      <c r="G373" s="55" t="s">
        <v>227</v>
      </c>
      <c r="H373" s="55" t="s">
        <v>526</v>
      </c>
      <c r="I373" s="55" t="s">
        <v>291</v>
      </c>
      <c r="M373" s="55" t="s">
        <v>257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3" s="58"/>
      <c r="W373" s="58"/>
      <c r="X373" s="58"/>
      <c r="Y373" s="58"/>
      <c r="Z373" s="58"/>
      <c r="AA373" s="58"/>
      <c r="AE373" s="55" t="s">
        <v>246</v>
      </c>
      <c r="AG373" s="58"/>
      <c r="AH373" s="58"/>
      <c r="AT373" s="59"/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J373" s="55" t="s">
        <v>977</v>
      </c>
      <c r="BK373" s="55" t="s">
        <v>1296</v>
      </c>
      <c r="BL373" s="55" t="s">
        <v>345</v>
      </c>
      <c r="BM373" s="55" t="s">
        <v>1336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4" spans="1:66" ht="16" hidden="1" customHeight="1" x14ac:dyDescent="0.2">
      <c r="A374" s="30">
        <v>2592</v>
      </c>
      <c r="B374" s="30" t="s">
        <v>26</v>
      </c>
      <c r="C374" s="30" t="s">
        <v>808</v>
      </c>
      <c r="D374" s="30" t="s">
        <v>148</v>
      </c>
      <c r="E374" s="37" t="s">
        <v>1542</v>
      </c>
      <c r="F374" s="36" t="str">
        <f>IF(ISBLANK(Table2[[#This Row],[unique_id]]), "", PROPER(SUBSTITUTE(Table2[[#This Row],[unique_id]], "_", " ")))</f>
        <v>Template Kitchen Fridge Plug Proxy</v>
      </c>
      <c r="G374" s="30" t="s">
        <v>223</v>
      </c>
      <c r="H374" s="30" t="s">
        <v>526</v>
      </c>
      <c r="I374" s="30" t="s">
        <v>291</v>
      </c>
      <c r="O374" s="31" t="s">
        <v>788</v>
      </c>
      <c r="P374" s="30" t="s">
        <v>165</v>
      </c>
      <c r="Q374" s="30" t="s">
        <v>760</v>
      </c>
      <c r="R374" s="30" t="s">
        <v>772</v>
      </c>
      <c r="S374" s="30" t="str">
        <f>Table2[[#This Row],[friendly_name]]</f>
        <v>Kitchen Fridge</v>
      </c>
      <c r="T374" s="37" t="s">
        <v>1068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134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Kitchen</v>
      </c>
      <c r="BB374" s="30" t="s">
        <v>1022</v>
      </c>
      <c r="BC374" s="30" t="s">
        <v>359</v>
      </c>
      <c r="BD374" s="30" t="s">
        <v>233</v>
      </c>
      <c r="BF374" s="30" t="s">
        <v>362</v>
      </c>
      <c r="BG374" s="30" t="s">
        <v>206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hidden="1" customHeight="1" x14ac:dyDescent="0.2">
      <c r="A375" s="30">
        <v>2593</v>
      </c>
      <c r="B375" s="30" t="s">
        <v>26</v>
      </c>
      <c r="C375" s="30" t="s">
        <v>233</v>
      </c>
      <c r="D375" s="30" t="s">
        <v>134</v>
      </c>
      <c r="E375" s="30" t="s">
        <v>1541</v>
      </c>
      <c r="F375" s="36" t="str">
        <f>IF(ISBLANK(Table2[[#This Row],[unique_id]]), "", PROPER(SUBSTITUTE(Table2[[#This Row],[unique_id]], "_", " ")))</f>
        <v>Kitchen Fridge Plug</v>
      </c>
      <c r="G375" s="30" t="s">
        <v>223</v>
      </c>
      <c r="H375" s="30" t="s">
        <v>526</v>
      </c>
      <c r="I375" s="30" t="s">
        <v>291</v>
      </c>
      <c r="M375" s="30" t="s">
        <v>257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248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J375" s="30" t="s">
        <v>978</v>
      </c>
      <c r="BK375" s="63" t="s">
        <v>1296</v>
      </c>
      <c r="BL375" s="63" t="s">
        <v>1506</v>
      </c>
      <c r="BM375" s="63" t="s">
        <v>1507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6" spans="1:66" ht="16" hidden="1" customHeight="1" x14ac:dyDescent="0.2">
      <c r="A376" s="30">
        <v>2594</v>
      </c>
      <c r="B376" s="30" t="s">
        <v>26</v>
      </c>
      <c r="C376" s="30" t="s">
        <v>808</v>
      </c>
      <c r="D376" s="30" t="s">
        <v>148</v>
      </c>
      <c r="E376" s="37" t="s">
        <v>966</v>
      </c>
      <c r="F376" s="36" t="str">
        <f>IF(ISBLANK(Table2[[#This Row],[unique_id]]), "", PROPER(SUBSTITUTE(Table2[[#This Row],[unique_id]], "_", " ")))</f>
        <v>Template Deck Freezer Plug Proxy</v>
      </c>
      <c r="G376" s="30" t="s">
        <v>224</v>
      </c>
      <c r="H376" s="30" t="s">
        <v>526</v>
      </c>
      <c r="I376" s="30" t="s">
        <v>291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Deck Freezer</v>
      </c>
      <c r="T376" s="37" t="s">
        <v>1068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134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Deck</v>
      </c>
      <c r="BB376" s="30" t="s">
        <v>1023</v>
      </c>
      <c r="BC376" s="30" t="s">
        <v>359</v>
      </c>
      <c r="BD376" s="30" t="s">
        <v>233</v>
      </c>
      <c r="BF376" s="30" t="s">
        <v>362</v>
      </c>
      <c r="BG376" s="30" t="s">
        <v>357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hidden="1" customHeight="1" x14ac:dyDescent="0.2">
      <c r="A377" s="30">
        <v>2595</v>
      </c>
      <c r="B377" s="30" t="s">
        <v>26</v>
      </c>
      <c r="C377" s="30" t="s">
        <v>233</v>
      </c>
      <c r="D377" s="30" t="s">
        <v>134</v>
      </c>
      <c r="E377" s="30" t="s">
        <v>837</v>
      </c>
      <c r="F377" s="36" t="str">
        <f>IF(ISBLANK(Table2[[#This Row],[unique_id]]), "", PROPER(SUBSTITUTE(Table2[[#This Row],[unique_id]], "_", " ")))</f>
        <v>Deck Freezer Plug</v>
      </c>
      <c r="G377" s="30" t="s">
        <v>224</v>
      </c>
      <c r="H377" s="30" t="s">
        <v>526</v>
      </c>
      <c r="I377" s="30" t="s">
        <v>291</v>
      </c>
      <c r="M377" s="30" t="s">
        <v>257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249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J377" s="30" t="s">
        <v>978</v>
      </c>
      <c r="BK377" s="30" t="s">
        <v>1296</v>
      </c>
      <c r="BL377" s="30" t="s">
        <v>347</v>
      </c>
      <c r="BM377" s="30" t="s">
        <v>1338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8" spans="1:66" ht="16" hidden="1" customHeight="1" x14ac:dyDescent="0.2">
      <c r="A378" s="30">
        <v>2596</v>
      </c>
      <c r="B378" s="30" t="s">
        <v>26</v>
      </c>
      <c r="C378" s="30" t="s">
        <v>808</v>
      </c>
      <c r="D378" s="30" t="s">
        <v>148</v>
      </c>
      <c r="E378" s="37" t="s">
        <v>1426</v>
      </c>
      <c r="F378" s="36" t="str">
        <f>IF(ISBLANK(Table2[[#This Row],[unique_id]]), "", PROPER(SUBSTITUTE(Table2[[#This Row],[unique_id]], "_", " ")))</f>
        <v>Template Garden Sewerage Blower Plug Proxy</v>
      </c>
      <c r="G378" s="30" t="s">
        <v>1427</v>
      </c>
      <c r="H378" s="30" t="s">
        <v>526</v>
      </c>
      <c r="I378" s="30" t="s">
        <v>291</v>
      </c>
      <c r="O378" s="31" t="s">
        <v>788</v>
      </c>
      <c r="P378" s="30" t="s">
        <v>165</v>
      </c>
      <c r="Q378" s="30" t="s">
        <v>760</v>
      </c>
      <c r="R378" s="30" t="s">
        <v>526</v>
      </c>
      <c r="S378" s="30" t="str">
        <f>Table2[[#This Row],[friendly_name]]</f>
        <v>Sewerage Blower</v>
      </c>
      <c r="T37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8" s="30"/>
      <c r="V378" s="31"/>
      <c r="W378" s="31"/>
      <c r="X378" s="31"/>
      <c r="Y378" s="31"/>
      <c r="Z378" s="31"/>
      <c r="AA378" s="31"/>
      <c r="AB378" s="30"/>
      <c r="AC378" s="30"/>
      <c r="AG378" s="31"/>
      <c r="AH378" s="31"/>
      <c r="AT378" s="40"/>
      <c r="AU378" s="30" t="s">
        <v>134</v>
      </c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">
        <v>576</v>
      </c>
      <c r="BB378" s="30" t="s">
        <v>1427</v>
      </c>
      <c r="BC378" s="30" t="s">
        <v>359</v>
      </c>
      <c r="BD378" s="30" t="s">
        <v>233</v>
      </c>
      <c r="BF378" s="30" t="s">
        <v>362</v>
      </c>
      <c r="BG378" s="30" t="s">
        <v>576</v>
      </c>
      <c r="BL378" s="36"/>
      <c r="BM378" s="36"/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ht="16" hidden="1" customHeight="1" x14ac:dyDescent="0.2">
      <c r="A379" s="30">
        <v>2597</v>
      </c>
      <c r="B379" s="30" t="s">
        <v>26</v>
      </c>
      <c r="C379" s="30" t="s">
        <v>233</v>
      </c>
      <c r="D379" s="30" t="s">
        <v>134</v>
      </c>
      <c r="E379" s="30" t="s">
        <v>1425</v>
      </c>
      <c r="F379" s="36" t="str">
        <f>IF(ISBLANK(Table2[[#This Row],[unique_id]]), "", PROPER(SUBSTITUTE(Table2[[#This Row],[unique_id]], "_", " ")))</f>
        <v>Garden Sewerage Blower Plug</v>
      </c>
      <c r="G379" s="30" t="s">
        <v>1427</v>
      </c>
      <c r="H379" s="30" t="s">
        <v>526</v>
      </c>
      <c r="I379" s="30" t="s">
        <v>291</v>
      </c>
      <c r="M379" s="30" t="s">
        <v>257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9" s="30"/>
      <c r="V379" s="31"/>
      <c r="W379" s="31"/>
      <c r="X379" s="31"/>
      <c r="Y379" s="31"/>
      <c r="Z379" s="31"/>
      <c r="AA379" s="31"/>
      <c r="AB379" s="30"/>
      <c r="AC379" s="30"/>
      <c r="AE379" s="30" t="s">
        <v>243</v>
      </c>
      <c r="AG379" s="31"/>
      <c r="AH379" s="31"/>
      <c r="AT379" s="40"/>
      <c r="AU379" s="30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1427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J379" s="30" t="s">
        <v>978</v>
      </c>
      <c r="BK379" s="30" t="s">
        <v>1296</v>
      </c>
      <c r="BL379" s="36" t="s">
        <v>363</v>
      </c>
      <c r="BM379" s="36" t="s">
        <v>1317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0" spans="1:66" s="55" customFormat="1" ht="16" hidden="1" customHeight="1" x14ac:dyDescent="0.2">
      <c r="A380" s="30">
        <v>2598</v>
      </c>
      <c r="B380" s="55" t="s">
        <v>579</v>
      </c>
      <c r="C380" s="55" t="s">
        <v>808</v>
      </c>
      <c r="D380" s="55" t="s">
        <v>148</v>
      </c>
      <c r="E380" s="56" t="s">
        <v>1446</v>
      </c>
      <c r="F380" s="57" t="str">
        <f>IF(ISBLANK(Table2[[#This Row],[unique_id]]), "", PROPER(SUBSTITUTE(Table2[[#This Row],[unique_id]], "_", " ")))</f>
        <v>Broken Template Study Battery Charger Plug Proxy</v>
      </c>
      <c r="G380" s="55" t="s">
        <v>231</v>
      </c>
      <c r="H380" s="55" t="s">
        <v>526</v>
      </c>
      <c r="I380" s="55" t="s">
        <v>291</v>
      </c>
      <c r="O380" s="58" t="s">
        <v>788</v>
      </c>
      <c r="P380" s="55" t="s">
        <v>165</v>
      </c>
      <c r="Q380" s="55" t="s">
        <v>760</v>
      </c>
      <c r="R380" s="55" t="s">
        <v>526</v>
      </c>
      <c r="S380" s="55" t="str">
        <f>Table2[[#This Row],[friendly_name]]</f>
        <v>Battery Charger</v>
      </c>
      <c r="T380" s="56" t="s">
        <v>1067</v>
      </c>
      <c r="V380" s="58"/>
      <c r="W380" s="58"/>
      <c r="X380" s="58"/>
      <c r="Y380" s="58"/>
      <c r="Z380" s="58"/>
      <c r="AA380" s="58"/>
      <c r="AG380" s="58"/>
      <c r="AH380" s="58"/>
      <c r="AT380" s="59"/>
      <c r="AU380" s="55" t="s">
        <v>134</v>
      </c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Study</v>
      </c>
      <c r="BB380" s="55" t="s">
        <v>231</v>
      </c>
      <c r="BC380" s="60" t="s">
        <v>360</v>
      </c>
      <c r="BD380" s="55" t="s">
        <v>233</v>
      </c>
      <c r="BF380" s="55" t="s">
        <v>361</v>
      </c>
      <c r="BG380" s="55" t="s">
        <v>356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5" customFormat="1" ht="16" hidden="1" customHeight="1" x14ac:dyDescent="0.2">
      <c r="A381" s="30">
        <v>2599</v>
      </c>
      <c r="B381" s="55" t="s">
        <v>579</v>
      </c>
      <c r="C381" s="55" t="s">
        <v>233</v>
      </c>
      <c r="D381" s="55" t="s">
        <v>134</v>
      </c>
      <c r="E381" s="55" t="s">
        <v>1447</v>
      </c>
      <c r="F381" s="57" t="str">
        <f>IF(ISBLANK(Table2[[#This Row],[unique_id]]), "", PROPER(SUBSTITUTE(Table2[[#This Row],[unique_id]], "_", " ")))</f>
        <v>Broken Study Battery Charger Plug</v>
      </c>
      <c r="G381" s="55" t="s">
        <v>231</v>
      </c>
      <c r="H381" s="55" t="s">
        <v>526</v>
      </c>
      <c r="I381" s="55" t="s">
        <v>291</v>
      </c>
      <c r="M381" s="55" t="s">
        <v>257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1" s="58"/>
      <c r="W381" s="58"/>
      <c r="X381" s="58"/>
      <c r="Y381" s="58"/>
      <c r="Z381" s="58"/>
      <c r="AA381" s="58"/>
      <c r="AE381" s="55" t="s">
        <v>255</v>
      </c>
      <c r="AG381" s="58"/>
      <c r="AH381" s="58"/>
      <c r="AT381" s="59"/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J381" s="55" t="s">
        <v>977</v>
      </c>
      <c r="BK381" s="55" t="s">
        <v>1296</v>
      </c>
      <c r="BL381" s="55" t="s">
        <v>341</v>
      </c>
      <c r="BM381" s="55" t="s">
        <v>1339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2" spans="1:66" s="55" customFormat="1" ht="16" hidden="1" customHeight="1" x14ac:dyDescent="0.2">
      <c r="A382" s="30">
        <v>2600</v>
      </c>
      <c r="B382" s="55" t="s">
        <v>579</v>
      </c>
      <c r="C382" s="55" t="s">
        <v>808</v>
      </c>
      <c r="D382" s="55" t="s">
        <v>148</v>
      </c>
      <c r="E382" s="56" t="s">
        <v>1448</v>
      </c>
      <c r="F382" s="57" t="str">
        <f>IF(ISBLANK(Table2[[#This Row],[unique_id]]), "", PROPER(SUBSTITUTE(Table2[[#This Row],[unique_id]], "_", " ")))</f>
        <v>Broken Template Laundry Vacuum Charger Plug Proxy</v>
      </c>
      <c r="G382" s="55" t="s">
        <v>230</v>
      </c>
      <c r="H382" s="55" t="s">
        <v>526</v>
      </c>
      <c r="I382" s="55" t="s">
        <v>291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Vacuum Charger</v>
      </c>
      <c r="T382" s="56" t="s">
        <v>1067</v>
      </c>
      <c r="V382" s="58"/>
      <c r="W382" s="58"/>
      <c r="X382" s="58"/>
      <c r="Y382" s="58"/>
      <c r="Z382" s="58"/>
      <c r="AA382" s="58"/>
      <c r="AG382" s="58"/>
      <c r="AH382" s="58"/>
      <c r="AT382" s="59"/>
      <c r="AU382" s="55" t="s">
        <v>134</v>
      </c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Laundry</v>
      </c>
      <c r="BB382" s="55" t="s">
        <v>230</v>
      </c>
      <c r="BC382" s="60" t="s">
        <v>360</v>
      </c>
      <c r="BD382" s="55" t="s">
        <v>233</v>
      </c>
      <c r="BF382" s="55" t="s">
        <v>361</v>
      </c>
      <c r="BG382" s="55" t="s">
        <v>213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233</v>
      </c>
      <c r="D383" s="55" t="s">
        <v>134</v>
      </c>
      <c r="E383" s="55" t="s">
        <v>1449</v>
      </c>
      <c r="F383" s="57" t="str">
        <f>IF(ISBLANK(Table2[[#This Row],[unique_id]]), "", PROPER(SUBSTITUTE(Table2[[#This Row],[unique_id]], "_", " ")))</f>
        <v>Broken Laundry Vacuum Charger Plug</v>
      </c>
      <c r="G383" s="55" t="s">
        <v>230</v>
      </c>
      <c r="H383" s="55" t="s">
        <v>526</v>
      </c>
      <c r="I383" s="55" t="s">
        <v>291</v>
      </c>
      <c r="M383" s="55" t="s">
        <v>257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3" s="58"/>
      <c r="W383" s="58"/>
      <c r="X383" s="58"/>
      <c r="Y383" s="58"/>
      <c r="Z383" s="58"/>
      <c r="AA383" s="58"/>
      <c r="AE383" s="55" t="s">
        <v>255</v>
      </c>
      <c r="AG383" s="58"/>
      <c r="AH383" s="58"/>
      <c r="AT383" s="59"/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J383" s="55" t="s">
        <v>978</v>
      </c>
      <c r="BK383" s="55" t="s">
        <v>1296</v>
      </c>
      <c r="BL383" s="55" t="s">
        <v>342</v>
      </c>
      <c r="BM383" s="55" t="s">
        <v>1340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808</v>
      </c>
      <c r="D384" s="55" t="s">
        <v>148</v>
      </c>
      <c r="E384" s="56" t="s">
        <v>1450</v>
      </c>
      <c r="F384" s="57" t="str">
        <f>IF(ISBLANK(Table2[[#This Row],[unique_id]]), "", PROPER(SUBSTITUTE(Table2[[#This Row],[unique_id]], "_", " ")))</f>
        <v>Broken Template Ada Tablet Plug Proxy</v>
      </c>
      <c r="G384" s="55" t="s">
        <v>821</v>
      </c>
      <c r="H384" s="55" t="s">
        <v>526</v>
      </c>
      <c r="I384" s="55" t="s">
        <v>291</v>
      </c>
      <c r="O384" s="58" t="s">
        <v>788</v>
      </c>
      <c r="P384" s="55" t="s">
        <v>165</v>
      </c>
      <c r="Q384" s="55" t="s">
        <v>760</v>
      </c>
      <c r="R384" s="61" t="s">
        <v>745</v>
      </c>
      <c r="S384" s="55" t="str">
        <f>Table2[[#This Row],[friendly_name]]</f>
        <v>Ada Tablet</v>
      </c>
      <c r="T384" s="56" t="s">
        <v>1067</v>
      </c>
      <c r="V384" s="58"/>
      <c r="W384" s="58"/>
      <c r="X384" s="58"/>
      <c r="Y384" s="58"/>
      <c r="Z384" s="58"/>
      <c r="AA384" s="58"/>
      <c r="AG384" s="58"/>
      <c r="AH384" s="58"/>
      <c r="AR384" s="60"/>
      <c r="AT384" s="62"/>
      <c r="AU384" s="55" t="s">
        <v>134</v>
      </c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Lounge</v>
      </c>
      <c r="BB384" s="55" t="s">
        <v>821</v>
      </c>
      <c r="BC384" s="60" t="s">
        <v>360</v>
      </c>
      <c r="BD384" s="55" t="s">
        <v>233</v>
      </c>
      <c r="BF384" s="55" t="s">
        <v>361</v>
      </c>
      <c r="BG384" s="55" t="s">
        <v>194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233</v>
      </c>
      <c r="D385" s="55" t="s">
        <v>134</v>
      </c>
      <c r="E385" s="55" t="s">
        <v>1451</v>
      </c>
      <c r="F385" s="57" t="str">
        <f>IF(ISBLANK(Table2[[#This Row],[unique_id]]), "", PROPER(SUBSTITUTE(Table2[[#This Row],[unique_id]], "_", " ")))</f>
        <v>Broken Ada Tablet Plug</v>
      </c>
      <c r="G385" s="55" t="s">
        <v>821</v>
      </c>
      <c r="H385" s="55" t="s">
        <v>526</v>
      </c>
      <c r="I385" s="55" t="s">
        <v>291</v>
      </c>
      <c r="M385" s="55" t="s">
        <v>257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5" s="58"/>
      <c r="W385" s="58"/>
      <c r="X385" s="58"/>
      <c r="Y385" s="58"/>
      <c r="Z385" s="58"/>
      <c r="AA385" s="58"/>
      <c r="AE385" s="55" t="s">
        <v>822</v>
      </c>
      <c r="AG385" s="58"/>
      <c r="AH385" s="58"/>
      <c r="AR385" s="60"/>
      <c r="AT385" s="62"/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J385" s="55" t="s">
        <v>977</v>
      </c>
      <c r="BK385" s="55" t="s">
        <v>1296</v>
      </c>
      <c r="BL385" s="55" t="s">
        <v>800</v>
      </c>
      <c r="BM385" s="55" t="s">
        <v>1341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6" spans="1:66" ht="16" hidden="1" customHeight="1" x14ac:dyDescent="0.2">
      <c r="A386" s="30">
        <v>2604</v>
      </c>
      <c r="B386" s="30" t="s">
        <v>26</v>
      </c>
      <c r="C386" s="30" t="s">
        <v>377</v>
      </c>
      <c r="D386" s="30" t="s">
        <v>134</v>
      </c>
      <c r="E386" s="39" t="s">
        <v>612</v>
      </c>
      <c r="F386" s="36" t="str">
        <f>IF(ISBLANK(Table2[[#This Row],[unique_id]]), "", PROPER(SUBSTITUTE(Table2[[#This Row],[unique_id]], "_", " ")))</f>
        <v>Deck Fans Outlet</v>
      </c>
      <c r="G386" s="30" t="s">
        <v>615</v>
      </c>
      <c r="H386" s="30" t="s">
        <v>526</v>
      </c>
      <c r="I386" s="30" t="s">
        <v>291</v>
      </c>
      <c r="M386" s="30" t="s">
        <v>257</v>
      </c>
      <c r="O386" s="31" t="s">
        <v>788</v>
      </c>
      <c r="P386" s="30" t="s">
        <v>165</v>
      </c>
      <c r="Q386" s="30" t="s">
        <v>760</v>
      </c>
      <c r="R386" s="30" t="s">
        <v>762</v>
      </c>
      <c r="S386" s="30" t="s">
        <v>819</v>
      </c>
      <c r="T386" s="37" t="s">
        <v>818</v>
      </c>
      <c r="U386" s="30"/>
      <c r="V386" s="31"/>
      <c r="W386" s="31" t="s">
        <v>489</v>
      </c>
      <c r="X386" s="31"/>
      <c r="Y386" s="42" t="s">
        <v>757</v>
      </c>
      <c r="Z386" s="31"/>
      <c r="AA386" s="31"/>
      <c r="AB386" s="30"/>
      <c r="AC386" s="30"/>
      <c r="AE386" s="30" t="s">
        <v>251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Deck</v>
      </c>
      <c r="BA386" s="30" t="str">
        <f>IF(ISBLANK(Table2[[#This Row],[device_model]]), "", Table2[[#This Row],[device_suggested_area]])</f>
        <v>Deck</v>
      </c>
      <c r="BB386" s="37" t="s">
        <v>1015</v>
      </c>
      <c r="BC386" s="37" t="s">
        <v>617</v>
      </c>
      <c r="BD386" s="30" t="s">
        <v>377</v>
      </c>
      <c r="BF386" s="37" t="s">
        <v>618</v>
      </c>
      <c r="BG386" s="30" t="s">
        <v>357</v>
      </c>
      <c r="BL386" s="30" t="s">
        <v>619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7" spans="1:66" ht="16" hidden="1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613</v>
      </c>
      <c r="F387" s="36" t="str">
        <f>IF(ISBLANK(Table2[[#This Row],[unique_id]]), "", PROPER(SUBSTITUTE(Table2[[#This Row],[unique_id]], "_", " ")))</f>
        <v>Kitchen Fan Outlet</v>
      </c>
      <c r="G387" s="30" t="s">
        <v>614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Kitchen</v>
      </c>
      <c r="BA387" s="30" t="str">
        <f>IF(ISBLANK(Table2[[#This Row],[device_model]]), "", Table2[[#This Row],[device_suggested_area]])</f>
        <v>Kitchen</v>
      </c>
      <c r="BB387" s="37" t="s">
        <v>1016</v>
      </c>
      <c r="BC387" s="37" t="s">
        <v>617</v>
      </c>
      <c r="BD387" s="30" t="s">
        <v>377</v>
      </c>
      <c r="BF387" s="37" t="s">
        <v>618</v>
      </c>
      <c r="BG387" s="30" t="s">
        <v>206</v>
      </c>
      <c r="BL387" s="30" t="s">
        <v>620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8" spans="1:66" ht="16" hidden="1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1561</v>
      </c>
      <c r="F388" s="36" t="str">
        <f>IF(ISBLANK(Table2[[#This Row],[unique_id]]), "", PROPER(SUBSTITUTE(Table2[[#This Row],[unique_id]], "_", " ")))</f>
        <v>Ada Desk Outlet</v>
      </c>
      <c r="G388" s="30" t="s">
        <v>1560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42"/>
      <c r="AA388" s="42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Ada</v>
      </c>
      <c r="BA388" s="30" t="str">
        <f>IF(ISBLANK(Table2[[#This Row],[device_model]]), "", Table2[[#This Row],[device_suggested_area]])</f>
        <v>Ada</v>
      </c>
      <c r="BB388" s="37" t="s">
        <v>1547</v>
      </c>
      <c r="BC388" s="37" t="s">
        <v>617</v>
      </c>
      <c r="BD388" s="30" t="s">
        <v>377</v>
      </c>
      <c r="BF388" s="37" t="s">
        <v>618</v>
      </c>
      <c r="BG388" s="30" t="s">
        <v>130</v>
      </c>
      <c r="BL388" s="30" t="s">
        <v>1562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1546</v>
      </c>
      <c r="F389" s="36" t="str">
        <f>IF(ISBLANK(Table2[[#This Row],[unique_id]]), "", PROPER(SUBSTITUTE(Table2[[#This Row],[unique_id]], "_", " ")))</f>
        <v>Edwin Desk Outlet</v>
      </c>
      <c r="G389" s="30" t="s">
        <v>1545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Edwin</v>
      </c>
      <c r="BA389" s="30" t="str">
        <f>IF(ISBLANK(Table2[[#This Row],[device_model]]), "", Table2[[#This Row],[device_suggested_area]])</f>
        <v>Edwin</v>
      </c>
      <c r="BB389" s="37" t="s">
        <v>1547</v>
      </c>
      <c r="BC389" s="37" t="s">
        <v>617</v>
      </c>
      <c r="BD389" s="30" t="s">
        <v>377</v>
      </c>
      <c r="BF389" s="37" t="s">
        <v>618</v>
      </c>
      <c r="BG389" s="30" t="s">
        <v>127</v>
      </c>
      <c r="BL389" s="30" t="s">
        <v>616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0" spans="1:66" s="55" customFormat="1" ht="16" hidden="1" customHeight="1" x14ac:dyDescent="0.2">
      <c r="A390" s="30">
        <v>2608</v>
      </c>
      <c r="B390" s="55" t="s">
        <v>579</v>
      </c>
      <c r="C390" s="55" t="s">
        <v>808</v>
      </c>
      <c r="D390" s="55" t="s">
        <v>148</v>
      </c>
      <c r="E390" s="56" t="s">
        <v>1476</v>
      </c>
      <c r="F390" s="57" t="str">
        <f>IF(ISBLANK(Table2[[#This Row],[unique_id]]), "", PROPER(SUBSTITUTE(Table2[[#This Row],[unique_id]], "_", " ")))</f>
        <v>Broken Template Server May Plug Proxy</v>
      </c>
      <c r="G390" s="55" t="s">
        <v>1477</v>
      </c>
      <c r="H390" s="55" t="s">
        <v>526</v>
      </c>
      <c r="I390" s="55" t="s">
        <v>291</v>
      </c>
      <c r="O390" s="58" t="s">
        <v>788</v>
      </c>
      <c r="R390" s="55" t="s">
        <v>801</v>
      </c>
      <c r="S390" s="55" t="str">
        <f>Table2[[#This Row],[friendly_name]]</f>
        <v>Server May</v>
      </c>
      <c r="T390" s="56" t="s">
        <v>1067</v>
      </c>
      <c r="V390" s="58"/>
      <c r="W390" s="58"/>
      <c r="X390" s="58"/>
      <c r="Y390" s="58"/>
      <c r="Z390" s="58"/>
      <c r="AA390" s="58"/>
      <c r="AG390" s="58"/>
      <c r="AH390" s="58"/>
      <c r="AR390" s="60"/>
      <c r="AT390" s="62"/>
      <c r="AU390" s="55" t="s">
        <v>134</v>
      </c>
      <c r="AV39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5" t="str">
        <f>IF(ISBLANK(Table2[[#This Row],[device_model]]), "", Table2[[#This Row],[device_suggested_area]])</f>
        <v>Rack</v>
      </c>
      <c r="BB390" s="55" t="s">
        <v>1482</v>
      </c>
      <c r="BC390" s="60" t="s">
        <v>360</v>
      </c>
      <c r="BD390" s="55" t="s">
        <v>233</v>
      </c>
      <c r="BF390" s="55" t="s">
        <v>361</v>
      </c>
      <c r="BG390" s="55" t="s">
        <v>28</v>
      </c>
      <c r="BN39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5" customFormat="1" ht="16" hidden="1" customHeight="1" x14ac:dyDescent="0.2">
      <c r="A391" s="30">
        <v>2609</v>
      </c>
      <c r="B391" s="55" t="s">
        <v>579</v>
      </c>
      <c r="C391" s="55" t="s">
        <v>233</v>
      </c>
      <c r="D391" s="55" t="s">
        <v>134</v>
      </c>
      <c r="E391" s="55" t="s">
        <v>1478</v>
      </c>
      <c r="F391" s="57" t="str">
        <f>IF(ISBLANK(Table2[[#This Row],[unique_id]]), "", PROPER(SUBSTITUTE(Table2[[#This Row],[unique_id]], "_", " ")))</f>
        <v>Broken Server May Plug</v>
      </c>
      <c r="G391" s="55" t="s">
        <v>1477</v>
      </c>
      <c r="H391" s="55" t="s">
        <v>526</v>
      </c>
      <c r="I391" s="55" t="s">
        <v>291</v>
      </c>
      <c r="M391" s="55" t="s">
        <v>257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1" s="58"/>
      <c r="W391" s="58"/>
      <c r="X391" s="58"/>
      <c r="Y391" s="58"/>
      <c r="Z391" s="58"/>
      <c r="AA391" s="58"/>
      <c r="AE391" s="55" t="s">
        <v>252</v>
      </c>
      <c r="AG391" s="58"/>
      <c r="AH391" s="58"/>
      <c r="AR391" s="60"/>
      <c r="AT391" s="62"/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1482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J391" s="55" t="s">
        <v>978</v>
      </c>
      <c r="BK391" s="55" t="s">
        <v>1296</v>
      </c>
      <c r="BL391" s="55" t="s">
        <v>804</v>
      </c>
      <c r="BM391" s="55" t="s">
        <v>1342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2" spans="1:66" s="55" customFormat="1" ht="16" hidden="1" customHeight="1" x14ac:dyDescent="0.2">
      <c r="A392" s="30">
        <v>2610</v>
      </c>
      <c r="B392" s="55" t="s">
        <v>579</v>
      </c>
      <c r="C392" s="55" t="s">
        <v>808</v>
      </c>
      <c r="D392" s="55" t="s">
        <v>148</v>
      </c>
      <c r="E392" s="56" t="s">
        <v>1452</v>
      </c>
      <c r="F392" s="57" t="str">
        <f>IF(ISBLANK(Table2[[#This Row],[unique_id]]), "", PROPER(SUBSTITUTE(Table2[[#This Row],[unique_id]], "_", " ")))</f>
        <v>Broken Template Server Meg Plug Proxy</v>
      </c>
      <c r="G392" s="60" t="s">
        <v>805</v>
      </c>
      <c r="H392" s="55" t="s">
        <v>526</v>
      </c>
      <c r="I392" s="55" t="s">
        <v>291</v>
      </c>
      <c r="O392" s="58" t="s">
        <v>788</v>
      </c>
      <c r="R392" s="55" t="s">
        <v>801</v>
      </c>
      <c r="S392" s="55" t="str">
        <f>Table2[[#This Row],[friendly_name]]</f>
        <v>Server Meg</v>
      </c>
      <c r="T392" s="56" t="s">
        <v>1067</v>
      </c>
      <c r="V392" s="58"/>
      <c r="W392" s="58"/>
      <c r="X392" s="58"/>
      <c r="Y392" s="58"/>
      <c r="Z392" s="58"/>
      <c r="AA392" s="58"/>
      <c r="AG392" s="58"/>
      <c r="AH392" s="58"/>
      <c r="AR392" s="60"/>
      <c r="AT392" s="62"/>
      <c r="AU392" s="55" t="s">
        <v>134</v>
      </c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1060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233</v>
      </c>
      <c r="D393" s="55" t="s">
        <v>134</v>
      </c>
      <c r="E393" s="55" t="s">
        <v>1453</v>
      </c>
      <c r="F393" s="57" t="str">
        <f>IF(ISBLANK(Table2[[#This Row],[unique_id]]), "", PROPER(SUBSTITUTE(Table2[[#This Row],[unique_id]], "_", " ")))</f>
        <v>Broken Server Meg Plug</v>
      </c>
      <c r="G393" s="60" t="s">
        <v>805</v>
      </c>
      <c r="H393" s="55" t="s">
        <v>526</v>
      </c>
      <c r="I393" s="55" t="s">
        <v>291</v>
      </c>
      <c r="M393" s="55" t="s">
        <v>257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3" s="58"/>
      <c r="W393" s="58"/>
      <c r="X393" s="58"/>
      <c r="Y393" s="58"/>
      <c r="Z393" s="58"/>
      <c r="AA393" s="58"/>
      <c r="AE393" s="55" t="s">
        <v>252</v>
      </c>
      <c r="AG393" s="58"/>
      <c r="AH393" s="58"/>
      <c r="AR393" s="60"/>
      <c r="AT393" s="62"/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J393" s="55" t="s">
        <v>978</v>
      </c>
      <c r="BK393" s="55" t="s">
        <v>1296</v>
      </c>
      <c r="BL393" s="55" t="s">
        <v>803</v>
      </c>
      <c r="BM393" s="55" t="s">
        <v>1343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4" spans="1:66" ht="16" hidden="1" customHeight="1" x14ac:dyDescent="0.2">
      <c r="A394" s="30">
        <v>2612</v>
      </c>
      <c r="B394" s="30" t="s">
        <v>26</v>
      </c>
      <c r="C394" s="30" t="s">
        <v>808</v>
      </c>
      <c r="D394" s="30" t="s">
        <v>148</v>
      </c>
      <c r="E394" s="37" t="s">
        <v>1487</v>
      </c>
      <c r="F394" s="36" t="str">
        <f>IF(ISBLANK(Table2[[#This Row],[unique_id]]), "", PROPER(SUBSTITUTE(Table2[[#This Row],[unique_id]], "_", " ")))</f>
        <v>Template Server Jen Plug Proxy</v>
      </c>
      <c r="G394" s="30" t="s">
        <v>1492</v>
      </c>
      <c r="H394" s="30" t="s">
        <v>526</v>
      </c>
      <c r="I394" s="30" t="s">
        <v>291</v>
      </c>
      <c r="O394" s="31" t="s">
        <v>788</v>
      </c>
      <c r="P394" s="30" t="s">
        <v>165</v>
      </c>
      <c r="Q394" s="30" t="s">
        <v>760</v>
      </c>
      <c r="R394" s="30" t="s">
        <v>762</v>
      </c>
      <c r="S394" s="30" t="str">
        <f>Table2[[#This Row],[friendly_name]]</f>
        <v>Server Jen</v>
      </c>
      <c r="T39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134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">
        <v>495</v>
      </c>
      <c r="BB394" s="30" t="s">
        <v>1493</v>
      </c>
      <c r="BC394" s="30" t="s">
        <v>359</v>
      </c>
      <c r="BD394" s="30" t="s">
        <v>233</v>
      </c>
      <c r="BF394" s="30" t="s">
        <v>362</v>
      </c>
      <c r="BG394" s="30" t="s">
        <v>495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hidden="1" customHeight="1" x14ac:dyDescent="0.2">
      <c r="A395" s="30">
        <v>2613</v>
      </c>
      <c r="B395" s="30" t="s">
        <v>26</v>
      </c>
      <c r="C395" s="30" t="s">
        <v>233</v>
      </c>
      <c r="D395" s="30" t="s">
        <v>134</v>
      </c>
      <c r="E395" s="30" t="s">
        <v>1488</v>
      </c>
      <c r="F395" s="36" t="str">
        <f>IF(ISBLANK(Table2[[#This Row],[unique_id]]), "", PROPER(SUBSTITUTE(Table2[[#This Row],[unique_id]], "_", " ")))</f>
        <v>Server Jen Plug</v>
      </c>
      <c r="G395" s="30" t="s">
        <v>1492</v>
      </c>
      <c r="H395" s="30" t="s">
        <v>526</v>
      </c>
      <c r="I395" s="30" t="s">
        <v>291</v>
      </c>
      <c r="M395" s="30" t="s">
        <v>257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5" s="30"/>
      <c r="V395" s="31"/>
      <c r="W395" s="31"/>
      <c r="X395" s="31"/>
      <c r="Y395" s="31"/>
      <c r="Z395" s="31"/>
      <c r="AA395" s="31"/>
      <c r="AB395" s="30"/>
      <c r="AC395" s="30"/>
      <c r="AE395" s="30" t="s">
        <v>252</v>
      </c>
      <c r="AG395" s="31"/>
      <c r="AH395" s="31"/>
      <c r="AT395" s="40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1493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J395" s="30" t="s">
        <v>978</v>
      </c>
      <c r="BK395" s="30" t="s">
        <v>1296</v>
      </c>
      <c r="BL395" s="30" t="s">
        <v>348</v>
      </c>
      <c r="BM395" s="30" t="s">
        <v>1344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6" spans="1:66" ht="16" hidden="1" customHeight="1" x14ac:dyDescent="0.2">
      <c r="A396" s="30">
        <v>2614</v>
      </c>
      <c r="B396" s="30" t="s">
        <v>26</v>
      </c>
      <c r="C396" s="30" t="s">
        <v>808</v>
      </c>
      <c r="D396" s="30" t="s">
        <v>148</v>
      </c>
      <c r="E396" s="37" t="s">
        <v>967</v>
      </c>
      <c r="F396" s="36" t="str">
        <f>IF(ISBLANK(Table2[[#This Row],[unique_id]]), "", PROPER(SUBSTITUTE(Table2[[#This Row],[unique_id]], "_", " ")))</f>
        <v>Template Rack Outlet Plug Proxy</v>
      </c>
      <c r="G396" s="30" t="s">
        <v>222</v>
      </c>
      <c r="H396" s="30" t="s">
        <v>526</v>
      </c>
      <c r="I396" s="30" t="s">
        <v>291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Rack</v>
      </c>
      <c r="T396" s="37" t="s">
        <v>1069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1019</v>
      </c>
      <c r="BC396" s="30" t="s">
        <v>915</v>
      </c>
      <c r="BD396" s="30" t="s">
        <v>1110</v>
      </c>
      <c r="BF396" s="30" t="s">
        <v>887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hidden="1" customHeight="1" x14ac:dyDescent="0.2">
      <c r="A397" s="30">
        <v>2615</v>
      </c>
      <c r="B397" s="30" t="s">
        <v>26</v>
      </c>
      <c r="C397" s="30" t="s">
        <v>695</v>
      </c>
      <c r="D397" s="30" t="s">
        <v>134</v>
      </c>
      <c r="E397" s="30" t="s">
        <v>838</v>
      </c>
      <c r="F397" s="36" t="str">
        <f>IF(ISBLANK(Table2[[#This Row],[unique_id]]), "", PROPER(SUBSTITUTE(Table2[[#This Row],[unique_id]], "_", " ")))</f>
        <v>Rack Outlet Plug</v>
      </c>
      <c r="G397" s="30" t="s">
        <v>222</v>
      </c>
      <c r="H397" s="30" t="s">
        <v>526</v>
      </c>
      <c r="I397" s="30" t="s">
        <v>291</v>
      </c>
      <c r="M397" s="30" t="s">
        <v>257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7" s="30"/>
      <c r="V397" s="31"/>
      <c r="W397" s="31"/>
      <c r="X397" s="31"/>
      <c r="Y397" s="31"/>
      <c r="Z397" s="31"/>
      <c r="AA397" s="42" t="s">
        <v>1108</v>
      </c>
      <c r="AB397" s="30"/>
      <c r="AC397" s="30"/>
      <c r="AE397" s="30" t="s">
        <v>252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homeassistant/switch/tasmota/rack_outlet_plug/config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7" s="30" t="str">
        <f>_xlfn.CONCAT("tasmota/device/",Table2[[#This Row],[unique_id]], "/cmnd/POWER")</f>
        <v>tasmota/device/rack_outlet_plug/cmnd/POWER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970</v>
      </c>
      <c r="AS397" s="30">
        <v>1</v>
      </c>
      <c r="AT397" s="34" t="str">
        <f>HYPERLINK(_xlfn.CONCAT("http://", Table2[[#This Row],[connection_ip]], "/?"))</f>
        <v>http://10.0.4.102/?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K397" s="30" t="s">
        <v>1296</v>
      </c>
      <c r="BL397" s="30" t="s">
        <v>914</v>
      </c>
      <c r="BM397" s="30" t="s">
        <v>1346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8" spans="1:66" ht="16" hidden="1" customHeight="1" x14ac:dyDescent="0.2">
      <c r="A398" s="30">
        <v>2616</v>
      </c>
      <c r="B398" s="30" t="s">
        <v>26</v>
      </c>
      <c r="C398" s="30" t="s">
        <v>695</v>
      </c>
      <c r="D398" s="30" t="s">
        <v>27</v>
      </c>
      <c r="E398" s="30" t="s">
        <v>968</v>
      </c>
      <c r="F398" s="36" t="str">
        <f>IF(ISBLANK(Table2[[#This Row],[unique_id]]), "", PROPER(SUBSTITUTE(Table2[[#This Row],[unique_id]], "_", " ")))</f>
        <v>Rack Outlet Plug Energy Power</v>
      </c>
      <c r="G398" s="30" t="s">
        <v>222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898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homeassistant/sensor/tasmota/rack_outlet_plug_energy_power/config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1104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hidden="1" customHeight="1" x14ac:dyDescent="0.2">
      <c r="A399" s="30">
        <v>2617</v>
      </c>
      <c r="B399" s="30" t="s">
        <v>26</v>
      </c>
      <c r="C399" s="30" t="s">
        <v>695</v>
      </c>
      <c r="D399" s="30" t="s">
        <v>27</v>
      </c>
      <c r="E399" s="30" t="s">
        <v>969</v>
      </c>
      <c r="F399" s="36" t="str">
        <f>IF(ISBLANK(Table2[[#This Row],[unique_id]]), "", PROPER(SUBSTITUTE(Table2[[#This Row],[unique_id]], "_", " ")))</f>
        <v>Rack Outlet Plug Energy Total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899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1105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808</v>
      </c>
      <c r="D400" s="30" t="s">
        <v>148</v>
      </c>
      <c r="E400" s="37" t="s">
        <v>1094</v>
      </c>
      <c r="F400" s="36" t="str">
        <f>IF(ISBLANK(Table2[[#This Row],[unique_id]]), "", PROPER(SUBSTITUTE(Table2[[#This Row],[unique_id]], "_", " ")))</f>
        <v>Template Ceiling Network Switch Plug Proxy</v>
      </c>
      <c r="G400" s="30" t="s">
        <v>1467</v>
      </c>
      <c r="H400" s="30" t="s">
        <v>526</v>
      </c>
      <c r="I400" s="30" t="s">
        <v>291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Ceiling Network Devices</v>
      </c>
      <c r="T400" s="37" t="s">
        <v>1069</v>
      </c>
      <c r="U400" s="30"/>
      <c r="V400" s="31"/>
      <c r="W400" s="31"/>
      <c r="X400" s="31"/>
      <c r="Y400" s="31"/>
      <c r="Z400" s="31"/>
      <c r="AA400" s="31"/>
      <c r="AB400" s="30"/>
      <c r="AC400" s="30"/>
      <c r="AG400" s="31"/>
      <c r="AH400" s="31"/>
      <c r="AT400" s="40"/>
      <c r="AU400" s="30" t="s">
        <v>134</v>
      </c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220</v>
      </c>
      <c r="BC400" s="30" t="s">
        <v>915</v>
      </c>
      <c r="BD400" s="30" t="s">
        <v>1110</v>
      </c>
      <c r="BF400" s="30" t="s">
        <v>887</v>
      </c>
      <c r="BG400" s="30" t="s">
        <v>403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134</v>
      </c>
      <c r="E401" s="30" t="s">
        <v>1095</v>
      </c>
      <c r="F401" s="36" t="str">
        <f>IF(ISBLANK(Table2[[#This Row],[unique_id]]), "", PROPER(SUBSTITUTE(Table2[[#This Row],[unique_id]], "_", " ")))</f>
        <v>Ceiling Network Switch Plug</v>
      </c>
      <c r="G401" s="30" t="s">
        <v>1467</v>
      </c>
      <c r="H401" s="30" t="s">
        <v>526</v>
      </c>
      <c r="I401" s="30" t="s">
        <v>291</v>
      </c>
      <c r="M401" s="30" t="s">
        <v>257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1" s="30"/>
      <c r="V401" s="31"/>
      <c r="W401" s="31"/>
      <c r="X401" s="31"/>
      <c r="Y401" s="31"/>
      <c r="Z401" s="31"/>
      <c r="AA401" s="42" t="s">
        <v>1108</v>
      </c>
      <c r="AB401" s="30"/>
      <c r="AC401" s="30"/>
      <c r="AE401" s="30" t="s">
        <v>253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homeassistant/switch/tasmota/ceiling_network_switch_plug/config</v>
      </c>
      <c r="AK40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1" s="30" t="str">
        <f>_xlfn.CONCAT("tasmota/device/",Table2[[#This Row],[unique_id]], "/cmnd/POWER")</f>
        <v>tasmota/device/ceiling_network_switch_plug/cmnd/POWER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970</v>
      </c>
      <c r="AS401" s="30">
        <v>1</v>
      </c>
      <c r="AT401" s="34" t="str">
        <f>HYPERLINK(_xlfn.CONCAT("http://", Table2[[#This Row],[connection_ip]], "/?"))</f>
        <v>http://10.0.4.105/?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K401" s="30" t="s">
        <v>1296</v>
      </c>
      <c r="BL401" s="41" t="s">
        <v>980</v>
      </c>
      <c r="BM401" s="30" t="s">
        <v>1348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1096</v>
      </c>
      <c r="F402" s="36" t="str">
        <f>IF(ISBLANK(Table2[[#This Row],[unique_id]]), "", PROPER(SUBSTITUTE(Table2[[#This Row],[unique_id]], "_", " ")))</f>
        <v>Ceiling Network Switch Plug Energy Power</v>
      </c>
      <c r="G402" s="30" t="s">
        <v>1467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31</v>
      </c>
      <c r="AC402" s="30" t="s">
        <v>327</v>
      </c>
      <c r="AD402" s="30" t="s">
        <v>898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homeassistant/sensor/tasmota/ceiling_network_switch_plug_energy_power/config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695</v>
      </c>
      <c r="D403" s="30" t="s">
        <v>27</v>
      </c>
      <c r="E403" s="30" t="s">
        <v>1097</v>
      </c>
      <c r="F403" s="36" t="str">
        <f>IF(ISBLANK(Table2[[#This Row],[unique_id]]), "", PROPER(SUBSTITUTE(Table2[[#This Row],[unique_id]], "_", " ")))</f>
        <v>Ceiling Network Switch Plug Energy Total</v>
      </c>
      <c r="G403" s="30" t="s">
        <v>1467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76</v>
      </c>
      <c r="AC403" s="30" t="s">
        <v>328</v>
      </c>
      <c r="AD403" s="30" t="s">
        <v>899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homeassistant/sensor/tasmota/ceiling_network_switch_plug_energy_total/config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1105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s="55" customFormat="1" ht="16" hidden="1" customHeight="1" x14ac:dyDescent="0.2">
      <c r="A404" s="30">
        <v>2622</v>
      </c>
      <c r="B404" s="55" t="s">
        <v>579</v>
      </c>
      <c r="C404" s="55" t="s">
        <v>808</v>
      </c>
      <c r="D404" s="55" t="s">
        <v>148</v>
      </c>
      <c r="E404" s="56" t="s">
        <v>1454</v>
      </c>
      <c r="F404" s="57" t="str">
        <f>IF(ISBLANK(Table2[[#This Row],[unique_id]]), "", PROPER(SUBSTITUTE(Table2[[#This Row],[unique_id]], "_", " ")))</f>
        <v>Broken Template Rack Internet Modem Plug Proxy</v>
      </c>
      <c r="G404" s="55" t="s">
        <v>221</v>
      </c>
      <c r="H404" s="55" t="s">
        <v>526</v>
      </c>
      <c r="I404" s="55" t="s">
        <v>291</v>
      </c>
      <c r="O404" s="58" t="s">
        <v>788</v>
      </c>
      <c r="R404" s="55" t="s">
        <v>802</v>
      </c>
      <c r="S404" s="55" t="str">
        <f>Table2[[#This Row],[friendly_name]]</f>
        <v>Internet Modem</v>
      </c>
      <c r="T404" s="56" t="s">
        <v>1067</v>
      </c>
      <c r="V404" s="58"/>
      <c r="W404" s="58"/>
      <c r="X404" s="58"/>
      <c r="Y404" s="58"/>
      <c r="Z404" s="58"/>
      <c r="AA404" s="58"/>
      <c r="AG404" s="58"/>
      <c r="AH404" s="58"/>
      <c r="AT404" s="59"/>
      <c r="AU404" s="55" t="s">
        <v>134</v>
      </c>
      <c r="AV4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55" t="str">
        <f>IF(ISBLANK(Table2[[#This Row],[device_model]]), "", Table2[[#This Row],[device_suggested_area]])</f>
        <v>Rack</v>
      </c>
      <c r="BB404" s="55" t="s">
        <v>1024</v>
      </c>
      <c r="BC404" s="60" t="s">
        <v>360</v>
      </c>
      <c r="BD404" s="55" t="s">
        <v>233</v>
      </c>
      <c r="BF404" s="55" t="s">
        <v>361</v>
      </c>
      <c r="BG404" s="55" t="s">
        <v>28</v>
      </c>
      <c r="BN4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hidden="1" customHeight="1" x14ac:dyDescent="0.2">
      <c r="A405" s="30">
        <v>2623</v>
      </c>
      <c r="B405" s="55" t="s">
        <v>579</v>
      </c>
      <c r="C405" s="55" t="s">
        <v>233</v>
      </c>
      <c r="D405" s="55" t="s">
        <v>134</v>
      </c>
      <c r="E405" s="55" t="s">
        <v>1455</v>
      </c>
      <c r="F405" s="57" t="str">
        <f>IF(ISBLANK(Table2[[#This Row],[unique_id]]), "", PROPER(SUBSTITUTE(Table2[[#This Row],[unique_id]], "_", " ")))</f>
        <v>Broken Rack Internet Modem Plug</v>
      </c>
      <c r="G405" s="55" t="s">
        <v>221</v>
      </c>
      <c r="H405" s="55" t="s">
        <v>526</v>
      </c>
      <c r="I405" s="55" t="s">
        <v>291</v>
      </c>
      <c r="M405" s="55" t="s">
        <v>257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5" s="58"/>
      <c r="W405" s="58"/>
      <c r="X405" s="58"/>
      <c r="Y405" s="58"/>
      <c r="Z405" s="58"/>
      <c r="AA405" s="58"/>
      <c r="AE405" s="55" t="s">
        <v>254</v>
      </c>
      <c r="AG405" s="58"/>
      <c r="AH405" s="58"/>
      <c r="AT405" s="59"/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J405" s="55" t="s">
        <v>977</v>
      </c>
      <c r="BK405" s="55" t="s">
        <v>1296</v>
      </c>
      <c r="BL405" s="55" t="s">
        <v>354</v>
      </c>
      <c r="BM405" s="55" t="s">
        <v>1349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6" spans="1:66" ht="16" hidden="1" customHeight="1" x14ac:dyDescent="0.2">
      <c r="A406" s="30">
        <v>2624</v>
      </c>
      <c r="B406" s="30" t="s">
        <v>26</v>
      </c>
      <c r="C406" s="30" t="s">
        <v>450</v>
      </c>
      <c r="D406" s="30" t="s">
        <v>27</v>
      </c>
      <c r="E406" s="30" t="s">
        <v>814</v>
      </c>
      <c r="F406" s="36" t="str">
        <f>IF(ISBLANK(Table2[[#This Row],[unique_id]]), "", PROPER(SUBSTITUTE(Table2[[#This Row],[unique_id]], "_", " ")))</f>
        <v>Garden Repeater Linkquality</v>
      </c>
      <c r="G406" s="30" t="s">
        <v>699</v>
      </c>
      <c r="H406" s="30" t="s">
        <v>526</v>
      </c>
      <c r="I406" s="30" t="s">
        <v>291</v>
      </c>
      <c r="O406" s="31" t="s">
        <v>788</v>
      </c>
      <c r="P406" s="30" t="s">
        <v>165</v>
      </c>
      <c r="Q406" s="30" t="s">
        <v>760</v>
      </c>
      <c r="R406" s="30" t="s">
        <v>762</v>
      </c>
      <c r="S406" s="30" t="s">
        <v>819</v>
      </c>
      <c r="T406" s="37" t="s">
        <v>817</v>
      </c>
      <c r="U406" s="30"/>
      <c r="V406" s="31"/>
      <c r="W406" s="31" t="s">
        <v>489</v>
      </c>
      <c r="X406" s="31"/>
      <c r="Y406" s="42" t="s">
        <v>757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Garden</v>
      </c>
      <c r="BA406" s="30" t="str">
        <f>IF(ISBLANK(Table2[[#This Row],[device_model]]), "", Table2[[#This Row],[device_suggested_area]])</f>
        <v>Garden</v>
      </c>
      <c r="BB406" s="30" t="s">
        <v>989</v>
      </c>
      <c r="BC406" s="39" t="s">
        <v>697</v>
      </c>
      <c r="BD406" s="30" t="s">
        <v>450</v>
      </c>
      <c r="BF406" s="30" t="s">
        <v>696</v>
      </c>
      <c r="BG406" s="30" t="s">
        <v>576</v>
      </c>
      <c r="BL406" s="30" t="s">
        <v>698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7" spans="1:66" ht="16" hidden="1" customHeight="1" x14ac:dyDescent="0.2">
      <c r="A407" s="30">
        <v>2625</v>
      </c>
      <c r="B407" s="30" t="s">
        <v>26</v>
      </c>
      <c r="C407" s="30" t="s">
        <v>450</v>
      </c>
      <c r="D407" s="30" t="s">
        <v>27</v>
      </c>
      <c r="E407" s="30" t="s">
        <v>815</v>
      </c>
      <c r="F407" s="36" t="str">
        <f>IF(ISBLANK(Table2[[#This Row],[unique_id]]), "", PROPER(SUBSTITUTE(Table2[[#This Row],[unique_id]], "_", " ")))</f>
        <v>Landing Repeater Linkquality</v>
      </c>
      <c r="G407" s="30" t="s">
        <v>701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Landing</v>
      </c>
      <c r="BA407" s="30" t="str">
        <f>IF(ISBLANK(Table2[[#This Row],[device_model]]), "", Table2[[#This Row],[device_suggested_area]])</f>
        <v>Landing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559</v>
      </c>
      <c r="BL407" s="30" t="s">
        <v>703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8" spans="1:66" ht="16" hidden="1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816</v>
      </c>
      <c r="F408" s="36" t="str">
        <f>IF(ISBLANK(Table2[[#This Row],[unique_id]]), "", PROPER(SUBSTITUTE(Table2[[#This Row],[unique_id]], "_", " ")))</f>
        <v>Driveway Repeater Linkquality</v>
      </c>
      <c r="G408" s="30" t="s">
        <v>700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Driveway</v>
      </c>
      <c r="BA408" s="30" t="str">
        <f>IF(ISBLANK(Table2[[#This Row],[device_model]]), "", Table2[[#This Row],[device_suggested_area]])</f>
        <v>Driveway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702</v>
      </c>
      <c r="BL408" s="30" t="s">
        <v>704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150</v>
      </c>
      <c r="D409" s="30" t="s">
        <v>310</v>
      </c>
      <c r="E409" s="30" t="s">
        <v>886</v>
      </c>
      <c r="F409" s="36" t="str">
        <f>IF(ISBLANK(Table2[[#This Row],[unique_id]]), "", PROPER(SUBSTITUTE(Table2[[#This Row],[unique_id]], "_", " ")))</f>
        <v>Lighting Reset Adaptive Lighting All</v>
      </c>
      <c r="G409" s="30" t="s">
        <v>790</v>
      </c>
      <c r="H409" s="30" t="s">
        <v>544</v>
      </c>
      <c r="I409" s="30" t="s">
        <v>291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165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hidden="1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6" t="s">
        <v>531</v>
      </c>
      <c r="F410" s="36" t="str">
        <f>IF(ISBLANK(Table2[[#This Row],[unique_id]]), "", PROPER(SUBSTITUTE(Table2[[#This Row],[unique_id]], "_", " ")))</f>
        <v>Lighting Reset Adaptive Lighting Ada Lamp</v>
      </c>
      <c r="G410" s="36" t="s">
        <v>195</v>
      </c>
      <c r="H410" s="30" t="s">
        <v>544</v>
      </c>
      <c r="I410" s="30" t="s">
        <v>291</v>
      </c>
      <c r="J410" s="30" t="s">
        <v>530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32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130</v>
      </c>
      <c r="BI410" s="30" t="s">
        <v>687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525</v>
      </c>
      <c r="F411" s="36" t="str">
        <f>IF(ISBLANK(Table2[[#This Row],[unique_id]]), "", PROPER(SUBSTITUTE(Table2[[#This Row],[unique_id]], "_", " ")))</f>
        <v>Lighting Reset Adaptive Lighting Edwin Lamp</v>
      </c>
      <c r="G411" s="36" t="s">
        <v>205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127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532</v>
      </c>
      <c r="F412" s="36" t="str">
        <f>IF(ISBLANK(Table2[[#This Row],[unique_id]]), "", PROPER(SUBSTITUTE(Table2[[#This Row],[unique_id]], "_", " ")))</f>
        <v>Lighting Reset Adaptive Lighting Edwin Night Light</v>
      </c>
      <c r="G412" s="36" t="s">
        <v>408</v>
      </c>
      <c r="H412" s="30" t="s">
        <v>544</v>
      </c>
      <c r="I412" s="30" t="s">
        <v>291</v>
      </c>
      <c r="J412" s="30" t="s">
        <v>543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533</v>
      </c>
      <c r="F413" s="36" t="str">
        <f>IF(ISBLANK(Table2[[#This Row],[unique_id]]), "", PROPER(SUBSTITUTE(Table2[[#This Row],[unique_id]], "_", " ")))</f>
        <v>Lighting Reset Adaptive Lighting Hallway Main</v>
      </c>
      <c r="G413" s="36" t="s">
        <v>200</v>
      </c>
      <c r="H413" s="30" t="s">
        <v>544</v>
      </c>
      <c r="I413" s="30" t="s">
        <v>291</v>
      </c>
      <c r="J413" s="30" t="s">
        <v>551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404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870</v>
      </c>
      <c r="F414" s="36" t="str">
        <f>IF(ISBLANK(Table2[[#This Row],[unique_id]]), "", PROPER(SUBSTITUTE(Table2[[#This Row],[unique_id]], "_", " ")))</f>
        <v>Lighting Reset Adaptive Lighting Hallway Sconces</v>
      </c>
      <c r="G414" s="36" t="s">
        <v>855</v>
      </c>
      <c r="H414" s="30" t="s">
        <v>544</v>
      </c>
      <c r="I414" s="30" t="s">
        <v>291</v>
      </c>
      <c r="J414" s="30" t="s">
        <v>871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534</v>
      </c>
      <c r="F415" s="36" t="str">
        <f>IF(ISBLANK(Table2[[#This Row],[unique_id]]), "", PROPER(SUBSTITUTE(Table2[[#This Row],[unique_id]], "_", " ")))</f>
        <v>Lighting Reset Adaptive Lighting Dining Main</v>
      </c>
      <c r="G415" s="36" t="s">
        <v>138</v>
      </c>
      <c r="H415" s="30" t="s">
        <v>544</v>
      </c>
      <c r="I415" s="30" t="s">
        <v>291</v>
      </c>
      <c r="J415" s="30" t="s">
        <v>551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193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535</v>
      </c>
      <c r="F416" s="36" t="str">
        <f>IF(ISBLANK(Table2[[#This Row],[unique_id]]), "", PROPER(SUBSTITUTE(Table2[[#This Row],[unique_id]], "_", " ")))</f>
        <v>Lighting Reset Adaptive Lighting Lounge Main</v>
      </c>
      <c r="G416" s="36" t="s">
        <v>207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586</v>
      </c>
      <c r="F417" s="36" t="str">
        <f>IF(ISBLANK(Table2[[#This Row],[unique_id]]), "", PROPER(SUBSTITUTE(Table2[[#This Row],[unique_id]], "_", " ")))</f>
        <v>Lighting Reset Adaptive Lighting Lounge Lamp</v>
      </c>
      <c r="G417" s="36" t="s">
        <v>556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165</v>
      </c>
      <c r="BI417" s="30" t="s">
        <v>687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1552</v>
      </c>
      <c r="F418" s="36" t="str">
        <f>IF(ISBLANK(Table2[[#This Row],[unique_id]]), "", PROPER(SUBSTITUTE(Table2[[#This Row],[unique_id]], "_", " ")))</f>
        <v>Lighting Reset Adaptive Lighting Lounge Reading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536</v>
      </c>
      <c r="F419" s="36" t="str">
        <f>IF(ISBLANK(Table2[[#This Row],[unique_id]]), "", PROPER(SUBSTITUTE(Table2[[#This Row],[unique_id]], "_", " ")))</f>
        <v>Lighting Reset Adaptive Lighting Parents Main</v>
      </c>
      <c r="G419" s="36" t="s">
        <v>196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192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872</v>
      </c>
      <c r="F420" s="36" t="str">
        <f>IF(ISBLANK(Table2[[#This Row],[unique_id]]), "", PROPER(SUBSTITUTE(Table2[[#This Row],[unique_id]], "_", " ")))</f>
        <v>Lighting Reset Adaptive Lighting Parents Jane Bedside</v>
      </c>
      <c r="G420" s="36" t="s">
        <v>864</v>
      </c>
      <c r="H420" s="30" t="s">
        <v>544</v>
      </c>
      <c r="I420" s="30" t="s">
        <v>291</v>
      </c>
      <c r="J420" s="30" t="s">
        <v>874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873</v>
      </c>
      <c r="F421" s="36" t="str">
        <f>IF(ISBLANK(Table2[[#This Row],[unique_id]]), "", PROPER(SUBSTITUTE(Table2[[#This Row],[unique_id]], "_", " ")))</f>
        <v>Lighting Reset Adaptive Lighting Parents Graham Bedside</v>
      </c>
      <c r="G421" s="36" t="s">
        <v>865</v>
      </c>
      <c r="H421" s="30" t="s">
        <v>544</v>
      </c>
      <c r="I421" s="30" t="s">
        <v>291</v>
      </c>
      <c r="J421" s="30" t="s">
        <v>875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876</v>
      </c>
      <c r="F422" s="36" t="str">
        <f>IF(ISBLANK(Table2[[#This Row],[unique_id]]), "", PROPER(SUBSTITUTE(Table2[[#This Row],[unique_id]], "_", " ")))</f>
        <v>Lighting Reset Adaptive Lighting Study Lamp</v>
      </c>
      <c r="G422" s="36" t="s">
        <v>742</v>
      </c>
      <c r="H422" s="30" t="s">
        <v>544</v>
      </c>
      <c r="I422" s="30" t="s">
        <v>291</v>
      </c>
      <c r="J422" s="30" t="s">
        <v>530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537</v>
      </c>
      <c r="F423" s="36" t="str">
        <f>IF(ISBLANK(Table2[[#This Row],[unique_id]]), "", PROPER(SUBSTITUTE(Table2[[#This Row],[unique_id]], "_", " ")))</f>
        <v>Lighting Reset Adaptive Lighting Kitchen Main</v>
      </c>
      <c r="G423" s="36" t="s">
        <v>202</v>
      </c>
      <c r="H423" s="30" t="s">
        <v>544</v>
      </c>
      <c r="I423" s="30" t="s">
        <v>291</v>
      </c>
      <c r="J423" s="30" t="s">
        <v>551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538</v>
      </c>
      <c r="F424" s="36" t="str">
        <f>IF(ISBLANK(Table2[[#This Row],[unique_id]]), "", PROPER(SUBSTITUTE(Table2[[#This Row],[unique_id]], "_", " ")))</f>
        <v>Lighting Reset Adaptive Lighting Laundry Main</v>
      </c>
      <c r="G424" s="36" t="s">
        <v>204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539</v>
      </c>
      <c r="F425" s="36" t="str">
        <f>IF(ISBLANK(Table2[[#This Row],[unique_id]]), "", PROPER(SUBSTITUTE(Table2[[#This Row],[unique_id]], "_", " ")))</f>
        <v>Lighting Reset Adaptive Lighting Pantry Main</v>
      </c>
      <c r="G425" s="36" t="s">
        <v>203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211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552</v>
      </c>
      <c r="F426" s="36" t="str">
        <f>IF(ISBLANK(Table2[[#This Row],[unique_id]]), "", PROPER(SUBSTITUTE(Table2[[#This Row],[unique_id]], "_", " ")))</f>
        <v>Lighting Reset Adaptive Lighting Office Main</v>
      </c>
      <c r="G426" s="36" t="s">
        <v>199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212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540</v>
      </c>
      <c r="F427" s="36" t="str">
        <f>IF(ISBLANK(Table2[[#This Row],[unique_id]]), "", PROPER(SUBSTITUTE(Table2[[#This Row],[unique_id]], "_", " ")))</f>
        <v>Lighting Reset Adaptive Lighting Bathroom Main</v>
      </c>
      <c r="G427" s="36" t="s">
        <v>198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358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877</v>
      </c>
      <c r="F428" s="36" t="str">
        <f>IF(ISBLANK(Table2[[#This Row],[unique_id]]), "", PROPER(SUBSTITUTE(Table2[[#This Row],[unique_id]], "_", " ")))</f>
        <v>Lighting Reset Adaptive Lighting Bathroom Sconces</v>
      </c>
      <c r="G428" s="36" t="s">
        <v>861</v>
      </c>
      <c r="H428" s="30" t="s">
        <v>544</v>
      </c>
      <c r="I428" s="30" t="s">
        <v>291</v>
      </c>
      <c r="J428" s="30" t="s">
        <v>871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541</v>
      </c>
      <c r="F429" s="36" t="str">
        <f>IF(ISBLANK(Table2[[#This Row],[unique_id]]), "", PROPER(SUBSTITUTE(Table2[[#This Row],[unique_id]], "_", " ")))</f>
        <v>Lighting Reset Adaptive Lighting Ensuite Main</v>
      </c>
      <c r="G429" s="36" t="s">
        <v>197</v>
      </c>
      <c r="H429" s="30" t="s">
        <v>544</v>
      </c>
      <c r="I429" s="30" t="s">
        <v>291</v>
      </c>
      <c r="J429" s="30" t="s">
        <v>551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394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878</v>
      </c>
      <c r="F430" s="36" t="str">
        <f>IF(ISBLANK(Table2[[#This Row],[unique_id]]), "", PROPER(SUBSTITUTE(Table2[[#This Row],[unique_id]], "_", " ")))</f>
        <v>Lighting Reset Adaptive Lighting Ensuite Sconces</v>
      </c>
      <c r="G430" s="36" t="s">
        <v>844</v>
      </c>
      <c r="H430" s="30" t="s">
        <v>544</v>
      </c>
      <c r="I430" s="30" t="s">
        <v>291</v>
      </c>
      <c r="J430" s="30" t="s">
        <v>871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542</v>
      </c>
      <c r="F431" s="36" t="str">
        <f>IF(ISBLANK(Table2[[#This Row],[unique_id]]), "", PROPER(SUBSTITUTE(Table2[[#This Row],[unique_id]], "_", " ")))</f>
        <v>Lighting Reset Adaptive Lighting Wardrobe Main</v>
      </c>
      <c r="G431" s="36" t="s">
        <v>201</v>
      </c>
      <c r="H431" s="30" t="s">
        <v>544</v>
      </c>
      <c r="I431" s="30" t="s">
        <v>291</v>
      </c>
      <c r="J431" s="30" t="s">
        <v>551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495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2670</v>
      </c>
      <c r="B432" s="30" t="s">
        <v>26</v>
      </c>
      <c r="C432" s="30" t="s">
        <v>235</v>
      </c>
      <c r="D432" s="30" t="s">
        <v>145</v>
      </c>
      <c r="E432" s="30" t="s">
        <v>146</v>
      </c>
      <c r="F432" s="36" t="str">
        <f>IF(ISBLANK(Table2[[#This Row],[unique_id]]), "", PROPER(SUBSTITUTE(Table2[[#This Row],[unique_id]], "_", " ")))</f>
        <v>Ada Home</v>
      </c>
      <c r="G432" s="30" t="s">
        <v>185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Ada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Ada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130</v>
      </c>
      <c r="BK432" s="30" t="s">
        <v>1295</v>
      </c>
      <c r="BL432" s="41" t="s">
        <v>420</v>
      </c>
      <c r="BM432" s="39" t="s">
        <v>1297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3" spans="1:66" ht="16" hidden="1" customHeight="1" x14ac:dyDescent="0.2">
      <c r="A433" s="30">
        <v>2671</v>
      </c>
      <c r="B433" s="30" t="s">
        <v>26</v>
      </c>
      <c r="C433" s="30" t="s">
        <v>235</v>
      </c>
      <c r="D433" s="30" t="s">
        <v>145</v>
      </c>
      <c r="E433" s="30" t="s">
        <v>258</v>
      </c>
      <c r="F433" s="36" t="str">
        <f>IF(ISBLANK(Table2[[#This Row],[unique_id]]), "", PROPER(SUBSTITUTE(Table2[[#This Row],[unique_id]], "_", " ")))</f>
        <v>Edwin Home</v>
      </c>
      <c r="G433" s="30" t="s">
        <v>259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Edwin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Edwin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127</v>
      </c>
      <c r="BK433" s="30" t="s">
        <v>1295</v>
      </c>
      <c r="BL433" s="41" t="s">
        <v>419</v>
      </c>
      <c r="BM433" s="39" t="s">
        <v>1298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4" spans="1:66" ht="16" hidden="1" customHeight="1" x14ac:dyDescent="0.2">
      <c r="A434" s="30">
        <v>2672</v>
      </c>
      <c r="B434" s="30" t="s">
        <v>26</v>
      </c>
      <c r="C434" s="30" t="s">
        <v>235</v>
      </c>
      <c r="D434" s="30" t="s">
        <v>145</v>
      </c>
      <c r="E434" s="30" t="s">
        <v>266</v>
      </c>
      <c r="F434" s="36" t="str">
        <f>IF(ISBLANK(Table2[[#This Row],[unique_id]]), "", PROPER(SUBSTITUTE(Table2[[#This Row],[unique_id]], "_", " ")))</f>
        <v>Parents Home</v>
      </c>
      <c r="G434" s="30" t="s">
        <v>260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Parents Home Devices</v>
      </c>
      <c r="T434" s="37" t="s">
        <v>770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165</v>
      </c>
      <c r="BC434" s="30" t="s">
        <v>1037</v>
      </c>
      <c r="BD434" s="30" t="s">
        <v>235</v>
      </c>
      <c r="BF434" s="30" t="s">
        <v>1044</v>
      </c>
      <c r="BG434" s="30" t="s">
        <v>192</v>
      </c>
      <c r="BK434" s="30" t="s">
        <v>1295</v>
      </c>
      <c r="BL434" s="41" t="s">
        <v>637</v>
      </c>
      <c r="BM434" s="39" t="s">
        <v>1299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5" spans="1:66" ht="16" hidden="1" customHeight="1" x14ac:dyDescent="0.2">
      <c r="A435" s="30">
        <v>2673</v>
      </c>
      <c r="B435" s="30" t="s">
        <v>26</v>
      </c>
      <c r="C435" s="30" t="s">
        <v>235</v>
      </c>
      <c r="D435" s="30" t="s">
        <v>145</v>
      </c>
      <c r="E435" s="30" t="s">
        <v>262</v>
      </c>
      <c r="F435" s="36" t="str">
        <f>IF(ISBLANK(Table2[[#This Row],[unique_id]]), "", PROPER(SUBSTITUTE(Table2[[#This Row],[unique_id]], "_", " ")))</f>
        <v>Kitchen Home</v>
      </c>
      <c r="G435" s="30" t="s">
        <v>261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Kitchen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206</v>
      </c>
      <c r="BK435" s="30" t="s">
        <v>1295</v>
      </c>
      <c r="BL435" s="41" t="s">
        <v>730</v>
      </c>
      <c r="BM435" s="39" t="s">
        <v>1300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6" spans="1:66" ht="16" hidden="1" customHeight="1" x14ac:dyDescent="0.2">
      <c r="A436" s="30">
        <v>2674</v>
      </c>
      <c r="B436" s="30" t="s">
        <v>26</v>
      </c>
      <c r="C436" s="30" t="s">
        <v>235</v>
      </c>
      <c r="D436" s="30" t="s">
        <v>145</v>
      </c>
      <c r="E436" s="30" t="s">
        <v>608</v>
      </c>
      <c r="F436" s="36" t="str">
        <f>IF(ISBLANK(Table2[[#This Row],[unique_id]]), "", PROPER(SUBSTITUTE(Table2[[#This Row],[unique_id]], "_", " ")))</f>
        <v>Office Home</v>
      </c>
      <c r="G436" s="30" t="s">
        <v>609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Office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Office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212</v>
      </c>
      <c r="BK436" s="30" t="s">
        <v>1295</v>
      </c>
      <c r="BL436" s="41" t="s">
        <v>417</v>
      </c>
      <c r="BM436" s="39" t="s">
        <v>1301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7" spans="1:66" ht="16" hidden="1" customHeight="1" x14ac:dyDescent="0.2">
      <c r="A437" s="30">
        <v>2675</v>
      </c>
      <c r="B437" s="30" t="s">
        <v>26</v>
      </c>
      <c r="C437" s="30" t="s">
        <v>235</v>
      </c>
      <c r="D437" s="30" t="s">
        <v>145</v>
      </c>
      <c r="E437" s="30" t="s">
        <v>640</v>
      </c>
      <c r="F437" s="36" t="str">
        <f>IF(ISBLANK(Table2[[#This Row],[unique_id]]), "", PROPER(SUBSTITUTE(Table2[[#This Row],[unique_id]], "_", " ")))</f>
        <v>Lounge Home</v>
      </c>
      <c r="G437" s="30" t="s">
        <v>641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Lounge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194</v>
      </c>
      <c r="BK437" s="30" t="s">
        <v>1295</v>
      </c>
      <c r="BL437" s="41" t="s">
        <v>418</v>
      </c>
      <c r="BM437" s="39" t="s">
        <v>1302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8" spans="1:66" ht="16" hidden="1" customHeight="1" x14ac:dyDescent="0.2">
      <c r="A438" s="30">
        <v>2676</v>
      </c>
      <c r="B438" s="30" t="s">
        <v>26</v>
      </c>
      <c r="C438" s="30" t="s">
        <v>235</v>
      </c>
      <c r="D438" s="30" t="s">
        <v>145</v>
      </c>
      <c r="E438" s="30" t="s">
        <v>820</v>
      </c>
      <c r="F438" s="36" t="str">
        <f>IF(ISBLANK(Table2[[#This Row],[unique_id]]), "", PROPER(SUBSTITUTE(Table2[[#This Row],[unique_id]], "_", " ")))</f>
        <v>Ada Tablet</v>
      </c>
      <c r="G438" s="30" t="s">
        <v>821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821</v>
      </c>
      <c r="BC438" s="30" t="s">
        <v>1045</v>
      </c>
      <c r="BD438" s="30" t="s">
        <v>235</v>
      </c>
      <c r="BF438" s="30" t="s">
        <v>823</v>
      </c>
      <c r="BG438" s="30" t="s">
        <v>194</v>
      </c>
      <c r="BK438" s="30" t="s">
        <v>1295</v>
      </c>
      <c r="BL438" s="41" t="s">
        <v>1274</v>
      </c>
      <c r="BM438" s="39" t="s">
        <v>1303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9" spans="1:66" ht="16" hidden="1" customHeight="1" x14ac:dyDescent="0.2">
      <c r="A439" s="30">
        <v>2677</v>
      </c>
      <c r="B439" s="30" t="s">
        <v>26</v>
      </c>
      <c r="C439" s="30" t="s">
        <v>235</v>
      </c>
      <c r="D439" s="30" t="s">
        <v>145</v>
      </c>
      <c r="E439" s="30" t="s">
        <v>824</v>
      </c>
      <c r="F439" s="36" t="str">
        <f>IF(ISBLANK(Table2[[#This Row],[unique_id]]), "", PROPER(SUBSTITUTE(Table2[[#This Row],[unique_id]], "_", " ")))</f>
        <v>Edwin Tablet</v>
      </c>
      <c r="G439" s="30" t="s">
        <v>825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825</v>
      </c>
      <c r="BC439" s="30" t="s">
        <v>1045</v>
      </c>
      <c r="BD439" s="30" t="s">
        <v>235</v>
      </c>
      <c r="BF439" s="30" t="s">
        <v>823</v>
      </c>
      <c r="BG439" s="30" t="s">
        <v>206</v>
      </c>
      <c r="BK439" s="30" t="s">
        <v>1295</v>
      </c>
      <c r="BL439" s="41" t="s">
        <v>1275</v>
      </c>
      <c r="BM439" s="39" t="s">
        <v>1306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0" spans="1:66" ht="16" hidden="1" customHeight="1" x14ac:dyDescent="0.2">
      <c r="A440" s="30">
        <v>2678</v>
      </c>
      <c r="B440" s="30" t="s">
        <v>26</v>
      </c>
      <c r="C440" s="30" t="s">
        <v>580</v>
      </c>
      <c r="D440" s="30" t="s">
        <v>145</v>
      </c>
      <c r="E440" s="30" t="s">
        <v>605</v>
      </c>
      <c r="F440" s="36" t="str">
        <f>IF(ISBLANK(Table2[[#This Row],[unique_id]]), "", PROPER(SUBSTITUTE(Table2[[#This Row],[unique_id]], "_", " ")))</f>
        <v>Lg Webos Smart Tv</v>
      </c>
      <c r="G440" s="30" t="s">
        <v>180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981</v>
      </c>
      <c r="BC440" s="30" t="s">
        <v>583</v>
      </c>
      <c r="BD440" s="30" t="s">
        <v>580</v>
      </c>
      <c r="BF440" s="30" t="s">
        <v>582</v>
      </c>
      <c r="BG440" s="30" t="s">
        <v>194</v>
      </c>
      <c r="BK440" s="30" t="s">
        <v>1295</v>
      </c>
      <c r="BL440" s="41" t="s">
        <v>581</v>
      </c>
      <c r="BM440" s="39" t="s">
        <v>1304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1" spans="1:66" ht="16" hidden="1" customHeight="1" x14ac:dyDescent="0.2">
      <c r="A441" s="30">
        <v>2679</v>
      </c>
      <c r="B441" s="30" t="s">
        <v>579</v>
      </c>
      <c r="C441" s="30" t="s">
        <v>264</v>
      </c>
      <c r="D441" s="30" t="s">
        <v>145</v>
      </c>
      <c r="E441" s="30" t="s">
        <v>265</v>
      </c>
      <c r="F441" s="36" t="str">
        <f>IF(ISBLANK(Table2[[#This Row],[unique_id]]), "", PROPER(SUBSTITUTE(Table2[[#This Row],[unique_id]], "_", " ")))</f>
        <v>Parents Tv</v>
      </c>
      <c r="G441" s="30" t="s">
        <v>263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981</v>
      </c>
      <c r="BC441" s="30" t="s">
        <v>1038</v>
      </c>
      <c r="BD441" s="30" t="s">
        <v>264</v>
      </c>
      <c r="BF441" s="30" t="s">
        <v>397</v>
      </c>
      <c r="BG441" s="30" t="s">
        <v>192</v>
      </c>
      <c r="BK441" s="30" t="s">
        <v>1295</v>
      </c>
      <c r="BL441" s="41" t="s">
        <v>399</v>
      </c>
      <c r="BM441" s="39" t="s">
        <v>1305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2" spans="1:66" ht="16" hidden="1" customHeight="1" x14ac:dyDescent="0.2">
      <c r="A442" s="30">
        <v>2680</v>
      </c>
      <c r="B442" s="30" t="s">
        <v>579</v>
      </c>
      <c r="C442" s="30" t="s">
        <v>235</v>
      </c>
      <c r="D442" s="30" t="s">
        <v>145</v>
      </c>
      <c r="E442" s="30" t="s">
        <v>685</v>
      </c>
      <c r="F442" s="36" t="str">
        <f>IF(ISBLANK(Table2[[#This Row],[unique_id]]), "", PROPER(SUBSTITUTE(Table2[[#This Row],[unique_id]], "_", " ")))</f>
        <v>Office Tv</v>
      </c>
      <c r="G442" s="30" t="s">
        <v>686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Office</v>
      </c>
      <c r="BB442" s="30" t="s">
        <v>981</v>
      </c>
      <c r="BC442" s="30" t="s">
        <v>392</v>
      </c>
      <c r="BD442" s="30" t="s">
        <v>235</v>
      </c>
      <c r="BF442" s="30" t="s">
        <v>393</v>
      </c>
      <c r="BG442" s="30" t="s">
        <v>212</v>
      </c>
      <c r="BK442" s="30" t="s">
        <v>1295</v>
      </c>
      <c r="BL442" s="41" t="s">
        <v>421</v>
      </c>
      <c r="BM442" s="39" t="s">
        <v>1307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3" spans="1:66" ht="16" hidden="1" customHeight="1" x14ac:dyDescent="0.2">
      <c r="A443" s="30">
        <v>2681</v>
      </c>
      <c r="B443" s="30" t="s">
        <v>26</v>
      </c>
      <c r="C443" s="30" t="s">
        <v>440</v>
      </c>
      <c r="D443" s="30" t="s">
        <v>333</v>
      </c>
      <c r="E443" s="30" t="s">
        <v>332</v>
      </c>
      <c r="F443" s="36" t="str">
        <f>IF(ISBLANK(Table2[[#This Row],[unique_id]]), "", PROPER(SUBSTITUTE(Table2[[#This Row],[unique_id]], "_", " ")))</f>
        <v>Column Break</v>
      </c>
      <c r="G443" s="30" t="s">
        <v>329</v>
      </c>
      <c r="H443" s="30" t="s">
        <v>745</v>
      </c>
      <c r="I443" s="30" t="s">
        <v>144</v>
      </c>
      <c r="M443" s="30" t="s">
        <v>330</v>
      </c>
      <c r="N443" s="30" t="s">
        <v>331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hidden="1" customHeight="1" x14ac:dyDescent="0.2">
      <c r="A444" s="30">
        <v>2682</v>
      </c>
      <c r="B444" s="30" t="s">
        <v>26</v>
      </c>
      <c r="C444" s="30" t="s">
        <v>182</v>
      </c>
      <c r="D444" s="30" t="s">
        <v>145</v>
      </c>
      <c r="E444" s="30" t="s">
        <v>734</v>
      </c>
      <c r="F444" s="36" t="str">
        <f>IF(ISBLANK(Table2[[#This Row],[unique_id]]), "", PROPER(SUBSTITUTE(Table2[[#This Row],[unique_id]], "_", " ")))</f>
        <v>Lounge Arc</v>
      </c>
      <c r="G444" s="30" t="s">
        <v>737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/>
      <c r="R444" s="41"/>
      <c r="T444" s="37" t="str">
        <f>_xlfn.CONCAT("name: ", Table2[[#This Row],[friendly_name]])</f>
        <v>name: Lounge Arc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Lounge</v>
      </c>
      <c r="BB444" s="30" t="s">
        <v>584</v>
      </c>
      <c r="BC444" s="30" t="s">
        <v>1041</v>
      </c>
      <c r="BD444" s="30" t="s">
        <v>182</v>
      </c>
      <c r="BF444" s="30">
        <v>15.4</v>
      </c>
      <c r="BG444" s="30" t="s">
        <v>194</v>
      </c>
      <c r="BK444" s="30" t="s">
        <v>1295</v>
      </c>
      <c r="BL444" s="30" t="s">
        <v>585</v>
      </c>
      <c r="BM444" s="39" t="s">
        <v>1308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5" spans="1:66" ht="16" hidden="1" customHeight="1" x14ac:dyDescent="0.2">
      <c r="A445" s="30">
        <v>2683</v>
      </c>
      <c r="B445" s="30" t="s">
        <v>579</v>
      </c>
      <c r="C445" s="30" t="s">
        <v>808</v>
      </c>
      <c r="D445" s="30" t="s">
        <v>148</v>
      </c>
      <c r="E445" s="30" t="s">
        <v>810</v>
      </c>
      <c r="F445" s="36" t="str">
        <f>IF(ISBLANK(Table2[[#This Row],[unique_id]]), "", PROPER(SUBSTITUTE(Table2[[#This Row],[unique_id]], "_", " ")))</f>
        <v>Template Kitchen Move Proxy</v>
      </c>
      <c r="G445" s="30" t="s">
        <v>738</v>
      </c>
      <c r="H445" s="30" t="s">
        <v>745</v>
      </c>
      <c r="I445" s="30" t="s">
        <v>144</v>
      </c>
      <c r="O445" s="31" t="s">
        <v>788</v>
      </c>
      <c r="P445" s="30" t="s">
        <v>165</v>
      </c>
      <c r="Q445" s="30" t="s">
        <v>760</v>
      </c>
      <c r="R445" s="41" t="s">
        <v>745</v>
      </c>
      <c r="S445" s="30" t="str">
        <f>_xlfn.CONCAT( Table2[[#This Row],[friendly_name]], " Devices")</f>
        <v>Kitchen Move Devices</v>
      </c>
      <c r="T445" s="37" t="s">
        <v>813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 t="s">
        <v>145</v>
      </c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365</v>
      </c>
      <c r="BC445" s="30" t="s">
        <v>1039</v>
      </c>
      <c r="BD445" s="30" t="s">
        <v>182</v>
      </c>
      <c r="BF445" s="30">
        <v>15.4</v>
      </c>
      <c r="BG445" s="30" t="s">
        <v>206</v>
      </c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hidden="1" customHeight="1" x14ac:dyDescent="0.2">
      <c r="A446" s="30">
        <v>2684</v>
      </c>
      <c r="B446" s="30" t="s">
        <v>26</v>
      </c>
      <c r="C446" s="30" t="s">
        <v>182</v>
      </c>
      <c r="D446" s="30" t="s">
        <v>145</v>
      </c>
      <c r="E446" s="30" t="s">
        <v>733</v>
      </c>
      <c r="F446" s="36" t="str">
        <f>IF(ISBLANK(Table2[[#This Row],[unique_id]]), "", PROPER(SUBSTITUTE(Table2[[#This Row],[unique_id]], "_", " ")))</f>
        <v>Kitchen Move</v>
      </c>
      <c r="G446" s="30" t="s">
        <v>738</v>
      </c>
      <c r="H446" s="30" t="s">
        <v>745</v>
      </c>
      <c r="I446" s="30" t="s">
        <v>144</v>
      </c>
      <c r="M446" s="30" t="s">
        <v>136</v>
      </c>
      <c r="N446" s="30" t="s">
        <v>270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K446" s="30" t="s">
        <v>1295</v>
      </c>
      <c r="BL446" s="30" t="s">
        <v>368</v>
      </c>
      <c r="BM446" s="39" t="s">
        <v>1309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7" spans="1:66" ht="16" hidden="1" customHeight="1" x14ac:dyDescent="0.2">
      <c r="A447" s="30">
        <v>2685</v>
      </c>
      <c r="B447" s="30" t="s">
        <v>26</v>
      </c>
      <c r="C447" s="30" t="s">
        <v>182</v>
      </c>
      <c r="D447" s="30" t="s">
        <v>145</v>
      </c>
      <c r="E447" s="30" t="s">
        <v>732</v>
      </c>
      <c r="F447" s="36" t="str">
        <f>IF(ISBLANK(Table2[[#This Row],[unique_id]]), "", PROPER(SUBSTITUTE(Table2[[#This Row],[unique_id]], "_", " ")))</f>
        <v>Kitchen Five</v>
      </c>
      <c r="G447" s="30" t="s">
        <v>739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Five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812</v>
      </c>
      <c r="BC447" s="30" t="s">
        <v>1040</v>
      </c>
      <c r="BD447" s="30" t="s">
        <v>182</v>
      </c>
      <c r="BF447" s="30">
        <v>15.4</v>
      </c>
      <c r="BG447" s="30" t="s">
        <v>206</v>
      </c>
      <c r="BK447" s="30" t="s">
        <v>1295</v>
      </c>
      <c r="BL447" s="37" t="s">
        <v>367</v>
      </c>
      <c r="BM447" s="39" t="s">
        <v>1310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8" spans="1:66" ht="16" hidden="1" customHeight="1" x14ac:dyDescent="0.2">
      <c r="A448" s="30">
        <v>2686</v>
      </c>
      <c r="B448" s="30" t="s">
        <v>579</v>
      </c>
      <c r="C448" s="30" t="s">
        <v>808</v>
      </c>
      <c r="D448" s="30" t="s">
        <v>148</v>
      </c>
      <c r="E448" s="30" t="s">
        <v>811</v>
      </c>
      <c r="F448" s="36" t="str">
        <f>IF(ISBLANK(Table2[[#This Row],[unique_id]]), "", PROPER(SUBSTITUTE(Table2[[#This Row],[unique_id]], "_", " ")))</f>
        <v>Template Parents Move Proxy</v>
      </c>
      <c r="G448" s="30" t="s">
        <v>740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Parents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192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2687</v>
      </c>
      <c r="B449" s="30" t="s">
        <v>26</v>
      </c>
      <c r="C449" s="30" t="s">
        <v>182</v>
      </c>
      <c r="D449" s="30" t="s">
        <v>145</v>
      </c>
      <c r="E449" s="30" t="s">
        <v>731</v>
      </c>
      <c r="F449" s="36" t="str">
        <f>IF(ISBLANK(Table2[[#This Row],[unique_id]]), "", PROPER(SUBSTITUTE(Table2[[#This Row],[unique_id]], "_", " ")))</f>
        <v>Parents Move</v>
      </c>
      <c r="G449" s="30" t="s">
        <v>740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K449" s="30" t="s">
        <v>1295</v>
      </c>
      <c r="BL449" s="30" t="s">
        <v>366</v>
      </c>
      <c r="BM449" s="39" t="s">
        <v>1311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0" spans="1:66" ht="16" hidden="1" customHeight="1" x14ac:dyDescent="0.2">
      <c r="A450" s="30">
        <v>2688</v>
      </c>
      <c r="B450" s="30" t="s">
        <v>26</v>
      </c>
      <c r="C450" s="30" t="s">
        <v>264</v>
      </c>
      <c r="D450" s="30" t="s">
        <v>145</v>
      </c>
      <c r="E450" s="30" t="s">
        <v>1354</v>
      </c>
      <c r="F450" s="36" t="str">
        <f>IF(ISBLANK(Table2[[#This Row],[unique_id]]), "", PROPER(SUBSTITUTE(Table2[[#This Row],[unique_id]], "_", " ")))</f>
        <v>Parents Homepod</v>
      </c>
      <c r="G450" s="30" t="s">
        <v>1355</v>
      </c>
      <c r="H450" s="30" t="s">
        <v>745</v>
      </c>
      <c r="I450" s="30" t="s">
        <v>144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1356</v>
      </c>
      <c r="BC450" s="30" t="s">
        <v>1042</v>
      </c>
      <c r="BD450" s="30" t="s">
        <v>264</v>
      </c>
      <c r="BF450" s="30" t="s">
        <v>397</v>
      </c>
      <c r="BG450" s="30" t="s">
        <v>192</v>
      </c>
      <c r="BK450" s="30" t="s">
        <v>1295</v>
      </c>
      <c r="BL450" s="41" t="s">
        <v>400</v>
      </c>
      <c r="BM450" s="39" t="s">
        <v>1312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1" spans="1:66" ht="16" hidden="1" customHeight="1" x14ac:dyDescent="0.2">
      <c r="A451" s="30">
        <v>2700</v>
      </c>
      <c r="B451" s="30" t="s">
        <v>26</v>
      </c>
      <c r="C451" s="30" t="s">
        <v>150</v>
      </c>
      <c r="D451" s="30" t="s">
        <v>310</v>
      </c>
      <c r="E451" s="30" t="s">
        <v>653</v>
      </c>
      <c r="F451" s="36" t="str">
        <f>IF(ISBLANK(Table2[[#This Row],[unique_id]]), "", PROPER(SUBSTITUTE(Table2[[#This Row],[unique_id]], "_", " ")))</f>
        <v>Back Door Lock Security</v>
      </c>
      <c r="G451" s="30" t="s">
        <v>649</v>
      </c>
      <c r="H451" s="30" t="s">
        <v>631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2701</v>
      </c>
      <c r="B452" s="30" t="s">
        <v>26</v>
      </c>
      <c r="C452" s="30" t="s">
        <v>150</v>
      </c>
      <c r="D452" s="30" t="s">
        <v>148</v>
      </c>
      <c r="E452" s="30" t="s">
        <v>666</v>
      </c>
      <c r="F452" s="36" t="str">
        <f>IF(ISBLANK(Table2[[#This Row],[unique_id]]), "", PROPER(SUBSTITUTE(Table2[[#This Row],[unique_id]], "_", " ")))</f>
        <v>Template Back Door State</v>
      </c>
      <c r="G452" s="30" t="s">
        <v>285</v>
      </c>
      <c r="H452" s="30" t="s">
        <v>631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2702</v>
      </c>
      <c r="B453" s="30" t="s">
        <v>26</v>
      </c>
      <c r="C453" s="30" t="s">
        <v>622</v>
      </c>
      <c r="D453" s="30" t="s">
        <v>625</v>
      </c>
      <c r="E453" s="30" t="s">
        <v>626</v>
      </c>
      <c r="F453" s="36" t="str">
        <f>IF(ISBLANK(Table2[[#This Row],[unique_id]]), "", PROPER(SUBSTITUTE(Table2[[#This Row],[unique_id]], "_", " ")))</f>
        <v>Back Door Lock</v>
      </c>
      <c r="G453" s="30" t="s">
        <v>668</v>
      </c>
      <c r="H453" s="30" t="s">
        <v>631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Back Door</v>
      </c>
      <c r="BA453" s="30" t="str">
        <f>IF(ISBLANK(Table2[[#This Row],[device_model]]), "", Table2[[#This Row],[device_suggested_area]])</f>
        <v>Back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631</v>
      </c>
      <c r="BL453" s="30" t="s">
        <v>621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4" spans="1:66" ht="16" hidden="1" customHeight="1" x14ac:dyDescent="0.2">
      <c r="A454" s="30">
        <v>2703</v>
      </c>
      <c r="B454" s="30" t="s">
        <v>26</v>
      </c>
      <c r="C454" s="30" t="s">
        <v>334</v>
      </c>
      <c r="D454" s="30" t="s">
        <v>148</v>
      </c>
      <c r="E454" s="30" t="s">
        <v>659</v>
      </c>
      <c r="F454" s="36" t="str">
        <f>IF(ISBLANK(Table2[[#This Row],[unique_id]]), "", PROPER(SUBSTITUTE(Table2[[#This Row],[unique_id]], "_", " ")))</f>
        <v>Template Back Door Sensor Contact Last</v>
      </c>
      <c r="G454" s="30" t="s">
        <v>667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631</v>
      </c>
      <c r="BL454" s="30" t="s">
        <v>644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5" spans="1:66" ht="16" hidden="1" customHeight="1" x14ac:dyDescent="0.2">
      <c r="A455" s="30">
        <v>2704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631</v>
      </c>
      <c r="H455" s="30" t="s">
        <v>639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2705</v>
      </c>
      <c r="B456" s="30" t="s">
        <v>26</v>
      </c>
      <c r="C456" s="30" t="s">
        <v>150</v>
      </c>
      <c r="D456" s="30" t="s">
        <v>310</v>
      </c>
      <c r="E456" s="30" t="s">
        <v>654</v>
      </c>
      <c r="F456" s="36" t="str">
        <f>IF(ISBLANK(Table2[[#This Row],[unique_id]]), "", PROPER(SUBSTITUTE(Table2[[#This Row],[unique_id]], "_", " ")))</f>
        <v>Front Door Lock Security</v>
      </c>
      <c r="G456" s="30" t="s">
        <v>649</v>
      </c>
      <c r="H456" s="30" t="s">
        <v>630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E456" s="30" t="s">
        <v>664</v>
      </c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L456" s="41"/>
      <c r="BM456" s="39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2706</v>
      </c>
      <c r="B457" s="30" t="s">
        <v>26</v>
      </c>
      <c r="C457" s="30" t="s">
        <v>150</v>
      </c>
      <c r="D457" s="30" t="s">
        <v>148</v>
      </c>
      <c r="E457" s="30" t="s">
        <v>665</v>
      </c>
      <c r="F457" s="36" t="str">
        <f>IF(ISBLANK(Table2[[#This Row],[unique_id]]), "", PROPER(SUBSTITUTE(Table2[[#This Row],[unique_id]], "_", " ")))</f>
        <v>Template Front Door State</v>
      </c>
      <c r="G457" s="30" t="s">
        <v>285</v>
      </c>
      <c r="H457" s="30" t="s">
        <v>630</v>
      </c>
      <c r="I457" s="30" t="s">
        <v>209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2707</v>
      </c>
      <c r="B458" s="30" t="s">
        <v>26</v>
      </c>
      <c r="C458" s="30" t="s">
        <v>622</v>
      </c>
      <c r="D458" s="30" t="s">
        <v>625</v>
      </c>
      <c r="E458" s="30" t="s">
        <v>627</v>
      </c>
      <c r="F458" s="36" t="str">
        <f>IF(ISBLANK(Table2[[#This Row],[unique_id]]), "", PROPER(SUBSTITUTE(Table2[[#This Row],[unique_id]], "_", " ")))</f>
        <v>Front Door Lock</v>
      </c>
      <c r="G458" s="30" t="s">
        <v>668</v>
      </c>
      <c r="H458" s="30" t="s">
        <v>630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 t="s">
        <v>489</v>
      </c>
      <c r="X458" s="31"/>
      <c r="Y458" s="42" t="s">
        <v>756</v>
      </c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0" t="str">
        <f>Table2[[#This Row],[device_suggested_area]]</f>
        <v>Front Door</v>
      </c>
      <c r="BA458" s="30" t="str">
        <f>IF(ISBLANK(Table2[[#This Row],[device_model]]), "", Table2[[#This Row],[device_suggested_area]])</f>
        <v>Front Door</v>
      </c>
      <c r="BB458" s="30" t="s">
        <v>1032</v>
      </c>
      <c r="BC458" s="30" t="s">
        <v>623</v>
      </c>
      <c r="BD458" s="30" t="s">
        <v>622</v>
      </c>
      <c r="BF458" s="30" t="s">
        <v>624</v>
      </c>
      <c r="BG458" s="30" t="s">
        <v>630</v>
      </c>
      <c r="BL458" s="30" t="s">
        <v>628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9" spans="1:66" ht="16" hidden="1" customHeight="1" x14ac:dyDescent="0.2">
      <c r="A459" s="30">
        <v>2708</v>
      </c>
      <c r="B459" s="30" t="s">
        <v>26</v>
      </c>
      <c r="C459" s="30" t="s">
        <v>334</v>
      </c>
      <c r="D459" s="30" t="s">
        <v>148</v>
      </c>
      <c r="E459" s="30" t="s">
        <v>658</v>
      </c>
      <c r="F459" s="36" t="str">
        <f>IF(ISBLANK(Table2[[#This Row],[unique_id]]), "", PROPER(SUBSTITUTE(Table2[[#This Row],[unique_id]], "_", " ")))</f>
        <v>Template Front Door Sensor Contact Last</v>
      </c>
      <c r="G459" s="30" t="s">
        <v>667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7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7" t="s">
        <v>1036</v>
      </c>
      <c r="BC459" s="37" t="s">
        <v>642</v>
      </c>
      <c r="BD459" s="30" t="s">
        <v>1110</v>
      </c>
      <c r="BF459" s="30" t="s">
        <v>624</v>
      </c>
      <c r="BG459" s="30" t="s">
        <v>630</v>
      </c>
      <c r="BL459" s="30" t="s">
        <v>643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0" spans="1:66" ht="16" hidden="1" customHeight="1" x14ac:dyDescent="0.2">
      <c r="A460" s="30">
        <v>2709</v>
      </c>
      <c r="B460" s="30" t="s">
        <v>579</v>
      </c>
      <c r="C460" s="30" t="s">
        <v>234</v>
      </c>
      <c r="D460" s="30" t="s">
        <v>147</v>
      </c>
      <c r="F460" s="36" t="str">
        <f>IF(ISBLANK(Table2[[#This Row],[unique_id]]), "", PROPER(SUBSTITUTE(Table2[[#This Row],[unique_id]], "_", " ")))</f>
        <v/>
      </c>
      <c r="G460" s="30" t="s">
        <v>630</v>
      </c>
      <c r="H460" s="30" t="s">
        <v>638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C460" s="37"/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2710</v>
      </c>
      <c r="B461" s="30" t="s">
        <v>26</v>
      </c>
      <c r="C461" s="30" t="s">
        <v>133</v>
      </c>
      <c r="D461" s="30" t="s">
        <v>148</v>
      </c>
      <c r="E461" s="30" t="s">
        <v>600</v>
      </c>
      <c r="F461" s="36" t="str">
        <f>IF(ISBLANK(Table2[[#This Row],[unique_id]]), "", PROPER(SUBSTITUTE(Table2[[#This Row],[unique_id]], "_", " ")))</f>
        <v>Ada Fan Occupancy</v>
      </c>
      <c r="G461" s="30" t="s">
        <v>130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hidden="1" customHeight="1" x14ac:dyDescent="0.2">
      <c r="A462" s="30">
        <v>2711</v>
      </c>
      <c r="B462" s="30" t="s">
        <v>26</v>
      </c>
      <c r="C462" s="30" t="s">
        <v>133</v>
      </c>
      <c r="D462" s="30" t="s">
        <v>148</v>
      </c>
      <c r="E462" s="30" t="s">
        <v>599</v>
      </c>
      <c r="F462" s="36" t="str">
        <f>IF(ISBLANK(Table2[[#This Row],[unique_id]]), "", PROPER(SUBSTITUTE(Table2[[#This Row],[unique_id]], "_", " ")))</f>
        <v>Edwin Fan Occupancy</v>
      </c>
      <c r="G462" s="30" t="s">
        <v>127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2712</v>
      </c>
      <c r="B463" s="30" t="s">
        <v>26</v>
      </c>
      <c r="C463" s="30" t="s">
        <v>133</v>
      </c>
      <c r="D463" s="30" t="s">
        <v>148</v>
      </c>
      <c r="E463" s="30" t="s">
        <v>601</v>
      </c>
      <c r="F463" s="36" t="str">
        <f>IF(ISBLANK(Table2[[#This Row],[unique_id]]), "", PROPER(SUBSTITUTE(Table2[[#This Row],[unique_id]], "_", " ")))</f>
        <v>Parents Fan Occupancy</v>
      </c>
      <c r="G463" s="30" t="s">
        <v>192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2713</v>
      </c>
      <c r="B464" s="30" t="s">
        <v>26</v>
      </c>
      <c r="C464" s="30" t="s">
        <v>133</v>
      </c>
      <c r="D464" s="30" t="s">
        <v>148</v>
      </c>
      <c r="E464" s="30" t="s">
        <v>602</v>
      </c>
      <c r="F464" s="36" t="str">
        <f>IF(ISBLANK(Table2[[#This Row],[unique_id]]), "", PROPER(SUBSTITUTE(Table2[[#This Row],[unique_id]], "_", " ")))</f>
        <v>Lounge Fan Occupancy</v>
      </c>
      <c r="G464" s="30" t="s">
        <v>194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2714</v>
      </c>
      <c r="B465" s="30" t="s">
        <v>26</v>
      </c>
      <c r="C465" s="30" t="s">
        <v>133</v>
      </c>
      <c r="D465" s="30" t="s">
        <v>148</v>
      </c>
      <c r="E465" s="30" t="s">
        <v>603</v>
      </c>
      <c r="F465" s="36" t="str">
        <f>IF(ISBLANK(Table2[[#This Row],[unique_id]]), "", PROPER(SUBSTITUTE(Table2[[#This Row],[unique_id]], "_", " ")))</f>
        <v>Deck East Fan Occupancy</v>
      </c>
      <c r="G465" s="30" t="s">
        <v>215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2715</v>
      </c>
      <c r="B466" s="30" t="s">
        <v>26</v>
      </c>
      <c r="C466" s="30" t="s">
        <v>133</v>
      </c>
      <c r="D466" s="30" t="s">
        <v>148</v>
      </c>
      <c r="E466" s="30" t="s">
        <v>604</v>
      </c>
      <c r="F466" s="36" t="str">
        <f>IF(ISBLANK(Table2[[#This Row],[unique_id]]), "", PROPER(SUBSTITUTE(Table2[[#This Row],[unique_id]], "_", " ")))</f>
        <v>Deck West Fan Occupancy</v>
      </c>
      <c r="G466" s="30" t="s">
        <v>214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2716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633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2717</v>
      </c>
      <c r="B468" s="30" t="s">
        <v>26</v>
      </c>
      <c r="C468" s="30" t="s">
        <v>234</v>
      </c>
      <c r="D468" s="30" t="s">
        <v>148</v>
      </c>
      <c r="E468" s="30" t="s">
        <v>149</v>
      </c>
      <c r="F468" s="36" t="str">
        <f>IF(ISBLANK(Table2[[#This Row],[unique_id]]), "", PROPER(SUBSTITUTE(Table2[[#This Row],[unique_id]], "_", " ")))</f>
        <v>Uvc Ada Motion</v>
      </c>
      <c r="G468" s="30" t="s">
        <v>629</v>
      </c>
      <c r="H468" s="30" t="s">
        <v>633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2718</v>
      </c>
      <c r="B469" s="30" t="s">
        <v>26</v>
      </c>
      <c r="C469" s="30" t="s">
        <v>234</v>
      </c>
      <c r="D469" s="30" t="s">
        <v>147</v>
      </c>
      <c r="E469" s="30" t="s">
        <v>1368</v>
      </c>
      <c r="F469" s="36" t="str">
        <f>IF(ISBLANK(Table2[[#This Row],[unique_id]]), "", PROPER(SUBSTITUTE(Table2[[#This Row],[unique_id]], "_", " ")))</f>
        <v>Uvc Ada Medium Resolution Channel</v>
      </c>
      <c r="G469" s="30" t="s">
        <v>130</v>
      </c>
      <c r="H469" s="30" t="s">
        <v>635</v>
      </c>
      <c r="I469" s="30" t="s">
        <v>209</v>
      </c>
      <c r="M469" s="30" t="s">
        <v>136</v>
      </c>
      <c r="N469" s="30" t="s">
        <v>271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1468</v>
      </c>
      <c r="BA469" s="30" t="str">
        <f>IF(ISBLANK(Table2[[#This Row],[device_model]]), "", Table2[[#This Row],[device_suggested_area]])</f>
        <v>Ada</v>
      </c>
      <c r="BB469" s="30" t="str">
        <f>Table2[[#This Row],[device_suggested_area]]</f>
        <v>Ada</v>
      </c>
      <c r="BC469" s="30" t="s">
        <v>385</v>
      </c>
      <c r="BD469" s="30" t="s">
        <v>234</v>
      </c>
      <c r="BF469" s="30" t="s">
        <v>386</v>
      </c>
      <c r="BG469" s="30" t="s">
        <v>130</v>
      </c>
      <c r="BK469" s="30" t="s">
        <v>1296</v>
      </c>
      <c r="BL469" s="30" t="s">
        <v>383</v>
      </c>
      <c r="BM469" s="30" t="s">
        <v>1351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0" spans="1:66" ht="16" hidden="1" customHeight="1" x14ac:dyDescent="0.2">
      <c r="A470" s="30">
        <v>2719</v>
      </c>
      <c r="B470" s="30" t="s">
        <v>26</v>
      </c>
      <c r="C470" s="30" t="s">
        <v>234</v>
      </c>
      <c r="D470" s="30" t="s">
        <v>148</v>
      </c>
      <c r="E470" s="30" t="s">
        <v>208</v>
      </c>
      <c r="F470" s="36" t="str">
        <f>IF(ISBLANK(Table2[[#This Row],[unique_id]]), "", PROPER(SUBSTITUTE(Table2[[#This Row],[unique_id]], "_", " ")))</f>
        <v>Uvc Edwin Motion</v>
      </c>
      <c r="G470" s="30" t="s">
        <v>629</v>
      </c>
      <c r="H470" s="30" t="s">
        <v>632</v>
      </c>
      <c r="I470" s="30" t="s">
        <v>209</v>
      </c>
      <c r="M470" s="30" t="s">
        <v>136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2720</v>
      </c>
      <c r="B471" s="30" t="s">
        <v>26</v>
      </c>
      <c r="C471" s="30" t="s">
        <v>234</v>
      </c>
      <c r="D471" s="30" t="s">
        <v>147</v>
      </c>
      <c r="E471" s="30" t="s">
        <v>1369</v>
      </c>
      <c r="F471" s="36" t="str">
        <f>IF(ISBLANK(Table2[[#This Row],[unique_id]]), "", PROPER(SUBSTITUTE(Table2[[#This Row],[unique_id]], "_", " ")))</f>
        <v>Uvc Edwin Medium Resolution Channel</v>
      </c>
      <c r="G471" s="30" t="s">
        <v>127</v>
      </c>
      <c r="H471" s="30" t="s">
        <v>634</v>
      </c>
      <c r="I471" s="30" t="s">
        <v>209</v>
      </c>
      <c r="M471" s="30" t="s">
        <v>136</v>
      </c>
      <c r="N471" s="30" t="s">
        <v>271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1468</v>
      </c>
      <c r="BA471" s="30" t="str">
        <f>IF(ISBLANK(Table2[[#This Row],[device_model]]), "", Table2[[#This Row],[device_suggested_area]])</f>
        <v>Edwin</v>
      </c>
      <c r="BB471" s="30" t="str">
        <f>Table2[[#This Row],[device_suggested_area]]</f>
        <v>Edwin</v>
      </c>
      <c r="BC471" s="30" t="s">
        <v>385</v>
      </c>
      <c r="BD471" s="30" t="s">
        <v>234</v>
      </c>
      <c r="BF471" s="30" t="s">
        <v>386</v>
      </c>
      <c r="BG471" s="30" t="s">
        <v>127</v>
      </c>
      <c r="BK471" s="30" t="s">
        <v>1296</v>
      </c>
      <c r="BL471" s="30" t="s">
        <v>384</v>
      </c>
      <c r="BM471" s="30" t="s">
        <v>1352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2" spans="1:66" ht="16" hidden="1" customHeight="1" x14ac:dyDescent="0.2">
      <c r="A472" s="30">
        <v>2721</v>
      </c>
      <c r="B472" s="30" t="s">
        <v>26</v>
      </c>
      <c r="C472" s="30" t="s">
        <v>440</v>
      </c>
      <c r="D472" s="30" t="s">
        <v>333</v>
      </c>
      <c r="E472" s="30" t="s">
        <v>332</v>
      </c>
      <c r="F472" s="36" t="str">
        <f>IF(ISBLANK(Table2[[#This Row],[unique_id]]), "", PROPER(SUBSTITUTE(Table2[[#This Row],[unique_id]], "_", " ")))</f>
        <v>Column Break</v>
      </c>
      <c r="G472" s="30" t="s">
        <v>329</v>
      </c>
      <c r="H472" s="30" t="s">
        <v>634</v>
      </c>
      <c r="I472" s="30" t="s">
        <v>209</v>
      </c>
      <c r="M472" s="30" t="s">
        <v>330</v>
      </c>
      <c r="N472" s="30" t="s">
        <v>331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2" s="30" t="str">
        <f>IF(ISBLANK(Table2[[#This Row],[device_model]]), "", Table2[[#This Row],[device_suggested_area]])</f>
        <v/>
      </c>
      <c r="BF472" s="31"/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3" spans="1:66" ht="16" hidden="1" customHeight="1" x14ac:dyDescent="0.2">
      <c r="A473" s="30">
        <v>5000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1469</v>
      </c>
      <c r="BA473" s="30" t="str">
        <f>IF(ISBLANK(Table2[[#This Row],[device_model]]), "", Table2[[#This Row],[device_suggested_area]])</f>
        <v>Rack</v>
      </c>
      <c r="BC473" s="30" t="s">
        <v>1028</v>
      </c>
      <c r="BD473" s="30" t="s">
        <v>234</v>
      </c>
      <c r="BF473" s="30" t="s">
        <v>402</v>
      </c>
      <c r="BG473" s="30" t="s">
        <v>28</v>
      </c>
      <c r="BK473" s="30" t="s">
        <v>1289</v>
      </c>
      <c r="BL473" s="30" t="s">
        <v>405</v>
      </c>
      <c r="BM473" s="30" t="s">
        <v>1290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4" spans="1:66" ht="16" hidden="1" customHeight="1" x14ac:dyDescent="0.2">
      <c r="A474" s="30">
        <v>5001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1470</v>
      </c>
      <c r="BA474" s="30" t="str">
        <f>IF(ISBLANK(Table2[[#This Row],[device_model]]), "", Table2[[#This Row],[device_suggested_area]])</f>
        <v>Rack</v>
      </c>
      <c r="BB474" s="30" t="str">
        <f>Table2[[#This Row],[device_suggested_area]]</f>
        <v>Rack</v>
      </c>
      <c r="BC474" s="30" t="s">
        <v>1025</v>
      </c>
      <c r="BD474" s="30" t="s">
        <v>234</v>
      </c>
      <c r="BF474" s="30" t="s">
        <v>610</v>
      </c>
      <c r="BG474" s="30" t="s">
        <v>28</v>
      </c>
      <c r="BK474" s="30" t="s">
        <v>1289</v>
      </c>
      <c r="BL474" s="30" t="s">
        <v>611</v>
      </c>
      <c r="BM474" s="30" t="s">
        <v>1291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5" spans="1:66" ht="16" hidden="1" customHeight="1" x14ac:dyDescent="0.2">
      <c r="A475" s="30">
        <v>5002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1470</v>
      </c>
      <c r="BA475" s="30" t="str">
        <f>IF(ISBLANK(Table2[[#This Row],[device_model]]), "", Table2[[#This Row],[device_suggested_area]])</f>
        <v>Office</v>
      </c>
      <c r="BB475" s="30" t="str">
        <f>Table2[[#This Row],[device_suggested_area]]</f>
        <v>Office</v>
      </c>
      <c r="BC475" s="30" t="s">
        <v>1026</v>
      </c>
      <c r="BD475" s="30" t="s">
        <v>234</v>
      </c>
      <c r="BF475" s="30" t="s">
        <v>1066</v>
      </c>
      <c r="BG475" s="30" t="s">
        <v>212</v>
      </c>
      <c r="BK475" s="30" t="s">
        <v>1289</v>
      </c>
      <c r="BL475" s="30" t="s">
        <v>406</v>
      </c>
      <c r="BM475" s="30" t="s">
        <v>1511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6" spans="1:66" ht="16" hidden="1" customHeight="1" x14ac:dyDescent="0.2">
      <c r="A476" s="30">
        <v>5003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1470</v>
      </c>
      <c r="BA476" s="30" t="str">
        <f>IF(ISBLANK(Table2[[#This Row],[device_model]]), "", Table2[[#This Row],[device_suggested_area]])</f>
        <v>Ceiling</v>
      </c>
      <c r="BB476" s="30" t="str">
        <f>Table2[[#This Row],[device_suggested_area]]</f>
        <v>Ceiling</v>
      </c>
      <c r="BC476" s="30" t="s">
        <v>1510</v>
      </c>
      <c r="BD476" s="30" t="s">
        <v>234</v>
      </c>
      <c r="BF476" s="30" t="s">
        <v>1066</v>
      </c>
      <c r="BG476" s="30" t="s">
        <v>403</v>
      </c>
      <c r="BK476" s="30" t="s">
        <v>1289</v>
      </c>
      <c r="BL476" s="30" t="s">
        <v>1512</v>
      </c>
      <c r="BM476" s="30" t="s">
        <v>1292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7" spans="1:66" ht="16" hidden="1" customHeight="1" x14ac:dyDescent="0.2">
      <c r="A477" s="30">
        <v>5004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1471</v>
      </c>
      <c r="BA477" s="30" t="str">
        <f>IF(ISBLANK(Table2[[#This Row],[device_model]]), "", Table2[[#This Row],[device_suggested_area]])</f>
        <v>Hallway</v>
      </c>
      <c r="BB477" s="30" t="str">
        <f>Table2[[#This Row],[device_suggested_area]]</f>
        <v>Hallway</v>
      </c>
      <c r="BC477" s="30" t="s">
        <v>1413</v>
      </c>
      <c r="BD477" s="30" t="s">
        <v>234</v>
      </c>
      <c r="BF477" s="30" t="s">
        <v>1065</v>
      </c>
      <c r="BG477" s="30" t="s">
        <v>404</v>
      </c>
      <c r="BK477" s="30" t="s">
        <v>1289</v>
      </c>
      <c r="BL477" s="30" t="s">
        <v>1412</v>
      </c>
      <c r="BM477" s="30" t="s">
        <v>1293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8" spans="1:66" ht="16" hidden="1" customHeight="1" x14ac:dyDescent="0.2">
      <c r="A478" s="30">
        <v>5005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1471</v>
      </c>
      <c r="BA478" s="30" t="str">
        <f>IF(ISBLANK(Table2[[#This Row],[device_model]]), "", Table2[[#This Row],[device_suggested_area]])</f>
        <v>Deck North</v>
      </c>
      <c r="BB478" s="30" t="str">
        <f>Table2[[#This Row],[device_suggested_area]]</f>
        <v>Deck North</v>
      </c>
      <c r="BC478" s="30" t="s">
        <v>1027</v>
      </c>
      <c r="BD478" s="30" t="s">
        <v>234</v>
      </c>
      <c r="BF478" s="30" t="s">
        <v>1065</v>
      </c>
      <c r="BG478" s="30" t="s">
        <v>1464</v>
      </c>
      <c r="BK478" s="30" t="s">
        <v>1289</v>
      </c>
      <c r="BL478" s="30" t="s">
        <v>1466</v>
      </c>
      <c r="BM478" s="30" t="s">
        <v>1294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9" spans="1:66" ht="16" hidden="1" customHeight="1" x14ac:dyDescent="0.2">
      <c r="A479" s="30">
        <v>5006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1471</v>
      </c>
      <c r="BA479" s="30" t="str">
        <f>IF(ISBLANK(Table2[[#This Row],[device_model]]), "", Table2[[#This Row],[device_suggested_area]])</f>
        <v>Deck South</v>
      </c>
      <c r="BB479" s="30" t="str">
        <f>Table2[[#This Row],[device_suggested_area]]</f>
        <v>Deck South</v>
      </c>
      <c r="BC479" s="30" t="s">
        <v>1027</v>
      </c>
      <c r="BD479" s="30" t="s">
        <v>234</v>
      </c>
      <c r="BF479" s="30" t="s">
        <v>1065</v>
      </c>
      <c r="BG479" s="30" t="s">
        <v>1463</v>
      </c>
      <c r="BK479" s="30" t="s">
        <v>1289</v>
      </c>
      <c r="BL479" s="30" t="s">
        <v>407</v>
      </c>
      <c r="BM479" s="30" t="s">
        <v>1465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0" spans="1:66" ht="16" hidden="1" customHeight="1" x14ac:dyDescent="0.2">
      <c r="A480" s="30">
        <v>5007</v>
      </c>
      <c r="B480" s="39" t="s">
        <v>579</v>
      </c>
      <c r="C480" s="39" t="s">
        <v>234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1398</v>
      </c>
      <c r="BA480" s="30" t="str">
        <f>IF(ISBLANK(Table2[[#This Row],[device_model]]), "", Table2[[#This Row],[device_suggested_area]])</f>
        <v>Rack</v>
      </c>
      <c r="BB480" s="30" t="s">
        <v>1409</v>
      </c>
      <c r="BC480" s="30" t="s">
        <v>1400</v>
      </c>
      <c r="BD480" s="30" t="s">
        <v>1398</v>
      </c>
      <c r="BF480" s="30" t="s">
        <v>1406</v>
      </c>
      <c r="BG480" s="30" t="s">
        <v>28</v>
      </c>
      <c r="BL480" s="41"/>
      <c r="BM480" s="30" t="s">
        <v>1408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1" spans="1:66" ht="16" hidden="1" customHeight="1" x14ac:dyDescent="0.2">
      <c r="A481" s="30">
        <v>5008</v>
      </c>
      <c r="B481" s="39" t="s">
        <v>579</v>
      </c>
      <c r="C481" s="39" t="s">
        <v>1398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">
        <v>1399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1398</v>
      </c>
      <c r="BA481" s="30" t="str">
        <f>IF(ISBLANK(Table2[[#This Row],[device_model]]), "", Table2[[#This Row],[device_suggested_area]])</f>
        <v>Rack</v>
      </c>
      <c r="BB481" s="30" t="s">
        <v>1024</v>
      </c>
      <c r="BC481" s="30" t="s">
        <v>1400</v>
      </c>
      <c r="BD481" s="30" t="s">
        <v>1398</v>
      </c>
      <c r="BF481" s="30" t="s">
        <v>1406</v>
      </c>
      <c r="BG481" s="30" t="s">
        <v>28</v>
      </c>
      <c r="BL481" s="41"/>
      <c r="BM481" s="30" t="s">
        <v>1401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2" spans="1:66" ht="16" hidden="1" customHeight="1" x14ac:dyDescent="0.2">
      <c r="A482" s="30">
        <v>5009</v>
      </c>
      <c r="B482" s="39" t="s">
        <v>579</v>
      </c>
      <c r="C482" s="39" t="s">
        <v>1402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1403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1402</v>
      </c>
      <c r="BA482" s="30" t="str">
        <f>IF(ISBLANK(Table2[[#This Row],[device_model]]), "", Table2[[#This Row],[device_suggested_area]])</f>
        <v>Rack</v>
      </c>
      <c r="BB482" s="30" t="s">
        <v>1404</v>
      </c>
      <c r="BC482" s="30" t="s">
        <v>1405</v>
      </c>
      <c r="BD482" s="30" t="s">
        <v>1402</v>
      </c>
      <c r="BF482" s="30" t="s">
        <v>1406</v>
      </c>
      <c r="BG482" s="30" t="s">
        <v>28</v>
      </c>
      <c r="BL482" s="41"/>
      <c r="BM482" s="30" t="s">
        <v>1407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3" spans="1:66" ht="16" hidden="1" customHeight="1" x14ac:dyDescent="0.2">
      <c r="A483" s="30">
        <v>5010</v>
      </c>
      <c r="B483" s="39" t="s">
        <v>579</v>
      </c>
      <c r="C483" s="39" t="s">
        <v>387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1029</v>
      </c>
      <c r="BA483" s="30" t="str">
        <f>IF(ISBLANK(Table2[[#This Row],[device_model]]), "", Table2[[#This Row],[device_suggested_area]])</f>
        <v>Rack</v>
      </c>
      <c r="BB483" s="30" t="s">
        <v>387</v>
      </c>
      <c r="BC483" s="30" t="s">
        <v>388</v>
      </c>
      <c r="BD483" s="30" t="s">
        <v>390</v>
      </c>
      <c r="BF483" s="30" t="s">
        <v>389</v>
      </c>
      <c r="BG483" s="30" t="s">
        <v>28</v>
      </c>
      <c r="BK483" s="30" t="s">
        <v>1295</v>
      </c>
      <c r="BL483" s="41" t="s">
        <v>432</v>
      </c>
      <c r="BM483" s="30" t="s">
        <v>1313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4" spans="1:66" ht="16" hidden="1" customHeight="1" x14ac:dyDescent="0.2">
      <c r="A484" s="30">
        <v>5011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ref="AJ484:AJ489" si="0">IF(ISBLANK(AI484),  "", _xlfn.CONCAT("haas/entity/sensor/", LOWER(C484), "/", E484, "/config"))</f>
        <v/>
      </c>
      <c r="AK484" s="30" t="str">
        <f t="shared" ref="AK484:AK489" si="1"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Wardrobe</v>
      </c>
      <c r="BB484" s="30" t="s">
        <v>1494</v>
      </c>
      <c r="BC484" s="30" t="s">
        <v>1035</v>
      </c>
      <c r="BD484" s="30" t="s">
        <v>554</v>
      </c>
      <c r="BF484" s="63" t="s">
        <v>1498</v>
      </c>
      <c r="BG484" s="30" t="s">
        <v>495</v>
      </c>
      <c r="BK484" s="30" t="s">
        <v>401</v>
      </c>
      <c r="BL484" s="30" t="s">
        <v>553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5" spans="1:66" ht="16" hidden="1" customHeight="1" x14ac:dyDescent="0.2">
      <c r="A485" s="30">
        <v>5012</v>
      </c>
      <c r="B485" s="39" t="s">
        <v>579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0"/>
        <v/>
      </c>
      <c r="AK485" s="30" t="str">
        <f t="shared" si="1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Guildford</v>
      </c>
      <c r="BB485" s="30" t="s">
        <v>1496</v>
      </c>
      <c r="BC485" s="30" t="s">
        <v>1497</v>
      </c>
      <c r="BD485" s="30" t="s">
        <v>554</v>
      </c>
      <c r="BF485" s="63" t="s">
        <v>1498</v>
      </c>
      <c r="BG485" s="30" t="s">
        <v>1495</v>
      </c>
      <c r="BL485" s="30" t="s">
        <v>1502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6" spans="1:66" ht="16" hidden="1" customHeight="1" x14ac:dyDescent="0.2">
      <c r="A486" s="30">
        <v>5013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0"/>
        <v/>
      </c>
      <c r="AK486" s="30" t="str">
        <f t="shared" si="1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1055</v>
      </c>
      <c r="BA486" s="30" t="str">
        <f>IF(ISBLANK(Table2[[#This Row],[device_model]]), "", Table2[[#This Row],[device_suggested_area]])</f>
        <v>Rack</v>
      </c>
      <c r="BB486" s="30" t="s">
        <v>1499</v>
      </c>
      <c r="BC486" s="30" t="s">
        <v>1500</v>
      </c>
      <c r="BD486" s="30" t="s">
        <v>264</v>
      </c>
      <c r="BF486" s="63" t="s">
        <v>1504</v>
      </c>
      <c r="BG486" s="30" t="s">
        <v>28</v>
      </c>
      <c r="BK486" s="30" t="s">
        <v>401</v>
      </c>
      <c r="BL486" s="41" t="s">
        <v>1503</v>
      </c>
      <c r="BM486" s="30" t="s">
        <v>1284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7" spans="1:66" ht="16" hidden="1" customHeight="1" x14ac:dyDescent="0.2">
      <c r="A487" s="30">
        <v>5014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1501</v>
      </c>
      <c r="BC487" s="30" t="s">
        <v>1033</v>
      </c>
      <c r="BD487" s="30" t="s">
        <v>264</v>
      </c>
      <c r="BF487" s="63" t="s">
        <v>1508</v>
      </c>
      <c r="BG487" s="30" t="s">
        <v>28</v>
      </c>
      <c r="BK487" s="30" t="s">
        <v>401</v>
      </c>
      <c r="BL487" s="46" t="s">
        <v>1509</v>
      </c>
      <c r="BM487" s="30" t="s">
        <v>1285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8" spans="1:66" ht="16" hidden="1" customHeight="1" x14ac:dyDescent="0.2">
      <c r="A488" s="30">
        <v>5015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1479</v>
      </c>
      <c r="BC488" s="30" t="s">
        <v>1033</v>
      </c>
      <c r="BD488" s="30" t="s">
        <v>264</v>
      </c>
      <c r="BF488" s="63" t="s">
        <v>1498</v>
      </c>
      <c r="BG488" s="30" t="s">
        <v>28</v>
      </c>
      <c r="BK488" s="30" t="s">
        <v>401</v>
      </c>
      <c r="BL488" s="46" t="s">
        <v>1363</v>
      </c>
      <c r="BM488" s="30" t="s">
        <v>1286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9" spans="1:66" ht="16" hidden="1" customHeight="1" x14ac:dyDescent="0.2">
      <c r="A489" s="30">
        <v>5016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1034</v>
      </c>
      <c r="BC489" s="30" t="s">
        <v>1033</v>
      </c>
      <c r="BD489" s="30" t="s">
        <v>264</v>
      </c>
      <c r="BF489" s="63" t="s">
        <v>1498</v>
      </c>
      <c r="BG489" s="30" t="s">
        <v>28</v>
      </c>
      <c r="BK489" s="30" t="s">
        <v>401</v>
      </c>
      <c r="BL489" s="30" t="s">
        <v>587</v>
      </c>
      <c r="BM489" s="30" t="s">
        <v>1287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0" spans="1:66" ht="16" hidden="1" customHeight="1" x14ac:dyDescent="0.2">
      <c r="A490" s="30">
        <v>5017</v>
      </c>
      <c r="B490" s="30" t="s">
        <v>26</v>
      </c>
      <c r="C490" s="30" t="s">
        <v>382</v>
      </c>
      <c r="E490" s="39"/>
      <c r="F490" s="36" t="str">
        <f>IF(ISBLANK(Table2[[#This Row],[unique_id]]), "", PROPER(SUBSTITUTE(Table2[[#This Row],[unique_id]], "_", " ")))</f>
        <v/>
      </c>
      <c r="I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T490" s="40"/>
      <c r="AU490" s="3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380</v>
      </c>
      <c r="BA490" s="30" t="str">
        <f>IF(ISBLANK(Table2[[#This Row],[device_model]]), "", Table2[[#This Row],[device_suggested_area]])</f>
        <v>Rack</v>
      </c>
      <c r="BB490" s="30" t="s">
        <v>382</v>
      </c>
      <c r="BC490" s="30" t="s">
        <v>381</v>
      </c>
      <c r="BD490" s="30" t="s">
        <v>380</v>
      </c>
      <c r="BF490" s="30" t="s">
        <v>776</v>
      </c>
      <c r="BG490" s="30" t="s">
        <v>28</v>
      </c>
      <c r="BK490" s="30" t="s">
        <v>1296</v>
      </c>
      <c r="BL490" s="30" t="s">
        <v>379</v>
      </c>
      <c r="BM490" s="30" t="s">
        <v>1353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1" spans="1:66" ht="16" hidden="1" customHeight="1" x14ac:dyDescent="0.2">
      <c r="A491" s="30">
        <v>5018</v>
      </c>
      <c r="B491" s="30" t="s">
        <v>26</v>
      </c>
      <c r="C491" s="30" t="s">
        <v>457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 t="s">
        <v>489</v>
      </c>
      <c r="X491" s="31"/>
      <c r="Y491" s="42" t="s">
        <v>756</v>
      </c>
      <c r="Z491" s="42"/>
      <c r="AA491" s="42"/>
      <c r="AB491" s="30"/>
      <c r="AC491" s="30"/>
      <c r="AG491" s="31"/>
      <c r="AH491" s="31"/>
      <c r="AT4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1" s="37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7" t="str">
        <f>Table2[[#This Row],[device_suggested_area]]</f>
        <v>Home</v>
      </c>
      <c r="BA491" s="30" t="str">
        <f>IF(ISBLANK(Table2[[#This Row],[device_model]]), "", Table2[[#This Row],[device_suggested_area]])</f>
        <v>Home</v>
      </c>
      <c r="BB491" s="37" t="s">
        <v>1031</v>
      </c>
      <c r="BC491" s="37" t="s">
        <v>481</v>
      </c>
      <c r="BD491" s="30" t="s">
        <v>457</v>
      </c>
      <c r="BF491" s="37" t="s">
        <v>482</v>
      </c>
      <c r="BG491" s="30" t="s">
        <v>165</v>
      </c>
      <c r="BL491" s="30" t="s">
        <v>480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2026-02-23T02:03:04Z</dcterms:modified>
</cp:coreProperties>
</file>