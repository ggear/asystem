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C4727584-0CD4-2E4F-A4F2-FE3AB6B89306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61" i="1" l="1"/>
  <c r="BN388" i="1"/>
  <c r="BA388" i="1"/>
  <c r="AZ388" i="1"/>
  <c r="AW388" i="1" s="1"/>
  <c r="AX388" i="1" s="1"/>
  <c r="AT388" i="1"/>
  <c r="F388" i="1"/>
  <c r="BN295" i="1"/>
  <c r="BA295" i="1"/>
  <c r="AW295" i="1"/>
  <c r="AX295" i="1" s="1"/>
  <c r="AV295" i="1"/>
  <c r="F295" i="1"/>
  <c r="BN417" i="1"/>
  <c r="BA417" i="1"/>
  <c r="AW417" i="1"/>
  <c r="AX417" i="1" s="1"/>
  <c r="AV417" i="1"/>
  <c r="F41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9" i="1"/>
  <c r="AW379" i="1"/>
  <c r="AV379" i="1" s="1"/>
  <c r="T379" i="1"/>
  <c r="S379" i="1"/>
  <c r="F379" i="1"/>
  <c r="BN378" i="1"/>
  <c r="AW378" i="1"/>
  <c r="AX378" i="1" s="1"/>
  <c r="T378" i="1"/>
  <c r="S378" i="1"/>
  <c r="F378" i="1"/>
  <c r="BN405" i="1"/>
  <c r="BA405" i="1"/>
  <c r="AW405" i="1" s="1"/>
  <c r="AX405" i="1" s="1"/>
  <c r="T405" i="1"/>
  <c r="S405" i="1"/>
  <c r="F405" i="1"/>
  <c r="BN404" i="1"/>
  <c r="BA404" i="1"/>
  <c r="AW404" i="1" s="1"/>
  <c r="AX404" i="1" s="1"/>
  <c r="S404" i="1"/>
  <c r="F404" i="1"/>
  <c r="BN403" i="1"/>
  <c r="BA403" i="1"/>
  <c r="AW403" i="1" s="1"/>
  <c r="AM403" i="1"/>
  <c r="AK403" i="1"/>
  <c r="AJ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T401" i="1"/>
  <c r="AM401" i="1"/>
  <c r="AL401" i="1"/>
  <c r="AK401" i="1"/>
  <c r="AJ401" i="1"/>
  <c r="T401" i="1"/>
  <c r="S401" i="1"/>
  <c r="F401" i="1"/>
  <c r="BN400" i="1"/>
  <c r="BA400" i="1"/>
  <c r="AW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AW395" i="1"/>
  <c r="AX395" i="1" s="1"/>
  <c r="T395" i="1"/>
  <c r="S395" i="1"/>
  <c r="F395" i="1"/>
  <c r="BN394" i="1"/>
  <c r="AW394" i="1"/>
  <c r="AX394" i="1" s="1"/>
  <c r="T394" i="1"/>
  <c r="S394" i="1"/>
  <c r="F394" i="1"/>
  <c r="BN393" i="1"/>
  <c r="BA393" i="1"/>
  <c r="AW393" i="1" s="1"/>
  <c r="T393" i="1"/>
  <c r="S393" i="1"/>
  <c r="F393" i="1"/>
  <c r="BN392" i="1"/>
  <c r="BA392" i="1"/>
  <c r="AW392" i="1" s="1"/>
  <c r="S392" i="1"/>
  <c r="F392" i="1"/>
  <c r="BN391" i="1"/>
  <c r="BA391" i="1"/>
  <c r="AW391" i="1" s="1"/>
  <c r="T391" i="1"/>
  <c r="S391" i="1"/>
  <c r="F391" i="1"/>
  <c r="BN390" i="1"/>
  <c r="BA390" i="1"/>
  <c r="AW390" i="1" s="1"/>
  <c r="AX390" i="1" s="1"/>
  <c r="S390" i="1"/>
  <c r="F390" i="1"/>
  <c r="BN357" i="1"/>
  <c r="BA357" i="1"/>
  <c r="AW357" i="1" s="1"/>
  <c r="AV357" i="1" s="1"/>
  <c r="AT357" i="1"/>
  <c r="AM357" i="1"/>
  <c r="AL357" i="1"/>
  <c r="AK357" i="1"/>
  <c r="AJ357" i="1"/>
  <c r="F357" i="1"/>
  <c r="BN356" i="1"/>
  <c r="BA356" i="1"/>
  <c r="AW356" i="1" s="1"/>
  <c r="AV356" i="1" s="1"/>
  <c r="AT356" i="1"/>
  <c r="AM356" i="1"/>
  <c r="AL356" i="1"/>
  <c r="AK356" i="1"/>
  <c r="AJ356" i="1"/>
  <c r="F356" i="1"/>
  <c r="BN355" i="1"/>
  <c r="BA355" i="1"/>
  <c r="AW355" i="1" s="1"/>
  <c r="AT355" i="1"/>
  <c r="AM355" i="1"/>
  <c r="AL355" i="1"/>
  <c r="AK355" i="1"/>
  <c r="AJ355" i="1"/>
  <c r="F355" i="1"/>
  <c r="BN354" i="1"/>
  <c r="BA354" i="1"/>
  <c r="AW354" i="1" s="1"/>
  <c r="AT354" i="1"/>
  <c r="AM354" i="1"/>
  <c r="AL354" i="1"/>
  <c r="AK354" i="1"/>
  <c r="AJ354" i="1"/>
  <c r="F354" i="1"/>
  <c r="BN316" i="1"/>
  <c r="BA316" i="1"/>
  <c r="AW316" i="1" s="1"/>
  <c r="AK316" i="1"/>
  <c r="AJ316" i="1"/>
  <c r="F316" i="1"/>
  <c r="BN315" i="1"/>
  <c r="BA315" i="1"/>
  <c r="AW315" i="1" s="1"/>
  <c r="AK315" i="1"/>
  <c r="AJ315" i="1"/>
  <c r="F315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N328" i="1"/>
  <c r="BA328" i="1"/>
  <c r="AX328" i="1"/>
  <c r="AK328" i="1"/>
  <c r="AJ328" i="1"/>
  <c r="F328" i="1"/>
  <c r="AY328" i="1" s="1"/>
  <c r="BN327" i="1"/>
  <c r="BA327" i="1"/>
  <c r="AW327" i="1" s="1"/>
  <c r="AK327" i="1"/>
  <c r="AJ327" i="1"/>
  <c r="F327" i="1"/>
  <c r="BA475" i="1"/>
  <c r="BN476" i="1"/>
  <c r="BB476" i="1"/>
  <c r="AW476" i="1" s="1"/>
  <c r="BA476" i="1"/>
  <c r="F476" i="1"/>
  <c r="BN477" i="1"/>
  <c r="BB477" i="1"/>
  <c r="AW477" i="1" s="1"/>
  <c r="BA477" i="1"/>
  <c r="F477" i="1"/>
  <c r="BN489" i="1"/>
  <c r="BA489" i="1"/>
  <c r="AW489" i="1"/>
  <c r="AX489" i="1" s="1"/>
  <c r="AK489" i="1"/>
  <c r="AJ489" i="1"/>
  <c r="F489" i="1"/>
  <c r="BN488" i="1"/>
  <c r="BA488" i="1"/>
  <c r="AW488" i="1"/>
  <c r="AX488" i="1" s="1"/>
  <c r="AK488" i="1"/>
  <c r="AJ488" i="1"/>
  <c r="F488" i="1"/>
  <c r="BA486" i="1"/>
  <c r="BA485" i="1"/>
  <c r="BN485" i="1"/>
  <c r="AW485" i="1"/>
  <c r="AX485" i="1" s="1"/>
  <c r="AK485" i="1"/>
  <c r="AJ485" i="1"/>
  <c r="F485" i="1"/>
  <c r="BN484" i="1"/>
  <c r="BA484" i="1"/>
  <c r="AW484" i="1"/>
  <c r="AX484" i="1" s="1"/>
  <c r="AK484" i="1"/>
  <c r="AJ484" i="1"/>
  <c r="F484" i="1"/>
  <c r="AV470" i="1"/>
  <c r="AV455" i="1"/>
  <c r="AV460" i="1"/>
  <c r="AV468" i="1"/>
  <c r="BB478" i="1"/>
  <c r="AW478" i="1" s="1"/>
  <c r="AV478" i="1" s="1"/>
  <c r="BN478" i="1"/>
  <c r="BA478" i="1"/>
  <c r="F47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8" i="1"/>
  <c r="AW368" i="1" s="1"/>
  <c r="BA369" i="1"/>
  <c r="AW369" i="1" s="1"/>
  <c r="S369" i="1"/>
  <c r="S368" i="1"/>
  <c r="BN369" i="1"/>
  <c r="T369" i="1"/>
  <c r="F369" i="1"/>
  <c r="BN368" i="1"/>
  <c r="T368" i="1"/>
  <c r="F36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0" i="1"/>
  <c r="BA480" i="1"/>
  <c r="AW480" i="1"/>
  <c r="AX480" i="1" s="1"/>
  <c r="F480" i="1"/>
  <c r="BN482" i="1"/>
  <c r="BA482" i="1"/>
  <c r="AW482" i="1"/>
  <c r="AX482" i="1" s="1"/>
  <c r="F482" i="1"/>
  <c r="AW481" i="1"/>
  <c r="AX481" i="1" s="1"/>
  <c r="BN481" i="1"/>
  <c r="BA481" i="1"/>
  <c r="F48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39" i="1"/>
  <c r="BA439" i="1"/>
  <c r="AW439" i="1" s="1"/>
  <c r="AX439" i="1" s="1"/>
  <c r="F43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17" i="1"/>
  <c r="BA317" i="1"/>
  <c r="AW317" i="1" s="1"/>
  <c r="AK317" i="1"/>
  <c r="AJ317" i="1"/>
  <c r="F31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AK331" i="1"/>
  <c r="AJ331" i="1"/>
  <c r="F331" i="1"/>
  <c r="BA487" i="1"/>
  <c r="AW486" i="1"/>
  <c r="AX486" i="1" s="1"/>
  <c r="AW487" i="1"/>
  <c r="AX487" i="1" s="1"/>
  <c r="F486" i="1"/>
  <c r="AJ486" i="1"/>
  <c r="AK486" i="1"/>
  <c r="BN486" i="1"/>
  <c r="F487" i="1"/>
  <c r="AJ487" i="1"/>
  <c r="AK487" i="1"/>
  <c r="BN48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2" i="1"/>
  <c r="AX324" i="1"/>
  <c r="AX326" i="1"/>
  <c r="AX334" i="1"/>
  <c r="AX335" i="1"/>
  <c r="AX336" i="1"/>
  <c r="AX33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8" i="1"/>
  <c r="F319" i="1"/>
  <c r="F320" i="1"/>
  <c r="F321" i="1"/>
  <c r="F322" i="1"/>
  <c r="F323" i="1"/>
  <c r="F324" i="1"/>
  <c r="F325" i="1"/>
  <c r="F326" i="1"/>
  <c r="F333" i="1"/>
  <c r="F334" i="1"/>
  <c r="AY334" i="1" s="1"/>
  <c r="F335" i="1"/>
  <c r="AY335" i="1" s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8" i="1"/>
  <c r="F359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80" i="1"/>
  <c r="F381" i="1"/>
  <c r="F382" i="1"/>
  <c r="F383" i="1"/>
  <c r="F384" i="1"/>
  <c r="F385" i="1"/>
  <c r="F386" i="1"/>
  <c r="F387" i="1"/>
  <c r="F389" i="1"/>
  <c r="F406" i="1"/>
  <c r="F407" i="1"/>
  <c r="F408" i="1"/>
  <c r="F409" i="1"/>
  <c r="F410" i="1"/>
  <c r="F411" i="1"/>
  <c r="F412" i="1"/>
  <c r="F413" i="1"/>
  <c r="F414" i="1"/>
  <c r="F415" i="1"/>
  <c r="F416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7" i="1"/>
  <c r="F468" i="1"/>
  <c r="F469" i="1"/>
  <c r="F470" i="1"/>
  <c r="F471" i="1"/>
  <c r="F472" i="1"/>
  <c r="F473" i="1"/>
  <c r="F474" i="1"/>
  <c r="F475" i="1"/>
  <c r="F479" i="1"/>
  <c r="F483" i="1"/>
  <c r="F490" i="1"/>
  <c r="F491" i="1"/>
  <c r="AJ345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5" i="1"/>
  <c r="AJ323" i="1"/>
  <c r="AJ26" i="1"/>
  <c r="AJ319" i="1"/>
  <c r="AJ318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337" i="1"/>
  <c r="AJ333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5" i="1"/>
  <c r="BA335" i="1"/>
  <c r="AK335" i="1"/>
  <c r="AJ335" i="1"/>
  <c r="AJ336" i="1"/>
  <c r="AK336" i="1"/>
  <c r="BA336" i="1"/>
  <c r="BN336" i="1"/>
  <c r="AJ322" i="1"/>
  <c r="AK322" i="1"/>
  <c r="BA322" i="1"/>
  <c r="BN322" i="1"/>
  <c r="BN319" i="1"/>
  <c r="BA319" i="1"/>
  <c r="AW319" i="1" s="1"/>
  <c r="AK319" i="1"/>
  <c r="BN326" i="1"/>
  <c r="BA326" i="1"/>
  <c r="AK326" i="1"/>
  <c r="AJ326" i="1"/>
  <c r="BN325" i="1"/>
  <c r="BA325" i="1"/>
  <c r="AW325" i="1" s="1"/>
  <c r="AV325" i="1" s="1"/>
  <c r="AR325" i="1"/>
  <c r="AK325" i="1"/>
  <c r="BN324" i="1"/>
  <c r="BA324" i="1"/>
  <c r="AK324" i="1"/>
  <c r="AJ324" i="1"/>
  <c r="BN323" i="1"/>
  <c r="BA323" i="1"/>
  <c r="AW323" i="1" s="1"/>
  <c r="AV323" i="1" s="1"/>
  <c r="AR323" i="1"/>
  <c r="AK323" i="1"/>
  <c r="AJ334" i="1"/>
  <c r="AK334" i="1"/>
  <c r="BA334" i="1"/>
  <c r="BN334" i="1"/>
  <c r="AJ338" i="1"/>
  <c r="AK338" i="1"/>
  <c r="BA338" i="1"/>
  <c r="BN338" i="1"/>
  <c r="AR54" i="1"/>
  <c r="AR44" i="1"/>
  <c r="BN333" i="1"/>
  <c r="BA333" i="1"/>
  <c r="AW333" i="1" s="1"/>
  <c r="AV333" i="1" s="1"/>
  <c r="AK333" i="1"/>
  <c r="BA337" i="1"/>
  <c r="AW337" i="1" s="1"/>
  <c r="AK337" i="1"/>
  <c r="BN337" i="1"/>
  <c r="BN288" i="1"/>
  <c r="BA288" i="1"/>
  <c r="AW288" i="1" s="1"/>
  <c r="AV288" i="1" s="1"/>
  <c r="AK288" i="1"/>
  <c r="BN287" i="1"/>
  <c r="BA287" i="1"/>
  <c r="AW287" i="1" s="1"/>
  <c r="AV287" i="1" s="1"/>
  <c r="AK287" i="1"/>
  <c r="AK318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BN318" i="1"/>
  <c r="BA318" i="1"/>
  <c r="AW318" i="1" s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BA299" i="1"/>
  <c r="AW299" i="1" s="1"/>
  <c r="AV299" i="1" s="1"/>
  <c r="BN320" i="1"/>
  <c r="BA320" i="1"/>
  <c r="AW320" i="1"/>
  <c r="AX320" i="1" s="1"/>
  <c r="AV320" i="1"/>
  <c r="BN321" i="1"/>
  <c r="BA321" i="1"/>
  <c r="AW321" i="1"/>
  <c r="AX321" i="1" s="1"/>
  <c r="AV321" i="1"/>
  <c r="AR77" i="1"/>
  <c r="AR76" i="1"/>
  <c r="AR75" i="1"/>
  <c r="AR74" i="1"/>
  <c r="AR73" i="1"/>
  <c r="AR72" i="1"/>
  <c r="AR26" i="1"/>
  <c r="AY388" i="1" l="1"/>
  <c r="AV388" i="1"/>
  <c r="AY295" i="1"/>
  <c r="AY162" i="1"/>
  <c r="AY417" i="1"/>
  <c r="AV161" i="1"/>
  <c r="AY379" i="1"/>
  <c r="AY161" i="1"/>
  <c r="AV162" i="1"/>
  <c r="AX162" i="1"/>
  <c r="AV378" i="1"/>
  <c r="AY378" i="1"/>
  <c r="AY396" i="1"/>
  <c r="AX379" i="1"/>
  <c r="AY400" i="1"/>
  <c r="AV404" i="1"/>
  <c r="AY394" i="1"/>
  <c r="AY404" i="1"/>
  <c r="AX399" i="1"/>
  <c r="AV399" i="1"/>
  <c r="AX398" i="1"/>
  <c r="AV398" i="1"/>
  <c r="AX400" i="1"/>
  <c r="AV400" i="1"/>
  <c r="AX397" i="1"/>
  <c r="AV397" i="1"/>
  <c r="AY395" i="1"/>
  <c r="AY397" i="1"/>
  <c r="AY399" i="1"/>
  <c r="AY398" i="1"/>
  <c r="AY403" i="1"/>
  <c r="AY405" i="1"/>
  <c r="AV394" i="1"/>
  <c r="AX402" i="1"/>
  <c r="AV402" i="1"/>
  <c r="AX393" i="1"/>
  <c r="AV393" i="1"/>
  <c r="AY393" i="1"/>
  <c r="AY391" i="1"/>
  <c r="AX391" i="1"/>
  <c r="AV391" i="1"/>
  <c r="AX401" i="1"/>
  <c r="AV401" i="1"/>
  <c r="AY401" i="1"/>
  <c r="AY392" i="1"/>
  <c r="AY402" i="1"/>
  <c r="AX403" i="1"/>
  <c r="AV403" i="1"/>
  <c r="AV392" i="1"/>
  <c r="AX392" i="1"/>
  <c r="AX396" i="1"/>
  <c r="AV390" i="1"/>
  <c r="AV396" i="1"/>
  <c r="AY390" i="1"/>
  <c r="AV395" i="1"/>
  <c r="AV405" i="1"/>
  <c r="AY354" i="1"/>
  <c r="AX356" i="1"/>
  <c r="AY357" i="1"/>
  <c r="AX354" i="1"/>
  <c r="AY355" i="1"/>
  <c r="AX355" i="1"/>
  <c r="AV355" i="1"/>
  <c r="AY356" i="1"/>
  <c r="AX357" i="1"/>
  <c r="AV354" i="1"/>
  <c r="AX315" i="1"/>
  <c r="AY316" i="1"/>
  <c r="AV315" i="1"/>
  <c r="AY315" i="1"/>
  <c r="AX316" i="1"/>
  <c r="AV316" i="1"/>
  <c r="AX329" i="1"/>
  <c r="AV329" i="1"/>
  <c r="AY329" i="1"/>
  <c r="AX327" i="1"/>
  <c r="AY327" i="1"/>
  <c r="AV327" i="1"/>
  <c r="AY476" i="1"/>
  <c r="AV476" i="1"/>
  <c r="AX476" i="1"/>
  <c r="AX477" i="1"/>
  <c r="AV477" i="1"/>
  <c r="AY477" i="1"/>
  <c r="AY489" i="1"/>
  <c r="AV489" i="1"/>
  <c r="AY484" i="1"/>
  <c r="AV484" i="1"/>
  <c r="AY488" i="1"/>
  <c r="AV488" i="1"/>
  <c r="AY485" i="1"/>
  <c r="AV485" i="1"/>
  <c r="AV480" i="1"/>
  <c r="AY127" i="1"/>
  <c r="AY478" i="1"/>
  <c r="AX478" i="1"/>
  <c r="AV127" i="1"/>
  <c r="AY128" i="1"/>
  <c r="AV128" i="1"/>
  <c r="AY42" i="1"/>
  <c r="AY109" i="1"/>
  <c r="AY108" i="1"/>
  <c r="AV108" i="1"/>
  <c r="AX108" i="1"/>
  <c r="AV109" i="1"/>
  <c r="AY368" i="1"/>
  <c r="AX369" i="1"/>
  <c r="AV369" i="1"/>
  <c r="AY369" i="1"/>
  <c r="AX368" i="1"/>
  <c r="AV368" i="1"/>
  <c r="AY480" i="1"/>
  <c r="AY482" i="1"/>
  <c r="AY481" i="1"/>
  <c r="AY466" i="1"/>
  <c r="AX107" i="1"/>
  <c r="AV107" i="1"/>
  <c r="AY107" i="1"/>
  <c r="AX106" i="1"/>
  <c r="AV106" i="1"/>
  <c r="AY106" i="1"/>
  <c r="AY56" i="1"/>
  <c r="AY464" i="1"/>
  <c r="AY463" i="1"/>
  <c r="AY461" i="1"/>
  <c r="AY462" i="1"/>
  <c r="AY465" i="1"/>
  <c r="AY439" i="1"/>
  <c r="AV43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Y317" i="1"/>
  <c r="AX317" i="1"/>
  <c r="AV317" i="1"/>
  <c r="AX331" i="1"/>
  <c r="AY331" i="1"/>
  <c r="AY487" i="1"/>
  <c r="AV487" i="1"/>
  <c r="AV486" i="1"/>
  <c r="AY486" i="1"/>
  <c r="AY41" i="1"/>
  <c r="AY43" i="1"/>
  <c r="AX318" i="1"/>
  <c r="AX304" i="1"/>
  <c r="AX314" i="1"/>
  <c r="AX319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7" i="1"/>
  <c r="AX333" i="1"/>
  <c r="AX323" i="1"/>
  <c r="AX299" i="1"/>
  <c r="AX311" i="1"/>
  <c r="AX288" i="1"/>
  <c r="AX325" i="1"/>
  <c r="AY15" i="1"/>
  <c r="AY333" i="1"/>
  <c r="AV337" i="1"/>
  <c r="AY337" i="1"/>
  <c r="AY303" i="1"/>
  <c r="AY302" i="1"/>
  <c r="AV314" i="1"/>
  <c r="AY314" i="1"/>
  <c r="AY323" i="1"/>
  <c r="AV306" i="1"/>
  <c r="AY306" i="1"/>
  <c r="AY300" i="1"/>
  <c r="AV307" i="1"/>
  <c r="AY307" i="1"/>
  <c r="AV308" i="1"/>
  <c r="AY308" i="1"/>
  <c r="AV318" i="1"/>
  <c r="AY318" i="1"/>
  <c r="AY288" i="1"/>
  <c r="AV310" i="1"/>
  <c r="AY310" i="1"/>
  <c r="AV304" i="1"/>
  <c r="AY304" i="1"/>
  <c r="AV319" i="1"/>
  <c r="AY319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21" i="1"/>
  <c r="AY301" i="1"/>
  <c r="AY326" i="1"/>
  <c r="AY312" i="1"/>
  <c r="AY325" i="1"/>
  <c r="AY311" i="1"/>
  <c r="AY299" i="1"/>
  <c r="AY234" i="1"/>
  <c r="AY23" i="1"/>
  <c r="AY11" i="1"/>
  <c r="AY324" i="1"/>
  <c r="AY21" i="1"/>
  <c r="AY9" i="1"/>
  <c r="AY338" i="1"/>
  <c r="AY322" i="1"/>
  <c r="AY336" i="1"/>
  <c r="AY320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5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2" i="1"/>
  <c r="AX472" i="1" s="1"/>
  <c r="AW470" i="1"/>
  <c r="AX470" i="1" s="1"/>
  <c r="AW468" i="1"/>
  <c r="AX468" i="1" s="1"/>
  <c r="AW467" i="1"/>
  <c r="AX467" i="1" s="1"/>
  <c r="AV467" i="1"/>
  <c r="AW460" i="1"/>
  <c r="AX460" i="1" s="1"/>
  <c r="AW457" i="1"/>
  <c r="AX457" i="1" s="1"/>
  <c r="AV457" i="1"/>
  <c r="AW456" i="1"/>
  <c r="AX456" i="1" s="1"/>
  <c r="AV456" i="1"/>
  <c r="AW455" i="1"/>
  <c r="AX455" i="1" s="1"/>
  <c r="AW452" i="1"/>
  <c r="AX452" i="1" s="1"/>
  <c r="AV452" i="1"/>
  <c r="AW451" i="1"/>
  <c r="AX451" i="1" s="1"/>
  <c r="AV451" i="1"/>
  <c r="AW443" i="1"/>
  <c r="AX443" i="1" s="1"/>
  <c r="AV443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353" i="1"/>
  <c r="AX353" i="1" s="1"/>
  <c r="AV353" i="1"/>
  <c r="AW352" i="1"/>
  <c r="AX352" i="1" s="1"/>
  <c r="AV352" i="1"/>
  <c r="AW351" i="1"/>
  <c r="AX351" i="1" s="1"/>
  <c r="AV351" i="1"/>
  <c r="AW350" i="1"/>
  <c r="AX350" i="1" s="1"/>
  <c r="AV35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9" i="1"/>
  <c r="AX339" i="1" s="1"/>
  <c r="AV339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3" i="1"/>
  <c r="AV473" i="1" s="1"/>
  <c r="AW483" i="1"/>
  <c r="AW490" i="1"/>
  <c r="AX490" i="1" s="1"/>
  <c r="BA472" i="1"/>
  <c r="BA470" i="1"/>
  <c r="BA468" i="1"/>
  <c r="BA467" i="1"/>
  <c r="BA460" i="1"/>
  <c r="BA457" i="1"/>
  <c r="BA456" i="1"/>
  <c r="BA455" i="1"/>
  <c r="BA452" i="1"/>
  <c r="BA451" i="1"/>
  <c r="BA443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6" i="1"/>
  <c r="BA415" i="1"/>
  <c r="BA414" i="1"/>
  <c r="BA413" i="1"/>
  <c r="BA412" i="1"/>
  <c r="BA411" i="1"/>
  <c r="BA410" i="1"/>
  <c r="BA409" i="1"/>
  <c r="BA353" i="1"/>
  <c r="BA352" i="1"/>
  <c r="BA351" i="1"/>
  <c r="BA350" i="1"/>
  <c r="BA344" i="1"/>
  <c r="BA343" i="1"/>
  <c r="BA342" i="1"/>
  <c r="BA341" i="1"/>
  <c r="BA340" i="1"/>
  <c r="BA339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8" i="1"/>
  <c r="BA453" i="1"/>
  <c r="BA491" i="1"/>
  <c r="BA281" i="1"/>
  <c r="AW281" i="1" s="1"/>
  <c r="AX281" i="1" s="1"/>
  <c r="BA479" i="1"/>
  <c r="BA474" i="1"/>
  <c r="BA473" i="1"/>
  <c r="BA471" i="1"/>
  <c r="BA469" i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59" i="1"/>
  <c r="BA45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9" i="1"/>
  <c r="BA387" i="1"/>
  <c r="BA38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3" i="1"/>
  <c r="BA349" i="1"/>
  <c r="AW349" i="1" s="1"/>
  <c r="AX349" i="1" s="1"/>
  <c r="BA348" i="1"/>
  <c r="AW348" i="1" s="1"/>
  <c r="AX348" i="1" s="1"/>
  <c r="BA347" i="1"/>
  <c r="AW347" i="1" s="1"/>
  <c r="AX347" i="1" s="1"/>
  <c r="BA346" i="1"/>
  <c r="AW346" i="1" s="1"/>
  <c r="AX34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0" i="1"/>
  <c r="AW440" i="1" s="1"/>
  <c r="AX440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8" i="1"/>
  <c r="BA407" i="1"/>
  <c r="BA40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2" i="1"/>
  <c r="AW442" i="1" s="1"/>
  <c r="AX442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345" i="1"/>
  <c r="AW345" i="1" s="1"/>
  <c r="AX345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0" i="1"/>
  <c r="BA450" i="1"/>
  <c r="BA441" i="1"/>
  <c r="AW441" i="1" s="1"/>
  <c r="AX441" i="1" s="1"/>
  <c r="S373" i="1"/>
  <c r="S372" i="1"/>
  <c r="S371" i="1"/>
  <c r="S367" i="1"/>
  <c r="S383" i="1"/>
  <c r="S382" i="1"/>
  <c r="S381" i="1"/>
  <c r="S365" i="1"/>
  <c r="S363" i="1"/>
  <c r="T230" i="1"/>
  <c r="T226" i="1"/>
  <c r="T114" i="1"/>
  <c r="S445" i="1"/>
  <c r="S446" i="1"/>
  <c r="S449" i="1"/>
  <c r="S448" i="1"/>
  <c r="S359" i="1"/>
  <c r="S358" i="1"/>
  <c r="S361" i="1"/>
  <c r="S360" i="1"/>
  <c r="S385" i="1"/>
  <c r="S384" i="1"/>
  <c r="T375" i="1"/>
  <c r="T377" i="1"/>
  <c r="T224" i="1"/>
  <c r="T359" i="1"/>
  <c r="T373" i="1"/>
  <c r="T371" i="1"/>
  <c r="T367" i="1"/>
  <c r="T363" i="1"/>
  <c r="T381" i="1"/>
  <c r="T365" i="1"/>
  <c r="T383" i="1"/>
  <c r="T361" i="1"/>
  <c r="T385" i="1"/>
  <c r="S434" i="1"/>
  <c r="S436" i="1"/>
  <c r="S437" i="1"/>
  <c r="S447" i="1"/>
  <c r="S435" i="1"/>
  <c r="S433" i="1"/>
  <c r="S432" i="1"/>
  <c r="S380" i="1"/>
  <c r="S362" i="1"/>
  <c r="S364" i="1"/>
  <c r="S366" i="1"/>
  <c r="S370" i="1"/>
  <c r="BB479" i="1"/>
  <c r="AW479" i="1" s="1"/>
  <c r="BB475" i="1"/>
  <c r="AW475" i="1" s="1"/>
  <c r="BB474" i="1"/>
  <c r="AW474" i="1" s="1"/>
  <c r="BB471" i="1"/>
  <c r="AW471" i="1" s="1"/>
  <c r="BB469" i="1"/>
  <c r="AW469" i="1" s="1"/>
  <c r="AZ491" i="1"/>
  <c r="AW491" i="1" s="1"/>
  <c r="AX491" i="1" s="1"/>
  <c r="AZ458" i="1"/>
  <c r="AW458" i="1" s="1"/>
  <c r="AX458" i="1" s="1"/>
  <c r="AZ453" i="1"/>
  <c r="AW453" i="1" s="1"/>
  <c r="AX453" i="1" s="1"/>
  <c r="AZ459" i="1"/>
  <c r="AW459" i="1" s="1"/>
  <c r="AX459" i="1" s="1"/>
  <c r="AZ454" i="1"/>
  <c r="AW454" i="1" s="1"/>
  <c r="AX454" i="1" s="1"/>
  <c r="AZ389" i="1"/>
  <c r="AW389" i="1" s="1"/>
  <c r="AX389" i="1" s="1"/>
  <c r="AZ387" i="1"/>
  <c r="AW387" i="1" s="1"/>
  <c r="AX387" i="1" s="1"/>
  <c r="AZ386" i="1"/>
  <c r="AW386" i="1" s="1"/>
  <c r="AX38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8" i="1"/>
  <c r="AW408" i="1" s="1"/>
  <c r="AX408" i="1" s="1"/>
  <c r="AZ407" i="1"/>
  <c r="AW407" i="1" s="1"/>
  <c r="AX407" i="1" s="1"/>
  <c r="AZ406" i="1"/>
  <c r="AW406" i="1" s="1"/>
  <c r="AX40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6" i="1"/>
  <c r="S37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8" i="1"/>
  <c r="BN359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80" i="1"/>
  <c r="BN381" i="1"/>
  <c r="BN382" i="1"/>
  <c r="BN383" i="1"/>
  <c r="BN384" i="1"/>
  <c r="BN385" i="1"/>
  <c r="BN386" i="1"/>
  <c r="BN387" i="1"/>
  <c r="BN389" i="1"/>
  <c r="BN406" i="1"/>
  <c r="BN407" i="1"/>
  <c r="BN408" i="1"/>
  <c r="BN409" i="1"/>
  <c r="BN410" i="1"/>
  <c r="BN411" i="1"/>
  <c r="BN412" i="1"/>
  <c r="BN413" i="1"/>
  <c r="BN414" i="1"/>
  <c r="BN415" i="1"/>
  <c r="BN416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7" i="1"/>
  <c r="BN468" i="1"/>
  <c r="BN469" i="1"/>
  <c r="BN470" i="1"/>
  <c r="BN471" i="1"/>
  <c r="BN472" i="1"/>
  <c r="BN473" i="1"/>
  <c r="BN474" i="1"/>
  <c r="BN475" i="1"/>
  <c r="BN479" i="1"/>
  <c r="BN483" i="1"/>
  <c r="BN490" i="1"/>
  <c r="BN49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4" i="1"/>
  <c r="T205" i="1"/>
  <c r="T200" i="1"/>
  <c r="S377" i="1"/>
  <c r="S37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8" i="1"/>
  <c r="AT407" i="1"/>
  <c r="AT491" i="1"/>
  <c r="AT406" i="1"/>
  <c r="AT389" i="1"/>
  <c r="AT387" i="1"/>
  <c r="AT38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4" i="1" l="1"/>
  <c r="AV474" i="1"/>
  <c r="AX475" i="1"/>
  <c r="AV475" i="1"/>
  <c r="AX483" i="1"/>
  <c r="AV483" i="1"/>
  <c r="AX469" i="1"/>
  <c r="AV469" i="1"/>
  <c r="AX479" i="1"/>
  <c r="AV479" i="1"/>
  <c r="AX471" i="1"/>
  <c r="AV471" i="1"/>
  <c r="AX473" i="1"/>
  <c r="AW450" i="1"/>
  <c r="AX450" i="1" s="1"/>
  <c r="AY345" i="1"/>
  <c r="AY226" i="1"/>
  <c r="AV389" i="1"/>
  <c r="AV168" i="1"/>
  <c r="AY47" i="1"/>
  <c r="AV120" i="1"/>
  <c r="AY340" i="1"/>
  <c r="AY215" i="1"/>
  <c r="AY216" i="1"/>
  <c r="AY95" i="1"/>
  <c r="AY101" i="1"/>
  <c r="AY341" i="1"/>
  <c r="AY352" i="1"/>
  <c r="AV81" i="1"/>
  <c r="AY8" i="1"/>
  <c r="AY362" i="1"/>
  <c r="AV142" i="1"/>
  <c r="AV192" i="1"/>
  <c r="AY230" i="1"/>
  <c r="AY200" i="1"/>
  <c r="AY233" i="1"/>
  <c r="AY152" i="1"/>
  <c r="AV449" i="1"/>
  <c r="AY452" i="1"/>
  <c r="AY140" i="1"/>
  <c r="AY73" i="1"/>
  <c r="AV436" i="1"/>
  <c r="AY436" i="1"/>
  <c r="AY231" i="1"/>
  <c r="AY490" i="1"/>
  <c r="AY96" i="1"/>
  <c r="AY289" i="1"/>
  <c r="AY296" i="1"/>
  <c r="AY353" i="1"/>
  <c r="AY413" i="1"/>
  <c r="AY426" i="1"/>
  <c r="AY4" i="1"/>
  <c r="AY28" i="1"/>
  <c r="AY26" i="1"/>
  <c r="AV167" i="1"/>
  <c r="AY167" i="1"/>
  <c r="AY373" i="1"/>
  <c r="AY469" i="1"/>
  <c r="AY86" i="1"/>
  <c r="AY178" i="1"/>
  <c r="AY219" i="1"/>
  <c r="AY74" i="1"/>
  <c r="AY87" i="1"/>
  <c r="AV437" i="1"/>
  <c r="AY437" i="1"/>
  <c r="AV202" i="1"/>
  <c r="AY202" i="1"/>
  <c r="AY205" i="1"/>
  <c r="AY359" i="1"/>
  <c r="AY429" i="1"/>
  <c r="AY458" i="1"/>
  <c r="AY89" i="1"/>
  <c r="AV438" i="1"/>
  <c r="AY438" i="1"/>
  <c r="AY68" i="1"/>
  <c r="AV203" i="1"/>
  <c r="AY203" i="1"/>
  <c r="AY206" i="1"/>
  <c r="AY367" i="1"/>
  <c r="AV381" i="1"/>
  <c r="AY240" i="1"/>
  <c r="AY246" i="1"/>
  <c r="AY252" i="1"/>
  <c r="AY264" i="1"/>
  <c r="AY276" i="1"/>
  <c r="AY343" i="1"/>
  <c r="AY414" i="1"/>
  <c r="AY427" i="1"/>
  <c r="AV297" i="1"/>
  <c r="AV459" i="1"/>
  <c r="AY374" i="1"/>
  <c r="AY188" i="1"/>
  <c r="AV190" i="1"/>
  <c r="AY190" i="1"/>
  <c r="AY475" i="1"/>
  <c r="AY441" i="1"/>
  <c r="AV32" i="1"/>
  <c r="AV283" i="1"/>
  <c r="AY283" i="1"/>
  <c r="AV69" i="1"/>
  <c r="AY69" i="1"/>
  <c r="AY204" i="1"/>
  <c r="AY370" i="1"/>
  <c r="AY382" i="1"/>
  <c r="AV154" i="1"/>
  <c r="AV191" i="1"/>
  <c r="AY191" i="1"/>
  <c r="AY150" i="1"/>
  <c r="AV386" i="1"/>
  <c r="AY386" i="1"/>
  <c r="AV284" i="1"/>
  <c r="AY284" i="1"/>
  <c r="AY70" i="1"/>
  <c r="AV112" i="1"/>
  <c r="AY112" i="1"/>
  <c r="AY207" i="1"/>
  <c r="AY241" i="1"/>
  <c r="AY253" i="1"/>
  <c r="AY265" i="1"/>
  <c r="AY277" i="1"/>
  <c r="AY428" i="1"/>
  <c r="AY467" i="1"/>
  <c r="AY385" i="1"/>
  <c r="AV169" i="1"/>
  <c r="AY169" i="1"/>
  <c r="AY75" i="1"/>
  <c r="AY166" i="1"/>
  <c r="AV92" i="1"/>
  <c r="AY92" i="1"/>
  <c r="AV285" i="1"/>
  <c r="AY285" i="1"/>
  <c r="AY71" i="1"/>
  <c r="AY117" i="1"/>
  <c r="AY208" i="1"/>
  <c r="AV448" i="1"/>
  <c r="AY448" i="1"/>
  <c r="AY372" i="1"/>
  <c r="AY384" i="1"/>
  <c r="AY62" i="1"/>
  <c r="AY406" i="1"/>
  <c r="AY471" i="1"/>
  <c r="AY483" i="1"/>
  <c r="AY407" i="1"/>
  <c r="AV145" i="1"/>
  <c r="AY199" i="1"/>
  <c r="AY18" i="1"/>
  <c r="AY55" i="1"/>
  <c r="AV110" i="1"/>
  <c r="AY348" i="1"/>
  <c r="AV181" i="1"/>
  <c r="AY442" i="1"/>
  <c r="AY85" i="1"/>
  <c r="AY183" i="1"/>
  <c r="AY195" i="1"/>
  <c r="AY454" i="1"/>
  <c r="AY133" i="1"/>
  <c r="AY237" i="1"/>
  <c r="AY273" i="1"/>
  <c r="AY418" i="1"/>
  <c r="AY455" i="1"/>
  <c r="AY49" i="1"/>
  <c r="AY63" i="1"/>
  <c r="AV349" i="1"/>
  <c r="AY48" i="1"/>
  <c r="AY249" i="1"/>
  <c r="AV156" i="1"/>
  <c r="AY50" i="1"/>
  <c r="AY363" i="1"/>
  <c r="AY375" i="1"/>
  <c r="AY238" i="1"/>
  <c r="AY419" i="1"/>
  <c r="AY431" i="1"/>
  <c r="AY6" i="1"/>
  <c r="AY430" i="1"/>
  <c r="AY170" i="1"/>
  <c r="AV157" i="1"/>
  <c r="AY12" i="1"/>
  <c r="AY364" i="1"/>
  <c r="AV171" i="1"/>
  <c r="AV193" i="1"/>
  <c r="AY472" i="1"/>
  <c r="AY239" i="1"/>
  <c r="AY251" i="1"/>
  <c r="AY263" i="1"/>
  <c r="AY159" i="1"/>
  <c r="AV111" i="1"/>
  <c r="AY223" i="1"/>
  <c r="AY51" i="1"/>
  <c r="AY135" i="1"/>
  <c r="AY211" i="1"/>
  <c r="AV366" i="1"/>
  <c r="AY350" i="1"/>
  <c r="AY30" i="1"/>
  <c r="AY275" i="1"/>
  <c r="AV380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7" i="1"/>
  <c r="AY259" i="1"/>
  <c r="AY235" i="1"/>
  <c r="AY453" i="1"/>
  <c r="AY212" i="1"/>
  <c r="AY61" i="1"/>
  <c r="AY470" i="1"/>
  <c r="AY143" i="1"/>
  <c r="AY411" i="1"/>
  <c r="AY20" i="1"/>
  <c r="AY250" i="1"/>
  <c r="AY371" i="1"/>
  <c r="AV176" i="1"/>
  <c r="AV435" i="1"/>
  <c r="AV158" i="1"/>
  <c r="AY158" i="1"/>
  <c r="AV177" i="1"/>
  <c r="AV218" i="1"/>
  <c r="AY218" i="1"/>
  <c r="AY14" i="1"/>
  <c r="AY52" i="1"/>
  <c r="AV66" i="1"/>
  <c r="AV281" i="1"/>
  <c r="AY160" i="1"/>
  <c r="AY420" i="1"/>
  <c r="AV4" i="1"/>
  <c r="AV28" i="1"/>
  <c r="AY67" i="1"/>
  <c r="AY224" i="1"/>
  <c r="AY376" i="1"/>
  <c r="AY32" i="1"/>
  <c r="AY155" i="1"/>
  <c r="AY298" i="1"/>
  <c r="AY111" i="1"/>
  <c r="AY262" i="1"/>
  <c r="AY415" i="1"/>
  <c r="AY72" i="1"/>
  <c r="AY229" i="1"/>
  <c r="AY383" i="1"/>
  <c r="AY138" i="1"/>
  <c r="AY99" i="1"/>
  <c r="AY80" i="1"/>
  <c r="AY412" i="1"/>
  <c r="AY65" i="1"/>
  <c r="AV172" i="1"/>
  <c r="AY172" i="1"/>
  <c r="AV198" i="1"/>
  <c r="AV16" i="1"/>
  <c r="AY53" i="1"/>
  <c r="AY232" i="1"/>
  <c r="AY444" i="1"/>
  <c r="AY79" i="1"/>
  <c r="AY46" i="1"/>
  <c r="AY468" i="1"/>
  <c r="AY274" i="1"/>
  <c r="AY479" i="1"/>
  <c r="AY365" i="1"/>
  <c r="AY445" i="1"/>
  <c r="AY460" i="1"/>
  <c r="AY186" i="1"/>
  <c r="AY179" i="1"/>
  <c r="AY377" i="1"/>
  <c r="AY163" i="1"/>
  <c r="AV199" i="1"/>
  <c r="AY220" i="1"/>
  <c r="AV55" i="1"/>
  <c r="AY97" i="1"/>
  <c r="AY290" i="1"/>
  <c r="AY421" i="1"/>
  <c r="AY443" i="1"/>
  <c r="AY58" i="1"/>
  <c r="AY214" i="1"/>
  <c r="AY366" i="1"/>
  <c r="AY473" i="1"/>
  <c r="AY144" i="1"/>
  <c r="AY286" i="1"/>
  <c r="AY440" i="1"/>
  <c r="AY389" i="1"/>
  <c r="AY342" i="1"/>
  <c r="AY491" i="1"/>
  <c r="AY281" i="1"/>
  <c r="AY201" i="1"/>
  <c r="AY66" i="1"/>
  <c r="AY91" i="1"/>
  <c r="AY408" i="1"/>
  <c r="AY149" i="1"/>
  <c r="AY209" i="1"/>
  <c r="AY221" i="1"/>
  <c r="AY76" i="1"/>
  <c r="AV446" i="1"/>
  <c r="AV223" i="1"/>
  <c r="AY258" i="1"/>
  <c r="AY380" i="1"/>
  <c r="AY339" i="1"/>
  <c r="AY156" i="1"/>
  <c r="AY451" i="1"/>
  <c r="AY416" i="1"/>
  <c r="AY35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4" i="1"/>
  <c r="AY270" i="1"/>
  <c r="AY424" i="1"/>
  <c r="AY81" i="1"/>
  <c r="AY236" i="1"/>
  <c r="AY351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4" i="1"/>
  <c r="AY145" i="1"/>
  <c r="AY446" i="1"/>
  <c r="AY271" i="1"/>
  <c r="AY247" i="1"/>
  <c r="AY16" i="1"/>
  <c r="AY198" i="1"/>
  <c r="AY100" i="1"/>
  <c r="AY257" i="1"/>
  <c r="AY136" i="1"/>
  <c r="AY184" i="1"/>
  <c r="AV346" i="1"/>
  <c r="AY40" i="1"/>
  <c r="AY88" i="1"/>
  <c r="AY242" i="1"/>
  <c r="AY254" i="1"/>
  <c r="AY266" i="1"/>
  <c r="AY278" i="1"/>
  <c r="AY447" i="1"/>
  <c r="AY260" i="1"/>
  <c r="AY381" i="1"/>
  <c r="AY34" i="1"/>
  <c r="AY192" i="1"/>
  <c r="AY157" i="1"/>
  <c r="AY409" i="1"/>
  <c r="AY422" i="1"/>
  <c r="AY116" i="1"/>
  <c r="AY293" i="1"/>
  <c r="AY45" i="1"/>
  <c r="AY118" i="1"/>
  <c r="AV146" i="1"/>
  <c r="AY146" i="1"/>
  <c r="AY196" i="1"/>
  <c r="AY137" i="1"/>
  <c r="AY185" i="1"/>
  <c r="AV347" i="1"/>
  <c r="AY360" i="1"/>
  <c r="AY459" i="1"/>
  <c r="AY119" i="1"/>
  <c r="AY272" i="1"/>
  <c r="AY82" i="1"/>
  <c r="AY171" i="1"/>
  <c r="AY457" i="1"/>
  <c r="AY349" i="1"/>
  <c r="AY39" i="1"/>
  <c r="AY256" i="1"/>
  <c r="AY139" i="1"/>
  <c r="AY347" i="1"/>
  <c r="AY217" i="1"/>
  <c r="AY197" i="1"/>
  <c r="AY432" i="1"/>
  <c r="AY113" i="1"/>
  <c r="AY36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3" i="1"/>
  <c r="AY114" i="1"/>
  <c r="AV362" i="1"/>
  <c r="AV374" i="1"/>
  <c r="AY154" i="1"/>
  <c r="AY297" i="1"/>
  <c r="AY449" i="1"/>
  <c r="AY110" i="1"/>
  <c r="AY261" i="1"/>
  <c r="AY228" i="1"/>
  <c r="AY193" i="1"/>
  <c r="AY189" i="1"/>
  <c r="AY425" i="1"/>
  <c r="AY292" i="1"/>
  <c r="AY165" i="1"/>
  <c r="AY423" i="1"/>
  <c r="AY175" i="1"/>
  <c r="AV458" i="1"/>
  <c r="AV54" i="1"/>
  <c r="AV434" i="1"/>
  <c r="AY64" i="1"/>
  <c r="AV115" i="1"/>
  <c r="AV363" i="1"/>
  <c r="AV375" i="1"/>
  <c r="AY456" i="1"/>
  <c r="AY168" i="1"/>
  <c r="AY120" i="1"/>
  <c r="AY435" i="1"/>
  <c r="AY410" i="1"/>
  <c r="AY346" i="1"/>
  <c r="AY77" i="1"/>
  <c r="AY434" i="1"/>
  <c r="AY177" i="1"/>
  <c r="AV65" i="1"/>
  <c r="AV159" i="1"/>
  <c r="AV219" i="1"/>
  <c r="AV53" i="1"/>
  <c r="AV444" i="1"/>
  <c r="AV220" i="1"/>
  <c r="AV76" i="1"/>
  <c r="AV44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8" i="1"/>
  <c r="AV204" i="1"/>
  <c r="AV217" i="1"/>
  <c r="AV12" i="1"/>
  <c r="AV205" i="1"/>
  <c r="AV75" i="1"/>
  <c r="AV33" i="1"/>
  <c r="AV22" i="1"/>
  <c r="AV207" i="1"/>
  <c r="AV371" i="1"/>
  <c r="AV383" i="1"/>
  <c r="AV216" i="1"/>
  <c r="AV64" i="1"/>
  <c r="AV34" i="1"/>
  <c r="AV59" i="1"/>
  <c r="AV208" i="1"/>
  <c r="AV358" i="1"/>
  <c r="AV372" i="1"/>
  <c r="AV384" i="1"/>
  <c r="AV233" i="1"/>
  <c r="AV74" i="1"/>
  <c r="AV286" i="1"/>
  <c r="AV60" i="1"/>
  <c r="AV359" i="1"/>
  <c r="AV373" i="1"/>
  <c r="AV385" i="1"/>
  <c r="AV10" i="1"/>
  <c r="AV86" i="1"/>
  <c r="AV231" i="1"/>
  <c r="AV406" i="1"/>
  <c r="AV87" i="1"/>
  <c r="AV407" i="1"/>
  <c r="AV282" i="1"/>
  <c r="AV454" i="1"/>
  <c r="AV36" i="1"/>
  <c r="AV345" i="1"/>
  <c r="AV440" i="1"/>
  <c r="AV360" i="1"/>
  <c r="AV48" i="1"/>
  <c r="AV62" i="1"/>
  <c r="AV348" i="1"/>
  <c r="AV113" i="1"/>
  <c r="AV361" i="1"/>
  <c r="AV491" i="1"/>
  <c r="AV230" i="1"/>
  <c r="AV14" i="1"/>
  <c r="AV49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7" i="1"/>
  <c r="AV45" i="1"/>
  <c r="AV71" i="1"/>
  <c r="AV117" i="1"/>
  <c r="AV433" i="1"/>
  <c r="AV46" i="1"/>
  <c r="AV119" i="1"/>
  <c r="AV432" i="1"/>
  <c r="AV196" i="1"/>
  <c r="AV47" i="1"/>
  <c r="AV226" i="1"/>
  <c r="AV83" i="1"/>
  <c r="AV197" i="1"/>
  <c r="AV227" i="1"/>
  <c r="AV144" i="1"/>
  <c r="AV445" i="1"/>
  <c r="AV367" i="1"/>
  <c r="AV441" i="1"/>
  <c r="AV370" i="1"/>
  <c r="AV141" i="1"/>
  <c r="AV175" i="1"/>
  <c r="AV188" i="1"/>
  <c r="AV229" i="1"/>
  <c r="AV72" i="1"/>
  <c r="AV200" i="1"/>
  <c r="AV364" i="1"/>
  <c r="AV376" i="1"/>
  <c r="AV73" i="1"/>
  <c r="AV201" i="1"/>
  <c r="AV365" i="1"/>
  <c r="AV377" i="1"/>
  <c r="AV178" i="1"/>
  <c r="AV67" i="1"/>
  <c r="AV189" i="1"/>
  <c r="AV163" i="1"/>
  <c r="AV179" i="1"/>
  <c r="AV89" i="1"/>
  <c r="AV18" i="1"/>
  <c r="AV68" i="1"/>
  <c r="AV206" i="1"/>
  <c r="AV90" i="1"/>
  <c r="AV20" i="1"/>
  <c r="AV382" i="1"/>
  <c r="AV77" i="1"/>
  <c r="AV91" i="1"/>
  <c r="AV44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3" i="1"/>
  <c r="AV221" i="1"/>
  <c r="AV174" i="1"/>
  <c r="AV170" i="1"/>
  <c r="AY450" i="1" l="1"/>
  <c r="AV450" i="1"/>
  <c r="AY180" i="1"/>
  <c r="AV180" i="1"/>
  <c r="AY187" i="1"/>
  <c r="AV187" i="1"/>
</calcChain>
</file>

<file path=xl/sharedStrings.xml><?xml version="1.0" encoding="utf-8"?>
<sst xmlns="http://schemas.openxmlformats.org/spreadsheetml/2006/main" count="7855" uniqueCount="1563">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</sst>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1" totalsRowShown="0" headerRowDxfId="68" dataDxfId="66" headerRowBorderDxfId="67">
  <autoFilter ref="A3:BN491" xr:uid="{00000000-0009-0000-0100-000002000000}"/>
  <sortState xmlns:xlrd2="http://schemas.microsoft.com/office/spreadsheetml/2017/richdata2" ref="A4:BN491">
    <sortCondition ref="A3:A49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1"/>
  <sheetViews>
    <sheetView tabSelected="1" topLeftCell="E1" zoomScale="121" zoomScaleNormal="120" workbookViewId="0">
      <selection activeCell="J173" sqref="J173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1254</v>
      </c>
      <c r="AY1" s="6" t="s">
        <v>1254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1411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1255</v>
      </c>
      <c r="AY2" s="16" t="s">
        <v>1251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1252</v>
      </c>
      <c r="AY3" s="27" t="s">
        <v>1253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1456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1295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1295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1370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1371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1371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1295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1280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1281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1295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1281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1282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1283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1295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1283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1372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1373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1373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1374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1375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1375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1295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1256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1480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1376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1377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1377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1256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1273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1272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1459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1378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1279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1278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1379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1380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1256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1381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1382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1410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1383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1410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1384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1410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1385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1410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1386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1410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1387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1410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1388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1410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1389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1410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1390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1410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1277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1276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1422</v>
      </c>
      <c r="F94" s="36" t="str">
        <f>IF(ISBLANK(Table2[[#This Row],[unique_id]]), "", PROPER(SUBSTITUTE(Table2[[#This Row],[unique_id]], "_", " ")))</f>
        <v>Home Started</v>
      </c>
      <c r="G94" s="30" t="s">
        <v>1423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1395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1396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1416</v>
      </c>
      <c r="F103" s="36" t="str">
        <f>IF(ISBLANK(Table2[[#This Row],[unique_id]]), "", PROPER(SUBSTITUTE(Table2[[#This Row],[unique_id]], "_", " ")))</f>
        <v>Edwin Wakeup</v>
      </c>
      <c r="G103" s="30" t="s">
        <v>1414</v>
      </c>
      <c r="H103" s="30" t="s">
        <v>311</v>
      </c>
      <c r="I103" s="30" t="s">
        <v>132</v>
      </c>
      <c r="J103" s="30" t="s">
        <v>1419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1417</v>
      </c>
      <c r="F104" s="36" t="str">
        <f>IF(ISBLANK(Table2[[#This Row],[unique_id]]), "", PROPER(SUBSTITUTE(Table2[[#This Row],[unique_id]], "_", " ")))</f>
        <v>Edwin Playtime</v>
      </c>
      <c r="G104" s="30" t="s">
        <v>1424</v>
      </c>
      <c r="H104" s="30" t="s">
        <v>311</v>
      </c>
      <c r="I104" s="30" t="s">
        <v>132</v>
      </c>
      <c r="J104" s="30" t="s">
        <v>1420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1418</v>
      </c>
      <c r="F105" s="36" t="str">
        <f>IF(ISBLANK(Table2[[#This Row],[unique_id]]), "", PROPER(SUBSTITUTE(Table2[[#This Row],[unique_id]], "_", " ")))</f>
        <v>Edwin Goodnight</v>
      </c>
      <c r="G105" s="30" t="s">
        <v>1415</v>
      </c>
      <c r="H105" s="30" t="s">
        <v>311</v>
      </c>
      <c r="I105" s="30" t="s">
        <v>132</v>
      </c>
      <c r="J105" s="30" t="s">
        <v>1421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1428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1367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1429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1367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1296</v>
      </c>
      <c r="BL107" s="55" t="s">
        <v>346</v>
      </c>
      <c r="BM107" s="55" t="s">
        <v>1337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1367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1367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1296</v>
      </c>
      <c r="BL109" s="30" t="s">
        <v>353</v>
      </c>
      <c r="BM109" s="30" t="s">
        <v>1347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1296</v>
      </c>
      <c r="BL110" s="30" t="s">
        <v>371</v>
      </c>
      <c r="BM110" s="30" t="s">
        <v>1314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1296</v>
      </c>
      <c r="BL111" s="30" t="s">
        <v>372</v>
      </c>
      <c r="BM111" s="30" t="s">
        <v>1315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1296</v>
      </c>
      <c r="BL112" s="30" t="s">
        <v>375</v>
      </c>
      <c r="BM112" s="30" t="s">
        <v>1316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1296</v>
      </c>
      <c r="BL114" s="30" t="s">
        <v>921</v>
      </c>
      <c r="BM114" s="30" t="s">
        <v>1318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1296</v>
      </c>
      <c r="BL117" s="30" t="s">
        <v>376</v>
      </c>
      <c r="BM117" s="30" t="s">
        <v>1319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1296</v>
      </c>
      <c r="BL119" s="30" t="s">
        <v>373</v>
      </c>
      <c r="BM119" s="30" t="s">
        <v>1320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1296</v>
      </c>
      <c r="BL120" s="30" t="s">
        <v>374</v>
      </c>
      <c r="BM120" s="39" t="s">
        <v>1321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1269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1270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1364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1268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1267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1462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1460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1461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1271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1357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1357</v>
      </c>
      <c r="BA131" s="30" t="str">
        <f>IF(ISBLANK(Table2[[#This Row],[device_model]]), "", Table2[[#This Row],[device_suggested_area]])</f>
        <v>Home</v>
      </c>
      <c r="BB131" s="30" t="s">
        <v>1361</v>
      </c>
      <c r="BC131" s="30" t="s">
        <v>1358</v>
      </c>
      <c r="BD131" s="30" t="s">
        <v>1357</v>
      </c>
      <c r="BF131" s="30" t="s">
        <v>1359</v>
      </c>
      <c r="BG131" s="30" t="s">
        <v>165</v>
      </c>
      <c r="BK131" s="30" t="s">
        <v>1295</v>
      </c>
      <c r="BL131" s="46" t="s">
        <v>1360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1457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1457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1457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1457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1397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1457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1397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1457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1457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1457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1457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1457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1457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1250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1457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1457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1457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1457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1457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1457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1457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1457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1457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1457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1457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1556</v>
      </c>
      <c r="BD161" s="30" t="s">
        <v>377</v>
      </c>
      <c r="BE161" s="30" t="s">
        <v>1457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1397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1556</v>
      </c>
      <c r="BD162" s="30" t="s">
        <v>377</v>
      </c>
      <c r="BE162" s="30" t="s">
        <v>1457</v>
      </c>
      <c r="BF162" s="30" t="s">
        <v>488</v>
      </c>
      <c r="BG162" s="30" t="s">
        <v>194</v>
      </c>
      <c r="BI162" s="30" t="s">
        <v>687</v>
      </c>
      <c r="BL162" s="30" t="s">
        <v>1554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1549</v>
      </c>
      <c r="F163" s="36" t="str">
        <f>IF(ISBLANK(Table2[[#This Row],[unique_id]]), "", PROPER(SUBSTITUTE(Table2[[#This Row],[unique_id]], "_", " ")))</f>
        <v>Lounge Reading</v>
      </c>
      <c r="G163" s="30" t="s">
        <v>1562</v>
      </c>
      <c r="H163" s="30" t="s">
        <v>139</v>
      </c>
      <c r="I163" s="30" t="s">
        <v>132</v>
      </c>
      <c r="J163" s="30" t="s">
        <v>1552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1552</v>
      </c>
      <c r="BC163" s="30" t="s">
        <v>1555</v>
      </c>
      <c r="BD163" s="30" t="s">
        <v>377</v>
      </c>
      <c r="BE163" s="30" t="s">
        <v>1457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1550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1397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1553</v>
      </c>
      <c r="BC164" s="30" t="s">
        <v>1555</v>
      </c>
      <c r="BD164" s="30" t="s">
        <v>377</v>
      </c>
      <c r="BE164" s="30" t="s">
        <v>1457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1457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1457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1457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1457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1457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1457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1457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1457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1457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1457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1457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1263</v>
      </c>
      <c r="F180" s="36" t="str">
        <f>IF(ISBLANK(Table2[[#This Row],[unique_id]]), "", PROPER(SUBSTITUTE(Table2[[#This Row],[unique_id]], "_", " ")))</f>
        <v>Kitchen Bench Lights Plug</v>
      </c>
      <c r="G180" s="30" t="s">
        <v>1264</v>
      </c>
      <c r="H180" s="30" t="s">
        <v>139</v>
      </c>
      <c r="I180" s="30" t="s">
        <v>132</v>
      </c>
      <c r="J180" s="30" t="s">
        <v>1266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1265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1296</v>
      </c>
      <c r="BL180" s="30" t="s">
        <v>919</v>
      </c>
      <c r="BM180" s="30" t="s">
        <v>1322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1457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1457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1457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1457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1457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1457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1457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1457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1457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1457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1457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1457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1430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1431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1296</v>
      </c>
      <c r="BL201" s="55" t="s">
        <v>561</v>
      </c>
      <c r="BM201" s="55" t="s">
        <v>1323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1296</v>
      </c>
      <c r="BL203" s="30" t="s">
        <v>1053</v>
      </c>
      <c r="BM203" s="30" t="s">
        <v>1324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1237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1432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1433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1296</v>
      </c>
      <c r="BL206" s="55" t="s">
        <v>560</v>
      </c>
      <c r="BM206" s="55" t="s">
        <v>1325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1296</v>
      </c>
      <c r="BL208" s="30" t="s">
        <v>1052</v>
      </c>
      <c r="BM208" s="30" t="s">
        <v>1326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1457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1457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1457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1457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1457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1457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1457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1457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1457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1457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1457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1457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1457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1296</v>
      </c>
      <c r="BL224" s="30" t="s">
        <v>350</v>
      </c>
      <c r="BM224" s="30" t="s">
        <v>1327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1296</v>
      </c>
      <c r="BL226" s="30" t="s">
        <v>442</v>
      </c>
      <c r="BM226" s="30" t="s">
        <v>1328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1296</v>
      </c>
      <c r="BL230" s="30" t="s">
        <v>1046</v>
      </c>
      <c r="BM230" s="30" t="s">
        <v>1329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1366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1366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1295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1259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1260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1261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1257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1262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1229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1232</v>
      </c>
      <c r="H287" s="30" t="s">
        <v>1228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1231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1230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1233</v>
      </c>
      <c r="H288" s="30" t="s">
        <v>1228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1231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1557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1559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1558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1545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1256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1194</v>
      </c>
      <c r="D299" s="30" t="s">
        <v>148</v>
      </c>
      <c r="E299" s="30" t="s">
        <v>1196</v>
      </c>
      <c r="F299" s="30" t="str">
        <f>IF(ISBLANK(Table2[[#This Row],[unique_id]]), "", PROPER(SUBSTITUTE(Table2[[#This Row],[unique_id]], "_", " ")))</f>
        <v>Service Homeassistant Availability</v>
      </c>
      <c r="G299" s="30" t="s">
        <v>1224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9" s="30" t="str">
        <f>IF(ISBLANK(Table2[[#This Row],[index]]),  "", _xlfn.CONCAT("asystem/supervisor/", SUBSTITUTE(LOWER(Table2[[#This Row],[unique_id]]), "_", "/")))</f>
        <v>asystem/supervisor/service/homeassistant/availability</v>
      </c>
      <c r="AM299" s="30" t="s">
        <v>1226</v>
      </c>
      <c r="AR299" s="30" t="s">
        <v>970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1195</v>
      </c>
      <c r="BC299" s="30" t="s">
        <v>1123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1194</v>
      </c>
      <c r="D300" s="30" t="s">
        <v>148</v>
      </c>
      <c r="E300" s="30" t="s">
        <v>1197</v>
      </c>
      <c r="F300" s="30" t="str">
        <f>IF(ISBLANK(Table2[[#This Row],[unique_id]]), "", PROPER(SUBSTITUTE(Table2[[#This Row],[unique_id]], "_", " ")))</f>
        <v>Service Plex Availability</v>
      </c>
      <c r="G300" s="30" t="s">
        <v>1211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300" s="30" t="str">
        <f>IF(ISBLANK(Table2[[#This Row],[index]]),  "", _xlfn.CONCAT("asystem/supervisor/", SUBSTITUTE(LOWER(Table2[[#This Row],[unique_id]]), "_", "/")))</f>
        <v>asystem/supervisor/service/plex/availability</v>
      </c>
      <c r="AM300" s="30" t="s">
        <v>1226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1195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1194</v>
      </c>
      <c r="D301" s="30" t="s">
        <v>148</v>
      </c>
      <c r="E301" s="30" t="s">
        <v>1198</v>
      </c>
      <c r="F301" s="30" t="str">
        <f>IF(ISBLANK(Table2[[#This Row],[unique_id]]), "", PROPER(SUBSTITUTE(Table2[[#This Row],[unique_id]], "_", " ")))</f>
        <v>Service Grafana Availability</v>
      </c>
      <c r="G301" s="30" t="s">
        <v>1212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301" s="30" t="str">
        <f>IF(ISBLANK(Table2[[#This Row],[index]]),  "", _xlfn.CONCAT("asystem/supervisor/", SUBSTITUTE(LOWER(Table2[[#This Row],[unique_id]]), "_", "/")))</f>
        <v>asystem/supervisor/service/grafana/availability</v>
      </c>
      <c r="AM301" s="30" t="s">
        <v>1226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1195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1194</v>
      </c>
      <c r="D302" s="30" t="s">
        <v>148</v>
      </c>
      <c r="E302" s="30" t="s">
        <v>1199</v>
      </c>
      <c r="F302" s="30" t="str">
        <f>IF(ISBLANK(Table2[[#This Row],[unique_id]]), "", PROPER(SUBSTITUTE(Table2[[#This Row],[unique_id]], "_", " ")))</f>
        <v>Service Wrangle Availability</v>
      </c>
      <c r="G302" s="30" t="s">
        <v>1213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302" s="30" t="str">
        <f>IF(ISBLANK(Table2[[#This Row],[index]]),  "", _xlfn.CONCAT("asystem/supervisor/", SUBSTITUTE(LOWER(Table2[[#This Row],[unique_id]]), "_", "/")))</f>
        <v>asystem/supervisor/service/wrangle/availability</v>
      </c>
      <c r="AM302" s="30" t="s">
        <v>1226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1195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1194</v>
      </c>
      <c r="D303" s="30" t="s">
        <v>148</v>
      </c>
      <c r="E303" s="30" t="s">
        <v>1200</v>
      </c>
      <c r="F303" s="30" t="str">
        <f>IF(ISBLANK(Table2[[#This Row],[unique_id]]), "", PROPER(SUBSTITUTE(Table2[[#This Row],[unique_id]], "_", " ")))</f>
        <v>Service Internet Availability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3" s="30" t="str">
        <f>IF(ISBLANK(Table2[[#This Row],[index]]),  "", _xlfn.CONCAT("asystem/supervisor/", SUBSTITUTE(LOWER(Table2[[#This Row],[unique_id]]), "_", "/")))</f>
        <v>asystem/supervisor/service/internet/availability</v>
      </c>
      <c r="AM303" s="30" t="s">
        <v>1226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1195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1194</v>
      </c>
      <c r="D304" s="30" t="s">
        <v>148</v>
      </c>
      <c r="E304" s="30" t="s">
        <v>1201</v>
      </c>
      <c r="F304" s="30" t="str">
        <f>IF(ISBLANK(Table2[[#This Row],[unique_id]]), "", PROPER(SUBSTITUTE(Table2[[#This Row],[unique_id]], "_", " ")))</f>
        <v>Service Unifi Availability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4" s="30" t="str">
        <f>IF(ISBLANK(Table2[[#This Row],[index]]),  "", _xlfn.CONCAT("asystem/supervisor/", SUBSTITUTE(LOWER(Table2[[#This Row],[unique_id]]), "_", "/")))</f>
        <v>asystem/supervisor/service/unifi/availability</v>
      </c>
      <c r="AM304" s="30" t="s">
        <v>1226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1195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1194</v>
      </c>
      <c r="D305" s="30" t="s">
        <v>148</v>
      </c>
      <c r="E305" s="30" t="s">
        <v>1193</v>
      </c>
      <c r="F305" s="30" t="str">
        <f>IF(ISBLANK(Table2[[#This Row],[unique_id]]), "", PROPER(SUBSTITUTE(Table2[[#This Row],[unique_id]], "_", " ")))</f>
        <v>Service Zigbee2Mqtt Availability</v>
      </c>
      <c r="G305" s="30" t="s">
        <v>1214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5" s="30" t="str">
        <f>IF(ISBLANK(Table2[[#This Row],[index]]),  "", _xlfn.CONCAT("asystem/supervisor/", SUBSTITUTE(LOWER(Table2[[#This Row],[unique_id]]), "_", "/")))</f>
        <v>asystem/supervisor/service/zigbee2mqtt/availability</v>
      </c>
      <c r="AM305" s="30" t="s">
        <v>1226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1195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1194</v>
      </c>
      <c r="D306" s="30" t="s">
        <v>148</v>
      </c>
      <c r="E306" s="30" t="s">
        <v>1202</v>
      </c>
      <c r="F306" s="30" t="str">
        <f>IF(ISBLANK(Table2[[#This Row],[unique_id]]), "", PROPER(SUBSTITUTE(Table2[[#This Row],[unique_id]], "_", " ")))</f>
        <v>Service Weewx Availability</v>
      </c>
      <c r="G306" s="30" t="s">
        <v>1215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6" s="30" t="str">
        <f>IF(ISBLANK(Table2[[#This Row],[index]]),  "", _xlfn.CONCAT("asystem/supervisor/", SUBSTITUTE(LOWER(Table2[[#This Row],[unique_id]]), "_", "/")))</f>
        <v>asystem/supervisor/service/weewx/availability</v>
      </c>
      <c r="AM306" s="30" t="s">
        <v>1226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1195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1194</v>
      </c>
      <c r="D307" s="30" t="s">
        <v>148</v>
      </c>
      <c r="E307" s="30" t="s">
        <v>1203</v>
      </c>
      <c r="F307" s="30" t="str">
        <f>IF(ISBLANK(Table2[[#This Row],[unique_id]]), "", PROPER(SUBSTITUTE(Table2[[#This Row],[unique_id]], "_", " ")))</f>
        <v>Service Digitemp Availability</v>
      </c>
      <c r="G307" s="30" t="s">
        <v>1216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7" s="30" t="str">
        <f>IF(ISBLANK(Table2[[#This Row],[index]]),  "", _xlfn.CONCAT("asystem/supervisor/", SUBSTITUTE(LOWER(Table2[[#This Row],[unique_id]]), "_", "/")))</f>
        <v>asystem/supervisor/service/digitemp/availability</v>
      </c>
      <c r="AM307" s="30" t="s">
        <v>1226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1195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1194</v>
      </c>
      <c r="D308" s="30" t="s">
        <v>148</v>
      </c>
      <c r="E308" s="30" t="s">
        <v>1204</v>
      </c>
      <c r="F308" s="30" t="str">
        <f>IF(ISBLANK(Table2[[#This Row],[unique_id]]), "", PROPER(SUBSTITUTE(Table2[[#This Row],[unique_id]], "_", " ")))</f>
        <v>Service Nginx Availability</v>
      </c>
      <c r="G308" s="30" t="s">
        <v>1217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8" s="30" t="str">
        <f>IF(ISBLANK(Table2[[#This Row],[index]]),  "", _xlfn.CONCAT("asystem/supervisor/", SUBSTITUTE(LOWER(Table2[[#This Row],[unique_id]]), "_", "/")))</f>
        <v>asystem/supervisor/service/nginx/availability</v>
      </c>
      <c r="AM308" s="30" t="s">
        <v>1226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1195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1194</v>
      </c>
      <c r="D309" s="30" t="s">
        <v>148</v>
      </c>
      <c r="E309" s="30" t="s">
        <v>1205</v>
      </c>
      <c r="F309" s="30" t="str">
        <f>IF(ISBLANK(Table2[[#This Row],[unique_id]]), "", PROPER(SUBSTITUTE(Table2[[#This Row],[unique_id]], "_", " ")))</f>
        <v>Service Influxdb Availability</v>
      </c>
      <c r="G309" s="30" t="s">
        <v>1218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9" s="30" t="str">
        <f>IF(ISBLANK(Table2[[#This Row],[index]]),  "", _xlfn.CONCAT("asystem/supervisor/", SUBSTITUTE(LOWER(Table2[[#This Row],[unique_id]]), "_", "/")))</f>
        <v>asystem/supervisor/service/influxdb/availability</v>
      </c>
      <c r="AM309" s="30" t="s">
        <v>1226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1195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1194</v>
      </c>
      <c r="D310" s="30" t="s">
        <v>148</v>
      </c>
      <c r="E310" s="30" t="s">
        <v>1206</v>
      </c>
      <c r="F310" s="30" t="str">
        <f>IF(ISBLANK(Table2[[#This Row],[unique_id]]), "", PROPER(SUBSTITUTE(Table2[[#This Row],[unique_id]], "_", " ")))</f>
        <v>Service Mariadb Availability</v>
      </c>
      <c r="G310" s="30" t="s">
        <v>1219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10" s="30" t="str">
        <f>IF(ISBLANK(Table2[[#This Row],[index]]),  "", _xlfn.CONCAT("asystem/supervisor/", SUBSTITUTE(LOWER(Table2[[#This Row],[unique_id]]), "_", "/")))</f>
        <v>asystem/supervisor/service/mariadb/availability</v>
      </c>
      <c r="AM310" s="30" t="s">
        <v>1226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1195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1194</v>
      </c>
      <c r="D311" s="30" t="s">
        <v>148</v>
      </c>
      <c r="E311" s="30" t="s">
        <v>1207</v>
      </c>
      <c r="F311" s="30" t="str">
        <f>IF(ISBLANK(Table2[[#This Row],[unique_id]]), "", PROPER(SUBSTITUTE(Table2[[#This Row],[unique_id]], "_", " ")))</f>
        <v>Service Postgres Availability</v>
      </c>
      <c r="G311" s="30" t="s">
        <v>1220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11" s="30" t="str">
        <f>IF(ISBLANK(Table2[[#This Row],[index]]),  "", _xlfn.CONCAT("asystem/supervisor/", SUBSTITUTE(LOWER(Table2[[#This Row],[unique_id]]), "_", "/")))</f>
        <v>asystem/supervisor/service/postgres/availability</v>
      </c>
      <c r="AM311" s="30" t="s">
        <v>1226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1195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1194</v>
      </c>
      <c r="D312" s="30" t="s">
        <v>148</v>
      </c>
      <c r="E312" s="30" t="s">
        <v>1208</v>
      </c>
      <c r="F312" s="30" t="str">
        <f>IF(ISBLANK(Table2[[#This Row],[unique_id]]), "", PROPER(SUBSTITUTE(Table2[[#This Row],[unique_id]], "_", " ")))</f>
        <v>Service Letsencrypt Availability</v>
      </c>
      <c r="G312" s="30" t="s">
        <v>1221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12" s="30" t="str">
        <f>IF(ISBLANK(Table2[[#This Row],[index]]),  "", _xlfn.CONCAT("asystem/supervisor/", SUBSTITUTE(LOWER(Table2[[#This Row],[unique_id]]), "_", "/")))</f>
        <v>asystem/supervisor/service/letsencrypt/availability</v>
      </c>
      <c r="AM312" s="30" t="s">
        <v>1226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1195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1194</v>
      </c>
      <c r="D313" s="30" t="s">
        <v>148</v>
      </c>
      <c r="E313" s="30" t="s">
        <v>1209</v>
      </c>
      <c r="F313" s="30" t="str">
        <f>IF(ISBLANK(Table2[[#This Row],[unique_id]]), "", PROPER(SUBSTITUTE(Table2[[#This Row],[unique_id]], "_", " ")))</f>
        <v>Service Unifipoller Availability</v>
      </c>
      <c r="G313" s="30" t="s">
        <v>1222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3" s="30" t="str">
        <f>IF(ISBLANK(Table2[[#This Row],[index]]),  "", _xlfn.CONCAT("asystem/supervisor/", SUBSTITUTE(LOWER(Table2[[#This Row],[unique_id]]), "_", "/")))</f>
        <v>asystem/supervisor/service/unifipoller/availability</v>
      </c>
      <c r="AM313" s="30" t="s">
        <v>1226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1195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1194</v>
      </c>
      <c r="D314" s="30" t="s">
        <v>148</v>
      </c>
      <c r="E314" s="30" t="s">
        <v>1210</v>
      </c>
      <c r="F314" s="30" t="str">
        <f>IF(ISBLANK(Table2[[#This Row],[unique_id]]), "", PROPER(SUBSTITUTE(Table2[[#This Row],[unique_id]], "_", " ")))</f>
        <v>Service Monitor Availability</v>
      </c>
      <c r="G314" s="30" t="s">
        <v>1223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4" s="30" t="str">
        <f>IF(ISBLANK(Table2[[#This Row],[index]]),  "", _xlfn.CONCAT("asystem/supervisor/", SUBSTITUTE(LOWER(Table2[[#This Row],[unique_id]]), "_", "/")))</f>
        <v>asystem/supervisor/service/monitor/availability</v>
      </c>
      <c r="AM314" s="30" t="s">
        <v>1226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1195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1194</v>
      </c>
      <c r="D315" s="30" t="s">
        <v>148</v>
      </c>
      <c r="E315" s="30" t="s">
        <v>1523</v>
      </c>
      <c r="F315" s="30" t="str">
        <f>IF(ISBLANK(Table2[[#This Row],[unique_id]]), "", PROPER(SUBSTITUTE(Table2[[#This Row],[unique_id]], "_", " ")))</f>
        <v>Host Mad Availability</v>
      </c>
      <c r="G315" s="30" t="s">
        <v>1517</v>
      </c>
      <c r="H315" s="30" t="s">
        <v>1225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1192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5" s="30" t="str">
        <f>IF(ISBLANK(Table2[[#This Row],[index]]),  "", _xlfn.CONCAT("asystem/supervisor/", SUBSTITUTE(LOWER(Table2[[#This Row],[unique_id]]), "_", "/")))</f>
        <v>asystem/supervisor/host/mad/availability</v>
      </c>
      <c r="AM315" s="30" t="s">
        <v>1226</v>
      </c>
      <c r="AR315" s="30" t="s">
        <v>970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1195</v>
      </c>
      <c r="BC315" s="30" t="s">
        <v>1123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1194</v>
      </c>
      <c r="D316" s="30" t="s">
        <v>148</v>
      </c>
      <c r="E316" s="30" t="s">
        <v>1524</v>
      </c>
      <c r="F316" s="30" t="str">
        <f>IF(ISBLANK(Table2[[#This Row],[unique_id]]), "", PROPER(SUBSTITUTE(Table2[[#This Row],[unique_id]], "_", " ")))</f>
        <v>Host Max Availability</v>
      </c>
      <c r="G316" s="30" t="s">
        <v>1518</v>
      </c>
      <c r="H316" s="30" t="s">
        <v>1225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1192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6" s="30" t="str">
        <f>IF(ISBLANK(Table2[[#This Row],[index]]),  "", _xlfn.CONCAT("asystem/supervisor/", SUBSTITUTE(LOWER(Table2[[#This Row],[unique_id]]), "_", "/")))</f>
        <v>asystem/supervisor/host/max/availability</v>
      </c>
      <c r="AM316" s="30" t="s">
        <v>1226</v>
      </c>
      <c r="AR316" s="30" t="s">
        <v>970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1195</v>
      </c>
      <c r="BC316" s="30" t="s">
        <v>1123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1194</v>
      </c>
      <c r="D317" s="30" t="s">
        <v>148</v>
      </c>
      <c r="E317" s="30" t="s">
        <v>1473</v>
      </c>
      <c r="F317" s="30" t="str">
        <f>IF(ISBLANK(Table2[[#This Row],[unique_id]]), "", PROPER(SUBSTITUTE(Table2[[#This Row],[unique_id]], "_", " ")))</f>
        <v>Host May Availability</v>
      </c>
      <c r="G317" s="30" t="s">
        <v>1472</v>
      </c>
      <c r="H317" s="30" t="s">
        <v>1225</v>
      </c>
      <c r="I317" s="30" t="s">
        <v>291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D317" s="30" t="s">
        <v>1192</v>
      </c>
      <c r="AF317" s="30">
        <v>120</v>
      </c>
      <c r="AG317" s="31" t="s">
        <v>34</v>
      </c>
      <c r="AH317" s="31"/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7" s="30" t="str">
        <f>IF(ISBLANK(Table2[[#This Row],[index]]),  "", _xlfn.CONCAT("asystem/supervisor/", SUBSTITUTE(LOWER(Table2[[#This Row],[unique_id]]), "_", "/")))</f>
        <v>asystem/supervisor/host/may/availability</v>
      </c>
      <c r="AM317" s="30" t="s">
        <v>1226</v>
      </c>
      <c r="AR317" s="30" t="s">
        <v>970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1195</v>
      </c>
      <c r="BC317" s="30" t="s">
        <v>1123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1194</v>
      </c>
      <c r="D318" s="30" t="s">
        <v>148</v>
      </c>
      <c r="E318" s="30" t="s">
        <v>1227</v>
      </c>
      <c r="F318" s="30" t="str">
        <f>IF(ISBLANK(Table2[[#This Row],[unique_id]]), "", PROPER(SUBSTITUTE(Table2[[#This Row],[unique_id]], "_", " ")))</f>
        <v>Host Meg Availability</v>
      </c>
      <c r="G318" s="30" t="s">
        <v>1240</v>
      </c>
      <c r="H318" s="30" t="s">
        <v>1225</v>
      </c>
      <c r="I318" s="30" t="s">
        <v>291</v>
      </c>
      <c r="M318" s="30" t="s">
        <v>136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D318" s="30" t="s">
        <v>1192</v>
      </c>
      <c r="AF318" s="30">
        <v>120</v>
      </c>
      <c r="AG318" s="31" t="s">
        <v>34</v>
      </c>
      <c r="AH318" s="31"/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8" s="30" t="str">
        <f>IF(ISBLANK(Table2[[#This Row],[index]]),  "", _xlfn.CONCAT("asystem/supervisor/", SUBSTITUTE(LOWER(Table2[[#This Row],[unique_id]]), "_", "/")))</f>
        <v>asystem/supervisor/host/meg/availability</v>
      </c>
      <c r="AM318" s="30" t="s">
        <v>1226</v>
      </c>
      <c r="AR318" s="30" t="s">
        <v>970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1195</v>
      </c>
      <c r="BC318" s="30" t="s">
        <v>1123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1194</v>
      </c>
      <c r="D319" s="30" t="s">
        <v>148</v>
      </c>
      <c r="E319" s="30" t="s">
        <v>1483</v>
      </c>
      <c r="F319" s="30" t="str">
        <f>IF(ISBLANK(Table2[[#This Row],[unique_id]]), "", PROPER(SUBSTITUTE(Table2[[#This Row],[unique_id]], "_", " ")))</f>
        <v>Host Jen Availability</v>
      </c>
      <c r="G319" s="30" t="s">
        <v>1490</v>
      </c>
      <c r="H319" s="30" t="s">
        <v>1225</v>
      </c>
      <c r="I319" s="30" t="s">
        <v>291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D319" s="30" t="s">
        <v>1192</v>
      </c>
      <c r="AF319" s="30">
        <v>120</v>
      </c>
      <c r="AG319" s="31" t="s">
        <v>34</v>
      </c>
      <c r="AH319" s="31"/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9" s="30" t="str">
        <f>IF(ISBLANK(Table2[[#This Row],[index]]),  "", _xlfn.CONCAT("asystem/supervisor/", SUBSTITUTE(LOWER(Table2[[#This Row],[unique_id]]), "_", "/")))</f>
        <v>asystem/supervisor/host/jen/availability</v>
      </c>
      <c r="AM319" s="30" t="s">
        <v>1226</v>
      </c>
      <c r="AR319" s="30" t="s">
        <v>970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1195</v>
      </c>
      <c r="BC319" s="30" t="s">
        <v>1123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440</v>
      </c>
      <c r="D320" s="30" t="s">
        <v>333</v>
      </c>
      <c r="E320" s="30" t="s">
        <v>332</v>
      </c>
      <c r="F320" s="36" t="str">
        <f>IF(ISBLANK(Table2[[#This Row],[unique_id]]), "", PROPER(SUBSTITUTE(Table2[[#This Row],[unique_id]], "_", " ")))</f>
        <v>Column Break</v>
      </c>
      <c r="G320" s="30" t="s">
        <v>329</v>
      </c>
      <c r="H320" s="30" t="s">
        <v>1225</v>
      </c>
      <c r="I320" s="30" t="s">
        <v>291</v>
      </c>
      <c r="M320" s="30" t="s">
        <v>330</v>
      </c>
      <c r="N320" s="30" t="s">
        <v>331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G320" s="31"/>
      <c r="AH320" s="31"/>
      <c r="AR320" s="39"/>
      <c r="AT320" s="32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150</v>
      </c>
      <c r="D321" s="30" t="s">
        <v>606</v>
      </c>
      <c r="E321" s="30" t="s">
        <v>1362</v>
      </c>
      <c r="F321" s="36" t="str">
        <f>IF(ISBLANK(Table2[[#This Row],[unique_id]]), "", PROPER(SUBSTITUTE(Table2[[#This Row],[unique_id]], "_", " ")))</f>
        <v>Google Assistant Synchronize Devices</v>
      </c>
      <c r="G321" s="30" t="s">
        <v>1190</v>
      </c>
      <c r="H321" s="30" t="s">
        <v>607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G321" s="31"/>
      <c r="AH321" s="31"/>
      <c r="AR321" s="39"/>
      <c r="AT321" s="32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1241</v>
      </c>
      <c r="D322" s="30" t="s">
        <v>27</v>
      </c>
      <c r="E322" s="30" t="s">
        <v>1247</v>
      </c>
      <c r="F322" s="30" t="str">
        <f>IF(ISBLANK(Table2[[#This Row],[unique_id]]), "", PROPER(SUBSTITUTE(Table2[[#This Row],[unique_id]], "_", " ")))</f>
        <v>Template Utility Temperature Proxy</v>
      </c>
      <c r="G322" s="30" t="s">
        <v>1242</v>
      </c>
      <c r="H322" s="30" t="s">
        <v>1244</v>
      </c>
      <c r="I322" s="30" t="s">
        <v>291</v>
      </c>
      <c r="K322" s="30" t="s">
        <v>1173</v>
      </c>
      <c r="M322" s="30" t="s">
        <v>136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R322" s="39"/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1115</v>
      </c>
      <c r="D323" s="30" t="s">
        <v>27</v>
      </c>
      <c r="E323" s="30" t="s">
        <v>1116</v>
      </c>
      <c r="F323" s="36" t="str">
        <f>IF(ISBLANK(Table2[[#This Row],[unique_id]]), "", PROPER(SUBSTITUTE(Table2[[#This Row],[unique_id]], "_", " ")))</f>
        <v>Rack Top Temperature</v>
      </c>
      <c r="G323" s="30" t="s">
        <v>1118</v>
      </c>
      <c r="H323" s="30" t="s">
        <v>1244</v>
      </c>
      <c r="I323" s="30" t="s">
        <v>291</v>
      </c>
      <c r="K323" s="30" t="s">
        <v>1165</v>
      </c>
      <c r="O323" s="31"/>
      <c r="P323" s="30"/>
      <c r="T323" s="37"/>
      <c r="U323" s="30"/>
      <c r="V323" s="31" t="s">
        <v>1185</v>
      </c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F323" s="30">
        <v>300</v>
      </c>
      <c r="AG323" s="31" t="s">
        <v>34</v>
      </c>
      <c r="AH323" s="31"/>
      <c r="AI323" s="30" t="s">
        <v>1480</v>
      </c>
      <c r="AJ32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3" s="30" t="str">
        <f>IF(ISBLANK(Table2[[#This Row],[index]]),  "", _xlfn.CONCAT("telegraf/", Table2[[#This Row],[unique_id_device]], "/", LOWER(Table2[[#This Row],[device_via_device]])))</f>
        <v>telegraf/macmini-may/digitemp</v>
      </c>
      <c r="AR323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87</v>
      </c>
      <c r="BC323" s="30" t="s">
        <v>1119</v>
      </c>
      <c r="BD323" s="30" t="s">
        <v>1115</v>
      </c>
      <c r="BF323" s="30" t="s">
        <v>1120</v>
      </c>
      <c r="BG323" s="30" t="s">
        <v>28</v>
      </c>
      <c r="BL323" s="30" t="s">
        <v>1141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4" spans="1:66" ht="16" customHeight="1" x14ac:dyDescent="0.2">
      <c r="A324" s="30">
        <v>2542</v>
      </c>
      <c r="B324" s="30" t="s">
        <v>26</v>
      </c>
      <c r="C324" s="30" t="s">
        <v>1115</v>
      </c>
      <c r="D324" s="30" t="s">
        <v>27</v>
      </c>
      <c r="E324" s="30" t="s">
        <v>1165</v>
      </c>
      <c r="F324" s="30" t="str">
        <f>IF(ISBLANK(Table2[[#This Row],[unique_id]]), "", PROPER(SUBSTITUTE(Table2[[#This Row],[unique_id]], "_", " ")))</f>
        <v>Compensation Sensor Rack Top Temperature</v>
      </c>
      <c r="G324" s="30" t="s">
        <v>1118</v>
      </c>
      <c r="H324" s="30" t="s">
        <v>1244</v>
      </c>
      <c r="I324" s="30" t="s">
        <v>291</v>
      </c>
      <c r="J324" s="30" t="s">
        <v>87</v>
      </c>
      <c r="M324" s="30" t="s">
        <v>136</v>
      </c>
      <c r="O324" s="31"/>
      <c r="P324" s="30"/>
      <c r="T324" s="37"/>
      <c r="U324" s="30" t="s">
        <v>436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1117</v>
      </c>
      <c r="F325" s="36" t="str">
        <f>IF(ISBLANK(Table2[[#This Row],[unique_id]]), "", PROPER(SUBSTITUTE(Table2[[#This Row],[unique_id]], "_", " ")))</f>
        <v>Rack Bottom Temperature</v>
      </c>
      <c r="G325" s="30" t="s">
        <v>1124</v>
      </c>
      <c r="H325" s="30" t="s">
        <v>1244</v>
      </c>
      <c r="I325" s="30" t="s">
        <v>291</v>
      </c>
      <c r="K325" s="30" t="s">
        <v>1166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1480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1166</v>
      </c>
      <c r="F326" s="30" t="str">
        <f>IF(ISBLANK(Table2[[#This Row],[unique_id]]), "", PROPER(SUBSTITUTE(Table2[[#This Row],[unique_id]], "_", " ")))</f>
        <v>Compensation Sensor Rack Bottom Temperature</v>
      </c>
      <c r="G326" s="30" t="s">
        <v>1124</v>
      </c>
      <c r="H326" s="30" t="s">
        <v>1244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1223</v>
      </c>
      <c r="D327" s="30" t="s">
        <v>27</v>
      </c>
      <c r="E327" s="30" t="s">
        <v>1513</v>
      </c>
      <c r="F327" s="30" t="str">
        <f>IF(ISBLANK(Table2[[#This Row],[unique_id]]), "", PROPER(SUBSTITUTE(Table2[[#This Row],[unique_id]], "_", " ")))</f>
        <v>Host Mad Temperature</v>
      </c>
      <c r="G327" s="30" t="s">
        <v>1517</v>
      </c>
      <c r="H327" s="30" t="s">
        <v>1244</v>
      </c>
      <c r="I327" s="30" t="s">
        <v>291</v>
      </c>
      <c r="K327" s="30" t="s">
        <v>1514</v>
      </c>
      <c r="O327" s="31"/>
      <c r="P327" s="30"/>
      <c r="T327" s="37"/>
      <c r="U327" s="30"/>
      <c r="V327" s="31" t="s">
        <v>315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5</v>
      </c>
      <c r="AG327" s="31" t="s">
        <v>34</v>
      </c>
      <c r="AH327" s="31"/>
      <c r="AI327" s="30" t="s">
        <v>1519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7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7" s="30" t="s">
        <v>1527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1521</v>
      </c>
      <c r="BC327" s="30" t="s">
        <v>1236</v>
      </c>
      <c r="BD327" s="30" t="s">
        <v>1235</v>
      </c>
      <c r="BF327" s="30" t="s">
        <v>990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1223</v>
      </c>
      <c r="D328" s="30" t="s">
        <v>27</v>
      </c>
      <c r="E328" s="30" t="s">
        <v>1514</v>
      </c>
      <c r="F328" s="30" t="str">
        <f>IF(ISBLANK(Table2[[#This Row],[unique_id]]), "", PROPER(SUBSTITUTE(Table2[[#This Row],[unique_id]], "_", " ")))</f>
        <v>Compensation Sensor Host Mad Temperature</v>
      </c>
      <c r="G328" s="30" t="s">
        <v>1517</v>
      </c>
      <c r="H328" s="30" t="s">
        <v>1244</v>
      </c>
      <c r="I328" s="30" t="s">
        <v>291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1223</v>
      </c>
      <c r="D329" s="30" t="s">
        <v>27</v>
      </c>
      <c r="E329" s="30" t="s">
        <v>1515</v>
      </c>
      <c r="F329" s="30" t="str">
        <f>IF(ISBLANK(Table2[[#This Row],[unique_id]]), "", PROPER(SUBSTITUTE(Table2[[#This Row],[unique_id]], "_", " ")))</f>
        <v>Host Max Temperature</v>
      </c>
      <c r="G329" s="30" t="s">
        <v>1518</v>
      </c>
      <c r="H329" s="30" t="s">
        <v>1244</v>
      </c>
      <c r="I329" s="30" t="s">
        <v>291</v>
      </c>
      <c r="K329" s="30" t="s">
        <v>1516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1520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9" s="30" t="s">
        <v>1526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1522</v>
      </c>
      <c r="BC329" s="30" t="s">
        <v>1236</v>
      </c>
      <c r="BD329" s="30" t="s">
        <v>1235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1223</v>
      </c>
      <c r="D330" s="30" t="s">
        <v>27</v>
      </c>
      <c r="E330" s="30" t="s">
        <v>1516</v>
      </c>
      <c r="F330" s="30" t="str">
        <f>IF(ISBLANK(Table2[[#This Row],[unique_id]]), "", PROPER(SUBSTITUTE(Table2[[#This Row],[unique_id]], "_", " ")))</f>
        <v>Compensation Sensor Host Max Temperature</v>
      </c>
      <c r="G330" s="30" t="s">
        <v>1518</v>
      </c>
      <c r="H330" s="30" t="s">
        <v>1244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1223</v>
      </c>
      <c r="D331" s="30" t="s">
        <v>27</v>
      </c>
      <c r="E331" s="30" t="s">
        <v>1474</v>
      </c>
      <c r="F331" s="30" t="str">
        <f>IF(ISBLANK(Table2[[#This Row],[unique_id]]), "", PROPER(SUBSTITUTE(Table2[[#This Row],[unique_id]], "_", " ")))</f>
        <v>Host May Temperature</v>
      </c>
      <c r="G331" s="30" t="s">
        <v>1472</v>
      </c>
      <c r="H331" s="30" t="s">
        <v>1244</v>
      </c>
      <c r="I331" s="30" t="s">
        <v>291</v>
      </c>
      <c r="K331" s="30" t="s">
        <v>1475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1" s="30" t="s">
        <v>1525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1481</v>
      </c>
      <c r="BC331" s="30" t="s">
        <v>1236</v>
      </c>
      <c r="BD331" s="30" t="s">
        <v>1235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1223</v>
      </c>
      <c r="D332" s="30" t="s">
        <v>27</v>
      </c>
      <c r="E332" s="30" t="s">
        <v>1475</v>
      </c>
      <c r="F332" s="30" t="str">
        <f>IF(ISBLANK(Table2[[#This Row],[unique_id]]), "", PROPER(SUBSTITUTE(Table2[[#This Row],[unique_id]], "_", " ")))</f>
        <v>Compensation Sensor Host May Temperature</v>
      </c>
      <c r="G332" s="30" t="s">
        <v>1472</v>
      </c>
      <c r="H332" s="30" t="s">
        <v>1244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1223</v>
      </c>
      <c r="D333" s="30" t="s">
        <v>27</v>
      </c>
      <c r="E333" s="30" t="s">
        <v>1234</v>
      </c>
      <c r="F333" s="30" t="str">
        <f>IF(ISBLANK(Table2[[#This Row],[unique_id]]), "", PROPER(SUBSTITUTE(Table2[[#This Row],[unique_id]], "_", " ")))</f>
        <v>Host Meg Temperature</v>
      </c>
      <c r="G333" s="30" t="s">
        <v>1240</v>
      </c>
      <c r="H333" s="30" t="s">
        <v>1244</v>
      </c>
      <c r="I333" s="30" t="s">
        <v>291</v>
      </c>
      <c r="K333" s="30" t="s">
        <v>1239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1142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3" s="30" t="s">
        <v>1238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1365</v>
      </c>
      <c r="BC333" s="30" t="s">
        <v>1236</v>
      </c>
      <c r="BD333" s="30" t="s">
        <v>1235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1223</v>
      </c>
      <c r="D334" s="30" t="s">
        <v>27</v>
      </c>
      <c r="E334" s="30" t="s">
        <v>1239</v>
      </c>
      <c r="F334" s="30" t="str">
        <f>IF(ISBLANK(Table2[[#This Row],[unique_id]]), "", PROPER(SUBSTITUTE(Table2[[#This Row],[unique_id]], "_", " ")))</f>
        <v>Compensation Sensor Host Meg Temperature</v>
      </c>
      <c r="G334" s="30" t="s">
        <v>1240</v>
      </c>
      <c r="H334" s="30" t="s">
        <v>1244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1241</v>
      </c>
      <c r="D335" s="30" t="s">
        <v>27</v>
      </c>
      <c r="E335" s="30" t="s">
        <v>1249</v>
      </c>
      <c r="F335" s="30" t="str">
        <f>IF(ISBLANK(Table2[[#This Row],[unique_id]]), "", PROPER(SUBSTITUTE(Table2[[#This Row],[unique_id]], "_", " ")))</f>
        <v>Template Deck Festoons Plug Temperature Proxy</v>
      </c>
      <c r="G335" s="30" t="s">
        <v>1246</v>
      </c>
      <c r="H335" s="30" t="s">
        <v>1245</v>
      </c>
      <c r="I335" s="30" t="s">
        <v>291</v>
      </c>
      <c r="K335" s="30" t="s">
        <v>1164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1241</v>
      </c>
      <c r="D336" s="30" t="s">
        <v>27</v>
      </c>
      <c r="E336" s="30" t="s">
        <v>1248</v>
      </c>
      <c r="F336" s="30" t="str">
        <f>IF(ISBLANK(Table2[[#This Row],[unique_id]]), "", PROPER(SUBSTITUTE(Table2[[#This Row],[unique_id]], "_", " ")))</f>
        <v>Template Wardrobe Temperature Proxy</v>
      </c>
      <c r="G336" s="30" t="s">
        <v>1458</v>
      </c>
      <c r="H336" s="30" t="s">
        <v>1243</v>
      </c>
      <c r="I336" s="30" t="s">
        <v>291</v>
      </c>
      <c r="K336" s="30" t="s">
        <v>1170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1223</v>
      </c>
      <c r="D337" s="30" t="s">
        <v>27</v>
      </c>
      <c r="E337" s="30" t="s">
        <v>1489</v>
      </c>
      <c r="F337" s="30" t="str">
        <f>IF(ISBLANK(Table2[[#This Row],[unique_id]]), "", PROPER(SUBSTITUTE(Table2[[#This Row],[unique_id]], "_", " ")))</f>
        <v>Host Jen Temperature</v>
      </c>
      <c r="G337" s="30" t="s">
        <v>1490</v>
      </c>
      <c r="H337" s="30" t="s">
        <v>1243</v>
      </c>
      <c r="I337" s="30" t="s">
        <v>291</v>
      </c>
      <c r="K337" s="30" t="s">
        <v>1484</v>
      </c>
      <c r="O337" s="31"/>
      <c r="P337" s="30"/>
      <c r="T337" s="37"/>
      <c r="U337" s="30"/>
      <c r="V337" s="31" t="s">
        <v>315</v>
      </c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F337" s="30">
        <v>5</v>
      </c>
      <c r="AG337" s="31" t="s">
        <v>34</v>
      </c>
      <c r="AH337" s="31"/>
      <c r="AI337" s="30" t="s">
        <v>1485</v>
      </c>
      <c r="AJ33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7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7" s="30" t="s">
        <v>1486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1491</v>
      </c>
      <c r="BC337" s="30" t="s">
        <v>1236</v>
      </c>
      <c r="BD337" s="30" t="s">
        <v>1235</v>
      </c>
      <c r="BF337" s="30" t="s">
        <v>990</v>
      </c>
      <c r="BG337" s="30" t="s">
        <v>495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1223</v>
      </c>
      <c r="D338" s="30" t="s">
        <v>27</v>
      </c>
      <c r="E338" s="30" t="s">
        <v>1484</v>
      </c>
      <c r="F338" s="30" t="str">
        <f>IF(ISBLANK(Table2[[#This Row],[unique_id]]), "", PROPER(SUBSTITUTE(Table2[[#This Row],[unique_id]], "_", " ")))</f>
        <v>Compensation Sensor Host Jen Temperature</v>
      </c>
      <c r="G338" s="30" t="s">
        <v>1490</v>
      </c>
      <c r="H338" s="30" t="s">
        <v>1243</v>
      </c>
      <c r="I338" s="30" t="s">
        <v>291</v>
      </c>
      <c r="M338" s="30" t="s">
        <v>136</v>
      </c>
      <c r="O338" s="31"/>
      <c r="P338" s="30"/>
      <c r="T338" s="37"/>
      <c r="U338" s="30" t="s">
        <v>436</v>
      </c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G338" s="30" t="s">
        <v>495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622</v>
      </c>
      <c r="D339" s="30" t="s">
        <v>27</v>
      </c>
      <c r="E339" s="30" t="s">
        <v>660</v>
      </c>
      <c r="F339" s="36" t="str">
        <f>IF(ISBLANK(Table2[[#This Row],[unique_id]]), "", PROPER(SUBSTITUTE(Table2[[#This Row],[unique_id]], "_", " ")))</f>
        <v>Back Door Lock Battery</v>
      </c>
      <c r="G339" s="30" t="s">
        <v>646</v>
      </c>
      <c r="H339" s="30" t="s">
        <v>1189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622</v>
      </c>
      <c r="D340" s="30" t="s">
        <v>27</v>
      </c>
      <c r="E340" s="30" t="s">
        <v>661</v>
      </c>
      <c r="F340" s="36" t="str">
        <f>IF(ISBLANK(Table2[[#This Row],[unique_id]]), "", PROPER(SUBSTITUTE(Table2[[#This Row],[unique_id]], "_", " ")))</f>
        <v>Front Door Lock Battery</v>
      </c>
      <c r="G340" s="30" t="s">
        <v>645</v>
      </c>
      <c r="H340" s="30" t="s">
        <v>1189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334</v>
      </c>
      <c r="D341" s="30" t="s">
        <v>27</v>
      </c>
      <c r="E341" s="30" t="s">
        <v>663</v>
      </c>
      <c r="F341" s="36" t="str">
        <f>IF(ISBLANK(Table2[[#This Row],[unique_id]]), "", PROPER(SUBSTITUTE(Table2[[#This Row],[unique_id]], "_", " ")))</f>
        <v>Template Back Door Sensor Battery Last</v>
      </c>
      <c r="G341" s="30" t="s">
        <v>648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334</v>
      </c>
      <c r="D342" s="30" t="s">
        <v>27</v>
      </c>
      <c r="E342" s="30" t="s">
        <v>662</v>
      </c>
      <c r="F342" s="36" t="str">
        <f>IF(ISBLANK(Table2[[#This Row],[unique_id]]), "", PROPER(SUBSTITUTE(Table2[[#This Row],[unique_id]], "_", " ")))</f>
        <v>Template Front Door Sensor Battery Last</v>
      </c>
      <c r="G342" s="30" t="s">
        <v>647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579</v>
      </c>
      <c r="C343" s="30" t="s">
        <v>457</v>
      </c>
      <c r="D343" s="30" t="s">
        <v>27</v>
      </c>
      <c r="E343" s="30" t="s">
        <v>485</v>
      </c>
      <c r="F343" s="36" t="str">
        <f>IF(ISBLANK(Table2[[#This Row],[unique_id]]), "", PROPER(SUBSTITUTE(Table2[[#This Row],[unique_id]], "_", " ")))</f>
        <v>Home Cube Remote Battery</v>
      </c>
      <c r="G343" s="30" t="s">
        <v>465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s="49" customFormat="1" ht="16" customHeight="1" x14ac:dyDescent="0.2">
      <c r="A344" s="30">
        <v>2562</v>
      </c>
      <c r="B344" s="49" t="s">
        <v>26</v>
      </c>
      <c r="C344" s="49" t="s">
        <v>150</v>
      </c>
      <c r="D344" s="49" t="s">
        <v>27</v>
      </c>
      <c r="E344" s="49" t="s">
        <v>657</v>
      </c>
      <c r="F344" s="50" t="str">
        <f>IF(ISBLANK(Table2[[#This Row],[unique_id]]), "", PROPER(SUBSTITUTE(Table2[[#This Row],[unique_id]], "_", " ")))</f>
        <v>Template Weatherstation Console Battery Percent Int</v>
      </c>
      <c r="G344" s="49" t="s">
        <v>655</v>
      </c>
      <c r="H344" s="49" t="s">
        <v>1189</v>
      </c>
      <c r="I344" s="49" t="s">
        <v>291</v>
      </c>
      <c r="M344" s="49" t="s">
        <v>136</v>
      </c>
      <c r="O344" s="51"/>
      <c r="T344" s="52"/>
      <c r="V344" s="51"/>
      <c r="W344" s="51"/>
      <c r="X344" s="51"/>
      <c r="Y344" s="51"/>
      <c r="Z344" s="51"/>
      <c r="AA344" s="51"/>
      <c r="AB344" s="49" t="s">
        <v>31</v>
      </c>
      <c r="AC344" s="49" t="s">
        <v>32</v>
      </c>
      <c r="AD344" s="49" t="s">
        <v>656</v>
      </c>
      <c r="AG344" s="51"/>
      <c r="AH344" s="51"/>
      <c r="AR344" s="53"/>
      <c r="AT344" s="54"/>
      <c r="AU344" s="51"/>
      <c r="AV344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49" t="str">
        <f>IF(ISBLANK(Table2[[#This Row],[device_model]]), "", Table2[[#This Row],[device_suggested_area]])</f>
        <v/>
      </c>
      <c r="BF344" s="51"/>
      <c r="BN344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s="49" customFormat="1" ht="16" customHeight="1" x14ac:dyDescent="0.2">
      <c r="A345" s="30">
        <v>2563</v>
      </c>
      <c r="B345" s="49" t="s">
        <v>26</v>
      </c>
      <c r="C345" s="49" t="s">
        <v>39</v>
      </c>
      <c r="D345" s="49" t="s">
        <v>27</v>
      </c>
      <c r="E345" s="49" t="s">
        <v>170</v>
      </c>
      <c r="F345" s="50" t="str">
        <f>IF(ISBLANK(Table2[[#This Row],[unique_id]]), "", PROPER(SUBSTITUTE(Table2[[#This Row],[unique_id]], "_", " ")))</f>
        <v>Weatherstation Console Battery Voltage</v>
      </c>
      <c r="G345" s="49" t="s">
        <v>464</v>
      </c>
      <c r="H345" s="49" t="s">
        <v>1189</v>
      </c>
      <c r="I345" s="49" t="s">
        <v>291</v>
      </c>
      <c r="O345" s="51"/>
      <c r="T345" s="52"/>
      <c r="V345" s="51" t="s">
        <v>1258</v>
      </c>
      <c r="W345" s="51"/>
      <c r="X345" s="51"/>
      <c r="Y345" s="51"/>
      <c r="Z345" s="51"/>
      <c r="AA345" s="51"/>
      <c r="AB345" s="49" t="s">
        <v>31</v>
      </c>
      <c r="AC345" s="49" t="s">
        <v>83</v>
      </c>
      <c r="AD345" s="49" t="s">
        <v>84</v>
      </c>
      <c r="AE345" s="49" t="s">
        <v>272</v>
      </c>
      <c r="AF345" s="49">
        <v>300</v>
      </c>
      <c r="AG345" s="51" t="s">
        <v>34</v>
      </c>
      <c r="AH345" s="51"/>
      <c r="AI345" s="49" t="s">
        <v>85</v>
      </c>
      <c r="AJ345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5" s="49" t="str">
        <f>IF(ISBLANK(Table2[[#This Row],[index]]),  "", _xlfn.CONCAT(LOWER(Table2[[#This Row],[device_via_device]]), "/", Table2[[#This Row],[unique_id]]))</f>
        <v>weewx/weatherstation_console_battery_voltage</v>
      </c>
      <c r="AR345" s="53" t="s">
        <v>1187</v>
      </c>
      <c r="AS345" s="49">
        <v>1</v>
      </c>
      <c r="AT345" s="54"/>
      <c r="AV345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5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5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5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49" t="str">
        <f>IF(ISBLANK(Table2[[#This Row],[device_model]]), "", Table2[[#This Row],[device_suggested_area]])</f>
        <v>Wardrobe</v>
      </c>
      <c r="BB345" s="49" t="s">
        <v>1256</v>
      </c>
      <c r="BC345" s="49" t="s">
        <v>36</v>
      </c>
      <c r="BD345" s="49" t="s">
        <v>37</v>
      </c>
      <c r="BF345" s="49" t="s">
        <v>1064</v>
      </c>
      <c r="BG345" s="49" t="s">
        <v>495</v>
      </c>
      <c r="BN345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128</v>
      </c>
      <c r="D346" s="30" t="s">
        <v>27</v>
      </c>
      <c r="E346" s="39" t="s">
        <v>1391</v>
      </c>
      <c r="F346" s="36" t="str">
        <f>IF(ISBLANK(Table2[[#This Row],[unique_id]]), "", PROPER(SUBSTITUTE(Table2[[#This Row],[unique_id]], "_", " ")))</f>
        <v>Office Pantry Battery</v>
      </c>
      <c r="G346" s="30" t="s">
        <v>458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Pantry</v>
      </c>
      <c r="BB346" s="30" t="s">
        <v>992</v>
      </c>
      <c r="BC346" s="30" t="s">
        <v>994</v>
      </c>
      <c r="BD346" s="30" t="s">
        <v>128</v>
      </c>
      <c r="BF346" s="30" t="s">
        <v>424</v>
      </c>
      <c r="BG346" s="30" t="s">
        <v>211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128</v>
      </c>
      <c r="D347" s="30" t="s">
        <v>27</v>
      </c>
      <c r="E347" s="39" t="s">
        <v>1392</v>
      </c>
      <c r="F347" s="36" t="str">
        <f>IF(ISBLANK(Table2[[#This Row],[unique_id]]), "", PROPER(SUBSTITUTE(Table2[[#This Row],[unique_id]], "_", " ")))</f>
        <v>Office Lounge Battery</v>
      </c>
      <c r="G347" s="30" t="s">
        <v>459</v>
      </c>
      <c r="H347" s="30" t="s">
        <v>1189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Lounge</v>
      </c>
      <c r="BB347" s="30" t="s">
        <v>992</v>
      </c>
      <c r="BC347" s="30" t="s">
        <v>994</v>
      </c>
      <c r="BD347" s="30" t="s">
        <v>128</v>
      </c>
      <c r="BF347" s="30" t="s">
        <v>424</v>
      </c>
      <c r="BG347" s="30" t="s">
        <v>194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1393</v>
      </c>
      <c r="F348" s="36" t="str">
        <f>IF(ISBLANK(Table2[[#This Row],[unique_id]]), "", PROPER(SUBSTITUTE(Table2[[#This Row],[unique_id]], "_", " ")))</f>
        <v>Office Dining Battery</v>
      </c>
      <c r="G348" s="30" t="s">
        <v>460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Dining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193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1394</v>
      </c>
      <c r="F349" s="36" t="str">
        <f>IF(ISBLANK(Table2[[#This Row],[unique_id]]), "", PROPER(SUBSTITUTE(Table2[[#This Row],[unique_id]], "_", " ")))</f>
        <v>Office Basement Battery</v>
      </c>
      <c r="G349" s="30" t="s">
        <v>461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Basement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210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182</v>
      </c>
      <c r="D350" s="30" t="s">
        <v>27</v>
      </c>
      <c r="E350" s="30" t="s">
        <v>736</v>
      </c>
      <c r="F350" s="36" t="str">
        <f>IF(ISBLANK(Table2[[#This Row],[unique_id]]), "", PROPER(SUBSTITUTE(Table2[[#This Row],[unique_id]], "_", " ")))</f>
        <v>Parents Move Battery</v>
      </c>
      <c r="G350" s="30" t="s">
        <v>462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182</v>
      </c>
      <c r="D351" s="30" t="s">
        <v>27</v>
      </c>
      <c r="E351" s="30" t="s">
        <v>735</v>
      </c>
      <c r="F351" s="36" t="str">
        <f>IF(ISBLANK(Table2[[#This Row],[unique_id]]), "", PROPER(SUBSTITUTE(Table2[[#This Row],[unique_id]], "_", " ")))</f>
        <v>Kitchen Move Battery</v>
      </c>
      <c r="G351" s="30" t="s">
        <v>463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440</v>
      </c>
      <c r="D352" s="30" t="s">
        <v>333</v>
      </c>
      <c r="E352" s="30" t="s">
        <v>332</v>
      </c>
      <c r="F352" s="36" t="str">
        <f>IF(ISBLANK(Table2[[#This Row],[unique_id]]), "", PROPER(SUBSTITUTE(Table2[[#This Row],[unique_id]], "_", " ")))</f>
        <v>Column Break</v>
      </c>
      <c r="G352" s="30" t="s">
        <v>329</v>
      </c>
      <c r="H352" s="30" t="s">
        <v>1189</v>
      </c>
      <c r="I352" s="30" t="s">
        <v>291</v>
      </c>
      <c r="M352" s="30" t="s">
        <v>330</v>
      </c>
      <c r="N352" s="30" t="s">
        <v>331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R352" s="39"/>
      <c r="AT352" s="32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777</v>
      </c>
      <c r="D353" s="30" t="s">
        <v>27</v>
      </c>
      <c r="E353" s="30" t="s">
        <v>828</v>
      </c>
      <c r="F353" s="36" t="str">
        <f>IF(ISBLANK(Table2[[#This Row],[unique_id]]), "", PROPER(SUBSTITUTE(Table2[[#This Row],[unique_id]], "_", " ")))</f>
        <v>All Standby</v>
      </c>
      <c r="G353" s="30" t="s">
        <v>829</v>
      </c>
      <c r="H353" s="30" t="s">
        <v>526</v>
      </c>
      <c r="I353" s="30" t="s">
        <v>291</v>
      </c>
      <c r="O353" s="31" t="s">
        <v>788</v>
      </c>
      <c r="P353" s="30"/>
      <c r="R353" s="41"/>
      <c r="T353" s="37" t="s">
        <v>827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695</v>
      </c>
      <c r="D354" s="30" t="s">
        <v>134</v>
      </c>
      <c r="E354" s="30" t="s">
        <v>1528</v>
      </c>
      <c r="F354" s="36" t="str">
        <f>IF(ISBLANK(Table2[[#This Row],[unique_id]]), "", PROPER(SUBSTITUTE(Table2[[#This Row],[unique_id]], "_", " ")))</f>
        <v>Rack Printer Plug</v>
      </c>
      <c r="G354" s="30" t="s">
        <v>1543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/>
      <c r="T354" s="37" t="s">
        <v>971</v>
      </c>
      <c r="U354" s="30"/>
      <c r="V354" s="31"/>
      <c r="W354" s="31"/>
      <c r="X354" s="31"/>
      <c r="Y354" s="31"/>
      <c r="Z354" s="31"/>
      <c r="AA354" s="31" t="s">
        <v>1109</v>
      </c>
      <c r="AB354" s="30"/>
      <c r="AC354" s="30"/>
      <c r="AE354" s="30" t="s">
        <v>1529</v>
      </c>
      <c r="AF354" s="30">
        <v>10</v>
      </c>
      <c r="AG354" s="31" t="s">
        <v>34</v>
      </c>
      <c r="AH354" s="31" t="s">
        <v>897</v>
      </c>
      <c r="AJ354" s="30" t="str">
        <f>_xlfn.CONCAT("homeassistant/", Table2[[#This Row],[entity_namespace]], "/tasmota/",Table2[[#This Row],[unique_id]], "/config")</f>
        <v>homeassistant/switch/tasmota/rack_printer_plug/config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4" s="30" t="str">
        <f>_xlfn.CONCAT("tasmota/device/",Table2[[#This Row],[unique_id]], "/cmnd/POWER")</f>
        <v>tasmota/device/rack_printer_plug/cmnd/POWER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4" s="30" t="s">
        <v>916</v>
      </c>
      <c r="AO354" s="30" t="s">
        <v>917</v>
      </c>
      <c r="AP354" s="30" t="s">
        <v>906</v>
      </c>
      <c r="AQ354" s="30" t="s">
        <v>907</v>
      </c>
      <c r="AR354" s="30" t="s">
        <v>970</v>
      </c>
      <c r="AS354" s="30">
        <v>1</v>
      </c>
      <c r="AT354" s="34" t="str">
        <f>HYPERLINK(_xlfn.CONCAT("http://", Table2[[#This Row],[connection_ip]], "/?"))</f>
        <v>http://10.0.4.111/?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382</v>
      </c>
      <c r="BC354" s="39" t="s">
        <v>767</v>
      </c>
      <c r="BD354" s="30" t="s">
        <v>1110</v>
      </c>
      <c r="BF354" s="30" t="s">
        <v>887</v>
      </c>
      <c r="BG354" s="30" t="s">
        <v>28</v>
      </c>
      <c r="BK354" s="30" t="s">
        <v>1296</v>
      </c>
      <c r="BL354" s="30" t="s">
        <v>1548</v>
      </c>
      <c r="BM354" s="30" t="s">
        <v>1544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5" spans="1:66" ht="16" customHeight="1" x14ac:dyDescent="0.2">
      <c r="A355" s="30">
        <v>2573</v>
      </c>
      <c r="B355" s="30" t="s">
        <v>26</v>
      </c>
      <c r="C355" s="30" t="s">
        <v>695</v>
      </c>
      <c r="D355" s="30" t="s">
        <v>134</v>
      </c>
      <c r="E355" s="30" t="s">
        <v>1538</v>
      </c>
      <c r="F355" s="36" t="str">
        <f>IF(ISBLANK(Table2[[#This Row],[unique_id]]), "", PROPER(SUBSTITUTE(Table2[[#This Row],[unique_id]], "_", " ")))</f>
        <v>Rack Screen Plug</v>
      </c>
      <c r="G355" s="30" t="s">
        <v>1531</v>
      </c>
      <c r="H355" s="30" t="s">
        <v>526</v>
      </c>
      <c r="I355" s="30" t="s">
        <v>291</v>
      </c>
      <c r="M355" s="30" t="s">
        <v>257</v>
      </c>
      <c r="O355" s="31" t="s">
        <v>788</v>
      </c>
      <c r="P355" s="30"/>
      <c r="T355" s="37" t="s">
        <v>971</v>
      </c>
      <c r="U355" s="30"/>
      <c r="V355" s="31"/>
      <c r="W355" s="31"/>
      <c r="X355" s="31"/>
      <c r="Y355" s="31"/>
      <c r="Z355" s="31"/>
      <c r="AA355" s="31" t="s">
        <v>1109</v>
      </c>
      <c r="AB355" s="30"/>
      <c r="AC355" s="30"/>
      <c r="AE355" s="30" t="s">
        <v>1532</v>
      </c>
      <c r="AF355" s="30">
        <v>10</v>
      </c>
      <c r="AG355" s="31" t="s">
        <v>34</v>
      </c>
      <c r="AH355" s="31" t="s">
        <v>897</v>
      </c>
      <c r="AJ355" s="30" t="str">
        <f>_xlfn.CONCAT("homeassistant/", Table2[[#This Row],[entity_namespace]], "/tasmota/",Table2[[#This Row],[unique_id]], "/config")</f>
        <v>homeassistant/switch/tasmota/rack_screen_plug/config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5" s="30" t="str">
        <f>_xlfn.CONCAT("tasmota/device/",Table2[[#This Row],[unique_id]], "/cmnd/POWER")</f>
        <v>tasmota/device/rack_screen_plug/cmnd/POWER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5" s="30" t="s">
        <v>916</v>
      </c>
      <c r="AO355" s="30" t="s">
        <v>917</v>
      </c>
      <c r="AP355" s="30" t="s">
        <v>906</v>
      </c>
      <c r="AQ355" s="30" t="s">
        <v>907</v>
      </c>
      <c r="AR355" s="30" t="s">
        <v>970</v>
      </c>
      <c r="AS355" s="30">
        <v>1</v>
      </c>
      <c r="AT355" s="34" t="str">
        <f>HYPERLINK(_xlfn.CONCAT("http://", Table2[[#This Row],[connection_ip]], "/?"))</f>
        <v>http://10.0.4.109/?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1535</v>
      </c>
      <c r="BC355" s="39" t="s">
        <v>767</v>
      </c>
      <c r="BD355" s="30" t="s">
        <v>1110</v>
      </c>
      <c r="BF355" s="30" t="s">
        <v>887</v>
      </c>
      <c r="BG355" s="30" t="s">
        <v>28</v>
      </c>
      <c r="BK355" s="30" t="s">
        <v>1296</v>
      </c>
      <c r="BL355" s="30" t="s">
        <v>1540</v>
      </c>
      <c r="BM355" s="30" t="s">
        <v>1536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1505</v>
      </c>
      <c r="F356" s="36" t="str">
        <f>IF(ISBLANK(Table2[[#This Row],[unique_id]]), "", PROPER(SUBSTITUTE(Table2[[#This Row],[unique_id]], "_", " ")))</f>
        <v>Rack Backup Plug</v>
      </c>
      <c r="G356" s="30" t="s">
        <v>1530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1533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homeassistant/switch/tasmota/rack_backup_plug/config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6" s="30" t="str">
        <f>_xlfn.CONCAT("tasmota/device/",Table2[[#This Row],[unique_id]], "/cmnd/POWER")</f>
        <v>tasmota/device/rack_backup_plug/cmnd/POWER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http://10.0.4.110/?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1534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1296</v>
      </c>
      <c r="BL356" s="30" t="s">
        <v>1539</v>
      </c>
      <c r="BM356" s="30" t="s">
        <v>1537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888</v>
      </c>
      <c r="F357" s="36" t="str">
        <f>IF(ISBLANK(Table2[[#This Row],[unique_id]]), "", PROPER(SUBSTITUTE(Table2[[#This Row],[unique_id]], "_", " ")))</f>
        <v>Rack Fans Plug</v>
      </c>
      <c r="G357" s="30" t="s">
        <v>588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590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homeassistant/switch/tasmota/rack_fans_plug/config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7" s="30" t="str">
        <f>_xlfn.CONCAT("tasmota/device/",Table2[[#This Row],[unique_id]], "/cmnd/POWER")</f>
        <v>tasmota/device/rack_fans_plug/cmnd/POWER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http://10.0.4.101/?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131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1296</v>
      </c>
      <c r="BL357" s="30" t="s">
        <v>589</v>
      </c>
      <c r="BM357" s="30" t="s">
        <v>1350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8" spans="1:66" ht="16" customHeight="1" x14ac:dyDescent="0.2">
      <c r="A358" s="30">
        <v>2576</v>
      </c>
      <c r="B358" s="30" t="s">
        <v>26</v>
      </c>
      <c r="C358" s="30" t="s">
        <v>808</v>
      </c>
      <c r="D358" s="30" t="s">
        <v>148</v>
      </c>
      <c r="E358" s="37" t="s">
        <v>1071</v>
      </c>
      <c r="F358" s="36" t="str">
        <f>IF(ISBLANK(Table2[[#This Row],[unique_id]]), "", PROPER(SUBSTITUTE(Table2[[#This Row],[unique_id]], "_", " ")))</f>
        <v>Template Lounge Tv Plug Proxy</v>
      </c>
      <c r="G358" s="30" t="s">
        <v>180</v>
      </c>
      <c r="H358" s="30" t="s">
        <v>526</v>
      </c>
      <c r="I358" s="30" t="s">
        <v>291</v>
      </c>
      <c r="O358" s="31" t="s">
        <v>788</v>
      </c>
      <c r="P358" s="30" t="s">
        <v>165</v>
      </c>
      <c r="Q358" s="30" t="s">
        <v>760</v>
      </c>
      <c r="R358" s="41" t="s">
        <v>745</v>
      </c>
      <c r="S358" s="30" t="str">
        <f>Table2[[#This Row],[friendly_name]]</f>
        <v>Lounge TV</v>
      </c>
      <c r="T358" s="37" t="s">
        <v>1068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R358" s="39"/>
      <c r="AT358" s="32"/>
      <c r="AU358" s="30" t="s">
        <v>134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Lounge</v>
      </c>
      <c r="BB358" s="30" t="s">
        <v>981</v>
      </c>
      <c r="BC358" s="30" t="s">
        <v>359</v>
      </c>
      <c r="BD358" s="30" t="s">
        <v>233</v>
      </c>
      <c r="BF358" s="30" t="s">
        <v>362</v>
      </c>
      <c r="BG358" s="30" t="s">
        <v>194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233</v>
      </c>
      <c r="D359" s="30" t="s">
        <v>134</v>
      </c>
      <c r="E359" s="30" t="s">
        <v>1070</v>
      </c>
      <c r="F359" s="36" t="str">
        <f>IF(ISBLANK(Table2[[#This Row],[unique_id]]), "", PROPER(SUBSTITUTE(Table2[[#This Row],[unique_id]], "_", " ")))</f>
        <v>Lounge Tv Plug</v>
      </c>
      <c r="G359" s="30" t="s">
        <v>180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 t="s">
        <v>165</v>
      </c>
      <c r="Q359" s="30" t="s">
        <v>760</v>
      </c>
      <c r="R359" s="41" t="s">
        <v>745</v>
      </c>
      <c r="S359" s="30" t="str">
        <f>Table2[[#This Row],[friendly_name]]</f>
        <v>Lounge TV</v>
      </c>
      <c r="T35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250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Lounge</v>
      </c>
      <c r="BB359" s="30" t="s">
        <v>981</v>
      </c>
      <c r="BC359" s="30" t="s">
        <v>359</v>
      </c>
      <c r="BD359" s="30" t="s">
        <v>233</v>
      </c>
      <c r="BF359" s="30" t="s">
        <v>362</v>
      </c>
      <c r="BG359" s="30" t="s">
        <v>194</v>
      </c>
      <c r="BJ359" s="30" t="s">
        <v>978</v>
      </c>
      <c r="BK359" s="30" t="s">
        <v>1296</v>
      </c>
      <c r="BL359" s="30" t="s">
        <v>349</v>
      </c>
      <c r="BM359" s="30" t="s">
        <v>1330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0" spans="1:66" s="55" customFormat="1" ht="16" customHeight="1" x14ac:dyDescent="0.2">
      <c r="A360" s="30">
        <v>2578</v>
      </c>
      <c r="B360" s="55" t="s">
        <v>579</v>
      </c>
      <c r="C360" s="55" t="s">
        <v>808</v>
      </c>
      <c r="D360" s="55" t="s">
        <v>148</v>
      </c>
      <c r="E360" s="56" t="s">
        <v>1434</v>
      </c>
      <c r="F360" s="57" t="str">
        <f>IF(ISBLANK(Table2[[#This Row],[unique_id]]), "", PROPER(SUBSTITUTE(Table2[[#This Row],[unique_id]], "_", " ")))</f>
        <v>Broken Template Lounge Sub Plug Proxy</v>
      </c>
      <c r="G360" s="55" t="s">
        <v>792</v>
      </c>
      <c r="H360" s="55" t="s">
        <v>526</v>
      </c>
      <c r="I360" s="55" t="s">
        <v>291</v>
      </c>
      <c r="O360" s="58" t="s">
        <v>788</v>
      </c>
      <c r="P360" s="55" t="s">
        <v>165</v>
      </c>
      <c r="Q360" s="55" t="s">
        <v>760</v>
      </c>
      <c r="R360" s="61" t="s">
        <v>745</v>
      </c>
      <c r="S360" s="55" t="str">
        <f>Table2[[#This Row],[friendly_name]]</f>
        <v>Lounge Sub</v>
      </c>
      <c r="T360" s="56" t="s">
        <v>1068</v>
      </c>
      <c r="V360" s="58"/>
      <c r="W360" s="58"/>
      <c r="X360" s="58"/>
      <c r="Y360" s="58"/>
      <c r="Z360" s="58"/>
      <c r="AA360" s="58"/>
      <c r="AG360" s="58"/>
      <c r="AH360" s="58"/>
      <c r="AR360" s="60"/>
      <c r="AT360" s="62"/>
      <c r="AU360" s="55" t="s">
        <v>134</v>
      </c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Lounge</v>
      </c>
      <c r="BB360" s="55" t="s">
        <v>1021</v>
      </c>
      <c r="BC360" s="60" t="s">
        <v>360</v>
      </c>
      <c r="BD360" s="55" t="s">
        <v>233</v>
      </c>
      <c r="BF360" s="55" t="s">
        <v>361</v>
      </c>
      <c r="BG360" s="55" t="s">
        <v>194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5" customFormat="1" ht="16" customHeight="1" x14ac:dyDescent="0.2">
      <c r="A361" s="30">
        <v>2579</v>
      </c>
      <c r="B361" s="55" t="s">
        <v>579</v>
      </c>
      <c r="C361" s="55" t="s">
        <v>233</v>
      </c>
      <c r="D361" s="55" t="s">
        <v>134</v>
      </c>
      <c r="E361" s="55" t="s">
        <v>1435</v>
      </c>
      <c r="F361" s="57" t="str">
        <f>IF(ISBLANK(Table2[[#This Row],[unique_id]]), "", PROPER(SUBSTITUTE(Table2[[#This Row],[unique_id]], "_", " ")))</f>
        <v>Broken Lounge Sub Plug</v>
      </c>
      <c r="G361" s="55" t="s">
        <v>792</v>
      </c>
      <c r="H361" s="55" t="s">
        <v>526</v>
      </c>
      <c r="I361" s="55" t="s">
        <v>291</v>
      </c>
      <c r="M361" s="55" t="s">
        <v>257</v>
      </c>
      <c r="O361" s="58" t="s">
        <v>788</v>
      </c>
      <c r="P361" s="55" t="s">
        <v>165</v>
      </c>
      <c r="Q361" s="55" t="s">
        <v>760</v>
      </c>
      <c r="R361" s="61" t="s">
        <v>745</v>
      </c>
      <c r="S361" s="55" t="str">
        <f>Table2[[#This Row],[friendly_name]]</f>
        <v>Lounge Sub</v>
      </c>
      <c r="T361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1" s="58"/>
      <c r="W361" s="58"/>
      <c r="X361" s="58"/>
      <c r="Y361" s="58"/>
      <c r="Z361" s="58"/>
      <c r="AA361" s="58"/>
      <c r="AE361" s="55" t="s">
        <v>793</v>
      </c>
      <c r="AG361" s="58"/>
      <c r="AH361" s="58"/>
      <c r="AT361" s="59"/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Lounge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194</v>
      </c>
      <c r="BJ361" s="55" t="s">
        <v>977</v>
      </c>
      <c r="BK361" s="55" t="s">
        <v>1296</v>
      </c>
      <c r="BL361" s="55" t="s">
        <v>340</v>
      </c>
      <c r="BM361" s="55" t="s">
        <v>1331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2" spans="1:66" s="55" customFormat="1" ht="16" customHeight="1" x14ac:dyDescent="0.2">
      <c r="A362" s="30">
        <v>2580</v>
      </c>
      <c r="B362" s="55" t="s">
        <v>579</v>
      </c>
      <c r="C362" s="55" t="s">
        <v>808</v>
      </c>
      <c r="D362" s="55" t="s">
        <v>148</v>
      </c>
      <c r="E362" s="56" t="s">
        <v>1436</v>
      </c>
      <c r="F362" s="57" t="str">
        <f>IF(ISBLANK(Table2[[#This Row],[unique_id]]), "", PROPER(SUBSTITUTE(Table2[[#This Row],[unique_id]], "_", " ")))</f>
        <v>Broken Template Study Outlet Plug Proxy</v>
      </c>
      <c r="G362" s="55" t="s">
        <v>226</v>
      </c>
      <c r="H362" s="55" t="s">
        <v>526</v>
      </c>
      <c r="I362" s="55" t="s">
        <v>291</v>
      </c>
      <c r="O362" s="58" t="s">
        <v>788</v>
      </c>
      <c r="P362" s="55" t="s">
        <v>165</v>
      </c>
      <c r="Q362" s="55" t="s">
        <v>760</v>
      </c>
      <c r="R362" s="55" t="s">
        <v>526</v>
      </c>
      <c r="S362" s="55" t="str">
        <f>Table2[[#This Row],[friendly_name]]</f>
        <v>Study Outlet</v>
      </c>
      <c r="T362" s="56" t="s">
        <v>1067</v>
      </c>
      <c r="V362" s="58"/>
      <c r="W362" s="58"/>
      <c r="X362" s="58"/>
      <c r="Y362" s="58"/>
      <c r="Z362" s="58"/>
      <c r="AA362" s="58"/>
      <c r="AG362" s="58"/>
      <c r="AH362" s="58"/>
      <c r="AT362" s="59"/>
      <c r="AU362" s="55" t="s">
        <v>134</v>
      </c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Study</v>
      </c>
      <c r="BB362" s="55" t="s">
        <v>1019</v>
      </c>
      <c r="BC362" s="60" t="s">
        <v>360</v>
      </c>
      <c r="BD362" s="55" t="s">
        <v>233</v>
      </c>
      <c r="BF362" s="55" t="s">
        <v>361</v>
      </c>
      <c r="BG362" s="55" t="s">
        <v>356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233</v>
      </c>
      <c r="D363" s="55" t="s">
        <v>134</v>
      </c>
      <c r="E363" s="55" t="s">
        <v>1437</v>
      </c>
      <c r="F363" s="57" t="str">
        <f>IF(ISBLANK(Table2[[#This Row],[unique_id]]), "", PROPER(SUBSTITUTE(Table2[[#This Row],[unique_id]], "_", " ")))</f>
        <v>Broken Study Outlet Plug</v>
      </c>
      <c r="G363" s="55" t="s">
        <v>226</v>
      </c>
      <c r="H363" s="55" t="s">
        <v>526</v>
      </c>
      <c r="I363" s="55" t="s">
        <v>291</v>
      </c>
      <c r="M363" s="55" t="s">
        <v>257</v>
      </c>
      <c r="O363" s="58" t="s">
        <v>788</v>
      </c>
      <c r="P363" s="55" t="s">
        <v>165</v>
      </c>
      <c r="Q363" s="55" t="s">
        <v>760</v>
      </c>
      <c r="R363" s="55" t="s">
        <v>526</v>
      </c>
      <c r="S363" s="55" t="str">
        <f>Table2[[#This Row],[friendly_name]]</f>
        <v>Study Outlet</v>
      </c>
      <c r="T363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3" s="58"/>
      <c r="W363" s="58"/>
      <c r="X363" s="58"/>
      <c r="Y363" s="58"/>
      <c r="Z363" s="58"/>
      <c r="AA363" s="58"/>
      <c r="AE363" s="55" t="s">
        <v>251</v>
      </c>
      <c r="AG363" s="58"/>
      <c r="AH363" s="58"/>
      <c r="AT363" s="59"/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Study</v>
      </c>
      <c r="BB363" s="55" t="s">
        <v>1019</v>
      </c>
      <c r="BC363" s="60" t="s">
        <v>360</v>
      </c>
      <c r="BD363" s="55" t="s">
        <v>233</v>
      </c>
      <c r="BF363" s="55" t="s">
        <v>361</v>
      </c>
      <c r="BG363" s="55" t="s">
        <v>356</v>
      </c>
      <c r="BJ363" s="55" t="s">
        <v>977</v>
      </c>
      <c r="BK363" s="55" t="s">
        <v>1296</v>
      </c>
      <c r="BL363" s="55" t="s">
        <v>351</v>
      </c>
      <c r="BM363" s="55" t="s">
        <v>1332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808</v>
      </c>
      <c r="D364" s="55" t="s">
        <v>148</v>
      </c>
      <c r="E364" s="56" t="s">
        <v>1438</v>
      </c>
      <c r="F364" s="57" t="str">
        <f>IF(ISBLANK(Table2[[#This Row],[unique_id]]), "", PROPER(SUBSTITUTE(Table2[[#This Row],[unique_id]], "_", " ")))</f>
        <v>Broken Template Office Outlet Plug Proxy</v>
      </c>
      <c r="G364" s="55" t="s">
        <v>225</v>
      </c>
      <c r="H364" s="55" t="s">
        <v>526</v>
      </c>
      <c r="I364" s="55" t="s">
        <v>291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Office Outlet</v>
      </c>
      <c r="T364" s="56" t="s">
        <v>1067</v>
      </c>
      <c r="V364" s="58"/>
      <c r="W364" s="58"/>
      <c r="X364" s="58"/>
      <c r="Y364" s="58"/>
      <c r="Z364" s="58"/>
      <c r="AA364" s="58"/>
      <c r="AG364" s="58"/>
      <c r="AH364" s="58"/>
      <c r="AT364" s="59"/>
      <c r="AU364" s="55" t="s">
        <v>134</v>
      </c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Office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212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233</v>
      </c>
      <c r="D365" s="55" t="s">
        <v>134</v>
      </c>
      <c r="E365" s="55" t="s">
        <v>1439</v>
      </c>
      <c r="F365" s="57" t="str">
        <f>IF(ISBLANK(Table2[[#This Row],[unique_id]]), "", PROPER(SUBSTITUTE(Table2[[#This Row],[unique_id]], "_", " ")))</f>
        <v>Broken Office Outlet Plug</v>
      </c>
      <c r="G365" s="55" t="s">
        <v>225</v>
      </c>
      <c r="H365" s="55" t="s">
        <v>526</v>
      </c>
      <c r="I365" s="55" t="s">
        <v>291</v>
      </c>
      <c r="M365" s="55" t="s">
        <v>257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Office Outlet</v>
      </c>
      <c r="T365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5" s="58"/>
      <c r="W365" s="58"/>
      <c r="X365" s="58"/>
      <c r="Y365" s="58"/>
      <c r="Z365" s="58"/>
      <c r="AA365" s="58"/>
      <c r="AE365" s="55" t="s">
        <v>251</v>
      </c>
      <c r="AG365" s="58"/>
      <c r="AH365" s="58"/>
      <c r="AT365" s="59"/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Office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212</v>
      </c>
      <c r="BJ365" s="55" t="s">
        <v>978</v>
      </c>
      <c r="BK365" s="55" t="s">
        <v>1296</v>
      </c>
      <c r="BL365" s="55" t="s">
        <v>352</v>
      </c>
      <c r="BM365" s="55" t="s">
        <v>1333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808</v>
      </c>
      <c r="D366" s="55" t="s">
        <v>148</v>
      </c>
      <c r="E366" s="56" t="s">
        <v>1440</v>
      </c>
      <c r="F366" s="57" t="str">
        <f>IF(ISBLANK(Table2[[#This Row],[unique_id]]), "", PROPER(SUBSTITUTE(Table2[[#This Row],[unique_id]], "_", " ")))</f>
        <v>Broken Template Kitchen Dish Washer Plug Proxy</v>
      </c>
      <c r="G366" s="55" t="s">
        <v>228</v>
      </c>
      <c r="H366" s="55" t="s">
        <v>526</v>
      </c>
      <c r="I366" s="55" t="s">
        <v>291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Dish Washer</v>
      </c>
      <c r="T366" s="56" t="s">
        <v>1067</v>
      </c>
      <c r="V366" s="58"/>
      <c r="W366" s="58"/>
      <c r="X366" s="58"/>
      <c r="Y366" s="58"/>
      <c r="Z366" s="58"/>
      <c r="AA366" s="58"/>
      <c r="AG366" s="58"/>
      <c r="AH366" s="58"/>
      <c r="AT366" s="59"/>
      <c r="AU366" s="55" t="s">
        <v>134</v>
      </c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Kitchen</v>
      </c>
      <c r="BB366" s="55" t="s">
        <v>228</v>
      </c>
      <c r="BC366" s="60" t="s">
        <v>360</v>
      </c>
      <c r="BD366" s="55" t="s">
        <v>233</v>
      </c>
      <c r="BF366" s="55" t="s">
        <v>361</v>
      </c>
      <c r="BG366" s="55" t="s">
        <v>206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233</v>
      </c>
      <c r="D367" s="55" t="s">
        <v>134</v>
      </c>
      <c r="E367" s="55" t="s">
        <v>1441</v>
      </c>
      <c r="F367" s="57" t="str">
        <f>IF(ISBLANK(Table2[[#This Row],[unique_id]]), "", PROPER(SUBSTITUTE(Table2[[#This Row],[unique_id]], "_", " ")))</f>
        <v>Broken Kitchen Dish Washer Plug</v>
      </c>
      <c r="G367" s="55" t="s">
        <v>228</v>
      </c>
      <c r="H367" s="55" t="s">
        <v>526</v>
      </c>
      <c r="I367" s="55" t="s">
        <v>291</v>
      </c>
      <c r="M367" s="55" t="s">
        <v>257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Dish Washer</v>
      </c>
      <c r="T367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7" s="58"/>
      <c r="W367" s="58"/>
      <c r="X367" s="58"/>
      <c r="Y367" s="58"/>
      <c r="Z367" s="58"/>
      <c r="AA367" s="58"/>
      <c r="AE367" s="55" t="s">
        <v>244</v>
      </c>
      <c r="AG367" s="58"/>
      <c r="AH367" s="58"/>
      <c r="AT367" s="59"/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228</v>
      </c>
      <c r="BC367" s="60" t="s">
        <v>360</v>
      </c>
      <c r="BD367" s="55" t="s">
        <v>233</v>
      </c>
      <c r="BF367" s="55" t="s">
        <v>361</v>
      </c>
      <c r="BG367" s="55" t="s">
        <v>206</v>
      </c>
      <c r="BJ367" s="55" t="s">
        <v>978</v>
      </c>
      <c r="BK367" s="55" t="s">
        <v>1296</v>
      </c>
      <c r="BL367" s="55" t="s">
        <v>343</v>
      </c>
      <c r="BM367" s="55" t="s">
        <v>1334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8" spans="1:66" ht="16" customHeight="1" x14ac:dyDescent="0.2">
      <c r="A368" s="30">
        <v>2586</v>
      </c>
      <c r="B368" s="30" t="s">
        <v>26</v>
      </c>
      <c r="C368" s="30" t="s">
        <v>808</v>
      </c>
      <c r="D368" s="30" t="s">
        <v>148</v>
      </c>
      <c r="E368" s="37" t="s">
        <v>964</v>
      </c>
      <c r="F368" s="36" t="str">
        <f>IF(ISBLANK(Table2[[#This Row],[unique_id]]), "", PROPER(SUBSTITUTE(Table2[[#This Row],[unique_id]], "_", " ")))</f>
        <v>Template Kitchen Dish Washer Plug Proxy</v>
      </c>
      <c r="G368" s="30" t="s">
        <v>228</v>
      </c>
      <c r="H368" s="30" t="s">
        <v>526</v>
      </c>
      <c r="I368" s="30" t="s">
        <v>291</v>
      </c>
      <c r="O368" s="31" t="s">
        <v>788</v>
      </c>
      <c r="P368" s="30" t="s">
        <v>165</v>
      </c>
      <c r="Q368" s="30" t="s">
        <v>761</v>
      </c>
      <c r="R368" s="30" t="s">
        <v>771</v>
      </c>
      <c r="S368" s="30" t="str">
        <f>Table2[[#This Row],[friendly_name]]</f>
        <v>Dish Washer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134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228</v>
      </c>
      <c r="BC368" s="30" t="s">
        <v>359</v>
      </c>
      <c r="BD368" s="30" t="s">
        <v>233</v>
      </c>
      <c r="BF368" s="30" t="s">
        <v>362</v>
      </c>
      <c r="BG368" s="30" t="s">
        <v>206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233</v>
      </c>
      <c r="D369" s="30" t="s">
        <v>134</v>
      </c>
      <c r="E369" s="30" t="s">
        <v>835</v>
      </c>
      <c r="F369" s="36" t="str">
        <f>IF(ISBLANK(Table2[[#This Row],[unique_id]]), "", PROPER(SUBSTITUTE(Table2[[#This Row],[unique_id]], "_", " ")))</f>
        <v>Kitchen Dish Washer Plug</v>
      </c>
      <c r="G369" s="30" t="s">
        <v>228</v>
      </c>
      <c r="H369" s="30" t="s">
        <v>526</v>
      </c>
      <c r="I369" s="30" t="s">
        <v>291</v>
      </c>
      <c r="M369" s="30" t="s">
        <v>257</v>
      </c>
      <c r="O369" s="31" t="s">
        <v>788</v>
      </c>
      <c r="P369" s="30" t="s">
        <v>165</v>
      </c>
      <c r="Q369" s="30" t="s">
        <v>761</v>
      </c>
      <c r="R369" s="30" t="s">
        <v>771</v>
      </c>
      <c r="S369" s="30" t="str">
        <f>Table2[[#This Row],[friendly_name]]</f>
        <v>Dish Washer</v>
      </c>
      <c r="T36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244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228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J369" s="30" t="s">
        <v>978</v>
      </c>
      <c r="BK369" s="30" t="s">
        <v>1296</v>
      </c>
      <c r="BL369" s="30" t="s">
        <v>355</v>
      </c>
      <c r="BM369" s="30" t="s">
        <v>1345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808</v>
      </c>
      <c r="D370" s="55" t="s">
        <v>148</v>
      </c>
      <c r="E370" s="56" t="s">
        <v>1442</v>
      </c>
      <c r="F370" s="57" t="str">
        <f>IF(ISBLANK(Table2[[#This Row],[unique_id]]), "", PROPER(SUBSTITUTE(Table2[[#This Row],[unique_id]], "_", " ")))</f>
        <v>Broken Template Laundry Clothes Dryer Plug Proxy</v>
      </c>
      <c r="G370" s="55" t="s">
        <v>229</v>
      </c>
      <c r="H370" s="55" t="s">
        <v>526</v>
      </c>
      <c r="I370" s="55" t="s">
        <v>291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Clothes Dryer</v>
      </c>
      <c r="T370" s="56" t="s">
        <v>1067</v>
      </c>
      <c r="V370" s="58"/>
      <c r="W370" s="58"/>
      <c r="X370" s="58"/>
      <c r="Y370" s="58"/>
      <c r="Z370" s="58"/>
      <c r="AA370" s="58"/>
      <c r="AG370" s="58"/>
      <c r="AH370" s="58"/>
      <c r="AT370" s="59"/>
      <c r="AU370" s="55" t="s">
        <v>134</v>
      </c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229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5" customFormat="1" ht="16" customHeight="1" x14ac:dyDescent="0.2">
      <c r="A371" s="30">
        <v>2589</v>
      </c>
      <c r="B371" s="55" t="s">
        <v>579</v>
      </c>
      <c r="C371" s="55" t="s">
        <v>233</v>
      </c>
      <c r="D371" s="55" t="s">
        <v>134</v>
      </c>
      <c r="E371" s="55" t="s">
        <v>1443</v>
      </c>
      <c r="F371" s="57" t="str">
        <f>IF(ISBLANK(Table2[[#This Row],[unique_id]]), "", PROPER(SUBSTITUTE(Table2[[#This Row],[unique_id]], "_", " ")))</f>
        <v>Broken Laundry Clothes Dryer Plug</v>
      </c>
      <c r="G371" s="55" t="s">
        <v>229</v>
      </c>
      <c r="H371" s="55" t="s">
        <v>526</v>
      </c>
      <c r="I371" s="55" t="s">
        <v>291</v>
      </c>
      <c r="M371" s="55" t="s">
        <v>257</v>
      </c>
      <c r="O371" s="58" t="s">
        <v>788</v>
      </c>
      <c r="P371" s="55" t="s">
        <v>165</v>
      </c>
      <c r="Q371" s="55" t="s">
        <v>761</v>
      </c>
      <c r="R371" s="55" t="s">
        <v>771</v>
      </c>
      <c r="S371" s="55" t="str">
        <f>Table2[[#This Row],[friendly_name]]</f>
        <v>Clothes Dryer</v>
      </c>
      <c r="T371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1" s="58"/>
      <c r="W371" s="58"/>
      <c r="X371" s="58"/>
      <c r="Y371" s="58"/>
      <c r="Z371" s="58"/>
      <c r="AA371" s="58"/>
      <c r="AE371" s="55" t="s">
        <v>245</v>
      </c>
      <c r="AG371" s="58"/>
      <c r="AH371" s="58"/>
      <c r="AT371" s="59"/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229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J371" s="55" t="s">
        <v>977</v>
      </c>
      <c r="BK371" s="55" t="s">
        <v>1296</v>
      </c>
      <c r="BL371" s="55" t="s">
        <v>344</v>
      </c>
      <c r="BM371" s="55" t="s">
        <v>1335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2" spans="1:66" s="55" customFormat="1" ht="16" customHeight="1" x14ac:dyDescent="0.2">
      <c r="A372" s="30">
        <v>2590</v>
      </c>
      <c r="B372" s="55" t="s">
        <v>579</v>
      </c>
      <c r="C372" s="55" t="s">
        <v>808</v>
      </c>
      <c r="D372" s="55" t="s">
        <v>148</v>
      </c>
      <c r="E372" s="56" t="s">
        <v>1444</v>
      </c>
      <c r="F372" s="57" t="str">
        <f>IF(ISBLANK(Table2[[#This Row],[unique_id]]), "", PROPER(SUBSTITUTE(Table2[[#This Row],[unique_id]], "_", " ")))</f>
        <v>Broken Template Laundry Washing Machine Plug Proxy</v>
      </c>
      <c r="G372" s="55" t="s">
        <v>227</v>
      </c>
      <c r="H372" s="55" t="s">
        <v>526</v>
      </c>
      <c r="I372" s="55" t="s">
        <v>291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Washing Machine</v>
      </c>
      <c r="T372" s="56" t="s">
        <v>1067</v>
      </c>
      <c r="V372" s="58"/>
      <c r="W372" s="58"/>
      <c r="X372" s="58"/>
      <c r="Y372" s="58"/>
      <c r="Z372" s="58"/>
      <c r="AA372" s="58"/>
      <c r="AG372" s="58"/>
      <c r="AH372" s="58"/>
      <c r="AT372" s="59"/>
      <c r="AU372" s="55" t="s">
        <v>134</v>
      </c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227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233</v>
      </c>
      <c r="D373" s="55" t="s">
        <v>134</v>
      </c>
      <c r="E373" s="55" t="s">
        <v>1445</v>
      </c>
      <c r="F373" s="57" t="str">
        <f>IF(ISBLANK(Table2[[#This Row],[unique_id]]), "", PROPER(SUBSTITUTE(Table2[[#This Row],[unique_id]], "_", " ")))</f>
        <v>Broken Laundry Washing Machine Plug</v>
      </c>
      <c r="G373" s="55" t="s">
        <v>227</v>
      </c>
      <c r="H373" s="55" t="s">
        <v>526</v>
      </c>
      <c r="I373" s="55" t="s">
        <v>291</v>
      </c>
      <c r="M373" s="55" t="s">
        <v>257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Washing Machine</v>
      </c>
      <c r="T373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3" s="58"/>
      <c r="W373" s="58"/>
      <c r="X373" s="58"/>
      <c r="Y373" s="58"/>
      <c r="Z373" s="58"/>
      <c r="AA373" s="58"/>
      <c r="AE373" s="55" t="s">
        <v>246</v>
      </c>
      <c r="AG373" s="58"/>
      <c r="AH373" s="58"/>
      <c r="AT373" s="59"/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227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J373" s="55" t="s">
        <v>977</v>
      </c>
      <c r="BK373" s="55" t="s">
        <v>1296</v>
      </c>
      <c r="BL373" s="55" t="s">
        <v>345</v>
      </c>
      <c r="BM373" s="55" t="s">
        <v>1336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4" spans="1:66" ht="16" customHeight="1" x14ac:dyDescent="0.2">
      <c r="A374" s="30">
        <v>2592</v>
      </c>
      <c r="B374" s="30" t="s">
        <v>26</v>
      </c>
      <c r="C374" s="30" t="s">
        <v>808</v>
      </c>
      <c r="D374" s="30" t="s">
        <v>148</v>
      </c>
      <c r="E374" s="37" t="s">
        <v>1542</v>
      </c>
      <c r="F374" s="36" t="str">
        <f>IF(ISBLANK(Table2[[#This Row],[unique_id]]), "", PROPER(SUBSTITUTE(Table2[[#This Row],[unique_id]], "_", " ")))</f>
        <v>Template Kitchen Fridge Plug Proxy</v>
      </c>
      <c r="G374" s="30" t="s">
        <v>223</v>
      </c>
      <c r="H374" s="30" t="s">
        <v>526</v>
      </c>
      <c r="I374" s="30" t="s">
        <v>291</v>
      </c>
      <c r="O374" s="31" t="s">
        <v>788</v>
      </c>
      <c r="P374" s="30" t="s">
        <v>165</v>
      </c>
      <c r="Q374" s="30" t="s">
        <v>760</v>
      </c>
      <c r="R374" s="30" t="s">
        <v>772</v>
      </c>
      <c r="S374" s="30" t="str">
        <f>Table2[[#This Row],[friendly_name]]</f>
        <v>Kitchen Fridge</v>
      </c>
      <c r="T374" s="37" t="s">
        <v>1068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134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Kitchen</v>
      </c>
      <c r="BB374" s="30" t="s">
        <v>1022</v>
      </c>
      <c r="BC374" s="30" t="s">
        <v>359</v>
      </c>
      <c r="BD374" s="30" t="s">
        <v>233</v>
      </c>
      <c r="BF374" s="30" t="s">
        <v>362</v>
      </c>
      <c r="BG374" s="30" t="s">
        <v>206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customHeight="1" x14ac:dyDescent="0.2">
      <c r="A375" s="30">
        <v>2593</v>
      </c>
      <c r="B375" s="30" t="s">
        <v>26</v>
      </c>
      <c r="C375" s="30" t="s">
        <v>233</v>
      </c>
      <c r="D375" s="30" t="s">
        <v>134</v>
      </c>
      <c r="E375" s="30" t="s">
        <v>1541</v>
      </c>
      <c r="F375" s="36" t="str">
        <f>IF(ISBLANK(Table2[[#This Row],[unique_id]]), "", PROPER(SUBSTITUTE(Table2[[#This Row],[unique_id]], "_", " ")))</f>
        <v>Kitchen Fridge Plug</v>
      </c>
      <c r="G375" s="30" t="s">
        <v>223</v>
      </c>
      <c r="H375" s="30" t="s">
        <v>526</v>
      </c>
      <c r="I375" s="30" t="s">
        <v>291</v>
      </c>
      <c r="M375" s="30" t="s">
        <v>257</v>
      </c>
      <c r="O375" s="31" t="s">
        <v>788</v>
      </c>
      <c r="P375" s="30" t="s">
        <v>165</v>
      </c>
      <c r="Q375" s="30" t="s">
        <v>760</v>
      </c>
      <c r="R375" s="30" t="s">
        <v>772</v>
      </c>
      <c r="S375" s="30" t="str">
        <f>Table2[[#This Row],[friendly_name]]</f>
        <v>Kitchen Fridge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248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Kitchen</v>
      </c>
      <c r="BB375" s="30" t="s">
        <v>1022</v>
      </c>
      <c r="BC375" s="30" t="s">
        <v>359</v>
      </c>
      <c r="BD375" s="30" t="s">
        <v>233</v>
      </c>
      <c r="BF375" s="30" t="s">
        <v>362</v>
      </c>
      <c r="BG375" s="30" t="s">
        <v>206</v>
      </c>
      <c r="BJ375" s="30" t="s">
        <v>978</v>
      </c>
      <c r="BK375" s="63" t="s">
        <v>1296</v>
      </c>
      <c r="BL375" s="63" t="s">
        <v>1506</v>
      </c>
      <c r="BM375" s="63" t="s">
        <v>1507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6" spans="1:66" ht="16" customHeight="1" x14ac:dyDescent="0.2">
      <c r="A376" s="30">
        <v>2594</v>
      </c>
      <c r="B376" s="30" t="s">
        <v>26</v>
      </c>
      <c r="C376" s="30" t="s">
        <v>808</v>
      </c>
      <c r="D376" s="30" t="s">
        <v>148</v>
      </c>
      <c r="E376" s="37" t="s">
        <v>966</v>
      </c>
      <c r="F376" s="36" t="str">
        <f>IF(ISBLANK(Table2[[#This Row],[unique_id]]), "", PROPER(SUBSTITUTE(Table2[[#This Row],[unique_id]], "_", " ")))</f>
        <v>Template Deck Freezer Plug Proxy</v>
      </c>
      <c r="G376" s="30" t="s">
        <v>224</v>
      </c>
      <c r="H376" s="30" t="s">
        <v>526</v>
      </c>
      <c r="I376" s="30" t="s">
        <v>291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Deck Freezer</v>
      </c>
      <c r="T376" s="37" t="s">
        <v>1068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134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Deck</v>
      </c>
      <c r="BB376" s="30" t="s">
        <v>1023</v>
      </c>
      <c r="BC376" s="30" t="s">
        <v>359</v>
      </c>
      <c r="BD376" s="30" t="s">
        <v>233</v>
      </c>
      <c r="BF376" s="30" t="s">
        <v>362</v>
      </c>
      <c r="BG376" s="30" t="s">
        <v>357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2595</v>
      </c>
      <c r="B377" s="30" t="s">
        <v>26</v>
      </c>
      <c r="C377" s="30" t="s">
        <v>233</v>
      </c>
      <c r="D377" s="30" t="s">
        <v>134</v>
      </c>
      <c r="E377" s="30" t="s">
        <v>837</v>
      </c>
      <c r="F377" s="36" t="str">
        <f>IF(ISBLANK(Table2[[#This Row],[unique_id]]), "", PROPER(SUBSTITUTE(Table2[[#This Row],[unique_id]], "_", " ")))</f>
        <v>Deck Freezer Plug</v>
      </c>
      <c r="G377" s="30" t="s">
        <v>224</v>
      </c>
      <c r="H377" s="30" t="s">
        <v>526</v>
      </c>
      <c r="I377" s="30" t="s">
        <v>291</v>
      </c>
      <c r="M377" s="30" t="s">
        <v>257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Deck Freezer</v>
      </c>
      <c r="T37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249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Deck</v>
      </c>
      <c r="BB377" s="30" t="s">
        <v>1023</v>
      </c>
      <c r="BC377" s="30" t="s">
        <v>359</v>
      </c>
      <c r="BD377" s="30" t="s">
        <v>233</v>
      </c>
      <c r="BF377" s="30" t="s">
        <v>362</v>
      </c>
      <c r="BG377" s="30" t="s">
        <v>357</v>
      </c>
      <c r="BJ377" s="30" t="s">
        <v>978</v>
      </c>
      <c r="BK377" s="30" t="s">
        <v>1296</v>
      </c>
      <c r="BL377" s="30" t="s">
        <v>347</v>
      </c>
      <c r="BM377" s="30" t="s">
        <v>1338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8" spans="1:66" ht="16" customHeight="1" x14ac:dyDescent="0.2">
      <c r="A378" s="30">
        <v>2596</v>
      </c>
      <c r="B378" s="30" t="s">
        <v>26</v>
      </c>
      <c r="C378" s="30" t="s">
        <v>808</v>
      </c>
      <c r="D378" s="30" t="s">
        <v>148</v>
      </c>
      <c r="E378" s="37" t="s">
        <v>1426</v>
      </c>
      <c r="F378" s="36" t="str">
        <f>IF(ISBLANK(Table2[[#This Row],[unique_id]]), "", PROPER(SUBSTITUTE(Table2[[#This Row],[unique_id]], "_", " ")))</f>
        <v>Template Garden Sewerage Blower Plug Proxy</v>
      </c>
      <c r="G378" s="30" t="s">
        <v>1427</v>
      </c>
      <c r="H378" s="30" t="s">
        <v>526</v>
      </c>
      <c r="I378" s="30" t="s">
        <v>291</v>
      </c>
      <c r="O378" s="31" t="s">
        <v>788</v>
      </c>
      <c r="P378" s="30" t="s">
        <v>165</v>
      </c>
      <c r="Q378" s="30" t="s">
        <v>760</v>
      </c>
      <c r="R378" s="30" t="s">
        <v>526</v>
      </c>
      <c r="S378" s="30" t="str">
        <f>Table2[[#This Row],[friendly_name]]</f>
        <v>Sewerage Blower</v>
      </c>
      <c r="T37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8" s="30"/>
      <c r="V378" s="31"/>
      <c r="W378" s="31"/>
      <c r="X378" s="31"/>
      <c r="Y378" s="31"/>
      <c r="Z378" s="31"/>
      <c r="AA378" s="31"/>
      <c r="AB378" s="30"/>
      <c r="AC378" s="30"/>
      <c r="AG378" s="31"/>
      <c r="AH378" s="31"/>
      <c r="AT378" s="40"/>
      <c r="AU378" s="30" t="s">
        <v>134</v>
      </c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">
        <v>576</v>
      </c>
      <c r="BB378" s="30" t="s">
        <v>1427</v>
      </c>
      <c r="BC378" s="30" t="s">
        <v>359</v>
      </c>
      <c r="BD378" s="30" t="s">
        <v>233</v>
      </c>
      <c r="BF378" s="30" t="s">
        <v>362</v>
      </c>
      <c r="BG378" s="30" t="s">
        <v>576</v>
      </c>
      <c r="BL378" s="36"/>
      <c r="BM378" s="36"/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ht="16" customHeight="1" x14ac:dyDescent="0.2">
      <c r="A379" s="30">
        <v>2597</v>
      </c>
      <c r="B379" s="30" t="s">
        <v>26</v>
      </c>
      <c r="C379" s="30" t="s">
        <v>233</v>
      </c>
      <c r="D379" s="30" t="s">
        <v>134</v>
      </c>
      <c r="E379" s="30" t="s">
        <v>1425</v>
      </c>
      <c r="F379" s="36" t="str">
        <f>IF(ISBLANK(Table2[[#This Row],[unique_id]]), "", PROPER(SUBSTITUTE(Table2[[#This Row],[unique_id]], "_", " ")))</f>
        <v>Garden Sewerage Blower Plug</v>
      </c>
      <c r="G379" s="30" t="s">
        <v>1427</v>
      </c>
      <c r="H379" s="30" t="s">
        <v>526</v>
      </c>
      <c r="I379" s="30" t="s">
        <v>291</v>
      </c>
      <c r="M379" s="30" t="s">
        <v>257</v>
      </c>
      <c r="O379" s="31" t="s">
        <v>788</v>
      </c>
      <c r="P379" s="30" t="s">
        <v>165</v>
      </c>
      <c r="Q379" s="30" t="s">
        <v>760</v>
      </c>
      <c r="R379" s="30" t="s">
        <v>526</v>
      </c>
      <c r="S379" s="30" t="str">
        <f>Table2[[#This Row],[friendly_name]]</f>
        <v>Sewerage Blower</v>
      </c>
      <c r="T37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9" s="30"/>
      <c r="V379" s="31"/>
      <c r="W379" s="31"/>
      <c r="X379" s="31"/>
      <c r="Y379" s="31"/>
      <c r="Z379" s="31"/>
      <c r="AA379" s="31"/>
      <c r="AB379" s="30"/>
      <c r="AC379" s="30"/>
      <c r="AE379" s="30" t="s">
        <v>243</v>
      </c>
      <c r="AG379" s="31"/>
      <c r="AH379" s="31"/>
      <c r="AT379" s="40"/>
      <c r="AU379" s="30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">
        <v>576</v>
      </c>
      <c r="BB379" s="30" t="s">
        <v>1427</v>
      </c>
      <c r="BC379" s="30" t="s">
        <v>359</v>
      </c>
      <c r="BD379" s="30" t="s">
        <v>233</v>
      </c>
      <c r="BF379" s="30" t="s">
        <v>362</v>
      </c>
      <c r="BG379" s="30" t="s">
        <v>576</v>
      </c>
      <c r="BJ379" s="30" t="s">
        <v>978</v>
      </c>
      <c r="BK379" s="30" t="s">
        <v>1296</v>
      </c>
      <c r="BL379" s="36" t="s">
        <v>363</v>
      </c>
      <c r="BM379" s="36" t="s">
        <v>1317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0" spans="1:66" s="55" customFormat="1" ht="16" customHeight="1" x14ac:dyDescent="0.2">
      <c r="A380" s="30">
        <v>2598</v>
      </c>
      <c r="B380" s="55" t="s">
        <v>579</v>
      </c>
      <c r="C380" s="55" t="s">
        <v>808</v>
      </c>
      <c r="D380" s="55" t="s">
        <v>148</v>
      </c>
      <c r="E380" s="56" t="s">
        <v>1446</v>
      </c>
      <c r="F380" s="57" t="str">
        <f>IF(ISBLANK(Table2[[#This Row],[unique_id]]), "", PROPER(SUBSTITUTE(Table2[[#This Row],[unique_id]], "_", " ")))</f>
        <v>Broken Template Study Battery Charger Plug Proxy</v>
      </c>
      <c r="G380" s="55" t="s">
        <v>231</v>
      </c>
      <c r="H380" s="55" t="s">
        <v>526</v>
      </c>
      <c r="I380" s="55" t="s">
        <v>291</v>
      </c>
      <c r="O380" s="58" t="s">
        <v>788</v>
      </c>
      <c r="P380" s="55" t="s">
        <v>165</v>
      </c>
      <c r="Q380" s="55" t="s">
        <v>760</v>
      </c>
      <c r="R380" s="55" t="s">
        <v>526</v>
      </c>
      <c r="S380" s="55" t="str">
        <f>Table2[[#This Row],[friendly_name]]</f>
        <v>Battery Charger</v>
      </c>
      <c r="T380" s="56" t="s">
        <v>1067</v>
      </c>
      <c r="V380" s="58"/>
      <c r="W380" s="58"/>
      <c r="X380" s="58"/>
      <c r="Y380" s="58"/>
      <c r="Z380" s="58"/>
      <c r="AA380" s="58"/>
      <c r="AG380" s="58"/>
      <c r="AH380" s="58"/>
      <c r="AT380" s="59"/>
      <c r="AU380" s="55" t="s">
        <v>134</v>
      </c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Study</v>
      </c>
      <c r="BB380" s="55" t="s">
        <v>231</v>
      </c>
      <c r="BC380" s="60" t="s">
        <v>360</v>
      </c>
      <c r="BD380" s="55" t="s">
        <v>233</v>
      </c>
      <c r="BF380" s="55" t="s">
        <v>361</v>
      </c>
      <c r="BG380" s="55" t="s">
        <v>356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5" customFormat="1" ht="16" customHeight="1" x14ac:dyDescent="0.2">
      <c r="A381" s="30">
        <v>2599</v>
      </c>
      <c r="B381" s="55" t="s">
        <v>579</v>
      </c>
      <c r="C381" s="55" t="s">
        <v>233</v>
      </c>
      <c r="D381" s="55" t="s">
        <v>134</v>
      </c>
      <c r="E381" s="55" t="s">
        <v>1447</v>
      </c>
      <c r="F381" s="57" t="str">
        <f>IF(ISBLANK(Table2[[#This Row],[unique_id]]), "", PROPER(SUBSTITUTE(Table2[[#This Row],[unique_id]], "_", " ")))</f>
        <v>Broken Study Battery Charger Plug</v>
      </c>
      <c r="G381" s="55" t="s">
        <v>231</v>
      </c>
      <c r="H381" s="55" t="s">
        <v>526</v>
      </c>
      <c r="I381" s="55" t="s">
        <v>291</v>
      </c>
      <c r="M381" s="55" t="s">
        <v>257</v>
      </c>
      <c r="O381" s="58" t="s">
        <v>788</v>
      </c>
      <c r="P381" s="55" t="s">
        <v>165</v>
      </c>
      <c r="Q381" s="55" t="s">
        <v>760</v>
      </c>
      <c r="R381" s="55" t="s">
        <v>526</v>
      </c>
      <c r="S381" s="55" t="str">
        <f>Table2[[#This Row],[friendly_name]]</f>
        <v>Battery Charger</v>
      </c>
      <c r="T381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1" s="58"/>
      <c r="W381" s="58"/>
      <c r="X381" s="58"/>
      <c r="Y381" s="58"/>
      <c r="Z381" s="58"/>
      <c r="AA381" s="58"/>
      <c r="AE381" s="55" t="s">
        <v>255</v>
      </c>
      <c r="AG381" s="58"/>
      <c r="AH381" s="58"/>
      <c r="AT381" s="59"/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Study</v>
      </c>
      <c r="BB381" s="55" t="s">
        <v>231</v>
      </c>
      <c r="BC381" s="60" t="s">
        <v>360</v>
      </c>
      <c r="BD381" s="55" t="s">
        <v>233</v>
      </c>
      <c r="BF381" s="55" t="s">
        <v>361</v>
      </c>
      <c r="BG381" s="55" t="s">
        <v>356</v>
      </c>
      <c r="BJ381" s="55" t="s">
        <v>977</v>
      </c>
      <c r="BK381" s="55" t="s">
        <v>1296</v>
      </c>
      <c r="BL381" s="55" t="s">
        <v>341</v>
      </c>
      <c r="BM381" s="55" t="s">
        <v>1339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2" spans="1:66" s="55" customFormat="1" ht="16" customHeight="1" x14ac:dyDescent="0.2">
      <c r="A382" s="30">
        <v>2600</v>
      </c>
      <c r="B382" s="55" t="s">
        <v>579</v>
      </c>
      <c r="C382" s="55" t="s">
        <v>808</v>
      </c>
      <c r="D382" s="55" t="s">
        <v>148</v>
      </c>
      <c r="E382" s="56" t="s">
        <v>1448</v>
      </c>
      <c r="F382" s="57" t="str">
        <f>IF(ISBLANK(Table2[[#This Row],[unique_id]]), "", PROPER(SUBSTITUTE(Table2[[#This Row],[unique_id]], "_", " ")))</f>
        <v>Broken Template Laundry Vacuum Charger Plug Proxy</v>
      </c>
      <c r="G382" s="55" t="s">
        <v>230</v>
      </c>
      <c r="H382" s="55" t="s">
        <v>526</v>
      </c>
      <c r="I382" s="55" t="s">
        <v>291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Vacuum Charger</v>
      </c>
      <c r="T382" s="56" t="s">
        <v>1067</v>
      </c>
      <c r="V382" s="58"/>
      <c r="W382" s="58"/>
      <c r="X382" s="58"/>
      <c r="Y382" s="58"/>
      <c r="Z382" s="58"/>
      <c r="AA382" s="58"/>
      <c r="AG382" s="58"/>
      <c r="AH382" s="58"/>
      <c r="AT382" s="59"/>
      <c r="AU382" s="55" t="s">
        <v>134</v>
      </c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Laundry</v>
      </c>
      <c r="BB382" s="55" t="s">
        <v>230</v>
      </c>
      <c r="BC382" s="60" t="s">
        <v>360</v>
      </c>
      <c r="BD382" s="55" t="s">
        <v>233</v>
      </c>
      <c r="BF382" s="55" t="s">
        <v>361</v>
      </c>
      <c r="BG382" s="55" t="s">
        <v>213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233</v>
      </c>
      <c r="D383" s="55" t="s">
        <v>134</v>
      </c>
      <c r="E383" s="55" t="s">
        <v>1449</v>
      </c>
      <c r="F383" s="57" t="str">
        <f>IF(ISBLANK(Table2[[#This Row],[unique_id]]), "", PROPER(SUBSTITUTE(Table2[[#This Row],[unique_id]], "_", " ")))</f>
        <v>Broken Laundry Vacuum Charger Plug</v>
      </c>
      <c r="G383" s="55" t="s">
        <v>230</v>
      </c>
      <c r="H383" s="55" t="s">
        <v>526</v>
      </c>
      <c r="I383" s="55" t="s">
        <v>291</v>
      </c>
      <c r="M383" s="55" t="s">
        <v>257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Vacuum Charger</v>
      </c>
      <c r="T383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3" s="58"/>
      <c r="W383" s="58"/>
      <c r="X383" s="58"/>
      <c r="Y383" s="58"/>
      <c r="Z383" s="58"/>
      <c r="AA383" s="58"/>
      <c r="AE383" s="55" t="s">
        <v>255</v>
      </c>
      <c r="AG383" s="58"/>
      <c r="AH383" s="58"/>
      <c r="AT383" s="59"/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Laundry</v>
      </c>
      <c r="BB383" s="55" t="s">
        <v>230</v>
      </c>
      <c r="BC383" s="60" t="s">
        <v>360</v>
      </c>
      <c r="BD383" s="55" t="s">
        <v>233</v>
      </c>
      <c r="BF383" s="55" t="s">
        <v>361</v>
      </c>
      <c r="BG383" s="55" t="s">
        <v>213</v>
      </c>
      <c r="BJ383" s="55" t="s">
        <v>978</v>
      </c>
      <c r="BK383" s="55" t="s">
        <v>1296</v>
      </c>
      <c r="BL383" s="55" t="s">
        <v>342</v>
      </c>
      <c r="BM383" s="55" t="s">
        <v>1340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808</v>
      </c>
      <c r="D384" s="55" t="s">
        <v>148</v>
      </c>
      <c r="E384" s="56" t="s">
        <v>1450</v>
      </c>
      <c r="F384" s="57" t="str">
        <f>IF(ISBLANK(Table2[[#This Row],[unique_id]]), "", PROPER(SUBSTITUTE(Table2[[#This Row],[unique_id]], "_", " ")))</f>
        <v>Broken Template Ada Tablet Plug Proxy</v>
      </c>
      <c r="G384" s="55" t="s">
        <v>821</v>
      </c>
      <c r="H384" s="55" t="s">
        <v>526</v>
      </c>
      <c r="I384" s="55" t="s">
        <v>291</v>
      </c>
      <c r="O384" s="58" t="s">
        <v>788</v>
      </c>
      <c r="P384" s="55" t="s">
        <v>165</v>
      </c>
      <c r="Q384" s="55" t="s">
        <v>760</v>
      </c>
      <c r="R384" s="61" t="s">
        <v>745</v>
      </c>
      <c r="S384" s="55" t="str">
        <f>Table2[[#This Row],[friendly_name]]</f>
        <v>Ada Tablet</v>
      </c>
      <c r="T384" s="56" t="s">
        <v>1067</v>
      </c>
      <c r="V384" s="58"/>
      <c r="W384" s="58"/>
      <c r="X384" s="58"/>
      <c r="Y384" s="58"/>
      <c r="Z384" s="58"/>
      <c r="AA384" s="58"/>
      <c r="AG384" s="58"/>
      <c r="AH384" s="58"/>
      <c r="AR384" s="60"/>
      <c r="AT384" s="62"/>
      <c r="AU384" s="55" t="s">
        <v>134</v>
      </c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Lounge</v>
      </c>
      <c r="BB384" s="55" t="s">
        <v>821</v>
      </c>
      <c r="BC384" s="60" t="s">
        <v>360</v>
      </c>
      <c r="BD384" s="55" t="s">
        <v>233</v>
      </c>
      <c r="BF384" s="55" t="s">
        <v>361</v>
      </c>
      <c r="BG384" s="55" t="s">
        <v>194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233</v>
      </c>
      <c r="D385" s="55" t="s">
        <v>134</v>
      </c>
      <c r="E385" s="55" t="s">
        <v>1451</v>
      </c>
      <c r="F385" s="57" t="str">
        <f>IF(ISBLANK(Table2[[#This Row],[unique_id]]), "", PROPER(SUBSTITUTE(Table2[[#This Row],[unique_id]], "_", " ")))</f>
        <v>Broken Ada Tablet Plug</v>
      </c>
      <c r="G385" s="55" t="s">
        <v>821</v>
      </c>
      <c r="H385" s="55" t="s">
        <v>526</v>
      </c>
      <c r="I385" s="55" t="s">
        <v>291</v>
      </c>
      <c r="M385" s="55" t="s">
        <v>257</v>
      </c>
      <c r="O385" s="58" t="s">
        <v>788</v>
      </c>
      <c r="P385" s="55" t="s">
        <v>165</v>
      </c>
      <c r="Q385" s="55" t="s">
        <v>760</v>
      </c>
      <c r="R385" s="61" t="s">
        <v>745</v>
      </c>
      <c r="S385" s="55" t="str">
        <f>Table2[[#This Row],[friendly_name]]</f>
        <v>Ada Tablet</v>
      </c>
      <c r="T385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5" s="58"/>
      <c r="W385" s="58"/>
      <c r="X385" s="58"/>
      <c r="Y385" s="58"/>
      <c r="Z385" s="58"/>
      <c r="AA385" s="58"/>
      <c r="AE385" s="55" t="s">
        <v>822</v>
      </c>
      <c r="AG385" s="58"/>
      <c r="AH385" s="58"/>
      <c r="AR385" s="60"/>
      <c r="AT385" s="62"/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Lounge</v>
      </c>
      <c r="BB385" s="55" t="s">
        <v>821</v>
      </c>
      <c r="BC385" s="60" t="s">
        <v>360</v>
      </c>
      <c r="BD385" s="55" t="s">
        <v>233</v>
      </c>
      <c r="BF385" s="55" t="s">
        <v>361</v>
      </c>
      <c r="BG385" s="55" t="s">
        <v>194</v>
      </c>
      <c r="BJ385" s="55" t="s">
        <v>977</v>
      </c>
      <c r="BK385" s="55" t="s">
        <v>1296</v>
      </c>
      <c r="BL385" s="55" t="s">
        <v>800</v>
      </c>
      <c r="BM385" s="55" t="s">
        <v>1341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6" spans="1:66" ht="16" customHeight="1" x14ac:dyDescent="0.2">
      <c r="A386" s="30">
        <v>2604</v>
      </c>
      <c r="B386" s="30" t="s">
        <v>26</v>
      </c>
      <c r="C386" s="30" t="s">
        <v>377</v>
      </c>
      <c r="D386" s="30" t="s">
        <v>134</v>
      </c>
      <c r="E386" s="39" t="s">
        <v>612</v>
      </c>
      <c r="F386" s="36" t="str">
        <f>IF(ISBLANK(Table2[[#This Row],[unique_id]]), "", PROPER(SUBSTITUTE(Table2[[#This Row],[unique_id]], "_", " ")))</f>
        <v>Deck Fans Outlet</v>
      </c>
      <c r="G386" s="30" t="s">
        <v>615</v>
      </c>
      <c r="H386" s="30" t="s">
        <v>526</v>
      </c>
      <c r="I386" s="30" t="s">
        <v>291</v>
      </c>
      <c r="M386" s="30" t="s">
        <v>257</v>
      </c>
      <c r="O386" s="31" t="s">
        <v>788</v>
      </c>
      <c r="P386" s="30" t="s">
        <v>165</v>
      </c>
      <c r="Q386" s="30" t="s">
        <v>760</v>
      </c>
      <c r="R386" s="30" t="s">
        <v>762</v>
      </c>
      <c r="S386" s="30" t="s">
        <v>819</v>
      </c>
      <c r="T386" s="37" t="s">
        <v>818</v>
      </c>
      <c r="U386" s="30"/>
      <c r="V386" s="31"/>
      <c r="W386" s="31" t="s">
        <v>489</v>
      </c>
      <c r="X386" s="31"/>
      <c r="Y386" s="42" t="s">
        <v>757</v>
      </c>
      <c r="Z386" s="31"/>
      <c r="AA386" s="31"/>
      <c r="AB386" s="30"/>
      <c r="AC386" s="30"/>
      <c r="AE386" s="30" t="s">
        <v>251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Deck</v>
      </c>
      <c r="BA386" s="30" t="str">
        <f>IF(ISBLANK(Table2[[#This Row],[device_model]]), "", Table2[[#This Row],[device_suggested_area]])</f>
        <v>Deck</v>
      </c>
      <c r="BB386" s="37" t="s">
        <v>1015</v>
      </c>
      <c r="BC386" s="37" t="s">
        <v>617</v>
      </c>
      <c r="BD386" s="30" t="s">
        <v>377</v>
      </c>
      <c r="BF386" s="37" t="s">
        <v>618</v>
      </c>
      <c r="BG386" s="30" t="s">
        <v>357</v>
      </c>
      <c r="BL386" s="30" t="s">
        <v>619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7" spans="1:66" ht="16" customHeight="1" x14ac:dyDescent="0.2">
      <c r="A387" s="30">
        <v>2605</v>
      </c>
      <c r="B387" s="30" t="s">
        <v>26</v>
      </c>
      <c r="C387" s="30" t="s">
        <v>377</v>
      </c>
      <c r="D387" s="30" t="s">
        <v>134</v>
      </c>
      <c r="E387" s="39" t="s">
        <v>613</v>
      </c>
      <c r="F387" s="36" t="str">
        <f>IF(ISBLANK(Table2[[#This Row],[unique_id]]), "", PROPER(SUBSTITUTE(Table2[[#This Row],[unique_id]], "_", " ")))</f>
        <v>Kitchen Fan Outlet</v>
      </c>
      <c r="G387" s="30" t="s">
        <v>614</v>
      </c>
      <c r="H387" s="30" t="s">
        <v>526</v>
      </c>
      <c r="I387" s="30" t="s">
        <v>291</v>
      </c>
      <c r="M387" s="30" t="s">
        <v>257</v>
      </c>
      <c r="O387" s="31" t="s">
        <v>788</v>
      </c>
      <c r="P387" s="30" t="s">
        <v>165</v>
      </c>
      <c r="Q387" s="30" t="s">
        <v>760</v>
      </c>
      <c r="R387" s="30" t="s">
        <v>762</v>
      </c>
      <c r="S387" s="30" t="s">
        <v>819</v>
      </c>
      <c r="T387" s="37" t="s">
        <v>818</v>
      </c>
      <c r="U387" s="30"/>
      <c r="V387" s="31"/>
      <c r="W387" s="31" t="s">
        <v>489</v>
      </c>
      <c r="X387" s="31"/>
      <c r="Y387" s="42" t="s">
        <v>757</v>
      </c>
      <c r="Z387" s="31"/>
      <c r="AA387" s="31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Kitchen</v>
      </c>
      <c r="BA387" s="30" t="str">
        <f>IF(ISBLANK(Table2[[#This Row],[device_model]]), "", Table2[[#This Row],[device_suggested_area]])</f>
        <v>Kitchen</v>
      </c>
      <c r="BB387" s="37" t="s">
        <v>1016</v>
      </c>
      <c r="BC387" s="37" t="s">
        <v>617</v>
      </c>
      <c r="BD387" s="30" t="s">
        <v>377</v>
      </c>
      <c r="BF387" s="37" t="s">
        <v>618</v>
      </c>
      <c r="BG387" s="30" t="s">
        <v>206</v>
      </c>
      <c r="BL387" s="30" t="s">
        <v>620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8" spans="1:66" ht="16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1560</v>
      </c>
      <c r="F388" s="36" t="str">
        <f>IF(ISBLANK(Table2[[#This Row],[unique_id]]), "", PROPER(SUBSTITUTE(Table2[[#This Row],[unique_id]], "_", " ")))</f>
        <v>Ada Desk Outlet</v>
      </c>
      <c r="G388" s="30" t="s">
        <v>1559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42"/>
      <c r="AA388" s="42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Ada</v>
      </c>
      <c r="BA388" s="30" t="str">
        <f>IF(ISBLANK(Table2[[#This Row],[device_model]]), "", Table2[[#This Row],[device_suggested_area]])</f>
        <v>Ada</v>
      </c>
      <c r="BB388" s="37" t="s">
        <v>1547</v>
      </c>
      <c r="BC388" s="37" t="s">
        <v>617</v>
      </c>
      <c r="BD388" s="30" t="s">
        <v>377</v>
      </c>
      <c r="BF388" s="37" t="s">
        <v>618</v>
      </c>
      <c r="BG388" s="30" t="s">
        <v>130</v>
      </c>
      <c r="BL388" s="30" t="s">
        <v>1561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1546</v>
      </c>
      <c r="F389" s="36" t="str">
        <f>IF(ISBLANK(Table2[[#This Row],[unique_id]]), "", PROPER(SUBSTITUTE(Table2[[#This Row],[unique_id]], "_", " ")))</f>
        <v>Edwin Desk Outlet</v>
      </c>
      <c r="G389" s="30" t="s">
        <v>1545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42"/>
      <c r="AA389" s="42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Edwin</v>
      </c>
      <c r="BA389" s="30" t="str">
        <f>IF(ISBLANK(Table2[[#This Row],[device_model]]), "", Table2[[#This Row],[device_suggested_area]])</f>
        <v>Edwin</v>
      </c>
      <c r="BB389" s="37" t="s">
        <v>1547</v>
      </c>
      <c r="BC389" s="37" t="s">
        <v>617</v>
      </c>
      <c r="BD389" s="30" t="s">
        <v>377</v>
      </c>
      <c r="BF389" s="37" t="s">
        <v>618</v>
      </c>
      <c r="BG389" s="30" t="s">
        <v>127</v>
      </c>
      <c r="BL389" s="30" t="s">
        <v>616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0" spans="1:66" s="55" customFormat="1" ht="16" customHeight="1" x14ac:dyDescent="0.2">
      <c r="A390" s="30">
        <v>2608</v>
      </c>
      <c r="B390" s="55" t="s">
        <v>579</v>
      </c>
      <c r="C390" s="55" t="s">
        <v>808</v>
      </c>
      <c r="D390" s="55" t="s">
        <v>148</v>
      </c>
      <c r="E390" s="56" t="s">
        <v>1476</v>
      </c>
      <c r="F390" s="57" t="str">
        <f>IF(ISBLANK(Table2[[#This Row],[unique_id]]), "", PROPER(SUBSTITUTE(Table2[[#This Row],[unique_id]], "_", " ")))</f>
        <v>Broken Template Server May Plug Proxy</v>
      </c>
      <c r="G390" s="55" t="s">
        <v>1477</v>
      </c>
      <c r="H390" s="55" t="s">
        <v>526</v>
      </c>
      <c r="I390" s="55" t="s">
        <v>291</v>
      </c>
      <c r="O390" s="58" t="s">
        <v>788</v>
      </c>
      <c r="R390" s="55" t="s">
        <v>801</v>
      </c>
      <c r="S390" s="55" t="str">
        <f>Table2[[#This Row],[friendly_name]]</f>
        <v>Server May</v>
      </c>
      <c r="T390" s="56" t="s">
        <v>1067</v>
      </c>
      <c r="V390" s="58"/>
      <c r="W390" s="58"/>
      <c r="X390" s="58"/>
      <c r="Y390" s="58"/>
      <c r="Z390" s="58"/>
      <c r="AA390" s="58"/>
      <c r="AG390" s="58"/>
      <c r="AH390" s="58"/>
      <c r="AR390" s="60"/>
      <c r="AT390" s="62"/>
      <c r="AU390" s="55" t="s">
        <v>134</v>
      </c>
      <c r="AV39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5" t="str">
        <f>IF(ISBLANK(Table2[[#This Row],[device_model]]), "", Table2[[#This Row],[device_suggested_area]])</f>
        <v>Rack</v>
      </c>
      <c r="BB390" s="55" t="s">
        <v>1482</v>
      </c>
      <c r="BC390" s="60" t="s">
        <v>360</v>
      </c>
      <c r="BD390" s="55" t="s">
        <v>233</v>
      </c>
      <c r="BF390" s="55" t="s">
        <v>361</v>
      </c>
      <c r="BG390" s="55" t="s">
        <v>28</v>
      </c>
      <c r="BN39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5" customFormat="1" ht="16" customHeight="1" x14ac:dyDescent="0.2">
      <c r="A391" s="30">
        <v>2609</v>
      </c>
      <c r="B391" s="55" t="s">
        <v>579</v>
      </c>
      <c r="C391" s="55" t="s">
        <v>233</v>
      </c>
      <c r="D391" s="55" t="s">
        <v>134</v>
      </c>
      <c r="E391" s="55" t="s">
        <v>1478</v>
      </c>
      <c r="F391" s="57" t="str">
        <f>IF(ISBLANK(Table2[[#This Row],[unique_id]]), "", PROPER(SUBSTITUTE(Table2[[#This Row],[unique_id]], "_", " ")))</f>
        <v>Broken Server May Plug</v>
      </c>
      <c r="G391" s="55" t="s">
        <v>1477</v>
      </c>
      <c r="H391" s="55" t="s">
        <v>526</v>
      </c>
      <c r="I391" s="55" t="s">
        <v>291</v>
      </c>
      <c r="M391" s="55" t="s">
        <v>257</v>
      </c>
      <c r="O391" s="58" t="s">
        <v>788</v>
      </c>
      <c r="R391" s="55" t="s">
        <v>801</v>
      </c>
      <c r="S391" s="55" t="str">
        <f>Table2[[#This Row],[friendly_name]]</f>
        <v>Server May</v>
      </c>
      <c r="T391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1" s="58"/>
      <c r="W391" s="58"/>
      <c r="X391" s="58"/>
      <c r="Y391" s="58"/>
      <c r="Z391" s="58"/>
      <c r="AA391" s="58"/>
      <c r="AE391" s="55" t="s">
        <v>252</v>
      </c>
      <c r="AG391" s="58"/>
      <c r="AH391" s="58"/>
      <c r="AR391" s="60"/>
      <c r="AT391" s="62"/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1482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J391" s="55" t="s">
        <v>978</v>
      </c>
      <c r="BK391" s="55" t="s">
        <v>1296</v>
      </c>
      <c r="BL391" s="55" t="s">
        <v>804</v>
      </c>
      <c r="BM391" s="55" t="s">
        <v>1342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2" spans="1:66" s="55" customFormat="1" ht="16" customHeight="1" x14ac:dyDescent="0.2">
      <c r="A392" s="30">
        <v>2610</v>
      </c>
      <c r="B392" s="55" t="s">
        <v>579</v>
      </c>
      <c r="C392" s="55" t="s">
        <v>808</v>
      </c>
      <c r="D392" s="55" t="s">
        <v>148</v>
      </c>
      <c r="E392" s="56" t="s">
        <v>1452</v>
      </c>
      <c r="F392" s="57" t="str">
        <f>IF(ISBLANK(Table2[[#This Row],[unique_id]]), "", PROPER(SUBSTITUTE(Table2[[#This Row],[unique_id]], "_", " ")))</f>
        <v>Broken Template Server Meg Plug Proxy</v>
      </c>
      <c r="G392" s="60" t="s">
        <v>805</v>
      </c>
      <c r="H392" s="55" t="s">
        <v>526</v>
      </c>
      <c r="I392" s="55" t="s">
        <v>291</v>
      </c>
      <c r="O392" s="58" t="s">
        <v>788</v>
      </c>
      <c r="R392" s="55" t="s">
        <v>801</v>
      </c>
      <c r="S392" s="55" t="str">
        <f>Table2[[#This Row],[friendly_name]]</f>
        <v>Server Meg</v>
      </c>
      <c r="T392" s="56" t="s">
        <v>1067</v>
      </c>
      <c r="V392" s="58"/>
      <c r="W392" s="58"/>
      <c r="X392" s="58"/>
      <c r="Y392" s="58"/>
      <c r="Z392" s="58"/>
      <c r="AA392" s="58"/>
      <c r="AG392" s="58"/>
      <c r="AH392" s="58"/>
      <c r="AR392" s="60"/>
      <c r="AT392" s="62"/>
      <c r="AU392" s="55" t="s">
        <v>134</v>
      </c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1060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233</v>
      </c>
      <c r="D393" s="55" t="s">
        <v>134</v>
      </c>
      <c r="E393" s="55" t="s">
        <v>1453</v>
      </c>
      <c r="F393" s="57" t="str">
        <f>IF(ISBLANK(Table2[[#This Row],[unique_id]]), "", PROPER(SUBSTITUTE(Table2[[#This Row],[unique_id]], "_", " ")))</f>
        <v>Broken Server Meg Plug</v>
      </c>
      <c r="G393" s="60" t="s">
        <v>805</v>
      </c>
      <c r="H393" s="55" t="s">
        <v>526</v>
      </c>
      <c r="I393" s="55" t="s">
        <v>291</v>
      </c>
      <c r="M393" s="55" t="s">
        <v>257</v>
      </c>
      <c r="O393" s="58" t="s">
        <v>788</v>
      </c>
      <c r="R393" s="55" t="s">
        <v>801</v>
      </c>
      <c r="S393" s="55" t="str">
        <f>Table2[[#This Row],[friendly_name]]</f>
        <v>Server Meg</v>
      </c>
      <c r="T393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3" s="58"/>
      <c r="W393" s="58"/>
      <c r="X393" s="58"/>
      <c r="Y393" s="58"/>
      <c r="Z393" s="58"/>
      <c r="AA393" s="58"/>
      <c r="AE393" s="55" t="s">
        <v>252</v>
      </c>
      <c r="AG393" s="58"/>
      <c r="AH393" s="58"/>
      <c r="AR393" s="60"/>
      <c r="AT393" s="62"/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1060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J393" s="55" t="s">
        <v>978</v>
      </c>
      <c r="BK393" s="55" t="s">
        <v>1296</v>
      </c>
      <c r="BL393" s="55" t="s">
        <v>803</v>
      </c>
      <c r="BM393" s="55" t="s">
        <v>1343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4" spans="1:66" ht="16" customHeight="1" x14ac:dyDescent="0.2">
      <c r="A394" s="30">
        <v>2612</v>
      </c>
      <c r="B394" s="30" t="s">
        <v>26</v>
      </c>
      <c r="C394" s="30" t="s">
        <v>808</v>
      </c>
      <c r="D394" s="30" t="s">
        <v>148</v>
      </c>
      <c r="E394" s="37" t="s">
        <v>1487</v>
      </c>
      <c r="F394" s="36" t="str">
        <f>IF(ISBLANK(Table2[[#This Row],[unique_id]]), "", PROPER(SUBSTITUTE(Table2[[#This Row],[unique_id]], "_", " ")))</f>
        <v>Template Server Jen Plug Proxy</v>
      </c>
      <c r="G394" s="30" t="s">
        <v>1492</v>
      </c>
      <c r="H394" s="30" t="s">
        <v>526</v>
      </c>
      <c r="I394" s="30" t="s">
        <v>291</v>
      </c>
      <c r="O394" s="31" t="s">
        <v>788</v>
      </c>
      <c r="P394" s="30" t="s">
        <v>165</v>
      </c>
      <c r="Q394" s="30" t="s">
        <v>760</v>
      </c>
      <c r="R394" s="30" t="s">
        <v>762</v>
      </c>
      <c r="S394" s="30" t="str">
        <f>Table2[[#This Row],[friendly_name]]</f>
        <v>Server Jen</v>
      </c>
      <c r="T39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134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">
        <v>495</v>
      </c>
      <c r="BB394" s="30" t="s">
        <v>1493</v>
      </c>
      <c r="BC394" s="30" t="s">
        <v>359</v>
      </c>
      <c r="BD394" s="30" t="s">
        <v>233</v>
      </c>
      <c r="BF394" s="30" t="s">
        <v>362</v>
      </c>
      <c r="BG394" s="30" t="s">
        <v>495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233</v>
      </c>
      <c r="D395" s="30" t="s">
        <v>134</v>
      </c>
      <c r="E395" s="30" t="s">
        <v>1488</v>
      </c>
      <c r="F395" s="36" t="str">
        <f>IF(ISBLANK(Table2[[#This Row],[unique_id]]), "", PROPER(SUBSTITUTE(Table2[[#This Row],[unique_id]], "_", " ")))</f>
        <v>Server Jen Plug</v>
      </c>
      <c r="G395" s="30" t="s">
        <v>1492</v>
      </c>
      <c r="H395" s="30" t="s">
        <v>526</v>
      </c>
      <c r="I395" s="30" t="s">
        <v>291</v>
      </c>
      <c r="M395" s="30" t="s">
        <v>257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Server Jen</v>
      </c>
      <c r="T39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5" s="30"/>
      <c r="V395" s="31"/>
      <c r="W395" s="31"/>
      <c r="X395" s="31"/>
      <c r="Y395" s="31"/>
      <c r="Z395" s="31"/>
      <c r="AA395" s="31"/>
      <c r="AB395" s="30"/>
      <c r="AC395" s="30"/>
      <c r="AE395" s="30" t="s">
        <v>252</v>
      </c>
      <c r="AG395" s="31"/>
      <c r="AH395" s="31"/>
      <c r="AT395" s="40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">
        <v>495</v>
      </c>
      <c r="BB395" s="30" t="s">
        <v>1493</v>
      </c>
      <c r="BC395" s="30" t="s">
        <v>359</v>
      </c>
      <c r="BD395" s="30" t="s">
        <v>233</v>
      </c>
      <c r="BF395" s="30" t="s">
        <v>362</v>
      </c>
      <c r="BG395" s="30" t="s">
        <v>495</v>
      </c>
      <c r="BJ395" s="30" t="s">
        <v>978</v>
      </c>
      <c r="BK395" s="30" t="s">
        <v>1296</v>
      </c>
      <c r="BL395" s="30" t="s">
        <v>348</v>
      </c>
      <c r="BM395" s="30" t="s">
        <v>1344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6" spans="1:66" ht="16" customHeight="1" x14ac:dyDescent="0.2">
      <c r="A396" s="30">
        <v>2614</v>
      </c>
      <c r="B396" s="30" t="s">
        <v>26</v>
      </c>
      <c r="C396" s="30" t="s">
        <v>808</v>
      </c>
      <c r="D396" s="30" t="s">
        <v>148</v>
      </c>
      <c r="E396" s="37" t="s">
        <v>967</v>
      </c>
      <c r="F396" s="36" t="str">
        <f>IF(ISBLANK(Table2[[#This Row],[unique_id]]), "", PROPER(SUBSTITUTE(Table2[[#This Row],[unique_id]], "_", " ")))</f>
        <v>Template Rack Outlet Plug Proxy</v>
      </c>
      <c r="G396" s="30" t="s">
        <v>222</v>
      </c>
      <c r="H396" s="30" t="s">
        <v>526</v>
      </c>
      <c r="I396" s="30" t="s">
        <v>291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Rack</v>
      </c>
      <c r="T396" s="37" t="s">
        <v>1069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1019</v>
      </c>
      <c r="BC396" s="30" t="s">
        <v>915</v>
      </c>
      <c r="BD396" s="30" t="s">
        <v>1110</v>
      </c>
      <c r="BF396" s="30" t="s">
        <v>887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695</v>
      </c>
      <c r="D397" s="30" t="s">
        <v>134</v>
      </c>
      <c r="E397" s="30" t="s">
        <v>838</v>
      </c>
      <c r="F397" s="36" t="str">
        <f>IF(ISBLANK(Table2[[#This Row],[unique_id]]), "", PROPER(SUBSTITUTE(Table2[[#This Row],[unique_id]], "_", " ")))</f>
        <v>Rack Outlet Plug</v>
      </c>
      <c r="G397" s="30" t="s">
        <v>222</v>
      </c>
      <c r="H397" s="30" t="s">
        <v>526</v>
      </c>
      <c r="I397" s="30" t="s">
        <v>291</v>
      </c>
      <c r="M397" s="30" t="s">
        <v>257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Rack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7" s="30"/>
      <c r="V397" s="31"/>
      <c r="W397" s="31"/>
      <c r="X397" s="31"/>
      <c r="Y397" s="31"/>
      <c r="Z397" s="31"/>
      <c r="AA397" s="42" t="s">
        <v>1108</v>
      </c>
      <c r="AB397" s="30"/>
      <c r="AC397" s="30"/>
      <c r="AE397" s="30" t="s">
        <v>252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homeassistant/switch/tasmota/rack_outlet_plug/config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7" s="30" t="str">
        <f>_xlfn.CONCAT("tasmota/device/",Table2[[#This Row],[unique_id]], "/cmnd/POWER")</f>
        <v>tasmota/device/rack_outlet_plug/cmnd/POWER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970</v>
      </c>
      <c r="AS397" s="30">
        <v>1</v>
      </c>
      <c r="AT397" s="34" t="str">
        <f>HYPERLINK(_xlfn.CONCAT("http://", Table2[[#This Row],[connection_ip]], "/?"))</f>
        <v>http://10.0.4.102/?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1019</v>
      </c>
      <c r="BC397" s="30" t="s">
        <v>915</v>
      </c>
      <c r="BD397" s="30" t="s">
        <v>1110</v>
      </c>
      <c r="BF397" s="30" t="s">
        <v>887</v>
      </c>
      <c r="BG397" s="30" t="s">
        <v>28</v>
      </c>
      <c r="BK397" s="30" t="s">
        <v>1296</v>
      </c>
      <c r="BL397" s="30" t="s">
        <v>914</v>
      </c>
      <c r="BM397" s="30" t="s">
        <v>1346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8" spans="1:66" ht="16" customHeight="1" x14ac:dyDescent="0.2">
      <c r="A398" s="30">
        <v>2616</v>
      </c>
      <c r="B398" s="30" t="s">
        <v>26</v>
      </c>
      <c r="C398" s="30" t="s">
        <v>695</v>
      </c>
      <c r="D398" s="30" t="s">
        <v>27</v>
      </c>
      <c r="E398" s="30" t="s">
        <v>968</v>
      </c>
      <c r="F398" s="36" t="str">
        <f>IF(ISBLANK(Table2[[#This Row],[unique_id]]), "", PROPER(SUBSTITUTE(Table2[[#This Row],[unique_id]], "_", " ")))</f>
        <v>Rack Outlet Plug Energy Power</v>
      </c>
      <c r="G398" s="30" t="s">
        <v>222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898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homeassistant/sensor/tasmota/rack_outlet_plug_energy_power/config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1104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695</v>
      </c>
      <c r="D399" s="30" t="s">
        <v>27</v>
      </c>
      <c r="E399" s="30" t="s">
        <v>969</v>
      </c>
      <c r="F399" s="36" t="str">
        <f>IF(ISBLANK(Table2[[#This Row],[unique_id]]), "", PROPER(SUBSTITUTE(Table2[[#This Row],[unique_id]], "_", " ")))</f>
        <v>Rack Outlet Plug Energy Total</v>
      </c>
      <c r="G399" s="30" t="s">
        <v>222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899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homeassistant/sensor/tasmota/rack_outlet_plug_energy_total/config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1105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808</v>
      </c>
      <c r="D400" s="30" t="s">
        <v>148</v>
      </c>
      <c r="E400" s="37" t="s">
        <v>1094</v>
      </c>
      <c r="F400" s="36" t="str">
        <f>IF(ISBLANK(Table2[[#This Row],[unique_id]]), "", PROPER(SUBSTITUTE(Table2[[#This Row],[unique_id]], "_", " ")))</f>
        <v>Template Ceiling Network Switch Plug Proxy</v>
      </c>
      <c r="G400" s="30" t="s">
        <v>1467</v>
      </c>
      <c r="H400" s="30" t="s">
        <v>526</v>
      </c>
      <c r="I400" s="30" t="s">
        <v>291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Ceiling Network Devices</v>
      </c>
      <c r="T400" s="37" t="s">
        <v>1069</v>
      </c>
      <c r="U400" s="30"/>
      <c r="V400" s="31"/>
      <c r="W400" s="31"/>
      <c r="X400" s="31"/>
      <c r="Y400" s="31"/>
      <c r="Z400" s="31"/>
      <c r="AA400" s="31"/>
      <c r="AB400" s="30"/>
      <c r="AC400" s="30"/>
      <c r="AG400" s="31"/>
      <c r="AH400" s="31"/>
      <c r="AT400" s="40"/>
      <c r="AU400" s="30" t="s">
        <v>134</v>
      </c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220</v>
      </c>
      <c r="BC400" s="30" t="s">
        <v>915</v>
      </c>
      <c r="BD400" s="30" t="s">
        <v>1110</v>
      </c>
      <c r="BF400" s="30" t="s">
        <v>887</v>
      </c>
      <c r="BG400" s="30" t="s">
        <v>403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134</v>
      </c>
      <c r="E401" s="30" t="s">
        <v>1095</v>
      </c>
      <c r="F401" s="36" t="str">
        <f>IF(ISBLANK(Table2[[#This Row],[unique_id]]), "", PROPER(SUBSTITUTE(Table2[[#This Row],[unique_id]], "_", " ")))</f>
        <v>Ceiling Network Switch Plug</v>
      </c>
      <c r="G401" s="30" t="s">
        <v>1467</v>
      </c>
      <c r="H401" s="30" t="s">
        <v>526</v>
      </c>
      <c r="I401" s="30" t="s">
        <v>291</v>
      </c>
      <c r="M401" s="30" t="s">
        <v>257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tr">
        <f>Table2[[#This Row],[friendly_name]]</f>
        <v>Ceiling Network Devices</v>
      </c>
      <c r="T40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1" s="30"/>
      <c r="V401" s="31"/>
      <c r="W401" s="31"/>
      <c r="X401" s="31"/>
      <c r="Y401" s="31"/>
      <c r="Z401" s="31"/>
      <c r="AA401" s="42" t="s">
        <v>1108</v>
      </c>
      <c r="AB401" s="30"/>
      <c r="AC401" s="30"/>
      <c r="AE401" s="30" t="s">
        <v>253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homeassistant/switch/tasmota/ceiling_network_switch_plug/config</v>
      </c>
      <c r="AK40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1" s="30" t="str">
        <f>_xlfn.CONCAT("tasmota/device/",Table2[[#This Row],[unique_id]], "/cmnd/POWER")</f>
        <v>tasmota/device/ceiling_network_switch_plug/cmnd/POWER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970</v>
      </c>
      <c r="AS401" s="30">
        <v>1</v>
      </c>
      <c r="AT401" s="34" t="str">
        <f>HYPERLINK(_xlfn.CONCAT("http://", Table2[[#This Row],[connection_ip]], "/?"))</f>
        <v>http://10.0.4.105/?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915</v>
      </c>
      <c r="BD401" s="30" t="s">
        <v>1110</v>
      </c>
      <c r="BF401" s="30" t="s">
        <v>887</v>
      </c>
      <c r="BG401" s="30" t="s">
        <v>403</v>
      </c>
      <c r="BK401" s="30" t="s">
        <v>1296</v>
      </c>
      <c r="BL401" s="41" t="s">
        <v>980</v>
      </c>
      <c r="BM401" s="30" t="s">
        <v>1348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1096</v>
      </c>
      <c r="F402" s="36" t="str">
        <f>IF(ISBLANK(Table2[[#This Row],[unique_id]]), "", PROPER(SUBSTITUTE(Table2[[#This Row],[unique_id]], "_", " ")))</f>
        <v>Ceiling Network Switch Plug Energy Power</v>
      </c>
      <c r="G402" s="30" t="s">
        <v>1467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31</v>
      </c>
      <c r="AC402" s="30" t="s">
        <v>327</v>
      </c>
      <c r="AD402" s="30" t="s">
        <v>898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homeassistant/sensor/tasmota/ceiling_network_switch_plug_energy_power/config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695</v>
      </c>
      <c r="D403" s="30" t="s">
        <v>27</v>
      </c>
      <c r="E403" s="30" t="s">
        <v>1097</v>
      </c>
      <c r="F403" s="36" t="str">
        <f>IF(ISBLANK(Table2[[#This Row],[unique_id]]), "", PROPER(SUBSTITUTE(Table2[[#This Row],[unique_id]], "_", " ")))</f>
        <v>Ceiling Network Switch Plug Energy Total</v>
      </c>
      <c r="G403" s="30" t="s">
        <v>1467</v>
      </c>
      <c r="H403" s="30" t="s">
        <v>526</v>
      </c>
      <c r="I403" s="30" t="s">
        <v>291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 t="s">
        <v>76</v>
      </c>
      <c r="AC403" s="30" t="s">
        <v>328</v>
      </c>
      <c r="AD403" s="30" t="s">
        <v>899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homeassistant/sensor/tasmota/ceiling_network_switch_plug_energy_total/config</v>
      </c>
      <c r="AK40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1105</v>
      </c>
      <c r="AS403" s="30">
        <v>1</v>
      </c>
      <c r="AT403" s="34"/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s="55" customFormat="1" ht="16" customHeight="1" x14ac:dyDescent="0.2">
      <c r="A404" s="30">
        <v>2622</v>
      </c>
      <c r="B404" s="55" t="s">
        <v>579</v>
      </c>
      <c r="C404" s="55" t="s">
        <v>808</v>
      </c>
      <c r="D404" s="55" t="s">
        <v>148</v>
      </c>
      <c r="E404" s="56" t="s">
        <v>1454</v>
      </c>
      <c r="F404" s="57" t="str">
        <f>IF(ISBLANK(Table2[[#This Row],[unique_id]]), "", PROPER(SUBSTITUTE(Table2[[#This Row],[unique_id]], "_", " ")))</f>
        <v>Broken Template Rack Internet Modem Plug Proxy</v>
      </c>
      <c r="G404" s="55" t="s">
        <v>221</v>
      </c>
      <c r="H404" s="55" t="s">
        <v>526</v>
      </c>
      <c r="I404" s="55" t="s">
        <v>291</v>
      </c>
      <c r="O404" s="58" t="s">
        <v>788</v>
      </c>
      <c r="R404" s="55" t="s">
        <v>802</v>
      </c>
      <c r="S404" s="55" t="str">
        <f>Table2[[#This Row],[friendly_name]]</f>
        <v>Internet Modem</v>
      </c>
      <c r="T404" s="56" t="s">
        <v>1067</v>
      </c>
      <c r="V404" s="58"/>
      <c r="W404" s="58"/>
      <c r="X404" s="58"/>
      <c r="Y404" s="58"/>
      <c r="Z404" s="58"/>
      <c r="AA404" s="58"/>
      <c r="AG404" s="58"/>
      <c r="AH404" s="58"/>
      <c r="AT404" s="59"/>
      <c r="AU404" s="55" t="s">
        <v>134</v>
      </c>
      <c r="AV4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55" t="str">
        <f>IF(ISBLANK(Table2[[#This Row],[device_model]]), "", Table2[[#This Row],[device_suggested_area]])</f>
        <v>Rack</v>
      </c>
      <c r="BB404" s="55" t="s">
        <v>1024</v>
      </c>
      <c r="BC404" s="60" t="s">
        <v>360</v>
      </c>
      <c r="BD404" s="55" t="s">
        <v>233</v>
      </c>
      <c r="BF404" s="55" t="s">
        <v>361</v>
      </c>
      <c r="BG404" s="55" t="s">
        <v>28</v>
      </c>
      <c r="BN4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s="55" customFormat="1" ht="16" customHeight="1" x14ac:dyDescent="0.2">
      <c r="A405" s="30">
        <v>2623</v>
      </c>
      <c r="B405" s="55" t="s">
        <v>579</v>
      </c>
      <c r="C405" s="55" t="s">
        <v>233</v>
      </c>
      <c r="D405" s="55" t="s">
        <v>134</v>
      </c>
      <c r="E405" s="55" t="s">
        <v>1455</v>
      </c>
      <c r="F405" s="57" t="str">
        <f>IF(ISBLANK(Table2[[#This Row],[unique_id]]), "", PROPER(SUBSTITUTE(Table2[[#This Row],[unique_id]], "_", " ")))</f>
        <v>Broken Rack Internet Modem Plug</v>
      </c>
      <c r="G405" s="55" t="s">
        <v>221</v>
      </c>
      <c r="H405" s="55" t="s">
        <v>526</v>
      </c>
      <c r="I405" s="55" t="s">
        <v>291</v>
      </c>
      <c r="M405" s="55" t="s">
        <v>257</v>
      </c>
      <c r="O405" s="58" t="s">
        <v>788</v>
      </c>
      <c r="R405" s="55" t="s">
        <v>802</v>
      </c>
      <c r="S405" s="55" t="str">
        <f>Table2[[#This Row],[friendly_name]]</f>
        <v>Internet Modem</v>
      </c>
      <c r="T405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5" s="58"/>
      <c r="W405" s="58"/>
      <c r="X405" s="58"/>
      <c r="Y405" s="58"/>
      <c r="Z405" s="58"/>
      <c r="AA405" s="58"/>
      <c r="AE405" s="55" t="s">
        <v>254</v>
      </c>
      <c r="AG405" s="58"/>
      <c r="AH405" s="58"/>
      <c r="AT405" s="59"/>
      <c r="AV4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55" t="str">
        <f>IF(ISBLANK(Table2[[#This Row],[device_model]]), "", Table2[[#This Row],[device_suggested_area]])</f>
        <v>Rack</v>
      </c>
      <c r="BB405" s="55" t="s">
        <v>1024</v>
      </c>
      <c r="BC405" s="60" t="s">
        <v>360</v>
      </c>
      <c r="BD405" s="55" t="s">
        <v>233</v>
      </c>
      <c r="BF405" s="55" t="s">
        <v>361</v>
      </c>
      <c r="BG405" s="55" t="s">
        <v>28</v>
      </c>
      <c r="BJ405" s="55" t="s">
        <v>977</v>
      </c>
      <c r="BK405" s="55" t="s">
        <v>1296</v>
      </c>
      <c r="BL405" s="55" t="s">
        <v>354</v>
      </c>
      <c r="BM405" s="55" t="s">
        <v>1349</v>
      </c>
      <c r="BN4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6" spans="1:66" ht="16" customHeight="1" x14ac:dyDescent="0.2">
      <c r="A406" s="30">
        <v>2624</v>
      </c>
      <c r="B406" s="30" t="s">
        <v>26</v>
      </c>
      <c r="C406" s="30" t="s">
        <v>450</v>
      </c>
      <c r="D406" s="30" t="s">
        <v>27</v>
      </c>
      <c r="E406" s="30" t="s">
        <v>814</v>
      </c>
      <c r="F406" s="36" t="str">
        <f>IF(ISBLANK(Table2[[#This Row],[unique_id]]), "", PROPER(SUBSTITUTE(Table2[[#This Row],[unique_id]], "_", " ")))</f>
        <v>Garden Repeater Linkquality</v>
      </c>
      <c r="G406" s="30" t="s">
        <v>699</v>
      </c>
      <c r="H406" s="30" t="s">
        <v>526</v>
      </c>
      <c r="I406" s="30" t="s">
        <v>291</v>
      </c>
      <c r="O406" s="31" t="s">
        <v>788</v>
      </c>
      <c r="P406" s="30" t="s">
        <v>165</v>
      </c>
      <c r="Q406" s="30" t="s">
        <v>760</v>
      </c>
      <c r="R406" s="30" t="s">
        <v>762</v>
      </c>
      <c r="S406" s="30" t="s">
        <v>819</v>
      </c>
      <c r="T406" s="37" t="s">
        <v>817</v>
      </c>
      <c r="U406" s="30"/>
      <c r="V406" s="31"/>
      <c r="W406" s="31" t="s">
        <v>489</v>
      </c>
      <c r="X406" s="31"/>
      <c r="Y406" s="42" t="s">
        <v>757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Garden</v>
      </c>
      <c r="BA406" s="30" t="str">
        <f>IF(ISBLANK(Table2[[#This Row],[device_model]]), "", Table2[[#This Row],[device_suggested_area]])</f>
        <v>Garden</v>
      </c>
      <c r="BB406" s="30" t="s">
        <v>989</v>
      </c>
      <c r="BC406" s="39" t="s">
        <v>697</v>
      </c>
      <c r="BD406" s="30" t="s">
        <v>450</v>
      </c>
      <c r="BF406" s="30" t="s">
        <v>696</v>
      </c>
      <c r="BG406" s="30" t="s">
        <v>576</v>
      </c>
      <c r="BL406" s="30" t="s">
        <v>698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7" spans="1:66" ht="16" customHeight="1" x14ac:dyDescent="0.2">
      <c r="A407" s="30">
        <v>2625</v>
      </c>
      <c r="B407" s="30" t="s">
        <v>26</v>
      </c>
      <c r="C407" s="30" t="s">
        <v>450</v>
      </c>
      <c r="D407" s="30" t="s">
        <v>27</v>
      </c>
      <c r="E407" s="30" t="s">
        <v>815</v>
      </c>
      <c r="F407" s="36" t="str">
        <f>IF(ISBLANK(Table2[[#This Row],[unique_id]]), "", PROPER(SUBSTITUTE(Table2[[#This Row],[unique_id]], "_", " ")))</f>
        <v>Landing Repeater Linkquality</v>
      </c>
      <c r="G407" s="30" t="s">
        <v>701</v>
      </c>
      <c r="H407" s="30" t="s">
        <v>526</v>
      </c>
      <c r="I407" s="30" t="s">
        <v>291</v>
      </c>
      <c r="O407" s="31" t="s">
        <v>788</v>
      </c>
      <c r="P407" s="30" t="s">
        <v>165</v>
      </c>
      <c r="Q407" s="30" t="s">
        <v>760</v>
      </c>
      <c r="R407" s="30" t="s">
        <v>762</v>
      </c>
      <c r="S407" s="30" t="s">
        <v>819</v>
      </c>
      <c r="T407" s="37" t="s">
        <v>817</v>
      </c>
      <c r="U407" s="30"/>
      <c r="V407" s="31"/>
      <c r="W407" s="31" t="s">
        <v>489</v>
      </c>
      <c r="X407" s="31"/>
      <c r="Y407" s="42" t="s">
        <v>757</v>
      </c>
      <c r="Z407" s="31"/>
      <c r="AA407" s="31"/>
      <c r="AB407" s="30"/>
      <c r="AC407" s="30"/>
      <c r="AG407" s="31"/>
      <c r="AH407" s="31"/>
      <c r="AT4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7" s="3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7" s="30" t="str">
        <f>Table2[[#This Row],[device_suggested_area]]</f>
        <v>Landing</v>
      </c>
      <c r="BA407" s="30" t="str">
        <f>IF(ISBLANK(Table2[[#This Row],[device_model]]), "", Table2[[#This Row],[device_suggested_area]])</f>
        <v>Landing</v>
      </c>
      <c r="BB407" s="30" t="s">
        <v>989</v>
      </c>
      <c r="BC407" s="39" t="s">
        <v>697</v>
      </c>
      <c r="BD407" s="30" t="s">
        <v>450</v>
      </c>
      <c r="BF407" s="30" t="s">
        <v>696</v>
      </c>
      <c r="BG407" s="30" t="s">
        <v>559</v>
      </c>
      <c r="BL407" s="30" t="s">
        <v>703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8" spans="1:66" ht="16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816</v>
      </c>
      <c r="F408" s="36" t="str">
        <f>IF(ISBLANK(Table2[[#This Row],[unique_id]]), "", PROPER(SUBSTITUTE(Table2[[#This Row],[unique_id]], "_", " ")))</f>
        <v>Driveway Repeater Linkquality</v>
      </c>
      <c r="G408" s="30" t="s">
        <v>700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Driveway</v>
      </c>
      <c r="BA408" s="30" t="str">
        <f>IF(ISBLANK(Table2[[#This Row],[device_model]]), "", Table2[[#This Row],[device_suggested_area]])</f>
        <v>Driveway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702</v>
      </c>
      <c r="BL408" s="30" t="s">
        <v>704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9" spans="1:66" ht="16" customHeight="1" x14ac:dyDescent="0.2">
      <c r="A409" s="30">
        <v>2627</v>
      </c>
      <c r="B409" s="30" t="s">
        <v>26</v>
      </c>
      <c r="C409" s="30" t="s">
        <v>150</v>
      </c>
      <c r="D409" s="30" t="s">
        <v>310</v>
      </c>
      <c r="E409" s="30" t="s">
        <v>886</v>
      </c>
      <c r="F409" s="36" t="str">
        <f>IF(ISBLANK(Table2[[#This Row],[unique_id]]), "", PROPER(SUBSTITUTE(Table2[[#This Row],[unique_id]], "_", " ")))</f>
        <v>Lighting Reset Adaptive Lighting All</v>
      </c>
      <c r="G409" s="30" t="s">
        <v>790</v>
      </c>
      <c r="H409" s="30" t="s">
        <v>544</v>
      </c>
      <c r="I409" s="30" t="s">
        <v>291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165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150</v>
      </c>
      <c r="D410" s="30" t="s">
        <v>310</v>
      </c>
      <c r="E410" s="36" t="s">
        <v>531</v>
      </c>
      <c r="F410" s="36" t="str">
        <f>IF(ISBLANK(Table2[[#This Row],[unique_id]]), "", PROPER(SUBSTITUTE(Table2[[#This Row],[unique_id]], "_", " ")))</f>
        <v>Lighting Reset Adaptive Lighting Ada Lamp</v>
      </c>
      <c r="G410" s="36" t="s">
        <v>195</v>
      </c>
      <c r="H410" s="30" t="s">
        <v>544</v>
      </c>
      <c r="I410" s="30" t="s">
        <v>291</v>
      </c>
      <c r="J410" s="30" t="s">
        <v>530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32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130</v>
      </c>
      <c r="BI410" s="30" t="s">
        <v>687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6" t="s">
        <v>525</v>
      </c>
      <c r="F411" s="36" t="str">
        <f>IF(ISBLANK(Table2[[#This Row],[unique_id]]), "", PROPER(SUBSTITUTE(Table2[[#This Row],[unique_id]], "_", " ")))</f>
        <v>Lighting Reset Adaptive Lighting Edwin Lamp</v>
      </c>
      <c r="G411" s="36" t="s">
        <v>205</v>
      </c>
      <c r="H411" s="30" t="s">
        <v>544</v>
      </c>
      <c r="I411" s="30" t="s">
        <v>291</v>
      </c>
      <c r="J411" s="30" t="s">
        <v>530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127</v>
      </c>
      <c r="BI411" s="30" t="s">
        <v>687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532</v>
      </c>
      <c r="F412" s="36" t="str">
        <f>IF(ISBLANK(Table2[[#This Row],[unique_id]]), "", PROPER(SUBSTITUTE(Table2[[#This Row],[unique_id]], "_", " ")))</f>
        <v>Lighting Reset Adaptive Lighting Edwin Night Light</v>
      </c>
      <c r="G412" s="36" t="s">
        <v>408</v>
      </c>
      <c r="H412" s="30" t="s">
        <v>544</v>
      </c>
      <c r="I412" s="30" t="s">
        <v>291</v>
      </c>
      <c r="J412" s="30" t="s">
        <v>543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127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533</v>
      </c>
      <c r="F413" s="36" t="str">
        <f>IF(ISBLANK(Table2[[#This Row],[unique_id]]), "", PROPER(SUBSTITUTE(Table2[[#This Row],[unique_id]], "_", " ")))</f>
        <v>Lighting Reset Adaptive Lighting Hallway Main</v>
      </c>
      <c r="G413" s="36" t="s">
        <v>200</v>
      </c>
      <c r="H413" s="30" t="s">
        <v>544</v>
      </c>
      <c r="I413" s="30" t="s">
        <v>291</v>
      </c>
      <c r="J413" s="30" t="s">
        <v>551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404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870</v>
      </c>
      <c r="F414" s="36" t="str">
        <f>IF(ISBLANK(Table2[[#This Row],[unique_id]]), "", PROPER(SUBSTITUTE(Table2[[#This Row],[unique_id]], "_", " ")))</f>
        <v>Lighting Reset Adaptive Lighting Hallway Sconces</v>
      </c>
      <c r="G414" s="36" t="s">
        <v>855</v>
      </c>
      <c r="H414" s="30" t="s">
        <v>544</v>
      </c>
      <c r="I414" s="30" t="s">
        <v>291</v>
      </c>
      <c r="J414" s="30" t="s">
        <v>871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404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534</v>
      </c>
      <c r="F415" s="36" t="str">
        <f>IF(ISBLANK(Table2[[#This Row],[unique_id]]), "", PROPER(SUBSTITUTE(Table2[[#This Row],[unique_id]], "_", " ")))</f>
        <v>Lighting Reset Adaptive Lighting Dining Main</v>
      </c>
      <c r="G415" s="36" t="s">
        <v>138</v>
      </c>
      <c r="H415" s="30" t="s">
        <v>544</v>
      </c>
      <c r="I415" s="30" t="s">
        <v>291</v>
      </c>
      <c r="J415" s="30" t="s">
        <v>551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193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535</v>
      </c>
      <c r="F416" s="36" t="str">
        <f>IF(ISBLANK(Table2[[#This Row],[unique_id]]), "", PROPER(SUBSTITUTE(Table2[[#This Row],[unique_id]], "_", " ")))</f>
        <v>Lighting Reset Adaptive Lighting Lounge Main</v>
      </c>
      <c r="G416" s="36" t="s">
        <v>207</v>
      </c>
      <c r="H416" s="30" t="s">
        <v>544</v>
      </c>
      <c r="I416" s="30" t="s">
        <v>291</v>
      </c>
      <c r="J416" s="30" t="s">
        <v>551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586</v>
      </c>
      <c r="F417" s="36" t="str">
        <f>IF(ISBLANK(Table2[[#This Row],[unique_id]]), "", PROPER(SUBSTITUTE(Table2[[#This Row],[unique_id]], "_", " ")))</f>
        <v>Lighting Reset Adaptive Lighting Lounge Lamp</v>
      </c>
      <c r="G417" s="36" t="s">
        <v>556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165</v>
      </c>
      <c r="BI417" s="30" t="s">
        <v>687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1551</v>
      </c>
      <c r="F418" s="36" t="str">
        <f>IF(ISBLANK(Table2[[#This Row],[unique_id]]), "", PROPER(SUBSTITUTE(Table2[[#This Row],[unique_id]], "_", " ")))</f>
        <v>Lighting Reset Adaptive Lighting Lounge Reading</v>
      </c>
      <c r="G418" s="36" t="s">
        <v>556</v>
      </c>
      <c r="H418" s="30" t="s">
        <v>544</v>
      </c>
      <c r="I418" s="30" t="s">
        <v>291</v>
      </c>
      <c r="J418" s="30" t="s">
        <v>530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165</v>
      </c>
      <c r="BI418" s="30" t="s">
        <v>687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536</v>
      </c>
      <c r="F419" s="36" t="str">
        <f>IF(ISBLANK(Table2[[#This Row],[unique_id]]), "", PROPER(SUBSTITUTE(Table2[[#This Row],[unique_id]], "_", " ")))</f>
        <v>Lighting Reset Adaptive Lighting Parents Main</v>
      </c>
      <c r="G419" s="36" t="s">
        <v>196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192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872</v>
      </c>
      <c r="F420" s="36" t="str">
        <f>IF(ISBLANK(Table2[[#This Row],[unique_id]]), "", PROPER(SUBSTITUTE(Table2[[#This Row],[unique_id]], "_", " ")))</f>
        <v>Lighting Reset Adaptive Lighting Parents Jane Bedside</v>
      </c>
      <c r="G420" s="36" t="s">
        <v>864</v>
      </c>
      <c r="H420" s="30" t="s">
        <v>544</v>
      </c>
      <c r="I420" s="30" t="s">
        <v>291</v>
      </c>
      <c r="J420" s="30" t="s">
        <v>874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192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873</v>
      </c>
      <c r="F421" s="36" t="str">
        <f>IF(ISBLANK(Table2[[#This Row],[unique_id]]), "", PROPER(SUBSTITUTE(Table2[[#This Row],[unique_id]], "_", " ")))</f>
        <v>Lighting Reset Adaptive Lighting Parents Graham Bedside</v>
      </c>
      <c r="G421" s="36" t="s">
        <v>865</v>
      </c>
      <c r="H421" s="30" t="s">
        <v>544</v>
      </c>
      <c r="I421" s="30" t="s">
        <v>291</v>
      </c>
      <c r="J421" s="30" t="s">
        <v>875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876</v>
      </c>
      <c r="F422" s="36" t="str">
        <f>IF(ISBLANK(Table2[[#This Row],[unique_id]]), "", PROPER(SUBSTITUTE(Table2[[#This Row],[unique_id]], "_", " ")))</f>
        <v>Lighting Reset Adaptive Lighting Study Lamp</v>
      </c>
      <c r="G422" s="36" t="s">
        <v>742</v>
      </c>
      <c r="H422" s="30" t="s">
        <v>544</v>
      </c>
      <c r="I422" s="30" t="s">
        <v>291</v>
      </c>
      <c r="J422" s="30" t="s">
        <v>530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537</v>
      </c>
      <c r="F423" s="36" t="str">
        <f>IF(ISBLANK(Table2[[#This Row],[unique_id]]), "", PROPER(SUBSTITUTE(Table2[[#This Row],[unique_id]], "_", " ")))</f>
        <v>Lighting Reset Adaptive Lighting Kitchen Main</v>
      </c>
      <c r="G423" s="36" t="s">
        <v>202</v>
      </c>
      <c r="H423" s="30" t="s">
        <v>544</v>
      </c>
      <c r="I423" s="30" t="s">
        <v>291</v>
      </c>
      <c r="J423" s="30" t="s">
        <v>551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538</v>
      </c>
      <c r="F424" s="36" t="str">
        <f>IF(ISBLANK(Table2[[#This Row],[unique_id]]), "", PROPER(SUBSTITUTE(Table2[[#This Row],[unique_id]], "_", " ")))</f>
        <v>Lighting Reset Adaptive Lighting Laundry Main</v>
      </c>
      <c r="G424" s="36" t="s">
        <v>204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539</v>
      </c>
      <c r="F425" s="36" t="str">
        <f>IF(ISBLANK(Table2[[#This Row],[unique_id]]), "", PROPER(SUBSTITUTE(Table2[[#This Row],[unique_id]], "_", " ")))</f>
        <v>Lighting Reset Adaptive Lighting Pantry Main</v>
      </c>
      <c r="G425" s="36" t="s">
        <v>203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211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552</v>
      </c>
      <c r="F426" s="36" t="str">
        <f>IF(ISBLANK(Table2[[#This Row],[unique_id]]), "", PROPER(SUBSTITUTE(Table2[[#This Row],[unique_id]], "_", " ")))</f>
        <v>Lighting Reset Adaptive Lighting Office Main</v>
      </c>
      <c r="G426" s="36" t="s">
        <v>199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212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540</v>
      </c>
      <c r="F427" s="36" t="str">
        <f>IF(ISBLANK(Table2[[#This Row],[unique_id]]), "", PROPER(SUBSTITUTE(Table2[[#This Row],[unique_id]], "_", " ")))</f>
        <v>Lighting Reset Adaptive Lighting Bathroom Main</v>
      </c>
      <c r="G427" s="36" t="s">
        <v>198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358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877</v>
      </c>
      <c r="F428" s="36" t="str">
        <f>IF(ISBLANK(Table2[[#This Row],[unique_id]]), "", PROPER(SUBSTITUTE(Table2[[#This Row],[unique_id]], "_", " ")))</f>
        <v>Lighting Reset Adaptive Lighting Bathroom Sconces</v>
      </c>
      <c r="G428" s="36" t="s">
        <v>861</v>
      </c>
      <c r="H428" s="30" t="s">
        <v>544</v>
      </c>
      <c r="I428" s="30" t="s">
        <v>291</v>
      </c>
      <c r="J428" s="30" t="s">
        <v>871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358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541</v>
      </c>
      <c r="F429" s="36" t="str">
        <f>IF(ISBLANK(Table2[[#This Row],[unique_id]]), "", PROPER(SUBSTITUTE(Table2[[#This Row],[unique_id]], "_", " ")))</f>
        <v>Lighting Reset Adaptive Lighting Ensuite Main</v>
      </c>
      <c r="G429" s="36" t="s">
        <v>197</v>
      </c>
      <c r="H429" s="30" t="s">
        <v>544</v>
      </c>
      <c r="I429" s="30" t="s">
        <v>291</v>
      </c>
      <c r="J429" s="30" t="s">
        <v>551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394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878</v>
      </c>
      <c r="F430" s="36" t="str">
        <f>IF(ISBLANK(Table2[[#This Row],[unique_id]]), "", PROPER(SUBSTITUTE(Table2[[#This Row],[unique_id]], "_", " ")))</f>
        <v>Lighting Reset Adaptive Lighting Ensuite Sconces</v>
      </c>
      <c r="G430" s="36" t="s">
        <v>844</v>
      </c>
      <c r="H430" s="30" t="s">
        <v>544</v>
      </c>
      <c r="I430" s="30" t="s">
        <v>291</v>
      </c>
      <c r="J430" s="30" t="s">
        <v>871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394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542</v>
      </c>
      <c r="F431" s="36" t="str">
        <f>IF(ISBLANK(Table2[[#This Row],[unique_id]]), "", PROPER(SUBSTITUTE(Table2[[#This Row],[unique_id]], "_", " ")))</f>
        <v>Lighting Reset Adaptive Lighting Wardrobe Main</v>
      </c>
      <c r="G431" s="36" t="s">
        <v>201</v>
      </c>
      <c r="H431" s="30" t="s">
        <v>544</v>
      </c>
      <c r="I431" s="30" t="s">
        <v>291</v>
      </c>
      <c r="J431" s="30" t="s">
        <v>551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495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2670</v>
      </c>
      <c r="B432" s="30" t="s">
        <v>26</v>
      </c>
      <c r="C432" s="30" t="s">
        <v>235</v>
      </c>
      <c r="D432" s="30" t="s">
        <v>145</v>
      </c>
      <c r="E432" s="30" t="s">
        <v>146</v>
      </c>
      <c r="F432" s="36" t="str">
        <f>IF(ISBLANK(Table2[[#This Row],[unique_id]]), "", PROPER(SUBSTITUTE(Table2[[#This Row],[unique_id]], "_", " ")))</f>
        <v>Ada Home</v>
      </c>
      <c r="G432" s="30" t="s">
        <v>185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Ada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Ada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130</v>
      </c>
      <c r="BK432" s="30" t="s">
        <v>1295</v>
      </c>
      <c r="BL432" s="41" t="s">
        <v>420</v>
      </c>
      <c r="BM432" s="39" t="s">
        <v>1297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3" spans="1:66" ht="16" customHeight="1" x14ac:dyDescent="0.2">
      <c r="A433" s="30">
        <v>2671</v>
      </c>
      <c r="B433" s="30" t="s">
        <v>26</v>
      </c>
      <c r="C433" s="30" t="s">
        <v>235</v>
      </c>
      <c r="D433" s="30" t="s">
        <v>145</v>
      </c>
      <c r="E433" s="30" t="s">
        <v>258</v>
      </c>
      <c r="F433" s="36" t="str">
        <f>IF(ISBLANK(Table2[[#This Row],[unique_id]]), "", PROPER(SUBSTITUTE(Table2[[#This Row],[unique_id]], "_", " ")))</f>
        <v>Edwin Home</v>
      </c>
      <c r="G433" s="30" t="s">
        <v>259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 t="s">
        <v>788</v>
      </c>
      <c r="P433" s="30" t="s">
        <v>165</v>
      </c>
      <c r="Q433" s="30" t="s">
        <v>760</v>
      </c>
      <c r="R433" s="41" t="s">
        <v>745</v>
      </c>
      <c r="S433" s="30" t="str">
        <f>_xlfn.CONCAT( Table2[[#This Row],[friendly_name]], " Devices")</f>
        <v>Edwin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Edwin</v>
      </c>
      <c r="BB433" s="30" t="s">
        <v>165</v>
      </c>
      <c r="BC433" s="30" t="s">
        <v>391</v>
      </c>
      <c r="BD433" s="30" t="s">
        <v>235</v>
      </c>
      <c r="BF433" s="30" t="s">
        <v>1043</v>
      </c>
      <c r="BG433" s="30" t="s">
        <v>127</v>
      </c>
      <c r="BK433" s="30" t="s">
        <v>1295</v>
      </c>
      <c r="BL433" s="41" t="s">
        <v>419</v>
      </c>
      <c r="BM433" s="39" t="s">
        <v>1298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4" spans="1:66" ht="16" customHeight="1" x14ac:dyDescent="0.2">
      <c r="A434" s="30">
        <v>2672</v>
      </c>
      <c r="B434" s="30" t="s">
        <v>26</v>
      </c>
      <c r="C434" s="30" t="s">
        <v>235</v>
      </c>
      <c r="D434" s="30" t="s">
        <v>145</v>
      </c>
      <c r="E434" s="30" t="s">
        <v>266</v>
      </c>
      <c r="F434" s="36" t="str">
        <f>IF(ISBLANK(Table2[[#This Row],[unique_id]]), "", PROPER(SUBSTITUTE(Table2[[#This Row],[unique_id]], "_", " ")))</f>
        <v>Parents Home</v>
      </c>
      <c r="G434" s="30" t="s">
        <v>260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Parents Home Devices</v>
      </c>
      <c r="T434" s="37" t="s">
        <v>770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165</v>
      </c>
      <c r="BC434" s="30" t="s">
        <v>1037</v>
      </c>
      <c r="BD434" s="30" t="s">
        <v>235</v>
      </c>
      <c r="BF434" s="30" t="s">
        <v>1044</v>
      </c>
      <c r="BG434" s="30" t="s">
        <v>192</v>
      </c>
      <c r="BK434" s="30" t="s">
        <v>1295</v>
      </c>
      <c r="BL434" s="41" t="s">
        <v>637</v>
      </c>
      <c r="BM434" s="39" t="s">
        <v>1299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5" spans="1:66" ht="16" customHeight="1" x14ac:dyDescent="0.2">
      <c r="A435" s="30">
        <v>2673</v>
      </c>
      <c r="B435" s="30" t="s">
        <v>26</v>
      </c>
      <c r="C435" s="30" t="s">
        <v>235</v>
      </c>
      <c r="D435" s="30" t="s">
        <v>145</v>
      </c>
      <c r="E435" s="30" t="s">
        <v>262</v>
      </c>
      <c r="F435" s="36" t="str">
        <f>IF(ISBLANK(Table2[[#This Row],[unique_id]]), "", PROPER(SUBSTITUTE(Table2[[#This Row],[unique_id]], "_", " ")))</f>
        <v>Kitchen Home</v>
      </c>
      <c r="G435" s="30" t="s">
        <v>261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Kitchen Home Devices</v>
      </c>
      <c r="T435" s="37" t="s">
        <v>770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165</v>
      </c>
      <c r="BC435" s="30" t="s">
        <v>1037</v>
      </c>
      <c r="BD435" s="30" t="s">
        <v>235</v>
      </c>
      <c r="BF435" s="30" t="s">
        <v>1044</v>
      </c>
      <c r="BG435" s="30" t="s">
        <v>206</v>
      </c>
      <c r="BK435" s="30" t="s">
        <v>1295</v>
      </c>
      <c r="BL435" s="41" t="s">
        <v>730</v>
      </c>
      <c r="BM435" s="39" t="s">
        <v>1300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6" spans="1:66" ht="16" customHeight="1" x14ac:dyDescent="0.2">
      <c r="A436" s="30">
        <v>2674</v>
      </c>
      <c r="B436" s="30" t="s">
        <v>26</v>
      </c>
      <c r="C436" s="30" t="s">
        <v>235</v>
      </c>
      <c r="D436" s="30" t="s">
        <v>145</v>
      </c>
      <c r="E436" s="30" t="s">
        <v>608</v>
      </c>
      <c r="F436" s="36" t="str">
        <f>IF(ISBLANK(Table2[[#This Row],[unique_id]]), "", PROPER(SUBSTITUTE(Table2[[#This Row],[unique_id]], "_", " ")))</f>
        <v>Office Home</v>
      </c>
      <c r="G436" s="30" t="s">
        <v>609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Office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Office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212</v>
      </c>
      <c r="BK436" s="30" t="s">
        <v>1295</v>
      </c>
      <c r="BL436" s="41" t="s">
        <v>417</v>
      </c>
      <c r="BM436" s="39" t="s">
        <v>1301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7" spans="1:66" ht="16" customHeight="1" x14ac:dyDescent="0.2">
      <c r="A437" s="30">
        <v>2675</v>
      </c>
      <c r="B437" s="30" t="s">
        <v>26</v>
      </c>
      <c r="C437" s="30" t="s">
        <v>235</v>
      </c>
      <c r="D437" s="30" t="s">
        <v>145</v>
      </c>
      <c r="E437" s="30" t="s">
        <v>640</v>
      </c>
      <c r="F437" s="36" t="str">
        <f>IF(ISBLANK(Table2[[#This Row],[unique_id]]), "", PROPER(SUBSTITUTE(Table2[[#This Row],[unique_id]], "_", " ")))</f>
        <v>Lounge Home</v>
      </c>
      <c r="G437" s="30" t="s">
        <v>641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Lounge Home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165</v>
      </c>
      <c r="BC437" s="30" t="s">
        <v>391</v>
      </c>
      <c r="BD437" s="30" t="s">
        <v>235</v>
      </c>
      <c r="BF437" s="30" t="s">
        <v>1043</v>
      </c>
      <c r="BG437" s="30" t="s">
        <v>194</v>
      </c>
      <c r="BK437" s="30" t="s">
        <v>1295</v>
      </c>
      <c r="BL437" s="41" t="s">
        <v>418</v>
      </c>
      <c r="BM437" s="39" t="s">
        <v>1302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8" spans="1:66" ht="16" customHeight="1" x14ac:dyDescent="0.2">
      <c r="A438" s="30">
        <v>2676</v>
      </c>
      <c r="B438" s="30" t="s">
        <v>26</v>
      </c>
      <c r="C438" s="30" t="s">
        <v>235</v>
      </c>
      <c r="D438" s="30" t="s">
        <v>145</v>
      </c>
      <c r="E438" s="30" t="s">
        <v>820</v>
      </c>
      <c r="F438" s="36" t="str">
        <f>IF(ISBLANK(Table2[[#This Row],[unique_id]]), "", PROPER(SUBSTITUTE(Table2[[#This Row],[unique_id]], "_", " ")))</f>
        <v>Ada Tablet</v>
      </c>
      <c r="G438" s="30" t="s">
        <v>821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821</v>
      </c>
      <c r="BC438" s="30" t="s">
        <v>1045</v>
      </c>
      <c r="BD438" s="30" t="s">
        <v>235</v>
      </c>
      <c r="BF438" s="30" t="s">
        <v>823</v>
      </c>
      <c r="BG438" s="30" t="s">
        <v>194</v>
      </c>
      <c r="BK438" s="30" t="s">
        <v>1295</v>
      </c>
      <c r="BL438" s="41" t="s">
        <v>1274</v>
      </c>
      <c r="BM438" s="39" t="s">
        <v>1303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9" spans="1:66" ht="16" customHeight="1" x14ac:dyDescent="0.2">
      <c r="A439" s="30">
        <v>2677</v>
      </c>
      <c r="B439" s="30" t="s">
        <v>26</v>
      </c>
      <c r="C439" s="30" t="s">
        <v>235</v>
      </c>
      <c r="D439" s="30" t="s">
        <v>145</v>
      </c>
      <c r="E439" s="30" t="s">
        <v>824</v>
      </c>
      <c r="F439" s="36" t="str">
        <f>IF(ISBLANK(Table2[[#This Row],[unique_id]]), "", PROPER(SUBSTITUTE(Table2[[#This Row],[unique_id]], "_", " ")))</f>
        <v>Edwin Tablet</v>
      </c>
      <c r="G439" s="30" t="s">
        <v>825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825</v>
      </c>
      <c r="BC439" s="30" t="s">
        <v>1045</v>
      </c>
      <c r="BD439" s="30" t="s">
        <v>235</v>
      </c>
      <c r="BF439" s="30" t="s">
        <v>823</v>
      </c>
      <c r="BG439" s="30" t="s">
        <v>206</v>
      </c>
      <c r="BK439" s="30" t="s">
        <v>1295</v>
      </c>
      <c r="BL439" s="41" t="s">
        <v>1275</v>
      </c>
      <c r="BM439" s="39" t="s">
        <v>1306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0" spans="1:66" ht="16" customHeight="1" x14ac:dyDescent="0.2">
      <c r="A440" s="30">
        <v>2678</v>
      </c>
      <c r="B440" s="30" t="s">
        <v>26</v>
      </c>
      <c r="C440" s="30" t="s">
        <v>580</v>
      </c>
      <c r="D440" s="30" t="s">
        <v>145</v>
      </c>
      <c r="E440" s="30" t="s">
        <v>605</v>
      </c>
      <c r="F440" s="36" t="str">
        <f>IF(ISBLANK(Table2[[#This Row],[unique_id]]), "", PROPER(SUBSTITUTE(Table2[[#This Row],[unique_id]], "_", " ")))</f>
        <v>Lg Webos Smart Tv</v>
      </c>
      <c r="G440" s="30" t="s">
        <v>180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981</v>
      </c>
      <c r="BC440" s="30" t="s">
        <v>583</v>
      </c>
      <c r="BD440" s="30" t="s">
        <v>580</v>
      </c>
      <c r="BF440" s="30" t="s">
        <v>582</v>
      </c>
      <c r="BG440" s="30" t="s">
        <v>194</v>
      </c>
      <c r="BK440" s="30" t="s">
        <v>1295</v>
      </c>
      <c r="BL440" s="41" t="s">
        <v>581</v>
      </c>
      <c r="BM440" s="39" t="s">
        <v>1304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1" spans="1:66" ht="16" customHeight="1" x14ac:dyDescent="0.2">
      <c r="A441" s="30">
        <v>2679</v>
      </c>
      <c r="B441" s="30" t="s">
        <v>579</v>
      </c>
      <c r="C441" s="30" t="s">
        <v>264</v>
      </c>
      <c r="D441" s="30" t="s">
        <v>145</v>
      </c>
      <c r="E441" s="30" t="s">
        <v>265</v>
      </c>
      <c r="F441" s="36" t="str">
        <f>IF(ISBLANK(Table2[[#This Row],[unique_id]]), "", PROPER(SUBSTITUTE(Table2[[#This Row],[unique_id]], "_", " ")))</f>
        <v>Parents Tv</v>
      </c>
      <c r="G441" s="30" t="s">
        <v>263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981</v>
      </c>
      <c r="BC441" s="30" t="s">
        <v>1038</v>
      </c>
      <c r="BD441" s="30" t="s">
        <v>264</v>
      </c>
      <c r="BF441" s="30" t="s">
        <v>397</v>
      </c>
      <c r="BG441" s="30" t="s">
        <v>192</v>
      </c>
      <c r="BK441" s="30" t="s">
        <v>1295</v>
      </c>
      <c r="BL441" s="41" t="s">
        <v>399</v>
      </c>
      <c r="BM441" s="39" t="s">
        <v>1305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2" spans="1:66" ht="16" customHeight="1" x14ac:dyDescent="0.2">
      <c r="A442" s="30">
        <v>2680</v>
      </c>
      <c r="B442" s="30" t="s">
        <v>579</v>
      </c>
      <c r="C442" s="30" t="s">
        <v>235</v>
      </c>
      <c r="D442" s="30" t="s">
        <v>145</v>
      </c>
      <c r="E442" s="30" t="s">
        <v>685</v>
      </c>
      <c r="F442" s="36" t="str">
        <f>IF(ISBLANK(Table2[[#This Row],[unique_id]]), "", PROPER(SUBSTITUTE(Table2[[#This Row],[unique_id]], "_", " ")))</f>
        <v>Office Tv</v>
      </c>
      <c r="G442" s="30" t="s">
        <v>686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Office</v>
      </c>
      <c r="BB442" s="30" t="s">
        <v>981</v>
      </c>
      <c r="BC442" s="30" t="s">
        <v>392</v>
      </c>
      <c r="BD442" s="30" t="s">
        <v>235</v>
      </c>
      <c r="BF442" s="30" t="s">
        <v>393</v>
      </c>
      <c r="BG442" s="30" t="s">
        <v>212</v>
      </c>
      <c r="BK442" s="30" t="s">
        <v>1295</v>
      </c>
      <c r="BL442" s="41" t="s">
        <v>421</v>
      </c>
      <c r="BM442" s="39" t="s">
        <v>1307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3" spans="1:66" ht="16" customHeight="1" x14ac:dyDescent="0.2">
      <c r="A443" s="30">
        <v>2681</v>
      </c>
      <c r="B443" s="30" t="s">
        <v>26</v>
      </c>
      <c r="C443" s="30" t="s">
        <v>440</v>
      </c>
      <c r="D443" s="30" t="s">
        <v>333</v>
      </c>
      <c r="E443" s="30" t="s">
        <v>332</v>
      </c>
      <c r="F443" s="36" t="str">
        <f>IF(ISBLANK(Table2[[#This Row],[unique_id]]), "", PROPER(SUBSTITUTE(Table2[[#This Row],[unique_id]], "_", " ")))</f>
        <v>Column Break</v>
      </c>
      <c r="G443" s="30" t="s">
        <v>329</v>
      </c>
      <c r="H443" s="30" t="s">
        <v>745</v>
      </c>
      <c r="I443" s="30" t="s">
        <v>144</v>
      </c>
      <c r="M443" s="30" t="s">
        <v>330</v>
      </c>
      <c r="N443" s="30" t="s">
        <v>331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2682</v>
      </c>
      <c r="B444" s="30" t="s">
        <v>26</v>
      </c>
      <c r="C444" s="30" t="s">
        <v>182</v>
      </c>
      <c r="D444" s="30" t="s">
        <v>145</v>
      </c>
      <c r="E444" s="30" t="s">
        <v>734</v>
      </c>
      <c r="F444" s="36" t="str">
        <f>IF(ISBLANK(Table2[[#This Row],[unique_id]]), "", PROPER(SUBSTITUTE(Table2[[#This Row],[unique_id]], "_", " ")))</f>
        <v>Lounge Arc</v>
      </c>
      <c r="G444" s="30" t="s">
        <v>737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/>
      <c r="R444" s="41"/>
      <c r="T444" s="37" t="str">
        <f>_xlfn.CONCAT("name: ", Table2[[#This Row],[friendly_name]])</f>
        <v>name: Lounge Arc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Lounge</v>
      </c>
      <c r="BB444" s="30" t="s">
        <v>584</v>
      </c>
      <c r="BC444" s="30" t="s">
        <v>1041</v>
      </c>
      <c r="BD444" s="30" t="s">
        <v>182</v>
      </c>
      <c r="BF444" s="30">
        <v>15.4</v>
      </c>
      <c r="BG444" s="30" t="s">
        <v>194</v>
      </c>
      <c r="BK444" s="30" t="s">
        <v>1295</v>
      </c>
      <c r="BL444" s="30" t="s">
        <v>585</v>
      </c>
      <c r="BM444" s="39" t="s">
        <v>1308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5" spans="1:66" ht="16" customHeight="1" x14ac:dyDescent="0.2">
      <c r="A445" s="30">
        <v>2683</v>
      </c>
      <c r="B445" s="30" t="s">
        <v>579</v>
      </c>
      <c r="C445" s="30" t="s">
        <v>808</v>
      </c>
      <c r="D445" s="30" t="s">
        <v>148</v>
      </c>
      <c r="E445" s="30" t="s">
        <v>810</v>
      </c>
      <c r="F445" s="36" t="str">
        <f>IF(ISBLANK(Table2[[#This Row],[unique_id]]), "", PROPER(SUBSTITUTE(Table2[[#This Row],[unique_id]], "_", " ")))</f>
        <v>Template Kitchen Move Proxy</v>
      </c>
      <c r="G445" s="30" t="s">
        <v>738</v>
      </c>
      <c r="H445" s="30" t="s">
        <v>745</v>
      </c>
      <c r="I445" s="30" t="s">
        <v>144</v>
      </c>
      <c r="O445" s="31" t="s">
        <v>788</v>
      </c>
      <c r="P445" s="30" t="s">
        <v>165</v>
      </c>
      <c r="Q445" s="30" t="s">
        <v>760</v>
      </c>
      <c r="R445" s="41" t="s">
        <v>745</v>
      </c>
      <c r="S445" s="30" t="str">
        <f>_xlfn.CONCAT( Table2[[#This Row],[friendly_name]], " Devices")</f>
        <v>Kitchen Move Devices</v>
      </c>
      <c r="T445" s="37" t="s">
        <v>813</v>
      </c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 t="s">
        <v>145</v>
      </c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365</v>
      </c>
      <c r="BC445" s="30" t="s">
        <v>1039</v>
      </c>
      <c r="BD445" s="30" t="s">
        <v>182</v>
      </c>
      <c r="BF445" s="30">
        <v>15.4</v>
      </c>
      <c r="BG445" s="30" t="s">
        <v>206</v>
      </c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2684</v>
      </c>
      <c r="B446" s="30" t="s">
        <v>26</v>
      </c>
      <c r="C446" s="30" t="s">
        <v>182</v>
      </c>
      <c r="D446" s="30" t="s">
        <v>145</v>
      </c>
      <c r="E446" s="30" t="s">
        <v>733</v>
      </c>
      <c r="F446" s="36" t="str">
        <f>IF(ISBLANK(Table2[[#This Row],[unique_id]]), "", PROPER(SUBSTITUTE(Table2[[#This Row],[unique_id]], "_", " ")))</f>
        <v>Kitchen Move</v>
      </c>
      <c r="G446" s="30" t="s">
        <v>738</v>
      </c>
      <c r="H446" s="30" t="s">
        <v>745</v>
      </c>
      <c r="I446" s="30" t="s">
        <v>144</v>
      </c>
      <c r="M446" s="30" t="s">
        <v>136</v>
      </c>
      <c r="N446" s="30" t="s">
        <v>270</v>
      </c>
      <c r="O446" s="31" t="s">
        <v>788</v>
      </c>
      <c r="P446" s="30" t="s">
        <v>165</v>
      </c>
      <c r="Q446" s="30" t="s">
        <v>760</v>
      </c>
      <c r="R446" s="41" t="s">
        <v>745</v>
      </c>
      <c r="S446" s="30" t="str">
        <f>_xlfn.CONCAT( Table2[[#This Row],[friendly_name]], " Devices")</f>
        <v>Kitchen Move Devices</v>
      </c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365</v>
      </c>
      <c r="BC446" s="30" t="s">
        <v>1039</v>
      </c>
      <c r="BD446" s="30" t="s">
        <v>182</v>
      </c>
      <c r="BF446" s="30">
        <v>15.4</v>
      </c>
      <c r="BG446" s="30" t="s">
        <v>206</v>
      </c>
      <c r="BK446" s="30" t="s">
        <v>1295</v>
      </c>
      <c r="BL446" s="30" t="s">
        <v>368</v>
      </c>
      <c r="BM446" s="39" t="s">
        <v>1309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7" spans="1:66" ht="16" customHeight="1" x14ac:dyDescent="0.2">
      <c r="A447" s="30">
        <v>2685</v>
      </c>
      <c r="B447" s="30" t="s">
        <v>26</v>
      </c>
      <c r="C447" s="30" t="s">
        <v>182</v>
      </c>
      <c r="D447" s="30" t="s">
        <v>145</v>
      </c>
      <c r="E447" s="30" t="s">
        <v>732</v>
      </c>
      <c r="F447" s="36" t="str">
        <f>IF(ISBLANK(Table2[[#This Row],[unique_id]]), "", PROPER(SUBSTITUTE(Table2[[#This Row],[unique_id]], "_", " ")))</f>
        <v>Kitchen Five</v>
      </c>
      <c r="G447" s="30" t="s">
        <v>739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Five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812</v>
      </c>
      <c r="BC447" s="30" t="s">
        <v>1040</v>
      </c>
      <c r="BD447" s="30" t="s">
        <v>182</v>
      </c>
      <c r="BF447" s="30">
        <v>15.4</v>
      </c>
      <c r="BG447" s="30" t="s">
        <v>206</v>
      </c>
      <c r="BK447" s="30" t="s">
        <v>1295</v>
      </c>
      <c r="BL447" s="37" t="s">
        <v>367</v>
      </c>
      <c r="BM447" s="39" t="s">
        <v>1310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8" spans="1:66" ht="16" customHeight="1" x14ac:dyDescent="0.2">
      <c r="A448" s="30">
        <v>2686</v>
      </c>
      <c r="B448" s="30" t="s">
        <v>579</v>
      </c>
      <c r="C448" s="30" t="s">
        <v>808</v>
      </c>
      <c r="D448" s="30" t="s">
        <v>148</v>
      </c>
      <c r="E448" s="30" t="s">
        <v>811</v>
      </c>
      <c r="F448" s="36" t="str">
        <f>IF(ISBLANK(Table2[[#This Row],[unique_id]]), "", PROPER(SUBSTITUTE(Table2[[#This Row],[unique_id]], "_", " ")))</f>
        <v>Template Parents Move Proxy</v>
      </c>
      <c r="G448" s="30" t="s">
        <v>740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Parents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192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2687</v>
      </c>
      <c r="B449" s="30" t="s">
        <v>26</v>
      </c>
      <c r="C449" s="30" t="s">
        <v>182</v>
      </c>
      <c r="D449" s="30" t="s">
        <v>145</v>
      </c>
      <c r="E449" s="30" t="s">
        <v>731</v>
      </c>
      <c r="F449" s="36" t="str">
        <f>IF(ISBLANK(Table2[[#This Row],[unique_id]]), "", PROPER(SUBSTITUTE(Table2[[#This Row],[unique_id]], "_", " ")))</f>
        <v>Parents Move</v>
      </c>
      <c r="G449" s="30" t="s">
        <v>740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Parents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192</v>
      </c>
      <c r="BK449" s="30" t="s">
        <v>1295</v>
      </c>
      <c r="BL449" s="30" t="s">
        <v>366</v>
      </c>
      <c r="BM449" s="39" t="s">
        <v>1311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0" spans="1:66" ht="16" customHeight="1" x14ac:dyDescent="0.2">
      <c r="A450" s="30">
        <v>2688</v>
      </c>
      <c r="B450" s="30" t="s">
        <v>26</v>
      </c>
      <c r="C450" s="30" t="s">
        <v>264</v>
      </c>
      <c r="D450" s="30" t="s">
        <v>145</v>
      </c>
      <c r="E450" s="30" t="s">
        <v>1354</v>
      </c>
      <c r="F450" s="36" t="str">
        <f>IF(ISBLANK(Table2[[#This Row],[unique_id]]), "", PROPER(SUBSTITUTE(Table2[[#This Row],[unique_id]], "_", " ")))</f>
        <v>Parents Homepod</v>
      </c>
      <c r="G450" s="30" t="s">
        <v>1355</v>
      </c>
      <c r="H450" s="30" t="s">
        <v>745</v>
      </c>
      <c r="I450" s="30" t="s">
        <v>144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1356</v>
      </c>
      <c r="BC450" s="30" t="s">
        <v>1042</v>
      </c>
      <c r="BD450" s="30" t="s">
        <v>264</v>
      </c>
      <c r="BF450" s="30" t="s">
        <v>397</v>
      </c>
      <c r="BG450" s="30" t="s">
        <v>192</v>
      </c>
      <c r="BK450" s="30" t="s">
        <v>1295</v>
      </c>
      <c r="BL450" s="41" t="s">
        <v>400</v>
      </c>
      <c r="BM450" s="39" t="s">
        <v>1312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1" spans="1:66" ht="16" customHeight="1" x14ac:dyDescent="0.2">
      <c r="A451" s="30">
        <v>2700</v>
      </c>
      <c r="B451" s="30" t="s">
        <v>26</v>
      </c>
      <c r="C451" s="30" t="s">
        <v>150</v>
      </c>
      <c r="D451" s="30" t="s">
        <v>310</v>
      </c>
      <c r="E451" s="30" t="s">
        <v>653</v>
      </c>
      <c r="F451" s="36" t="str">
        <f>IF(ISBLANK(Table2[[#This Row],[unique_id]]), "", PROPER(SUBSTITUTE(Table2[[#This Row],[unique_id]], "_", " ")))</f>
        <v>Back Door Lock Security</v>
      </c>
      <c r="G451" s="30" t="s">
        <v>649</v>
      </c>
      <c r="H451" s="30" t="s">
        <v>631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2701</v>
      </c>
      <c r="B452" s="30" t="s">
        <v>26</v>
      </c>
      <c r="C452" s="30" t="s">
        <v>150</v>
      </c>
      <c r="D452" s="30" t="s">
        <v>148</v>
      </c>
      <c r="E452" s="30" t="s">
        <v>666</v>
      </c>
      <c r="F452" s="36" t="str">
        <f>IF(ISBLANK(Table2[[#This Row],[unique_id]]), "", PROPER(SUBSTITUTE(Table2[[#This Row],[unique_id]], "_", " ")))</f>
        <v>Template Back Door State</v>
      </c>
      <c r="G452" s="30" t="s">
        <v>285</v>
      </c>
      <c r="H452" s="30" t="s">
        <v>631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2702</v>
      </c>
      <c r="B453" s="30" t="s">
        <v>26</v>
      </c>
      <c r="C453" s="30" t="s">
        <v>622</v>
      </c>
      <c r="D453" s="30" t="s">
        <v>625</v>
      </c>
      <c r="E453" s="30" t="s">
        <v>626</v>
      </c>
      <c r="F453" s="36" t="str">
        <f>IF(ISBLANK(Table2[[#This Row],[unique_id]]), "", PROPER(SUBSTITUTE(Table2[[#This Row],[unique_id]], "_", " ")))</f>
        <v>Back Door Lock</v>
      </c>
      <c r="G453" s="30" t="s">
        <v>668</v>
      </c>
      <c r="H453" s="30" t="s">
        <v>631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Back Door</v>
      </c>
      <c r="BA453" s="30" t="str">
        <f>IF(ISBLANK(Table2[[#This Row],[device_model]]), "", Table2[[#This Row],[device_suggested_area]])</f>
        <v>Back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631</v>
      </c>
      <c r="BL453" s="30" t="s">
        <v>621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4" spans="1:66" ht="16" customHeight="1" x14ac:dyDescent="0.2">
      <c r="A454" s="30">
        <v>2703</v>
      </c>
      <c r="B454" s="30" t="s">
        <v>26</v>
      </c>
      <c r="C454" s="30" t="s">
        <v>334</v>
      </c>
      <c r="D454" s="30" t="s">
        <v>148</v>
      </c>
      <c r="E454" s="30" t="s">
        <v>659</v>
      </c>
      <c r="F454" s="36" t="str">
        <f>IF(ISBLANK(Table2[[#This Row],[unique_id]]), "", PROPER(SUBSTITUTE(Table2[[#This Row],[unique_id]], "_", " ")))</f>
        <v>Template Back Door Sensor Contact Last</v>
      </c>
      <c r="G454" s="30" t="s">
        <v>667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Back Door</v>
      </c>
      <c r="BA454" s="30" t="str">
        <f>IF(ISBLANK(Table2[[#This Row],[device_model]]), "", Table2[[#This Row],[device_suggested_area]])</f>
        <v>Back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631</v>
      </c>
      <c r="BL454" s="30" t="s">
        <v>644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5" spans="1:66" ht="16" customHeight="1" x14ac:dyDescent="0.2">
      <c r="A455" s="30">
        <v>2704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631</v>
      </c>
      <c r="H455" s="30" t="s">
        <v>639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2705</v>
      </c>
      <c r="B456" s="30" t="s">
        <v>26</v>
      </c>
      <c r="C456" s="30" t="s">
        <v>150</v>
      </c>
      <c r="D456" s="30" t="s">
        <v>310</v>
      </c>
      <c r="E456" s="30" t="s">
        <v>654</v>
      </c>
      <c r="F456" s="36" t="str">
        <f>IF(ISBLANK(Table2[[#This Row],[unique_id]]), "", PROPER(SUBSTITUTE(Table2[[#This Row],[unique_id]], "_", " ")))</f>
        <v>Front Door Lock Security</v>
      </c>
      <c r="G456" s="30" t="s">
        <v>649</v>
      </c>
      <c r="H456" s="30" t="s">
        <v>630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E456" s="30" t="s">
        <v>664</v>
      </c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L456" s="41"/>
      <c r="BM456" s="39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2706</v>
      </c>
      <c r="B457" s="30" t="s">
        <v>26</v>
      </c>
      <c r="C457" s="30" t="s">
        <v>150</v>
      </c>
      <c r="D457" s="30" t="s">
        <v>148</v>
      </c>
      <c r="E457" s="30" t="s">
        <v>665</v>
      </c>
      <c r="F457" s="36" t="str">
        <f>IF(ISBLANK(Table2[[#This Row],[unique_id]]), "", PROPER(SUBSTITUTE(Table2[[#This Row],[unique_id]], "_", " ")))</f>
        <v>Template Front Door State</v>
      </c>
      <c r="G457" s="30" t="s">
        <v>285</v>
      </c>
      <c r="H457" s="30" t="s">
        <v>630</v>
      </c>
      <c r="I457" s="30" t="s">
        <v>209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L457" s="41"/>
      <c r="BM457" s="39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2707</v>
      </c>
      <c r="B458" s="30" t="s">
        <v>26</v>
      </c>
      <c r="C458" s="30" t="s">
        <v>622</v>
      </c>
      <c r="D458" s="30" t="s">
        <v>625</v>
      </c>
      <c r="E458" s="30" t="s">
        <v>627</v>
      </c>
      <c r="F458" s="36" t="str">
        <f>IF(ISBLANK(Table2[[#This Row],[unique_id]]), "", PROPER(SUBSTITUTE(Table2[[#This Row],[unique_id]], "_", " ")))</f>
        <v>Front Door Lock</v>
      </c>
      <c r="G458" s="30" t="s">
        <v>668</v>
      </c>
      <c r="H458" s="30" t="s">
        <v>630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 t="s">
        <v>489</v>
      </c>
      <c r="X458" s="31"/>
      <c r="Y458" s="42" t="s">
        <v>756</v>
      </c>
      <c r="Z458" s="31"/>
      <c r="AA458" s="31"/>
      <c r="AB458" s="30"/>
      <c r="AC458" s="30"/>
      <c r="AG458" s="31"/>
      <c r="AH458" s="31"/>
      <c r="AT458" s="40"/>
      <c r="AU458" s="3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8" s="30" t="str">
        <f>Table2[[#This Row],[device_suggested_area]]</f>
        <v>Front Door</v>
      </c>
      <c r="BA458" s="30" t="str">
        <f>IF(ISBLANK(Table2[[#This Row],[device_model]]), "", Table2[[#This Row],[device_suggested_area]])</f>
        <v>Front Door</v>
      </c>
      <c r="BB458" s="30" t="s">
        <v>1032</v>
      </c>
      <c r="BC458" s="30" t="s">
        <v>623</v>
      </c>
      <c r="BD458" s="30" t="s">
        <v>622</v>
      </c>
      <c r="BF458" s="30" t="s">
        <v>624</v>
      </c>
      <c r="BG458" s="30" t="s">
        <v>630</v>
      </c>
      <c r="BL458" s="30" t="s">
        <v>628</v>
      </c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9" spans="1:66" ht="16" customHeight="1" x14ac:dyDescent="0.2">
      <c r="A459" s="30">
        <v>2708</v>
      </c>
      <c r="B459" s="30" t="s">
        <v>26</v>
      </c>
      <c r="C459" s="30" t="s">
        <v>334</v>
      </c>
      <c r="D459" s="30" t="s">
        <v>148</v>
      </c>
      <c r="E459" s="30" t="s">
        <v>658</v>
      </c>
      <c r="F459" s="36" t="str">
        <f>IF(ISBLANK(Table2[[#This Row],[unique_id]]), "", PROPER(SUBSTITUTE(Table2[[#This Row],[unique_id]], "_", " ")))</f>
        <v>Template Front Door Sensor Contact Last</v>
      </c>
      <c r="G459" s="30" t="s">
        <v>667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 t="s">
        <v>489</v>
      </c>
      <c r="X459" s="31"/>
      <c r="Y459" s="42" t="s">
        <v>756</v>
      </c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7" t="str">
        <f>Table2[[#This Row],[device_suggested_area]]</f>
        <v>Front Door</v>
      </c>
      <c r="BA459" s="30" t="str">
        <f>IF(ISBLANK(Table2[[#This Row],[device_model]]), "", Table2[[#This Row],[device_suggested_area]])</f>
        <v>Front Door</v>
      </c>
      <c r="BB459" s="37" t="s">
        <v>1036</v>
      </c>
      <c r="BC459" s="37" t="s">
        <v>642</v>
      </c>
      <c r="BD459" s="30" t="s">
        <v>1110</v>
      </c>
      <c r="BF459" s="30" t="s">
        <v>624</v>
      </c>
      <c r="BG459" s="30" t="s">
        <v>630</v>
      </c>
      <c r="BL459" s="30" t="s">
        <v>643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0" spans="1:66" ht="16" customHeight="1" x14ac:dyDescent="0.2">
      <c r="A460" s="30">
        <v>2709</v>
      </c>
      <c r="B460" s="30" t="s">
        <v>579</v>
      </c>
      <c r="C460" s="30" t="s">
        <v>234</v>
      </c>
      <c r="D460" s="30" t="s">
        <v>147</v>
      </c>
      <c r="F460" s="36" t="str">
        <f>IF(ISBLANK(Table2[[#This Row],[unique_id]]), "", PROPER(SUBSTITUTE(Table2[[#This Row],[unique_id]], "_", " ")))</f>
        <v/>
      </c>
      <c r="G460" s="30" t="s">
        <v>630</v>
      </c>
      <c r="H460" s="30" t="s">
        <v>638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C460" s="37"/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2710</v>
      </c>
      <c r="B461" s="30" t="s">
        <v>26</v>
      </c>
      <c r="C461" s="30" t="s">
        <v>133</v>
      </c>
      <c r="D461" s="30" t="s">
        <v>148</v>
      </c>
      <c r="E461" s="30" t="s">
        <v>600</v>
      </c>
      <c r="F461" s="36" t="str">
        <f>IF(ISBLANK(Table2[[#This Row],[unique_id]]), "", PROPER(SUBSTITUTE(Table2[[#This Row],[unique_id]], "_", " ")))</f>
        <v>Ada Fan Occupancy</v>
      </c>
      <c r="G461" s="30" t="s">
        <v>130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2711</v>
      </c>
      <c r="B462" s="30" t="s">
        <v>26</v>
      </c>
      <c r="C462" s="30" t="s">
        <v>133</v>
      </c>
      <c r="D462" s="30" t="s">
        <v>148</v>
      </c>
      <c r="E462" s="30" t="s">
        <v>599</v>
      </c>
      <c r="F462" s="36" t="str">
        <f>IF(ISBLANK(Table2[[#This Row],[unique_id]]), "", PROPER(SUBSTITUTE(Table2[[#This Row],[unique_id]], "_", " ")))</f>
        <v>Edwin Fan Occupancy</v>
      </c>
      <c r="G462" s="30" t="s">
        <v>127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2712</v>
      </c>
      <c r="B463" s="30" t="s">
        <v>26</v>
      </c>
      <c r="C463" s="30" t="s">
        <v>133</v>
      </c>
      <c r="D463" s="30" t="s">
        <v>148</v>
      </c>
      <c r="E463" s="30" t="s">
        <v>601</v>
      </c>
      <c r="F463" s="36" t="str">
        <f>IF(ISBLANK(Table2[[#This Row],[unique_id]]), "", PROPER(SUBSTITUTE(Table2[[#This Row],[unique_id]], "_", " ")))</f>
        <v>Parents Fan Occupancy</v>
      </c>
      <c r="G463" s="30" t="s">
        <v>192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2713</v>
      </c>
      <c r="B464" s="30" t="s">
        <v>26</v>
      </c>
      <c r="C464" s="30" t="s">
        <v>133</v>
      </c>
      <c r="D464" s="30" t="s">
        <v>148</v>
      </c>
      <c r="E464" s="30" t="s">
        <v>602</v>
      </c>
      <c r="F464" s="36" t="str">
        <f>IF(ISBLANK(Table2[[#This Row],[unique_id]]), "", PROPER(SUBSTITUTE(Table2[[#This Row],[unique_id]], "_", " ")))</f>
        <v>Lounge Fan Occupancy</v>
      </c>
      <c r="G464" s="30" t="s">
        <v>194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2714</v>
      </c>
      <c r="B465" s="30" t="s">
        <v>26</v>
      </c>
      <c r="C465" s="30" t="s">
        <v>133</v>
      </c>
      <c r="D465" s="30" t="s">
        <v>148</v>
      </c>
      <c r="E465" s="30" t="s">
        <v>603</v>
      </c>
      <c r="F465" s="36" t="str">
        <f>IF(ISBLANK(Table2[[#This Row],[unique_id]]), "", PROPER(SUBSTITUTE(Table2[[#This Row],[unique_id]], "_", " ")))</f>
        <v>Deck East Fan Occupancy</v>
      </c>
      <c r="G465" s="30" t="s">
        <v>215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2715</v>
      </c>
      <c r="B466" s="30" t="s">
        <v>26</v>
      </c>
      <c r="C466" s="30" t="s">
        <v>133</v>
      </c>
      <c r="D466" s="30" t="s">
        <v>148</v>
      </c>
      <c r="E466" s="30" t="s">
        <v>604</v>
      </c>
      <c r="F466" s="36" t="str">
        <f>IF(ISBLANK(Table2[[#This Row],[unique_id]]), "", PROPER(SUBSTITUTE(Table2[[#This Row],[unique_id]], "_", " ")))</f>
        <v>Deck West Fan Occupancy</v>
      </c>
      <c r="G466" s="30" t="s">
        <v>214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2716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633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2717</v>
      </c>
      <c r="B468" s="30" t="s">
        <v>26</v>
      </c>
      <c r="C468" s="30" t="s">
        <v>234</v>
      </c>
      <c r="D468" s="30" t="s">
        <v>148</v>
      </c>
      <c r="E468" s="30" t="s">
        <v>149</v>
      </c>
      <c r="F468" s="36" t="str">
        <f>IF(ISBLANK(Table2[[#This Row],[unique_id]]), "", PROPER(SUBSTITUTE(Table2[[#This Row],[unique_id]], "_", " ")))</f>
        <v>Uvc Ada Motion</v>
      </c>
      <c r="G468" s="30" t="s">
        <v>629</v>
      </c>
      <c r="H468" s="30" t="s">
        <v>633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2718</v>
      </c>
      <c r="B469" s="30" t="s">
        <v>26</v>
      </c>
      <c r="C469" s="30" t="s">
        <v>234</v>
      </c>
      <c r="D469" s="30" t="s">
        <v>147</v>
      </c>
      <c r="E469" s="30" t="s">
        <v>1368</v>
      </c>
      <c r="F469" s="36" t="str">
        <f>IF(ISBLANK(Table2[[#This Row],[unique_id]]), "", PROPER(SUBSTITUTE(Table2[[#This Row],[unique_id]], "_", " ")))</f>
        <v>Uvc Ada Medium Resolution Channel</v>
      </c>
      <c r="G469" s="30" t="s">
        <v>130</v>
      </c>
      <c r="H469" s="30" t="s">
        <v>635</v>
      </c>
      <c r="I469" s="30" t="s">
        <v>209</v>
      </c>
      <c r="M469" s="30" t="s">
        <v>136</v>
      </c>
      <c r="N469" s="30" t="s">
        <v>271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1468</v>
      </c>
      <c r="BA469" s="30" t="str">
        <f>IF(ISBLANK(Table2[[#This Row],[device_model]]), "", Table2[[#This Row],[device_suggested_area]])</f>
        <v>Ada</v>
      </c>
      <c r="BB469" s="30" t="str">
        <f>Table2[[#This Row],[device_suggested_area]]</f>
        <v>Ada</v>
      </c>
      <c r="BC469" s="30" t="s">
        <v>385</v>
      </c>
      <c r="BD469" s="30" t="s">
        <v>234</v>
      </c>
      <c r="BF469" s="30" t="s">
        <v>386</v>
      </c>
      <c r="BG469" s="30" t="s">
        <v>130</v>
      </c>
      <c r="BK469" s="30" t="s">
        <v>1296</v>
      </c>
      <c r="BL469" s="30" t="s">
        <v>383</v>
      </c>
      <c r="BM469" s="30" t="s">
        <v>1351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0" spans="1:66" ht="16" customHeight="1" x14ac:dyDescent="0.2">
      <c r="A470" s="30">
        <v>2719</v>
      </c>
      <c r="B470" s="30" t="s">
        <v>26</v>
      </c>
      <c r="C470" s="30" t="s">
        <v>234</v>
      </c>
      <c r="D470" s="30" t="s">
        <v>148</v>
      </c>
      <c r="E470" s="30" t="s">
        <v>208</v>
      </c>
      <c r="F470" s="36" t="str">
        <f>IF(ISBLANK(Table2[[#This Row],[unique_id]]), "", PROPER(SUBSTITUTE(Table2[[#This Row],[unique_id]], "_", " ")))</f>
        <v>Uvc Edwin Motion</v>
      </c>
      <c r="G470" s="30" t="s">
        <v>629</v>
      </c>
      <c r="H470" s="30" t="s">
        <v>632</v>
      </c>
      <c r="I470" s="30" t="s">
        <v>209</v>
      </c>
      <c r="M470" s="30" t="s">
        <v>136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2720</v>
      </c>
      <c r="B471" s="30" t="s">
        <v>26</v>
      </c>
      <c r="C471" s="30" t="s">
        <v>234</v>
      </c>
      <c r="D471" s="30" t="s">
        <v>147</v>
      </c>
      <c r="E471" s="30" t="s">
        <v>1369</v>
      </c>
      <c r="F471" s="36" t="str">
        <f>IF(ISBLANK(Table2[[#This Row],[unique_id]]), "", PROPER(SUBSTITUTE(Table2[[#This Row],[unique_id]], "_", " ")))</f>
        <v>Uvc Edwin Medium Resolution Channel</v>
      </c>
      <c r="G471" s="30" t="s">
        <v>127</v>
      </c>
      <c r="H471" s="30" t="s">
        <v>634</v>
      </c>
      <c r="I471" s="30" t="s">
        <v>209</v>
      </c>
      <c r="M471" s="30" t="s">
        <v>136</v>
      </c>
      <c r="N471" s="30" t="s">
        <v>271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1468</v>
      </c>
      <c r="BA471" s="30" t="str">
        <f>IF(ISBLANK(Table2[[#This Row],[device_model]]), "", Table2[[#This Row],[device_suggested_area]])</f>
        <v>Edwin</v>
      </c>
      <c r="BB471" s="30" t="str">
        <f>Table2[[#This Row],[device_suggested_area]]</f>
        <v>Edwin</v>
      </c>
      <c r="BC471" s="30" t="s">
        <v>385</v>
      </c>
      <c r="BD471" s="30" t="s">
        <v>234</v>
      </c>
      <c r="BF471" s="30" t="s">
        <v>386</v>
      </c>
      <c r="BG471" s="30" t="s">
        <v>127</v>
      </c>
      <c r="BK471" s="30" t="s">
        <v>1296</v>
      </c>
      <c r="BL471" s="30" t="s">
        <v>384</v>
      </c>
      <c r="BM471" s="30" t="s">
        <v>1352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2" spans="1:66" ht="16" customHeight="1" x14ac:dyDescent="0.2">
      <c r="A472" s="30">
        <v>2721</v>
      </c>
      <c r="B472" s="30" t="s">
        <v>26</v>
      </c>
      <c r="C472" s="30" t="s">
        <v>440</v>
      </c>
      <c r="D472" s="30" t="s">
        <v>333</v>
      </c>
      <c r="E472" s="30" t="s">
        <v>332</v>
      </c>
      <c r="F472" s="36" t="str">
        <f>IF(ISBLANK(Table2[[#This Row],[unique_id]]), "", PROPER(SUBSTITUTE(Table2[[#This Row],[unique_id]], "_", " ")))</f>
        <v>Column Break</v>
      </c>
      <c r="G472" s="30" t="s">
        <v>329</v>
      </c>
      <c r="H472" s="30" t="s">
        <v>634</v>
      </c>
      <c r="I472" s="30" t="s">
        <v>209</v>
      </c>
      <c r="M472" s="30" t="s">
        <v>330</v>
      </c>
      <c r="N472" s="30" t="s">
        <v>331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2" s="30" t="str">
        <f>IF(ISBLANK(Table2[[#This Row],[device_model]]), "", Table2[[#This Row],[device_suggested_area]])</f>
        <v/>
      </c>
      <c r="BF472" s="31"/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3" spans="1:66" ht="16" customHeight="1" x14ac:dyDescent="0.2">
      <c r="A473" s="30">
        <v>5000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1469</v>
      </c>
      <c r="BA473" s="30" t="str">
        <f>IF(ISBLANK(Table2[[#This Row],[device_model]]), "", Table2[[#This Row],[device_suggested_area]])</f>
        <v>Rack</v>
      </c>
      <c r="BC473" s="30" t="s">
        <v>1028</v>
      </c>
      <c r="BD473" s="30" t="s">
        <v>234</v>
      </c>
      <c r="BF473" s="30" t="s">
        <v>402</v>
      </c>
      <c r="BG473" s="30" t="s">
        <v>28</v>
      </c>
      <c r="BK473" s="30" t="s">
        <v>1289</v>
      </c>
      <c r="BL473" s="30" t="s">
        <v>405</v>
      </c>
      <c r="BM473" s="30" t="s">
        <v>1290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4" spans="1:66" ht="16" customHeight="1" x14ac:dyDescent="0.2">
      <c r="A474" s="30">
        <v>5001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1470</v>
      </c>
      <c r="BA474" s="30" t="str">
        <f>IF(ISBLANK(Table2[[#This Row],[device_model]]), "", Table2[[#This Row],[device_suggested_area]])</f>
        <v>Rack</v>
      </c>
      <c r="BB474" s="30" t="str">
        <f>Table2[[#This Row],[device_suggested_area]]</f>
        <v>Rack</v>
      </c>
      <c r="BC474" s="30" t="s">
        <v>1025</v>
      </c>
      <c r="BD474" s="30" t="s">
        <v>234</v>
      </c>
      <c r="BF474" s="30" t="s">
        <v>610</v>
      </c>
      <c r="BG474" s="30" t="s">
        <v>28</v>
      </c>
      <c r="BK474" s="30" t="s">
        <v>1289</v>
      </c>
      <c r="BL474" s="30" t="s">
        <v>611</v>
      </c>
      <c r="BM474" s="30" t="s">
        <v>1291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5" spans="1:66" ht="16" customHeight="1" x14ac:dyDescent="0.2">
      <c r="A475" s="30">
        <v>5002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1470</v>
      </c>
      <c r="BA475" s="30" t="str">
        <f>IF(ISBLANK(Table2[[#This Row],[device_model]]), "", Table2[[#This Row],[device_suggested_area]])</f>
        <v>Office</v>
      </c>
      <c r="BB475" s="30" t="str">
        <f>Table2[[#This Row],[device_suggested_area]]</f>
        <v>Office</v>
      </c>
      <c r="BC475" s="30" t="s">
        <v>1026</v>
      </c>
      <c r="BD475" s="30" t="s">
        <v>234</v>
      </c>
      <c r="BF475" s="30" t="s">
        <v>1066</v>
      </c>
      <c r="BG475" s="30" t="s">
        <v>212</v>
      </c>
      <c r="BK475" s="30" t="s">
        <v>1289</v>
      </c>
      <c r="BL475" s="30" t="s">
        <v>406</v>
      </c>
      <c r="BM475" s="30" t="s">
        <v>1511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6" spans="1:66" ht="16" customHeight="1" x14ac:dyDescent="0.2">
      <c r="A476" s="30">
        <v>5003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1470</v>
      </c>
      <c r="BA476" s="30" t="str">
        <f>IF(ISBLANK(Table2[[#This Row],[device_model]]), "", Table2[[#This Row],[device_suggested_area]])</f>
        <v>Ceiling</v>
      </c>
      <c r="BB476" s="30" t="str">
        <f>Table2[[#This Row],[device_suggested_area]]</f>
        <v>Ceiling</v>
      </c>
      <c r="BC476" s="30" t="s">
        <v>1510</v>
      </c>
      <c r="BD476" s="30" t="s">
        <v>234</v>
      </c>
      <c r="BF476" s="30" t="s">
        <v>1066</v>
      </c>
      <c r="BG476" s="30" t="s">
        <v>403</v>
      </c>
      <c r="BK476" s="30" t="s">
        <v>1289</v>
      </c>
      <c r="BL476" s="30" t="s">
        <v>1512</v>
      </c>
      <c r="BM476" s="30" t="s">
        <v>1292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7" spans="1:66" ht="16" customHeight="1" x14ac:dyDescent="0.2">
      <c r="A477" s="30">
        <v>5004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1471</v>
      </c>
      <c r="BA477" s="30" t="str">
        <f>IF(ISBLANK(Table2[[#This Row],[device_model]]), "", Table2[[#This Row],[device_suggested_area]])</f>
        <v>Hallway</v>
      </c>
      <c r="BB477" s="30" t="str">
        <f>Table2[[#This Row],[device_suggested_area]]</f>
        <v>Hallway</v>
      </c>
      <c r="BC477" s="30" t="s">
        <v>1413</v>
      </c>
      <c r="BD477" s="30" t="s">
        <v>234</v>
      </c>
      <c r="BF477" s="30" t="s">
        <v>1065</v>
      </c>
      <c r="BG477" s="30" t="s">
        <v>404</v>
      </c>
      <c r="BK477" s="30" t="s">
        <v>1289</v>
      </c>
      <c r="BL477" s="30" t="s">
        <v>1412</v>
      </c>
      <c r="BM477" s="30" t="s">
        <v>1293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8" spans="1:66" ht="16" customHeight="1" x14ac:dyDescent="0.2">
      <c r="A478" s="30">
        <v>5005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1471</v>
      </c>
      <c r="BA478" s="30" t="str">
        <f>IF(ISBLANK(Table2[[#This Row],[device_model]]), "", Table2[[#This Row],[device_suggested_area]])</f>
        <v>Deck North</v>
      </c>
      <c r="BB478" s="30" t="str">
        <f>Table2[[#This Row],[device_suggested_area]]</f>
        <v>Deck North</v>
      </c>
      <c r="BC478" s="30" t="s">
        <v>1027</v>
      </c>
      <c r="BD478" s="30" t="s">
        <v>234</v>
      </c>
      <c r="BF478" s="30" t="s">
        <v>1065</v>
      </c>
      <c r="BG478" s="30" t="s">
        <v>1464</v>
      </c>
      <c r="BK478" s="30" t="s">
        <v>1289</v>
      </c>
      <c r="BL478" s="30" t="s">
        <v>1466</v>
      </c>
      <c r="BM478" s="30" t="s">
        <v>1294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9" spans="1:66" ht="16" customHeight="1" x14ac:dyDescent="0.2">
      <c r="A479" s="30">
        <v>5006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1471</v>
      </c>
      <c r="BA479" s="30" t="str">
        <f>IF(ISBLANK(Table2[[#This Row],[device_model]]), "", Table2[[#This Row],[device_suggested_area]])</f>
        <v>Deck South</v>
      </c>
      <c r="BB479" s="30" t="str">
        <f>Table2[[#This Row],[device_suggested_area]]</f>
        <v>Deck South</v>
      </c>
      <c r="BC479" s="30" t="s">
        <v>1027</v>
      </c>
      <c r="BD479" s="30" t="s">
        <v>234</v>
      </c>
      <c r="BF479" s="30" t="s">
        <v>1065</v>
      </c>
      <c r="BG479" s="30" t="s">
        <v>1463</v>
      </c>
      <c r="BK479" s="30" t="s">
        <v>1289</v>
      </c>
      <c r="BL479" s="30" t="s">
        <v>407</v>
      </c>
      <c r="BM479" s="30" t="s">
        <v>1465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0" spans="1:66" ht="16" customHeight="1" x14ac:dyDescent="0.2">
      <c r="A480" s="30">
        <v>5007</v>
      </c>
      <c r="B480" s="39" t="s">
        <v>579</v>
      </c>
      <c r="C480" s="39" t="s">
        <v>234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1398</v>
      </c>
      <c r="BA480" s="30" t="str">
        <f>IF(ISBLANK(Table2[[#This Row],[device_model]]), "", Table2[[#This Row],[device_suggested_area]])</f>
        <v>Rack</v>
      </c>
      <c r="BB480" s="30" t="s">
        <v>1409</v>
      </c>
      <c r="BC480" s="30" t="s">
        <v>1400</v>
      </c>
      <c r="BD480" s="30" t="s">
        <v>1398</v>
      </c>
      <c r="BF480" s="30" t="s">
        <v>1406</v>
      </c>
      <c r="BG480" s="30" t="s">
        <v>28</v>
      </c>
      <c r="BL480" s="41"/>
      <c r="BM480" s="30" t="s">
        <v>1408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1" spans="1:66" ht="16" customHeight="1" x14ac:dyDescent="0.2">
      <c r="A481" s="30">
        <v>5008</v>
      </c>
      <c r="B481" s="39" t="s">
        <v>579</v>
      </c>
      <c r="C481" s="39" t="s">
        <v>1398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">
        <v>1399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1398</v>
      </c>
      <c r="BA481" s="30" t="str">
        <f>IF(ISBLANK(Table2[[#This Row],[device_model]]), "", Table2[[#This Row],[device_suggested_area]])</f>
        <v>Rack</v>
      </c>
      <c r="BB481" s="30" t="s">
        <v>1024</v>
      </c>
      <c r="BC481" s="30" t="s">
        <v>1400</v>
      </c>
      <c r="BD481" s="30" t="s">
        <v>1398</v>
      </c>
      <c r="BF481" s="30" t="s">
        <v>1406</v>
      </c>
      <c r="BG481" s="30" t="s">
        <v>28</v>
      </c>
      <c r="BL481" s="41"/>
      <c r="BM481" s="30" t="s">
        <v>1401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2" spans="1:66" ht="16" customHeight="1" x14ac:dyDescent="0.2">
      <c r="A482" s="30">
        <v>5009</v>
      </c>
      <c r="B482" s="39" t="s">
        <v>579</v>
      </c>
      <c r="C482" s="39" t="s">
        <v>1402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">
        <v>1403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1402</v>
      </c>
      <c r="BA482" s="30" t="str">
        <f>IF(ISBLANK(Table2[[#This Row],[device_model]]), "", Table2[[#This Row],[device_suggested_area]])</f>
        <v>Rack</v>
      </c>
      <c r="BB482" s="30" t="s">
        <v>1404</v>
      </c>
      <c r="BC482" s="30" t="s">
        <v>1405</v>
      </c>
      <c r="BD482" s="30" t="s">
        <v>1402</v>
      </c>
      <c r="BF482" s="30" t="s">
        <v>1406</v>
      </c>
      <c r="BG482" s="30" t="s">
        <v>28</v>
      </c>
      <c r="BL482" s="41"/>
      <c r="BM482" s="30" t="s">
        <v>1407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3" spans="1:66" ht="16" customHeight="1" x14ac:dyDescent="0.2">
      <c r="A483" s="30">
        <v>5010</v>
      </c>
      <c r="B483" s="39" t="s">
        <v>579</v>
      </c>
      <c r="C483" s="39" t="s">
        <v>387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1029</v>
      </c>
      <c r="BA483" s="30" t="str">
        <f>IF(ISBLANK(Table2[[#This Row],[device_model]]), "", Table2[[#This Row],[device_suggested_area]])</f>
        <v>Rack</v>
      </c>
      <c r="BB483" s="30" t="s">
        <v>387</v>
      </c>
      <c r="BC483" s="30" t="s">
        <v>388</v>
      </c>
      <c r="BD483" s="30" t="s">
        <v>390</v>
      </c>
      <c r="BF483" s="30" t="s">
        <v>389</v>
      </c>
      <c r="BG483" s="30" t="s">
        <v>28</v>
      </c>
      <c r="BK483" s="30" t="s">
        <v>1295</v>
      </c>
      <c r="BL483" s="41" t="s">
        <v>432</v>
      </c>
      <c r="BM483" s="30" t="s">
        <v>1313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4" spans="1:66" ht="16" customHeight="1" x14ac:dyDescent="0.2">
      <c r="A484" s="30">
        <v>5011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ref="AJ484:AJ489" si="0">IF(ISBLANK(AI484),  "", _xlfn.CONCAT("haas/entity/sensor/", LOWER(C484), "/", E484, "/config"))</f>
        <v/>
      </c>
      <c r="AK484" s="30" t="str">
        <f t="shared" ref="AK484:AK489" si="1"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Wardrobe</v>
      </c>
      <c r="BB484" s="30" t="s">
        <v>1494</v>
      </c>
      <c r="BC484" s="30" t="s">
        <v>1035</v>
      </c>
      <c r="BD484" s="30" t="s">
        <v>554</v>
      </c>
      <c r="BF484" s="63" t="s">
        <v>1498</v>
      </c>
      <c r="BG484" s="30" t="s">
        <v>495</v>
      </c>
      <c r="BK484" s="30" t="s">
        <v>401</v>
      </c>
      <c r="BL484" s="30" t="s">
        <v>553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5" spans="1:66" ht="16" customHeight="1" x14ac:dyDescent="0.2">
      <c r="A485" s="30">
        <v>5012</v>
      </c>
      <c r="B485" s="39" t="s">
        <v>579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0"/>
        <v/>
      </c>
      <c r="AK485" s="30" t="str">
        <f t="shared" si="1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Guildford</v>
      </c>
      <c r="BB485" s="30" t="s">
        <v>1496</v>
      </c>
      <c r="BC485" s="30" t="s">
        <v>1497</v>
      </c>
      <c r="BD485" s="30" t="s">
        <v>554</v>
      </c>
      <c r="BF485" s="63" t="s">
        <v>1498</v>
      </c>
      <c r="BG485" s="30" t="s">
        <v>1495</v>
      </c>
      <c r="BL485" s="30" t="s">
        <v>1502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6" spans="1:66" ht="16" customHeight="1" x14ac:dyDescent="0.2">
      <c r="A486" s="30">
        <v>5013</v>
      </c>
      <c r="B486" s="39" t="s">
        <v>26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0"/>
        <v/>
      </c>
      <c r="AK486" s="30" t="str">
        <f t="shared" si="1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1055</v>
      </c>
      <c r="BA486" s="30" t="str">
        <f>IF(ISBLANK(Table2[[#This Row],[device_model]]), "", Table2[[#This Row],[device_suggested_area]])</f>
        <v>Rack</v>
      </c>
      <c r="BB486" s="30" t="s">
        <v>1499</v>
      </c>
      <c r="BC486" s="30" t="s">
        <v>1500</v>
      </c>
      <c r="BD486" s="30" t="s">
        <v>264</v>
      </c>
      <c r="BF486" s="63" t="s">
        <v>1504</v>
      </c>
      <c r="BG486" s="30" t="s">
        <v>28</v>
      </c>
      <c r="BK486" s="30" t="s">
        <v>401</v>
      </c>
      <c r="BL486" s="41" t="s">
        <v>1503</v>
      </c>
      <c r="BM486" s="30" t="s">
        <v>1284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7" spans="1:66" ht="16" customHeight="1" x14ac:dyDescent="0.2">
      <c r="A487" s="30">
        <v>5014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Rack</v>
      </c>
      <c r="BB487" s="30" t="s">
        <v>1501</v>
      </c>
      <c r="BC487" s="30" t="s">
        <v>1033</v>
      </c>
      <c r="BD487" s="30" t="s">
        <v>264</v>
      </c>
      <c r="BF487" s="63" t="s">
        <v>1508</v>
      </c>
      <c r="BG487" s="30" t="s">
        <v>28</v>
      </c>
      <c r="BK487" s="30" t="s">
        <v>401</v>
      </c>
      <c r="BL487" s="46" t="s">
        <v>1509</v>
      </c>
      <c r="BM487" s="30" t="s">
        <v>1285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8" spans="1:66" ht="16" customHeight="1" x14ac:dyDescent="0.2">
      <c r="A488" s="30">
        <v>5015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1479</v>
      </c>
      <c r="BC488" s="30" t="s">
        <v>1033</v>
      </c>
      <c r="BD488" s="30" t="s">
        <v>264</v>
      </c>
      <c r="BF488" s="63" t="s">
        <v>1498</v>
      </c>
      <c r="BG488" s="30" t="s">
        <v>28</v>
      </c>
      <c r="BK488" s="30" t="s">
        <v>401</v>
      </c>
      <c r="BL488" s="46" t="s">
        <v>1363</v>
      </c>
      <c r="BM488" s="30" t="s">
        <v>1286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9" spans="1:66" ht="16" customHeight="1" x14ac:dyDescent="0.2">
      <c r="A489" s="30">
        <v>5016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1034</v>
      </c>
      <c r="BC489" s="30" t="s">
        <v>1033</v>
      </c>
      <c r="BD489" s="30" t="s">
        <v>264</v>
      </c>
      <c r="BF489" s="63" t="s">
        <v>1498</v>
      </c>
      <c r="BG489" s="30" t="s">
        <v>28</v>
      </c>
      <c r="BK489" s="30" t="s">
        <v>401</v>
      </c>
      <c r="BL489" s="30" t="s">
        <v>587</v>
      </c>
      <c r="BM489" s="30" t="s">
        <v>1287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0" spans="1:66" ht="16" customHeight="1" x14ac:dyDescent="0.2">
      <c r="A490" s="30">
        <v>5017</v>
      </c>
      <c r="B490" s="30" t="s">
        <v>26</v>
      </c>
      <c r="C490" s="30" t="s">
        <v>382</v>
      </c>
      <c r="E490" s="39"/>
      <c r="F490" s="36" t="str">
        <f>IF(ISBLANK(Table2[[#This Row],[unique_id]]), "", PROPER(SUBSTITUTE(Table2[[#This Row],[unique_id]], "_", " ")))</f>
        <v/>
      </c>
      <c r="I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T490" s="40"/>
      <c r="AU490" s="3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380</v>
      </c>
      <c r="BA490" s="30" t="str">
        <f>IF(ISBLANK(Table2[[#This Row],[device_model]]), "", Table2[[#This Row],[device_suggested_area]])</f>
        <v>Rack</v>
      </c>
      <c r="BB490" s="30" t="s">
        <v>382</v>
      </c>
      <c r="BC490" s="30" t="s">
        <v>381</v>
      </c>
      <c r="BD490" s="30" t="s">
        <v>380</v>
      </c>
      <c r="BF490" s="30" t="s">
        <v>776</v>
      </c>
      <c r="BG490" s="30" t="s">
        <v>28</v>
      </c>
      <c r="BK490" s="30" t="s">
        <v>1296</v>
      </c>
      <c r="BL490" s="30" t="s">
        <v>379</v>
      </c>
      <c r="BM490" s="30" t="s">
        <v>1353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1" spans="1:66" ht="16" customHeight="1" x14ac:dyDescent="0.2">
      <c r="A491" s="30">
        <v>5018</v>
      </c>
      <c r="B491" s="30" t="s">
        <v>26</v>
      </c>
      <c r="C491" s="30" t="s">
        <v>457</v>
      </c>
      <c r="E491" s="39"/>
      <c r="F491" s="36" t="str">
        <f>IF(ISBLANK(Table2[[#This Row],[unique_id]]), "", PROPER(SUBSTITUTE(Table2[[#This Row],[unique_id]], "_", " ")))</f>
        <v/>
      </c>
      <c r="I491" s="39"/>
      <c r="O491" s="31"/>
      <c r="P491" s="30"/>
      <c r="T491" s="37"/>
      <c r="U491" s="30"/>
      <c r="V491" s="31"/>
      <c r="W491" s="31" t="s">
        <v>489</v>
      </c>
      <c r="X491" s="31"/>
      <c r="Y491" s="42" t="s">
        <v>756</v>
      </c>
      <c r="Z491" s="42"/>
      <c r="AA491" s="42"/>
      <c r="AB491" s="30"/>
      <c r="AC491" s="30"/>
      <c r="AG491" s="31"/>
      <c r="AH491" s="31"/>
      <c r="AT4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1" s="37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7" t="str">
        <f>Table2[[#This Row],[device_suggested_area]]</f>
        <v>Home</v>
      </c>
      <c r="BA491" s="30" t="str">
        <f>IF(ISBLANK(Table2[[#This Row],[device_model]]), "", Table2[[#This Row],[device_suggested_area]])</f>
        <v>Home</v>
      </c>
      <c r="BB491" s="37" t="s">
        <v>1031</v>
      </c>
      <c r="BC491" s="37" t="s">
        <v>481</v>
      </c>
      <c r="BD491" s="30" t="s">
        <v>457</v>
      </c>
      <c r="BF491" s="37" t="s">
        <v>482</v>
      </c>
      <c r="BG491" s="30" t="s">
        <v>165</v>
      </c>
      <c r="BL491" s="30" t="s">
        <v>480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2026-02-24T12:03:03Z</dcterms:modified>
</cp:coreProperties>
</file>