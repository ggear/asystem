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C8780E0B-13B8-6942-8B10-D3E94035CF41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A288" i="1" l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4" i="1"/>
  <c r="AM312" i="1"/>
  <c r="AM26" i="1"/>
  <c r="AK26" i="1"/>
  <c r="AK312" i="1"/>
  <c r="AK314" i="1"/>
  <c r="AL314" i="1"/>
  <c r="AL312" i="1"/>
  <c r="AL26" i="1"/>
  <c r="AR314" i="1"/>
  <c r="AR312" i="1"/>
  <c r="AR26" i="1"/>
  <c r="AM326" i="1"/>
  <c r="AM322" i="1"/>
  <c r="AM320" i="1"/>
  <c r="AM318" i="1"/>
  <c r="AM316" i="1"/>
  <c r="AK326" i="1"/>
  <c r="AK322" i="1"/>
  <c r="AK320" i="1"/>
  <c r="AK318" i="1"/>
  <c r="AK316" i="1"/>
  <c r="AJ326" i="1"/>
  <c r="AJ322" i="1"/>
  <c r="AJ320" i="1"/>
  <c r="AJ318" i="1"/>
  <c r="AJ316" i="1"/>
  <c r="AJ309" i="1"/>
  <c r="AJ308" i="1"/>
  <c r="AJ307" i="1"/>
  <c r="AJ292" i="1"/>
  <c r="AJ306" i="1"/>
  <c r="AJ305" i="1"/>
  <c r="AJ298" i="1"/>
  <c r="AJ304" i="1"/>
  <c r="AJ294" i="1"/>
  <c r="AJ302" i="1"/>
  <c r="AJ301" i="1"/>
  <c r="AJ300" i="1"/>
  <c r="AJ303" i="1"/>
  <c r="AJ299" i="1"/>
  <c r="AJ297" i="1"/>
  <c r="AJ296" i="1"/>
  <c r="AJ295" i="1"/>
  <c r="AJ293" i="1"/>
  <c r="AJ291" i="1"/>
  <c r="AL309" i="1"/>
  <c r="AL308" i="1"/>
  <c r="AL307" i="1"/>
  <c r="AL292" i="1"/>
  <c r="AL306" i="1"/>
  <c r="AL305" i="1"/>
  <c r="AL298" i="1"/>
  <c r="AL304" i="1"/>
  <c r="AL294" i="1"/>
  <c r="AL302" i="1"/>
  <c r="AL301" i="1"/>
  <c r="AL300" i="1"/>
  <c r="AL303" i="1"/>
  <c r="AL299" i="1"/>
  <c r="AL297" i="1"/>
  <c r="AL296" i="1"/>
  <c r="AL295" i="1"/>
  <c r="AL293" i="1"/>
  <c r="AL291" i="1"/>
  <c r="BN328" i="1"/>
  <c r="BA328" i="1"/>
  <c r="AW328" i="1"/>
  <c r="AX328" i="1" s="1"/>
  <c r="AV328" i="1"/>
  <c r="F328" i="1"/>
  <c r="BN290" i="1"/>
  <c r="BA290" i="1"/>
  <c r="AW290" i="1"/>
  <c r="AV290" i="1"/>
  <c r="F290" i="1"/>
  <c r="BN310" i="1"/>
  <c r="BA310" i="1"/>
  <c r="AW310" i="1"/>
  <c r="AX310" i="1" s="1"/>
  <c r="AV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292" i="1"/>
  <c r="BA292" i="1"/>
  <c r="AW292" i="1" s="1"/>
  <c r="AM292" i="1"/>
  <c r="AK292" i="1"/>
  <c r="F292" i="1"/>
  <c r="BN306" i="1"/>
  <c r="BA306" i="1"/>
  <c r="AW306" i="1" s="1"/>
  <c r="AM306" i="1"/>
  <c r="AK306" i="1"/>
  <c r="F306" i="1"/>
  <c r="BN305" i="1"/>
  <c r="BA305" i="1"/>
  <c r="AW305" i="1" s="1"/>
  <c r="AM305" i="1"/>
  <c r="AK305" i="1"/>
  <c r="F305" i="1"/>
  <c r="BN298" i="1"/>
  <c r="BA298" i="1"/>
  <c r="AW298" i="1" s="1"/>
  <c r="AM298" i="1"/>
  <c r="AK298" i="1"/>
  <c r="F298" i="1"/>
  <c r="BN304" i="1"/>
  <c r="BA304" i="1"/>
  <c r="AW304" i="1" s="1"/>
  <c r="AM304" i="1"/>
  <c r="AK304" i="1"/>
  <c r="F304" i="1"/>
  <c r="BN294" i="1"/>
  <c r="BA294" i="1"/>
  <c r="AW294" i="1" s="1"/>
  <c r="AM294" i="1"/>
  <c r="AK294" i="1"/>
  <c r="F294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303" i="1"/>
  <c r="BA303" i="1"/>
  <c r="AW303" i="1" s="1"/>
  <c r="AM303" i="1"/>
  <c r="AK303" i="1"/>
  <c r="F303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78" i="1"/>
  <c r="BA378" i="1"/>
  <c r="AZ378" i="1"/>
  <c r="AW378" i="1" s="1"/>
  <c r="AX378" i="1" s="1"/>
  <c r="AT378" i="1"/>
  <c r="F378" i="1"/>
  <c r="BN407" i="1"/>
  <c r="BA407" i="1"/>
  <c r="AW407" i="1"/>
  <c r="AX407" i="1" s="1"/>
  <c r="AV407" i="1"/>
  <c r="F407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69" i="1"/>
  <c r="AW369" i="1"/>
  <c r="AV369" i="1" s="1"/>
  <c r="T369" i="1"/>
  <c r="S369" i="1"/>
  <c r="F369" i="1"/>
  <c r="BN368" i="1"/>
  <c r="AW368" i="1"/>
  <c r="AX368" i="1" s="1"/>
  <c r="T368" i="1"/>
  <c r="S368" i="1"/>
  <c r="F368" i="1"/>
  <c r="BN395" i="1"/>
  <c r="BA395" i="1"/>
  <c r="AW395" i="1" s="1"/>
  <c r="AX395" i="1" s="1"/>
  <c r="T395" i="1"/>
  <c r="S395" i="1"/>
  <c r="F395" i="1"/>
  <c r="BN394" i="1"/>
  <c r="BA394" i="1"/>
  <c r="AW394" i="1" s="1"/>
  <c r="AX394" i="1" s="1"/>
  <c r="S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M392" i="1"/>
  <c r="AK392" i="1"/>
  <c r="AJ392" i="1"/>
  <c r="F392" i="1"/>
  <c r="BN391" i="1"/>
  <c r="BA391" i="1"/>
  <c r="AW391" i="1" s="1"/>
  <c r="AT391" i="1"/>
  <c r="AM391" i="1"/>
  <c r="AL391" i="1"/>
  <c r="AK391" i="1"/>
  <c r="AJ391" i="1"/>
  <c r="T391" i="1"/>
  <c r="S391" i="1"/>
  <c r="F391" i="1"/>
  <c r="BN390" i="1"/>
  <c r="BA390" i="1"/>
  <c r="AW390" i="1" s="1"/>
  <c r="S390" i="1"/>
  <c r="F390" i="1"/>
  <c r="BN389" i="1"/>
  <c r="BA389" i="1"/>
  <c r="AW389" i="1" s="1"/>
  <c r="AM389" i="1"/>
  <c r="AK389" i="1"/>
  <c r="AJ389" i="1"/>
  <c r="F389" i="1"/>
  <c r="BN388" i="1"/>
  <c r="BA388" i="1"/>
  <c r="AW388" i="1" s="1"/>
  <c r="AM388" i="1"/>
  <c r="AK388" i="1"/>
  <c r="AJ388" i="1"/>
  <c r="F388" i="1"/>
  <c r="BN387" i="1"/>
  <c r="BA387" i="1"/>
  <c r="AW387" i="1" s="1"/>
  <c r="AT387" i="1"/>
  <c r="AM387" i="1"/>
  <c r="AL387" i="1"/>
  <c r="AK387" i="1"/>
  <c r="AJ387" i="1"/>
  <c r="T387" i="1"/>
  <c r="S387" i="1"/>
  <c r="F387" i="1"/>
  <c r="BN386" i="1"/>
  <c r="BA386" i="1"/>
  <c r="AW386" i="1" s="1"/>
  <c r="S386" i="1"/>
  <c r="F386" i="1"/>
  <c r="BN385" i="1"/>
  <c r="AW385" i="1"/>
  <c r="AX385" i="1" s="1"/>
  <c r="T385" i="1"/>
  <c r="S385" i="1"/>
  <c r="F385" i="1"/>
  <c r="BN384" i="1"/>
  <c r="AW384" i="1"/>
  <c r="AX384" i="1" s="1"/>
  <c r="T384" i="1"/>
  <c r="S384" i="1"/>
  <c r="F384" i="1"/>
  <c r="BN383" i="1"/>
  <c r="BA383" i="1"/>
  <c r="AW383" i="1" s="1"/>
  <c r="T383" i="1"/>
  <c r="S383" i="1"/>
  <c r="F383" i="1"/>
  <c r="BN382" i="1"/>
  <c r="BA382" i="1"/>
  <c r="AW382" i="1" s="1"/>
  <c r="S382" i="1"/>
  <c r="F382" i="1"/>
  <c r="BN381" i="1"/>
  <c r="BA381" i="1"/>
  <c r="AW381" i="1" s="1"/>
  <c r="T381" i="1"/>
  <c r="S381" i="1"/>
  <c r="F381" i="1"/>
  <c r="BN380" i="1"/>
  <c r="BA380" i="1"/>
  <c r="AW380" i="1" s="1"/>
  <c r="AX380" i="1" s="1"/>
  <c r="S380" i="1"/>
  <c r="F380" i="1"/>
  <c r="BN347" i="1"/>
  <c r="BA347" i="1"/>
  <c r="AW347" i="1" s="1"/>
  <c r="AV347" i="1" s="1"/>
  <c r="AT347" i="1"/>
  <c r="AM347" i="1"/>
  <c r="AL347" i="1"/>
  <c r="AK347" i="1"/>
  <c r="AJ347" i="1"/>
  <c r="F347" i="1"/>
  <c r="BN346" i="1"/>
  <c r="BA346" i="1"/>
  <c r="AW346" i="1" s="1"/>
  <c r="AV346" i="1" s="1"/>
  <c r="AT346" i="1"/>
  <c r="AM346" i="1"/>
  <c r="AL346" i="1"/>
  <c r="AK346" i="1"/>
  <c r="AJ346" i="1"/>
  <c r="F346" i="1"/>
  <c r="BN345" i="1"/>
  <c r="BA345" i="1"/>
  <c r="AW345" i="1" s="1"/>
  <c r="AT345" i="1"/>
  <c r="AM345" i="1"/>
  <c r="AL345" i="1"/>
  <c r="AK345" i="1"/>
  <c r="AJ345" i="1"/>
  <c r="F345" i="1"/>
  <c r="BN344" i="1"/>
  <c r="BA344" i="1"/>
  <c r="AW344" i="1" s="1"/>
  <c r="AT344" i="1"/>
  <c r="AM344" i="1"/>
  <c r="AL344" i="1"/>
  <c r="AK344" i="1"/>
  <c r="AJ344" i="1"/>
  <c r="F344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N317" i="1"/>
  <c r="BA317" i="1"/>
  <c r="AX317" i="1"/>
  <c r="AK317" i="1"/>
  <c r="AJ317" i="1"/>
  <c r="F317" i="1"/>
  <c r="AY317" i="1" s="1"/>
  <c r="BN316" i="1"/>
  <c r="BA316" i="1"/>
  <c r="AW316" i="1" s="1"/>
  <c r="AV316" i="1" s="1"/>
  <c r="F316" i="1"/>
  <c r="BA465" i="1"/>
  <c r="BN466" i="1"/>
  <c r="BB466" i="1"/>
  <c r="AW466" i="1" s="1"/>
  <c r="BA466" i="1"/>
  <c r="F466" i="1"/>
  <c r="BN467" i="1"/>
  <c r="BB467" i="1"/>
  <c r="AW467" i="1" s="1"/>
  <c r="BA467" i="1"/>
  <c r="F467" i="1"/>
  <c r="BN479" i="1"/>
  <c r="BA479" i="1"/>
  <c r="AW479" i="1"/>
  <c r="AX479" i="1" s="1"/>
  <c r="AK479" i="1"/>
  <c r="AJ479" i="1"/>
  <c r="F479" i="1"/>
  <c r="BN478" i="1"/>
  <c r="BA478" i="1"/>
  <c r="AW478" i="1"/>
  <c r="AX478" i="1" s="1"/>
  <c r="AK478" i="1"/>
  <c r="AJ478" i="1"/>
  <c r="F478" i="1"/>
  <c r="BA476" i="1"/>
  <c r="BA475" i="1"/>
  <c r="BN475" i="1"/>
  <c r="AW475" i="1"/>
  <c r="AX475" i="1" s="1"/>
  <c r="AK475" i="1"/>
  <c r="AJ475" i="1"/>
  <c r="F475" i="1"/>
  <c r="BN474" i="1"/>
  <c r="BA474" i="1"/>
  <c r="AW474" i="1"/>
  <c r="AX474" i="1" s="1"/>
  <c r="AK474" i="1"/>
  <c r="AJ474" i="1"/>
  <c r="F474" i="1"/>
  <c r="AV460" i="1"/>
  <c r="AV445" i="1"/>
  <c r="AV450" i="1"/>
  <c r="AV458" i="1"/>
  <c r="BB468" i="1"/>
  <c r="AW468" i="1" s="1"/>
  <c r="AV468" i="1" s="1"/>
  <c r="BN468" i="1"/>
  <c r="BA468" i="1"/>
  <c r="F468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58" i="1"/>
  <c r="AW358" i="1" s="1"/>
  <c r="BA359" i="1"/>
  <c r="AW359" i="1" s="1"/>
  <c r="S359" i="1"/>
  <c r="S358" i="1"/>
  <c r="BN359" i="1"/>
  <c r="T359" i="1"/>
  <c r="F359" i="1"/>
  <c r="BN358" i="1"/>
  <c r="T358" i="1"/>
  <c r="F35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0" i="1"/>
  <c r="BA470" i="1"/>
  <c r="AW470" i="1"/>
  <c r="AX470" i="1" s="1"/>
  <c r="F470" i="1"/>
  <c r="BN472" i="1"/>
  <c r="BA472" i="1"/>
  <c r="AW472" i="1"/>
  <c r="AX472" i="1" s="1"/>
  <c r="F472" i="1"/>
  <c r="AW471" i="1"/>
  <c r="AX471" i="1" s="1"/>
  <c r="BN471" i="1"/>
  <c r="BA471" i="1"/>
  <c r="F471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52" i="1"/>
  <c r="BA452" i="1"/>
  <c r="AW452" i="1"/>
  <c r="AX452" i="1" s="1"/>
  <c r="AV452" i="1"/>
  <c r="F452" i="1"/>
  <c r="BN451" i="1"/>
  <c r="BA451" i="1"/>
  <c r="AW451" i="1"/>
  <c r="AX451" i="1" s="1"/>
  <c r="AV451" i="1"/>
  <c r="F451" i="1"/>
  <c r="BN429" i="1"/>
  <c r="BA429" i="1"/>
  <c r="AW429" i="1" s="1"/>
  <c r="AX429" i="1" s="1"/>
  <c r="F429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A477" i="1"/>
  <c r="AW476" i="1"/>
  <c r="AX476" i="1" s="1"/>
  <c r="AW477" i="1"/>
  <c r="AX477" i="1" s="1"/>
  <c r="F476" i="1"/>
  <c r="AJ476" i="1"/>
  <c r="AK476" i="1"/>
  <c r="BN476" i="1"/>
  <c r="F477" i="1"/>
  <c r="AJ477" i="1"/>
  <c r="AK477" i="1"/>
  <c r="BN477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1" i="1"/>
  <c r="AX313" i="1"/>
  <c r="AX315" i="1"/>
  <c r="AX323" i="1"/>
  <c r="AX324" i="1"/>
  <c r="AX325" i="1"/>
  <c r="AX327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1" i="1"/>
  <c r="F312" i="1"/>
  <c r="F313" i="1"/>
  <c r="F314" i="1"/>
  <c r="F315" i="1"/>
  <c r="F322" i="1"/>
  <c r="F323" i="1"/>
  <c r="AY323" i="1" s="1"/>
  <c r="F324" i="1"/>
  <c r="AY324" i="1" s="1"/>
  <c r="F325" i="1"/>
  <c r="F326" i="1"/>
  <c r="F327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8" i="1"/>
  <c r="F349" i="1"/>
  <c r="F350" i="1"/>
  <c r="F351" i="1"/>
  <c r="F352" i="1"/>
  <c r="F353" i="1"/>
  <c r="F354" i="1"/>
  <c r="F355" i="1"/>
  <c r="F356" i="1"/>
  <c r="F357" i="1"/>
  <c r="F360" i="1"/>
  <c r="F361" i="1"/>
  <c r="F362" i="1"/>
  <c r="F363" i="1"/>
  <c r="F364" i="1"/>
  <c r="F365" i="1"/>
  <c r="F366" i="1"/>
  <c r="F367" i="1"/>
  <c r="F370" i="1"/>
  <c r="F371" i="1"/>
  <c r="F372" i="1"/>
  <c r="F373" i="1"/>
  <c r="F374" i="1"/>
  <c r="F375" i="1"/>
  <c r="F376" i="1"/>
  <c r="F377" i="1"/>
  <c r="F379" i="1"/>
  <c r="F396" i="1"/>
  <c r="F397" i="1"/>
  <c r="F398" i="1"/>
  <c r="F399" i="1"/>
  <c r="F400" i="1"/>
  <c r="F401" i="1"/>
  <c r="F402" i="1"/>
  <c r="F403" i="1"/>
  <c r="F404" i="1"/>
  <c r="F405" i="1"/>
  <c r="F406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7" i="1"/>
  <c r="F458" i="1"/>
  <c r="F459" i="1"/>
  <c r="F460" i="1"/>
  <c r="F461" i="1"/>
  <c r="F462" i="1"/>
  <c r="F463" i="1"/>
  <c r="F464" i="1"/>
  <c r="F465" i="1"/>
  <c r="F469" i="1"/>
  <c r="F473" i="1"/>
  <c r="F480" i="1"/>
  <c r="F481" i="1"/>
  <c r="AJ335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4" i="1"/>
  <c r="AJ312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4" i="1"/>
  <c r="BA324" i="1"/>
  <c r="AK324" i="1"/>
  <c r="AJ324" i="1"/>
  <c r="AJ325" i="1"/>
  <c r="AK325" i="1"/>
  <c r="BA325" i="1"/>
  <c r="BN325" i="1"/>
  <c r="AJ311" i="1"/>
  <c r="AK311" i="1"/>
  <c r="BA311" i="1"/>
  <c r="BN311" i="1"/>
  <c r="BN315" i="1"/>
  <c r="BA315" i="1"/>
  <c r="AK315" i="1"/>
  <c r="AJ315" i="1"/>
  <c r="BN314" i="1"/>
  <c r="BA314" i="1"/>
  <c r="AW314" i="1" s="1"/>
  <c r="AV314" i="1" s="1"/>
  <c r="BN313" i="1"/>
  <c r="BA313" i="1"/>
  <c r="AK313" i="1"/>
  <c r="AJ313" i="1"/>
  <c r="BN312" i="1"/>
  <c r="BA312" i="1"/>
  <c r="AW312" i="1" s="1"/>
  <c r="AV312" i="1" s="1"/>
  <c r="AJ323" i="1"/>
  <c r="AK323" i="1"/>
  <c r="BA323" i="1"/>
  <c r="BN323" i="1"/>
  <c r="AJ327" i="1"/>
  <c r="AK327" i="1"/>
  <c r="BA327" i="1"/>
  <c r="BN327" i="1"/>
  <c r="AR54" i="1"/>
  <c r="AR44" i="1"/>
  <c r="BN322" i="1"/>
  <c r="BA322" i="1"/>
  <c r="AW322" i="1" s="1"/>
  <c r="AV322" i="1" s="1"/>
  <c r="BA326" i="1"/>
  <c r="AW326" i="1" s="1"/>
  <c r="AV326" i="1" s="1"/>
  <c r="BN326" i="1"/>
  <c r="BN291" i="1"/>
  <c r="AR77" i="1"/>
  <c r="AR76" i="1"/>
  <c r="AR75" i="1"/>
  <c r="AR74" i="1"/>
  <c r="AR73" i="1"/>
  <c r="AR72" i="1"/>
  <c r="AV288" i="1" l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18" i="1"/>
  <c r="AX316" i="1"/>
  <c r="AY328" i="1"/>
  <c r="AY310" i="1"/>
  <c r="AY290" i="1"/>
  <c r="AX290" i="1"/>
  <c r="AX294" i="1"/>
  <c r="AX305" i="1"/>
  <c r="AX299" i="1"/>
  <c r="AX301" i="1"/>
  <c r="AX308" i="1"/>
  <c r="AX296" i="1"/>
  <c r="AX298" i="1"/>
  <c r="AY299" i="1"/>
  <c r="AY298" i="1"/>
  <c r="AY296" i="1"/>
  <c r="AY303" i="1"/>
  <c r="AY306" i="1"/>
  <c r="AX300" i="1"/>
  <c r="AY301" i="1"/>
  <c r="AX292" i="1"/>
  <c r="AY308" i="1"/>
  <c r="AY295" i="1"/>
  <c r="AY294" i="1"/>
  <c r="AV296" i="1"/>
  <c r="AX295" i="1"/>
  <c r="AY300" i="1"/>
  <c r="AY292" i="1"/>
  <c r="AY297" i="1"/>
  <c r="AY302" i="1"/>
  <c r="AX307" i="1"/>
  <c r="AY309" i="1"/>
  <c r="AX293" i="1"/>
  <c r="AY304" i="1"/>
  <c r="AX302" i="1"/>
  <c r="AX309" i="1"/>
  <c r="AX297" i="1"/>
  <c r="AX304" i="1"/>
  <c r="AY305" i="1"/>
  <c r="AY293" i="1"/>
  <c r="AX303" i="1"/>
  <c r="AX306" i="1"/>
  <c r="AY307" i="1"/>
  <c r="AV299" i="1"/>
  <c r="AV303" i="1"/>
  <c r="AV300" i="1"/>
  <c r="AV301" i="1"/>
  <c r="AV302" i="1"/>
  <c r="AV294" i="1"/>
  <c r="AV304" i="1"/>
  <c r="AV298" i="1"/>
  <c r="AV305" i="1"/>
  <c r="AV306" i="1"/>
  <c r="AV292" i="1"/>
  <c r="AV307" i="1"/>
  <c r="AV308" i="1"/>
  <c r="AV309" i="1"/>
  <c r="AY378" i="1"/>
  <c r="AV378" i="1"/>
  <c r="AY162" i="1"/>
  <c r="AY407" i="1"/>
  <c r="AV161" i="1"/>
  <c r="AY369" i="1"/>
  <c r="AY161" i="1"/>
  <c r="AV162" i="1"/>
  <c r="AX162" i="1"/>
  <c r="AV368" i="1"/>
  <c r="AY368" i="1"/>
  <c r="AY386" i="1"/>
  <c r="AX369" i="1"/>
  <c r="AY390" i="1"/>
  <c r="AV394" i="1"/>
  <c r="AY384" i="1"/>
  <c r="AY394" i="1"/>
  <c r="AX389" i="1"/>
  <c r="AV389" i="1"/>
  <c r="AX388" i="1"/>
  <c r="AV388" i="1"/>
  <c r="AX390" i="1"/>
  <c r="AV390" i="1"/>
  <c r="AX387" i="1"/>
  <c r="AV387" i="1"/>
  <c r="AY385" i="1"/>
  <c r="AY387" i="1"/>
  <c r="AY389" i="1"/>
  <c r="AY388" i="1"/>
  <c r="AY393" i="1"/>
  <c r="AY395" i="1"/>
  <c r="AV384" i="1"/>
  <c r="AX392" i="1"/>
  <c r="AV392" i="1"/>
  <c r="AX383" i="1"/>
  <c r="AV383" i="1"/>
  <c r="AY383" i="1"/>
  <c r="AY381" i="1"/>
  <c r="AX381" i="1"/>
  <c r="AV381" i="1"/>
  <c r="AX391" i="1"/>
  <c r="AV391" i="1"/>
  <c r="AY391" i="1"/>
  <c r="AY382" i="1"/>
  <c r="AY392" i="1"/>
  <c r="AX393" i="1"/>
  <c r="AV393" i="1"/>
  <c r="AV382" i="1"/>
  <c r="AX382" i="1"/>
  <c r="AX386" i="1"/>
  <c r="AV380" i="1"/>
  <c r="AV386" i="1"/>
  <c r="AY380" i="1"/>
  <c r="AV385" i="1"/>
  <c r="AV395" i="1"/>
  <c r="AY344" i="1"/>
  <c r="AX346" i="1"/>
  <c r="AY347" i="1"/>
  <c r="AX344" i="1"/>
  <c r="AY345" i="1"/>
  <c r="AX345" i="1"/>
  <c r="AV345" i="1"/>
  <c r="AY346" i="1"/>
  <c r="AX347" i="1"/>
  <c r="AV344" i="1"/>
  <c r="AY318" i="1"/>
  <c r="AY316" i="1"/>
  <c r="AY466" i="1"/>
  <c r="AV466" i="1"/>
  <c r="AX466" i="1"/>
  <c r="AX467" i="1"/>
  <c r="AV467" i="1"/>
  <c r="AY467" i="1"/>
  <c r="AY479" i="1"/>
  <c r="AV479" i="1"/>
  <c r="AY474" i="1"/>
  <c r="AV474" i="1"/>
  <c r="AY478" i="1"/>
  <c r="AV478" i="1"/>
  <c r="AY475" i="1"/>
  <c r="AV475" i="1"/>
  <c r="AV470" i="1"/>
  <c r="AY127" i="1"/>
  <c r="AY468" i="1"/>
  <c r="AX468" i="1"/>
  <c r="AV127" i="1"/>
  <c r="AY128" i="1"/>
  <c r="AV128" i="1"/>
  <c r="AY42" i="1"/>
  <c r="AY109" i="1"/>
  <c r="AY108" i="1"/>
  <c r="AV108" i="1"/>
  <c r="AX108" i="1"/>
  <c r="AV109" i="1"/>
  <c r="AY358" i="1"/>
  <c r="AX359" i="1"/>
  <c r="AV359" i="1"/>
  <c r="AY359" i="1"/>
  <c r="AX358" i="1"/>
  <c r="AV358" i="1"/>
  <c r="AY470" i="1"/>
  <c r="AY472" i="1"/>
  <c r="AY471" i="1"/>
  <c r="AY456" i="1"/>
  <c r="AX107" i="1"/>
  <c r="AV107" i="1"/>
  <c r="AY107" i="1"/>
  <c r="AX106" i="1"/>
  <c r="AV106" i="1"/>
  <c r="AY106" i="1"/>
  <c r="AY56" i="1"/>
  <c r="AY454" i="1"/>
  <c r="AY453" i="1"/>
  <c r="AY451" i="1"/>
  <c r="AY452" i="1"/>
  <c r="AY455" i="1"/>
  <c r="AY429" i="1"/>
  <c r="AV429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0" i="1"/>
  <c r="AY320" i="1"/>
  <c r="AY477" i="1"/>
  <c r="AV477" i="1"/>
  <c r="AV476" i="1"/>
  <c r="AY476" i="1"/>
  <c r="AY41" i="1"/>
  <c r="AY43" i="1"/>
  <c r="AX326" i="1"/>
  <c r="AX322" i="1"/>
  <c r="AX312" i="1"/>
  <c r="AX291" i="1"/>
  <c r="AX314" i="1"/>
  <c r="AY15" i="1"/>
  <c r="AY322" i="1"/>
  <c r="AY326" i="1"/>
  <c r="AY312" i="1"/>
  <c r="AY17" i="1"/>
  <c r="AY5" i="1"/>
  <c r="AY25" i="1"/>
  <c r="AY13" i="1"/>
  <c r="AY27" i="1"/>
  <c r="AY31" i="1"/>
  <c r="AY19" i="1"/>
  <c r="AY7" i="1"/>
  <c r="AY315" i="1"/>
  <c r="AY314" i="1"/>
  <c r="AY291" i="1"/>
  <c r="AY234" i="1"/>
  <c r="AY23" i="1"/>
  <c r="AY11" i="1"/>
  <c r="AY313" i="1"/>
  <c r="AY21" i="1"/>
  <c r="AY9" i="1"/>
  <c r="AY327" i="1"/>
  <c r="AY311" i="1"/>
  <c r="AY325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5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2" i="1"/>
  <c r="AX462" i="1" s="1"/>
  <c r="AW460" i="1"/>
  <c r="AX460" i="1" s="1"/>
  <c r="AW458" i="1"/>
  <c r="AX458" i="1" s="1"/>
  <c r="AW457" i="1"/>
  <c r="AX457" i="1" s="1"/>
  <c r="AV457" i="1"/>
  <c r="AW450" i="1"/>
  <c r="AX450" i="1" s="1"/>
  <c r="AW447" i="1"/>
  <c r="AX447" i="1" s="1"/>
  <c r="AV447" i="1"/>
  <c r="AW446" i="1"/>
  <c r="AX446" i="1" s="1"/>
  <c r="AV446" i="1"/>
  <c r="AW445" i="1"/>
  <c r="AX445" i="1" s="1"/>
  <c r="AW442" i="1"/>
  <c r="AX442" i="1" s="1"/>
  <c r="AV442" i="1"/>
  <c r="AW441" i="1"/>
  <c r="AX441" i="1" s="1"/>
  <c r="AV441" i="1"/>
  <c r="AW433" i="1"/>
  <c r="AX433" i="1" s="1"/>
  <c r="AV433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400" i="1"/>
  <c r="AX400" i="1" s="1"/>
  <c r="AV400" i="1"/>
  <c r="AW399" i="1"/>
  <c r="AX399" i="1" s="1"/>
  <c r="AV399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329" i="1"/>
  <c r="AX329" i="1" s="1"/>
  <c r="AV32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3" i="1"/>
  <c r="AV463" i="1" s="1"/>
  <c r="AW473" i="1"/>
  <c r="AW480" i="1"/>
  <c r="AX480" i="1" s="1"/>
  <c r="BA462" i="1"/>
  <c r="BA460" i="1"/>
  <c r="BA458" i="1"/>
  <c r="BA457" i="1"/>
  <c r="BA450" i="1"/>
  <c r="BA447" i="1"/>
  <c r="BA446" i="1"/>
  <c r="BA445" i="1"/>
  <c r="BA442" i="1"/>
  <c r="BA441" i="1"/>
  <c r="BA433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6" i="1"/>
  <c r="BA405" i="1"/>
  <c r="BA404" i="1"/>
  <c r="BA403" i="1"/>
  <c r="BA402" i="1"/>
  <c r="BA401" i="1"/>
  <c r="BA400" i="1"/>
  <c r="BA399" i="1"/>
  <c r="BA343" i="1"/>
  <c r="BA342" i="1"/>
  <c r="BA341" i="1"/>
  <c r="BA340" i="1"/>
  <c r="BA334" i="1"/>
  <c r="BA333" i="1"/>
  <c r="BA332" i="1"/>
  <c r="BA331" i="1"/>
  <c r="BA330" i="1"/>
  <c r="BA32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48" i="1"/>
  <c r="BA443" i="1"/>
  <c r="BA481" i="1"/>
  <c r="BA281" i="1"/>
  <c r="AW281" i="1" s="1"/>
  <c r="AX281" i="1" s="1"/>
  <c r="BA469" i="1"/>
  <c r="BA464" i="1"/>
  <c r="BA463" i="1"/>
  <c r="BA461" i="1"/>
  <c r="BA459" i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348" i="1"/>
  <c r="AW348" i="1" s="1"/>
  <c r="AX348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49" i="1"/>
  <c r="BA444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79" i="1"/>
  <c r="BA377" i="1"/>
  <c r="BA376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3" i="1"/>
  <c r="BA339" i="1"/>
  <c r="AW339" i="1" s="1"/>
  <c r="AX339" i="1" s="1"/>
  <c r="BA338" i="1"/>
  <c r="AW338" i="1" s="1"/>
  <c r="AX338" i="1" s="1"/>
  <c r="BA337" i="1"/>
  <c r="AW337" i="1" s="1"/>
  <c r="AX337" i="1" s="1"/>
  <c r="BA336" i="1"/>
  <c r="AW336" i="1" s="1"/>
  <c r="AX336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0" i="1"/>
  <c r="AW430" i="1" s="1"/>
  <c r="AX430" i="1" s="1"/>
  <c r="BA398" i="1"/>
  <c r="BA397" i="1"/>
  <c r="BA396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2" i="1"/>
  <c r="AW432" i="1" s="1"/>
  <c r="AX432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423" i="1"/>
  <c r="AW423" i="1" s="1"/>
  <c r="AX423" i="1" s="1"/>
  <c r="BA422" i="1"/>
  <c r="AW422" i="1" s="1"/>
  <c r="AX422" i="1" s="1"/>
  <c r="BA335" i="1"/>
  <c r="AW335" i="1" s="1"/>
  <c r="AX335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0" i="1"/>
  <c r="BA440" i="1"/>
  <c r="BA431" i="1"/>
  <c r="AW431" i="1" s="1"/>
  <c r="AX431" i="1" s="1"/>
  <c r="S363" i="1"/>
  <c r="S362" i="1"/>
  <c r="S361" i="1"/>
  <c r="S357" i="1"/>
  <c r="S373" i="1"/>
  <c r="S372" i="1"/>
  <c r="S371" i="1"/>
  <c r="S355" i="1"/>
  <c r="S353" i="1"/>
  <c r="T230" i="1"/>
  <c r="T226" i="1"/>
  <c r="T114" i="1"/>
  <c r="S435" i="1"/>
  <c r="S436" i="1"/>
  <c r="S439" i="1"/>
  <c r="S438" i="1"/>
  <c r="S349" i="1"/>
  <c r="S348" i="1"/>
  <c r="S351" i="1"/>
  <c r="S350" i="1"/>
  <c r="S375" i="1"/>
  <c r="S374" i="1"/>
  <c r="T365" i="1"/>
  <c r="T367" i="1"/>
  <c r="T224" i="1"/>
  <c r="T349" i="1"/>
  <c r="T363" i="1"/>
  <c r="T361" i="1"/>
  <c r="T357" i="1"/>
  <c r="T353" i="1"/>
  <c r="T371" i="1"/>
  <c r="T355" i="1"/>
  <c r="T373" i="1"/>
  <c r="T351" i="1"/>
  <c r="T375" i="1"/>
  <c r="S424" i="1"/>
  <c r="S426" i="1"/>
  <c r="S427" i="1"/>
  <c r="S437" i="1"/>
  <c r="S425" i="1"/>
  <c r="S423" i="1"/>
  <c r="S422" i="1"/>
  <c r="S370" i="1"/>
  <c r="S352" i="1"/>
  <c r="S354" i="1"/>
  <c r="S356" i="1"/>
  <c r="S360" i="1"/>
  <c r="BB469" i="1"/>
  <c r="AW469" i="1" s="1"/>
  <c r="BB465" i="1"/>
  <c r="AW465" i="1" s="1"/>
  <c r="BB464" i="1"/>
  <c r="AW464" i="1" s="1"/>
  <c r="BB461" i="1"/>
  <c r="AW461" i="1" s="1"/>
  <c r="BB459" i="1"/>
  <c r="AW459" i="1" s="1"/>
  <c r="AZ481" i="1"/>
  <c r="AW481" i="1" s="1"/>
  <c r="AX481" i="1" s="1"/>
  <c r="AZ448" i="1"/>
  <c r="AW448" i="1" s="1"/>
  <c r="AX448" i="1" s="1"/>
  <c r="AZ443" i="1"/>
  <c r="AW443" i="1" s="1"/>
  <c r="AX443" i="1" s="1"/>
  <c r="AZ449" i="1"/>
  <c r="AW449" i="1" s="1"/>
  <c r="AX449" i="1" s="1"/>
  <c r="AZ444" i="1"/>
  <c r="AW444" i="1" s="1"/>
  <c r="AX444" i="1" s="1"/>
  <c r="AZ379" i="1"/>
  <c r="AW379" i="1" s="1"/>
  <c r="AX379" i="1" s="1"/>
  <c r="AZ377" i="1"/>
  <c r="AW377" i="1" s="1"/>
  <c r="AX377" i="1" s="1"/>
  <c r="AZ376" i="1"/>
  <c r="AW376" i="1" s="1"/>
  <c r="AX376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398" i="1"/>
  <c r="AW398" i="1" s="1"/>
  <c r="AX398" i="1" s="1"/>
  <c r="AZ397" i="1"/>
  <c r="AW397" i="1" s="1"/>
  <c r="AX397" i="1" s="1"/>
  <c r="AZ396" i="1"/>
  <c r="AW396" i="1" s="1"/>
  <c r="AX396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6" i="1"/>
  <c r="S364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29" i="1"/>
  <c r="BN330" i="1"/>
  <c r="BN331" i="1"/>
  <c r="BN332" i="1"/>
  <c r="BN333" i="1"/>
  <c r="BN334" i="1"/>
  <c r="BN335" i="1"/>
  <c r="BN336" i="1"/>
  <c r="BN337" i="1"/>
  <c r="BN338" i="1"/>
  <c r="BN339" i="1"/>
  <c r="BN340" i="1"/>
  <c r="BN341" i="1"/>
  <c r="BN342" i="1"/>
  <c r="BN343" i="1"/>
  <c r="BN348" i="1"/>
  <c r="BN349" i="1"/>
  <c r="BN350" i="1"/>
  <c r="BN351" i="1"/>
  <c r="BN352" i="1"/>
  <c r="BN353" i="1"/>
  <c r="BN354" i="1"/>
  <c r="BN355" i="1"/>
  <c r="BN356" i="1"/>
  <c r="BN357" i="1"/>
  <c r="BN360" i="1"/>
  <c r="BN361" i="1"/>
  <c r="BN362" i="1"/>
  <c r="BN363" i="1"/>
  <c r="BN364" i="1"/>
  <c r="BN365" i="1"/>
  <c r="BN366" i="1"/>
  <c r="BN367" i="1"/>
  <c r="BN370" i="1"/>
  <c r="BN371" i="1"/>
  <c r="BN372" i="1"/>
  <c r="BN373" i="1"/>
  <c r="BN374" i="1"/>
  <c r="BN375" i="1"/>
  <c r="BN376" i="1"/>
  <c r="BN377" i="1"/>
  <c r="BN379" i="1"/>
  <c r="BN396" i="1"/>
  <c r="BN397" i="1"/>
  <c r="BN398" i="1"/>
  <c r="BN399" i="1"/>
  <c r="BN400" i="1"/>
  <c r="BN401" i="1"/>
  <c r="BN402" i="1"/>
  <c r="BN403" i="1"/>
  <c r="BN404" i="1"/>
  <c r="BN405" i="1"/>
  <c r="BN406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7" i="1"/>
  <c r="BN458" i="1"/>
  <c r="BN459" i="1"/>
  <c r="BN460" i="1"/>
  <c r="BN461" i="1"/>
  <c r="BN462" i="1"/>
  <c r="BN463" i="1"/>
  <c r="BN464" i="1"/>
  <c r="BN465" i="1"/>
  <c r="BN469" i="1"/>
  <c r="BN473" i="1"/>
  <c r="BN480" i="1"/>
  <c r="BN481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4" i="1"/>
  <c r="T205" i="1"/>
  <c r="T200" i="1"/>
  <c r="S367" i="1"/>
  <c r="S365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398" i="1"/>
  <c r="AT397" i="1"/>
  <c r="AT481" i="1"/>
  <c r="AT396" i="1"/>
  <c r="AT379" i="1"/>
  <c r="AT377" i="1"/>
  <c r="AT376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4" i="1" l="1"/>
  <c r="AV464" i="1"/>
  <c r="AX465" i="1"/>
  <c r="AV465" i="1"/>
  <c r="AX473" i="1"/>
  <c r="AV473" i="1"/>
  <c r="AX459" i="1"/>
  <c r="AV459" i="1"/>
  <c r="AX469" i="1"/>
  <c r="AV469" i="1"/>
  <c r="AX461" i="1"/>
  <c r="AV461" i="1"/>
  <c r="AX463" i="1"/>
  <c r="AW440" i="1"/>
  <c r="AX440" i="1" s="1"/>
  <c r="AY335" i="1"/>
  <c r="AY226" i="1"/>
  <c r="AV379" i="1"/>
  <c r="AV168" i="1"/>
  <c r="AY47" i="1"/>
  <c r="AV120" i="1"/>
  <c r="AY330" i="1"/>
  <c r="AY215" i="1"/>
  <c r="AY216" i="1"/>
  <c r="AY95" i="1"/>
  <c r="AY101" i="1"/>
  <c r="AY331" i="1"/>
  <c r="AY342" i="1"/>
  <c r="AV81" i="1"/>
  <c r="AY8" i="1"/>
  <c r="AY352" i="1"/>
  <c r="AV142" i="1"/>
  <c r="AV192" i="1"/>
  <c r="AY230" i="1"/>
  <c r="AY200" i="1"/>
  <c r="AY233" i="1"/>
  <c r="AY152" i="1"/>
  <c r="AV439" i="1"/>
  <c r="AY442" i="1"/>
  <c r="AY140" i="1"/>
  <c r="AY73" i="1"/>
  <c r="AV426" i="1"/>
  <c r="AY426" i="1"/>
  <c r="AY231" i="1"/>
  <c r="AY480" i="1"/>
  <c r="AY96" i="1"/>
  <c r="AY343" i="1"/>
  <c r="AY403" i="1"/>
  <c r="AY416" i="1"/>
  <c r="AY4" i="1"/>
  <c r="AY28" i="1"/>
  <c r="AY26" i="1"/>
  <c r="AV167" i="1"/>
  <c r="AY167" i="1"/>
  <c r="AY363" i="1"/>
  <c r="AY459" i="1"/>
  <c r="AY86" i="1"/>
  <c r="AY178" i="1"/>
  <c r="AY219" i="1"/>
  <c r="AY74" i="1"/>
  <c r="AY87" i="1"/>
  <c r="AV427" i="1"/>
  <c r="AY427" i="1"/>
  <c r="AV202" i="1"/>
  <c r="AY202" i="1"/>
  <c r="AY205" i="1"/>
  <c r="AY349" i="1"/>
  <c r="AY419" i="1"/>
  <c r="AY448" i="1"/>
  <c r="AY89" i="1"/>
  <c r="AV428" i="1"/>
  <c r="AY428" i="1"/>
  <c r="AY68" i="1"/>
  <c r="AV203" i="1"/>
  <c r="AY203" i="1"/>
  <c r="AY206" i="1"/>
  <c r="AY357" i="1"/>
  <c r="AV371" i="1"/>
  <c r="AY240" i="1"/>
  <c r="AY246" i="1"/>
  <c r="AY252" i="1"/>
  <c r="AY264" i="1"/>
  <c r="AY276" i="1"/>
  <c r="AY333" i="1"/>
  <c r="AY404" i="1"/>
  <c r="AY417" i="1"/>
  <c r="AV449" i="1"/>
  <c r="AY364" i="1"/>
  <c r="AY188" i="1"/>
  <c r="AV190" i="1"/>
  <c r="AY190" i="1"/>
  <c r="AY465" i="1"/>
  <c r="AY431" i="1"/>
  <c r="AV32" i="1"/>
  <c r="AV69" i="1"/>
  <c r="AY69" i="1"/>
  <c r="AY204" i="1"/>
  <c r="AY360" i="1"/>
  <c r="AY372" i="1"/>
  <c r="AV154" i="1"/>
  <c r="AV191" i="1"/>
  <c r="AY191" i="1"/>
  <c r="AY150" i="1"/>
  <c r="AV376" i="1"/>
  <c r="AY376" i="1"/>
  <c r="AY70" i="1"/>
  <c r="AV112" i="1"/>
  <c r="AY112" i="1"/>
  <c r="AY207" i="1"/>
  <c r="AY241" i="1"/>
  <c r="AY253" i="1"/>
  <c r="AY265" i="1"/>
  <c r="AY277" i="1"/>
  <c r="AY418" i="1"/>
  <c r="AY457" i="1"/>
  <c r="AY375" i="1"/>
  <c r="AV169" i="1"/>
  <c r="AY169" i="1"/>
  <c r="AY75" i="1"/>
  <c r="AY166" i="1"/>
  <c r="AV92" i="1"/>
  <c r="AY92" i="1"/>
  <c r="AY71" i="1"/>
  <c r="AY117" i="1"/>
  <c r="AY208" i="1"/>
  <c r="AV438" i="1"/>
  <c r="AY438" i="1"/>
  <c r="AY362" i="1"/>
  <c r="AY374" i="1"/>
  <c r="AY62" i="1"/>
  <c r="AY396" i="1"/>
  <c r="AY461" i="1"/>
  <c r="AY473" i="1"/>
  <c r="AY397" i="1"/>
  <c r="AV145" i="1"/>
  <c r="AY199" i="1"/>
  <c r="AY18" i="1"/>
  <c r="AY55" i="1"/>
  <c r="AV110" i="1"/>
  <c r="AY338" i="1"/>
  <c r="AV181" i="1"/>
  <c r="AY432" i="1"/>
  <c r="AY85" i="1"/>
  <c r="AY183" i="1"/>
  <c r="AY195" i="1"/>
  <c r="AY444" i="1"/>
  <c r="AY133" i="1"/>
  <c r="AY237" i="1"/>
  <c r="AY273" i="1"/>
  <c r="AY408" i="1"/>
  <c r="AY445" i="1"/>
  <c r="AY49" i="1"/>
  <c r="AY63" i="1"/>
  <c r="AV339" i="1"/>
  <c r="AY48" i="1"/>
  <c r="AY249" i="1"/>
  <c r="AV156" i="1"/>
  <c r="AY50" i="1"/>
  <c r="AY353" i="1"/>
  <c r="AY365" i="1"/>
  <c r="AY238" i="1"/>
  <c r="AY409" i="1"/>
  <c r="AY421" i="1"/>
  <c r="AY6" i="1"/>
  <c r="AY420" i="1"/>
  <c r="AY170" i="1"/>
  <c r="AV157" i="1"/>
  <c r="AY12" i="1"/>
  <c r="AY354" i="1"/>
  <c r="AV171" i="1"/>
  <c r="AV193" i="1"/>
  <c r="AY462" i="1"/>
  <c r="AY239" i="1"/>
  <c r="AY251" i="1"/>
  <c r="AY263" i="1"/>
  <c r="AY159" i="1"/>
  <c r="AV111" i="1"/>
  <c r="AY223" i="1"/>
  <c r="AY51" i="1"/>
  <c r="AY135" i="1"/>
  <c r="AY211" i="1"/>
  <c r="AV356" i="1"/>
  <c r="AY340" i="1"/>
  <c r="AY30" i="1"/>
  <c r="AY275" i="1"/>
  <c r="AV370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7" i="1"/>
  <c r="AY259" i="1"/>
  <c r="AY235" i="1"/>
  <c r="AY443" i="1"/>
  <c r="AY212" i="1"/>
  <c r="AY61" i="1"/>
  <c r="AY460" i="1"/>
  <c r="AY143" i="1"/>
  <c r="AY401" i="1"/>
  <c r="AY20" i="1"/>
  <c r="AY250" i="1"/>
  <c r="AY361" i="1"/>
  <c r="AV176" i="1"/>
  <c r="AV425" i="1"/>
  <c r="AV158" i="1"/>
  <c r="AY158" i="1"/>
  <c r="AV177" i="1"/>
  <c r="AV218" i="1"/>
  <c r="AY218" i="1"/>
  <c r="AY14" i="1"/>
  <c r="AY52" i="1"/>
  <c r="AV66" i="1"/>
  <c r="AV281" i="1"/>
  <c r="AY160" i="1"/>
  <c r="AY410" i="1"/>
  <c r="AV4" i="1"/>
  <c r="AV28" i="1"/>
  <c r="AY67" i="1"/>
  <c r="AY224" i="1"/>
  <c r="AY366" i="1"/>
  <c r="AY32" i="1"/>
  <c r="AY155" i="1"/>
  <c r="AY111" i="1"/>
  <c r="AY262" i="1"/>
  <c r="AY405" i="1"/>
  <c r="AY72" i="1"/>
  <c r="AY229" i="1"/>
  <c r="AY373" i="1"/>
  <c r="AY138" i="1"/>
  <c r="AY99" i="1"/>
  <c r="AY80" i="1"/>
  <c r="AY402" i="1"/>
  <c r="AY65" i="1"/>
  <c r="AV172" i="1"/>
  <c r="AY172" i="1"/>
  <c r="AV198" i="1"/>
  <c r="AV16" i="1"/>
  <c r="AY53" i="1"/>
  <c r="AY232" i="1"/>
  <c r="AY434" i="1"/>
  <c r="AY79" i="1"/>
  <c r="AY46" i="1"/>
  <c r="AY458" i="1"/>
  <c r="AY274" i="1"/>
  <c r="AY469" i="1"/>
  <c r="AY355" i="1"/>
  <c r="AY435" i="1"/>
  <c r="AY450" i="1"/>
  <c r="AY186" i="1"/>
  <c r="AY179" i="1"/>
  <c r="AY367" i="1"/>
  <c r="AY163" i="1"/>
  <c r="AV199" i="1"/>
  <c r="AY220" i="1"/>
  <c r="AV55" i="1"/>
  <c r="AY97" i="1"/>
  <c r="AY411" i="1"/>
  <c r="AY433" i="1"/>
  <c r="AY58" i="1"/>
  <c r="AY214" i="1"/>
  <c r="AY356" i="1"/>
  <c r="AY463" i="1"/>
  <c r="AY144" i="1"/>
  <c r="AY430" i="1"/>
  <c r="AY379" i="1"/>
  <c r="AY332" i="1"/>
  <c r="AY481" i="1"/>
  <c r="AY281" i="1"/>
  <c r="AY201" i="1"/>
  <c r="AY66" i="1"/>
  <c r="AY91" i="1"/>
  <c r="AY398" i="1"/>
  <c r="AY149" i="1"/>
  <c r="AY209" i="1"/>
  <c r="AY221" i="1"/>
  <c r="AY76" i="1"/>
  <c r="AV436" i="1"/>
  <c r="AV223" i="1"/>
  <c r="AY258" i="1"/>
  <c r="AY370" i="1"/>
  <c r="AY329" i="1"/>
  <c r="AY156" i="1"/>
  <c r="AY441" i="1"/>
  <c r="AY406" i="1"/>
  <c r="AY348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4" i="1"/>
  <c r="AY270" i="1"/>
  <c r="AY414" i="1"/>
  <c r="AY81" i="1"/>
  <c r="AY236" i="1"/>
  <c r="AY341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4" i="1"/>
  <c r="AY145" i="1"/>
  <c r="AY436" i="1"/>
  <c r="AY271" i="1"/>
  <c r="AY247" i="1"/>
  <c r="AY16" i="1"/>
  <c r="AY198" i="1"/>
  <c r="AY100" i="1"/>
  <c r="AY257" i="1"/>
  <c r="AY136" i="1"/>
  <c r="AY184" i="1"/>
  <c r="AV336" i="1"/>
  <c r="AY40" i="1"/>
  <c r="AY88" i="1"/>
  <c r="AY242" i="1"/>
  <c r="AY254" i="1"/>
  <c r="AY266" i="1"/>
  <c r="AY278" i="1"/>
  <c r="AY437" i="1"/>
  <c r="AY260" i="1"/>
  <c r="AY371" i="1"/>
  <c r="AY34" i="1"/>
  <c r="AY192" i="1"/>
  <c r="AY157" i="1"/>
  <c r="AY399" i="1"/>
  <c r="AY412" i="1"/>
  <c r="AY116" i="1"/>
  <c r="AY45" i="1"/>
  <c r="AY118" i="1"/>
  <c r="AV146" i="1"/>
  <c r="AY146" i="1"/>
  <c r="AY196" i="1"/>
  <c r="AY137" i="1"/>
  <c r="AY185" i="1"/>
  <c r="AV337" i="1"/>
  <c r="AY350" i="1"/>
  <c r="AY449" i="1"/>
  <c r="AY119" i="1"/>
  <c r="AY272" i="1"/>
  <c r="AY82" i="1"/>
  <c r="AY171" i="1"/>
  <c r="AY447" i="1"/>
  <c r="AY339" i="1"/>
  <c r="AY39" i="1"/>
  <c r="AY256" i="1"/>
  <c r="AY139" i="1"/>
  <c r="AY337" i="1"/>
  <c r="AY217" i="1"/>
  <c r="AY197" i="1"/>
  <c r="AY422" i="1"/>
  <c r="AY113" i="1"/>
  <c r="AY351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3" i="1"/>
  <c r="AY114" i="1"/>
  <c r="AV352" i="1"/>
  <c r="AV364" i="1"/>
  <c r="AY154" i="1"/>
  <c r="AY439" i="1"/>
  <c r="AY110" i="1"/>
  <c r="AY261" i="1"/>
  <c r="AY228" i="1"/>
  <c r="AY193" i="1"/>
  <c r="AY189" i="1"/>
  <c r="AY415" i="1"/>
  <c r="AY165" i="1"/>
  <c r="AY413" i="1"/>
  <c r="AY175" i="1"/>
  <c r="AV448" i="1"/>
  <c r="AV54" i="1"/>
  <c r="AV424" i="1"/>
  <c r="AY64" i="1"/>
  <c r="AV115" i="1"/>
  <c r="AV353" i="1"/>
  <c r="AV365" i="1"/>
  <c r="AY446" i="1"/>
  <c r="AY168" i="1"/>
  <c r="AY120" i="1"/>
  <c r="AY425" i="1"/>
  <c r="AY400" i="1"/>
  <c r="AY336" i="1"/>
  <c r="AY77" i="1"/>
  <c r="AY424" i="1"/>
  <c r="AY177" i="1"/>
  <c r="AV65" i="1"/>
  <c r="AV159" i="1"/>
  <c r="AV219" i="1"/>
  <c r="AV53" i="1"/>
  <c r="AV434" i="1"/>
  <c r="AV220" i="1"/>
  <c r="AV76" i="1"/>
  <c r="AV432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398" i="1"/>
  <c r="AV204" i="1"/>
  <c r="AV217" i="1"/>
  <c r="AV12" i="1"/>
  <c r="AV205" i="1"/>
  <c r="AV75" i="1"/>
  <c r="AV33" i="1"/>
  <c r="AV22" i="1"/>
  <c r="AV207" i="1"/>
  <c r="AV361" i="1"/>
  <c r="AV373" i="1"/>
  <c r="AV216" i="1"/>
  <c r="AV64" i="1"/>
  <c r="AV34" i="1"/>
  <c r="AV59" i="1"/>
  <c r="AV208" i="1"/>
  <c r="AV348" i="1"/>
  <c r="AV362" i="1"/>
  <c r="AV374" i="1"/>
  <c r="AV233" i="1"/>
  <c r="AV74" i="1"/>
  <c r="AV60" i="1"/>
  <c r="AV349" i="1"/>
  <c r="AV363" i="1"/>
  <c r="AV375" i="1"/>
  <c r="AV10" i="1"/>
  <c r="AV86" i="1"/>
  <c r="AV231" i="1"/>
  <c r="AV396" i="1"/>
  <c r="AV87" i="1"/>
  <c r="AV397" i="1"/>
  <c r="AV444" i="1"/>
  <c r="AV36" i="1"/>
  <c r="AV335" i="1"/>
  <c r="AV430" i="1"/>
  <c r="AV350" i="1"/>
  <c r="AV48" i="1"/>
  <c r="AV62" i="1"/>
  <c r="AV338" i="1"/>
  <c r="AV113" i="1"/>
  <c r="AV351" i="1"/>
  <c r="AV481" i="1"/>
  <c r="AV230" i="1"/>
  <c r="AV14" i="1"/>
  <c r="AV480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7" i="1"/>
  <c r="AV45" i="1"/>
  <c r="AV71" i="1"/>
  <c r="AV117" i="1"/>
  <c r="AV423" i="1"/>
  <c r="AV46" i="1"/>
  <c r="AV119" i="1"/>
  <c r="AV422" i="1"/>
  <c r="AV196" i="1"/>
  <c r="AV47" i="1"/>
  <c r="AV226" i="1"/>
  <c r="AV83" i="1"/>
  <c r="AV197" i="1"/>
  <c r="AV227" i="1"/>
  <c r="AV144" i="1"/>
  <c r="AV435" i="1"/>
  <c r="AV357" i="1"/>
  <c r="AV431" i="1"/>
  <c r="AV360" i="1"/>
  <c r="AV141" i="1"/>
  <c r="AV175" i="1"/>
  <c r="AV188" i="1"/>
  <c r="AV229" i="1"/>
  <c r="AV72" i="1"/>
  <c r="AV200" i="1"/>
  <c r="AV354" i="1"/>
  <c r="AV366" i="1"/>
  <c r="AV73" i="1"/>
  <c r="AV201" i="1"/>
  <c r="AV355" i="1"/>
  <c r="AV367" i="1"/>
  <c r="AV178" i="1"/>
  <c r="AV67" i="1"/>
  <c r="AV189" i="1"/>
  <c r="AV163" i="1"/>
  <c r="AV179" i="1"/>
  <c r="AV89" i="1"/>
  <c r="AV18" i="1"/>
  <c r="AV68" i="1"/>
  <c r="AV206" i="1"/>
  <c r="AV90" i="1"/>
  <c r="AV20" i="1"/>
  <c r="AV372" i="1"/>
  <c r="AV77" i="1"/>
  <c r="AV91" i="1"/>
  <c r="AV437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3" i="1"/>
  <c r="AV221" i="1"/>
  <c r="AV174" i="1"/>
  <c r="AV170" i="1"/>
  <c r="AY440" i="1" l="1"/>
  <c r="AV440" i="1"/>
  <c r="AY180" i="1"/>
  <c r="AV180" i="1"/>
  <c r="AY187" i="1"/>
  <c r="AV187" i="1"/>
</calcChain>
</file>

<file path=xl/sharedStrings.xml><?xml version="1.0" encoding="utf-8"?>
<sst xmlns="http://schemas.openxmlformats.org/spreadsheetml/2006/main" count="7704" uniqueCount="1521">
  <si>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</si>
  <si>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</si>
  <si>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</si>
  <si>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</si>
  <si>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</si>
  <si>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</si>
  <si>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</si>
  <si>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</si>
  <si>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</si>
  <si>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</si>
  <si>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</si>
  <si>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</si>
  <si>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</si>
  <si>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</si>
  <si>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</si>
  <si>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</si>
  <si>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</si>
  <si>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</si>
  <si>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</si>
  <si>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</si>
  <si>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</si>
  <si>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</si>
  <si>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</si>
  <si>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</si>
  <si>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</si>
  <si>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</si>
  <si>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</si>
  <si>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</si>
  <si>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</si>
  <si>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</si>
  <si>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</si>
  <si>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</si>
  <si>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</si>
  <si>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</si>
  <si>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</si>
  <si>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</si>
  <si>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</si>
  <si>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</si>
  <si>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</si>
  <si>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</si>
  <si>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</si>
  <si>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</si>
  <si>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</si>
  <si>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</si>
  <si>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</si>
  <si>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</si>
  <si>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</si>
  <si>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</si>
  <si>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</si>
  <si>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</si>
  <si>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</si>
  <si>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</si>
  <si>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</si>
  <si>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</si>
  <si>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</si>
  <si>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</si>
  <si>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</si>
  <si>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</si>
  <si>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</si>
  <si>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</si>
  <si>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</si>
  <si>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</si>
  <si>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</si>
  <si>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</si>
  <si>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</si>
  <si>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</si>
  <si>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</si>
  <si>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</si>
  <si>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</si>
  <si>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</si>
  <si>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</si>
  <si>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</si>
  <si>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</si>
  <si>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</si>
  <si>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</si>
  <si>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</si>
  <si>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</si>
  <si>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</si>
  <si>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</si>
  <si>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</si>
  <si>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</si>
  <si>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</si>
  <si>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</si>
  <si>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</si>
  <si>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</si>
  <si>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</si>
  <si>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</si>
  <si>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</si>
  <si>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</si>
  <si>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</si>
  <si>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</si>
  <si>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</si>
  <si>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</si>
  <si>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</si>
  <si>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</si>
  <si>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</si>
  <si>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</si>
  <si>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</si>
  <si>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</si>
  <si>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</si>
  <si>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</si>
  <si>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</si>
  <si>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</si>
  <si>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</si>
  <si>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</si>
  <si>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</si>
  <si>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</si>
  <si>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</si>
  <si>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</si>
  <si>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</si>
  <si>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</si>
  <si>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</si>
  <si>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</si>
  <si>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</si>
  <si>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</si>
  <si>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</si>
  <si>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</si>
  <si>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</si>
  <si>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</si>
  <si>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</si>
  <si>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</si>
  <si>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</si>
  <si>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</si>
  <si>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</si>
  <si>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</si>
  <si>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</si>
  <si>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</si>
  <si>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</si>
  <si>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</si>
  <si>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</si>
  <si>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</si>
  <si>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</si>
  <si>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</si>
  <si>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</si>
  <si>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</si>
  <si>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</si>
  <si>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</si>
  <si>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</si>
  <si>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</si>
  <si>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</si>
  <si>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</si>
  <si>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</si>
  <si>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</si>
  <si>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</si>
  <si>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</si>
  <si>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</si>
  <si>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</si>
  <si>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</si>
  <si>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</si>
  <si>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</si>
  <si>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</si>
  <si>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</si>
  <si>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</si>
  <si>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</si>
  <si>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</si>
  <si>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</si>
  <si>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</si>
  <si>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</si>
  <si>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</si>
  <si>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</si>
  <si>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</si>
  <si>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</si>
  <si>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</si>
  <si>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</si>
  <si>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</si>
  <si>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</si>
  <si>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</si>
  <si>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</si>
  <si>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</si>
  <si>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</si>
  <si>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</si>
  <si>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</si>
  <si>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</si>
  <si>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</si>
  <si>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</si>
  <si>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</si>
  <si>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</si>
  <si>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</si>
  <si>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</si>
  <si>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</si>
  <si>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</si>
  <si>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</si>
  <si>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</si>
  <si>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</si>
  <si>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</si>
  <si>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</si>
  <si>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</si>
  <si>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</si>
  <si>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</si>
  <si>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</si>
  <si>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</si>
  <si>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</si>
  <si>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</si>
  <si>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</si>
  <si>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</si>
  <si>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</si>
  <si>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</si>
  <si>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</si>
  <si>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</si>
  <si>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</si>
  <si>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</si>
  <si>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</si>
  <si>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</si>
  <si>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</si>
  <si>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</si>
  <si>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</si>
  <si>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</si>
  <si>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</si>
  <si>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</si>
  <si>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</si>
  <si>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</si>
  <si>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</si>
  <si>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</si>
  <si>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</si>
  <si>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</si>
  <si>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</si>
  <si>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</si>
  <si>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</si>
  <si>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</si>
  <si>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</si>
  <si>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</si>
  <si>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</si>
  <si>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</si>
  <si>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</si>
  <si>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</si>
  <si>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</si>
  <si>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</si>
  <si>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</si>
  <si>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</si>
  <si>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</si>
  <si>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</si>
  <si>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</si>
  <si>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</si>
  <si>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</si>
  <si>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</si>
  <si>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</si>
  <si>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</si>
  <si>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</si>
  <si>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</si>
  <si>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</si>
  <si>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</si>
  <si>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</si>
  <si>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</si>
  <si>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</si>
  <si>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</si>
  <si>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</si>
  <si>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</si>
  <si>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</si>
  <si>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</si>
  <si>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</si>
  <si>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</si>
  <si>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</si>
  <si>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</si>
  <si>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</si>
  <si>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</si>
  <si>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</si>
  <si>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</si>
  <si>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</si>
  <si>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</si>
  <si>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</si>
  <si>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</si>
  <si>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</si>
  <si>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</si>
  <si>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</si>
  <si>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</si>
  <si>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</si>
  <si>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</si>
  <si>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</si>
  <si>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</si>
  <si>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</si>
  <si>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</si>
  <si>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</si>
  <si>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</si>
  <si>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</si>
  <si>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</si>
  <si>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</si>
  <si>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</si>
  <si>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</si>
  <si>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</si>
  <si>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</si>
  <si>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</si>
  <si>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</si>
  <si>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</si>
  <si>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</si>
  <si>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</si>
  <si>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</si>
  <si>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</si>
  <si>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</si>
  <si>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</si>
  <si>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</si>
  <si>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</si>
  <si>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</si>
  <si>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</si>
  <si>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</si>
  <si>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</si>
  <si>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</si>
  <si>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</si>
  <si>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</si>
  <si>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</si>
  <si>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</si>
  <si>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</si>
  <si>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</si>
  <si>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</si>
  <si>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</si>
  <si>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</si>
  <si>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</si>
  <si>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</si>
  <si>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</si>
  <si>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</si>
  <si>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</si>
  <si>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</si>
  <si>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</si>
  <si>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</si>
  <si>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</si>
  <si>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</si>
  <si>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</si>
  <si>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</si>
  <si>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</si>
  <si>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</si>
  <si>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</si>
  <si>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</si>
  <si>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</si>
  <si>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</si>
  <si>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</si>
  <si>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</si>
  <si>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</si>
  <si>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</si>
  <si>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</si>
  <si>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</si>
  <si>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</si>
  <si>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</si>
  <si>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</si>
  <si>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</si>
  <si>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</si>
  <si>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</si>
  <si>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</si>
  <si>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</si>
  <si>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</si>
  <si>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</si>
  <si>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</si>
  <si>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</si>
  <si>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</si>
  <si>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</si>
  <si>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</si>
  <si>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</si>
  <si>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</si>
  <si>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</si>
  <si>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</si>
  <si>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</si>
  <si>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</si>
  <si>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</si>
  <si>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</si>
  <si>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</si>
  <si>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</si>
  <si>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</si>
  <si>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</si>
  <si>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</si>
  <si>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</si>
  <si>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</si>
  <si>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</si>
  <si>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</si>
  <si>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</si>
  <si>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</si>
  <si>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</si>
  <si>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</si>
  <si>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</si>
  <si>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</si>
  <si>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</si>
  <si>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</si>
  <si>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</si>
  <si>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</si>
  <si>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</si>
  <si>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</si>
  <si>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</si>
  <si>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</si>
  <si>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</si>
  <si>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</si>
  <si>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</si>
  <si>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</si>
  <si>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</si>
  <si>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</si>
  <si>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</si>
  <si>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</si>
  <si>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</si>
  <si>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</si>
  <si>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</si>
  <si>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</si>
  <si>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</si>
  <si>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</si>
  <si>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</si>
  <si>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</si>
  <si>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</si>
  <si>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</si>
  <si>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</si>
  <si>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</si>
  <si>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</si>
  <si>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</si>
  <si>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</si>
  <si>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</si>
  <si>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</si>
  <si>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</si>
  <si>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</si>
  <si>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</si>
  <si>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</si>
  <si>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</si>
  <si>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</si>
  <si>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</si>
  <si>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</si>
  <si>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</si>
  <si>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</si>
  <si>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</si>
  <si>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</si>
  <si>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</si>
  <si>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</si>
  <si>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</si>
  <si>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</si>
  <si>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</si>
  <si>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</si>
  <si>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</si>
  <si>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</si>
  <si>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</si>
  <si>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</si>
  <si>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</si>
  <si>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</si>
  <si>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</si>
  <si>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</si>
  <si>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</si>
  <si>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</si>
  <si>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</si>
  <si>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</si>
  <si>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</si>
  <si>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</si>
  <si>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</si>
  <si>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</si>
  <si>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</si>
  <si>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</si>
  <si>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</si>
  <si>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</si>
  <si>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</si>
  <si>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</si>
  <si>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</si>
  <si>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</si>
  <si>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</si>
  <si>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</si>
  <si>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</si>
  <si>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</si>
  <si>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</si>
  <si>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</si>
  <si>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</si>
  <si>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</si>
  <si>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</si>
  <si>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</si>
  <si>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</si>
  <si>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</si>
  <si>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</si>
  <si>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</si>
  <si>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</si>
  <si>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</si>
  <si>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</si>
  <si>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</si>
  <si>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</si>
  <si>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</si>
  <si>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</si>
  <si>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</si>
  <si>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</si>
  <si>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</si>
  <si>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</si>
  <si>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</si>
  <si>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</si>
  <si>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</si>
  <si>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</si>
  <si>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</si>
  <si>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</si>
  <si>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</si>
  <si>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</si>
  <si>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</si>
  <si>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</si>
  <si>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</si>
  <si>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</si>
  <si>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</si>
  <si>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</si>
  <si>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</si>
  <si>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</si>
  <si>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</si>
  <si>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</si>
  <si>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</si>
  <si>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</si>
  <si>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</si>
  <si>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</si>
  <si>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</si>
  <si>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</si>
  <si>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</si>
  <si>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</si>
  <si>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</si>
  <si>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</si>
  <si>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</si>
  <si>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</si>
  <si>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</si>
  <si>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</si>
  <si>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</si>
  <si>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</si>
  <si>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</si>
  <si>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</si>
  <si>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</si>
  <si>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</si>
  <si>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</si>
  <si>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</si>
  <si>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</si>
  <si>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</si>
  <si>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</si>
  <si>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</si>
  <si>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</si>
  <si>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</si>
  <si>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</si>
  <si>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</si>
  <si>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</si>
  <si>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</si>
  <si>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</si>
  <si>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</si>
  <si>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</si>
  <si>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</si>
  <si>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</si>
  <si>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</si>
  <si>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</si>
  <si>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</si>
  <si>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</si>
  <si>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</si>
  <si>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</si>
  <si>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</si>
  <si>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</si>
  <si>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</si>
  <si>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</si>
  <si>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</si>
  <si>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</si>
  <si>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</si>
  <si>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</si>
  <si>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</si>
  <si>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</si>
  <si>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</si>
  <si>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</si>
  <si>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</si>
  <si>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</si>
  <si>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</si>
  <si>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</si>
  <si>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</si>
  <si>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</si>
  <si>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</si>
  <si>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</si>
  <si>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</si>
  <si>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</si>
  <si>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</si>
  <si>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</si>
  <si>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</si>
  <si>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</si>
  <si>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</si>
  <si>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</si>
  <si>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</si>
  <si>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</si>
  <si>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</si>
  <si>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</si>
  <si>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</si>
  <si>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</si>
  <si>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</si>
  <si>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</si>
  <si>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</si>
  <si>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</si>
  <si>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</si>
  <si>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</si>
  <si>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</si>
  <si>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</si>
  <si>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</si>
  <si>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</si>
  <si>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</si>
  <si>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</si>
  <si>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</si>
  <si>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</si>
  <si>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</si>
  <si>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</si>
  <si>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</si>
  <si>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</si>
  <si>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</si>
  <si>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</si>
  <si>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</si>
  <si>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</si>
  <si>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</si>
  <si>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</si>
  <si>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</si>
  <si>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</si>
  <si>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</si>
  <si>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</si>
  <si>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</si>
  <si>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</si>
  <si>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</si>
  <si>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</si>
  <si>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</si>
  <si>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</si>
  <si>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</si>
  <si>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</si>
  <si>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</si>
  <si>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</si>
  <si>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</si>
  <si>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</si>
  <si>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</si>
  <si>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</si>
  <si>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</si>
  <si>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</si>
  <si>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</si>
  <si>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</si>
  <si>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</si>
  <si>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</si>
  <si>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</si>
  <si>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</si>
  <si>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</si>
  <si>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</si>
  <si>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</si>
  <si>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</si>
  <si>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</si>
  <si>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</si>
  <si>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</si>
  <si>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</si>
  <si>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</si>
  <si>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</si>
  <si>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</si>
  <si>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</si>
  <si>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</si>
  <si>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</si>
  <si>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</si>
  <si>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</si>
  <si>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</si>
  <si>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</si>
  <si>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</si>
  <si>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</si>
  <si>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</si>
  <si>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</si>
  <si>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</si>
  <si>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</si>
  <si>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</si>
  <si>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</si>
  <si>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</si>
  <si>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</si>
  <si>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</si>
  <si>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</si>
  <si>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</si>
  <si>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</si>
  <si>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</si>
  <si>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</si>
  <si>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</si>
  <si>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</si>
  <si>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</si>
  <si>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</si>
  <si>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</si>
  <si>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</si>
  <si>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</si>
  <si>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</si>
  <si>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</si>
  <si>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</si>
  <si>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</si>
  <si>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</si>
  <si>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</si>
  <si>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</si>
  <si>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</si>
  <si>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</si>
  <si>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</si>
  <si>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</si>
  <si>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</si>
  <si>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</si>
  <si>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</si>
  <si>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</si>
  <si>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</si>
  <si>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</si>
  <si>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</si>
  <si>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</si>
  <si>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</si>
  <si>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</si>
  <si>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</si>
  <si>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</si>
  <si>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</si>
  <si>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</si>
  <si>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</si>
  <si>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</si>
  <si>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</si>
  <si>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</si>
  <si>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</si>
  <si>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</si>
  <si>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</si>
  <si>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</si>
  <si>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</si>
  <si>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</si>
  <si>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</si>
  <si>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</si>
  <si>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</si>
  <si>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</si>
  <si>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</si>
  <si>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</si>
  <si>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</si>
  <si>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</si>
  <si>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</si>
  <si>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</si>
  <si>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</si>
  <si>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</si>
  <si>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</si>
  <si>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</si>
  <si>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</si>
  <si>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</si>
  <si>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</si>
  <si>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</si>
  <si>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</si>
  <si>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</si>
  <si>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</si>
  <si>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</si>
  <si>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</si>
  <si>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</si>
  <si>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</si>
  <si>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</si>
  <si>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</si>
  <si>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</si>
  <si>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</si>
  <si>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</si>
  <si>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</si>
  <si>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</si>
  <si>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</si>
  <si>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</si>
  <si>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</si>
  <si>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</si>
  <si>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</si>
  <si>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</si>
  <si>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</si>
  <si>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</si>
  <si>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</si>
  <si>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</si>
  <si>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</si>
  <si>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</si>
  <si>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</si>
  <si>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</si>
  <si>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</si>
  <si>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</si>
  <si>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</si>
  <si>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</si>
  <si>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</si>
  <si>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</si>
  <si>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</si>
  <si>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</si>
  <si>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</si>
  <si>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</si>
  <si>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</si>
  <si>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</si>
  <si>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</si>
  <si>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</si>
  <si>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</si>
  <si>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</si>
  <si>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</si>
  <si>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</si>
  <si>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</si>
  <si>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</si>
  <si>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</si>
  <si>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</si>
  <si>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</si>
  <si>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</si>
  <si>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</si>
  <si>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</si>
  <si>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</si>
  <si>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</si>
  <si>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</si>
  <si>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</si>
  <si>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</si>
  <si>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</si>
  <si>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</si>
  <si>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</si>
  <si>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</si>
  <si>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</si>
  <si>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</si>
  <si>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</si>
  <si>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</si>
  <si>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</si>
  <si>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</si>
  <si>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</si>
  <si>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</si>
  <si>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</si>
  <si>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</si>
  <si>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</si>
  <si>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</si>
  <si>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</si>
  <si>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</si>
  <si>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</si>
  <si>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</si>
  <si>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</si>
  <si>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</si>
  <si>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</si>
  <si>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</si>
  <si>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</si>
  <si>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</si>
  <si>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</si>
  <si>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</si>
  <si>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</si>
  <si>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</si>
  <si>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</si>
  <si>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</si>
  <si>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</si>
  <si>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</si>
  <si>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</si>
  <si>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</si>
  <si>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</si>
  <si>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</si>
  <si>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</si>
  <si>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</si>
  <si>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</si>
  <si>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</si>
  <si>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</si>
  <si>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</si>
  <si>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</si>
  <si>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</si>
  <si>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</si>
  <si>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</si>
  <si>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</si>
  <si>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</si>
  <si>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</si>
  <si>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</si>
  <si>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</si>
  <si>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</si>
  <si>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</si>
  <si>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</si>
  <si>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</si>
  <si>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</si>
  <si>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</si>
  <si>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</si>
  <si>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</si>
  <si>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</si>
  <si>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</si>
  <si>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</si>
  <si>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</si>
  <si>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</si>
  <si>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</si>
  <si>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</si>
  <si>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</si>
  <si>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</si>
  <si>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</si>
  <si>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</si>
  <si>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</si>
  <si>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</si>
  <si>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</si>
  <si>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</si>
  <si>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</si>
  <si>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</si>
  <si>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</si>
  <si>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</si>
  <si>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</si>
  <si>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</si>
  <si>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</si>
  <si>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</si>
  <si>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</si>
  <si>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</si>
  <si>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</si>
  <si>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</si>
  <si>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</si>
  <si>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</si>
  <si>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</si>
  <si>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</si>
  <si>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</si>
  <si>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</si>
  <si>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</si>
  <si>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</si>
  <si>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</si>
  <si>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</si>
  <si>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</si>
  <si>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</si>
  <si>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</si>
  <si>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</si>
  <si>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</si>
  <si>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</si>
  <si>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</si>
  <si>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</si>
  <si>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</si>
  <si>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</si>
  <si>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</si>
  <si>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</si>
  <si>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</si>
  <si>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</si>
  <si>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</si>
  <si>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</si>
  <si>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</si>
  <si>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</si>
  <si>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</si>
  <si>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</si>
  <si>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</si>
  <si>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</si>
  <si>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</si>
  <si>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</si>
  <si>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</si>
  <si>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</si>
  <si>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</si>
  <si>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</si>
  <si>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</si>
  <si>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</si>
  <si>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</si>
  <si>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</si>
  <si>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</si>
  <si>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</si>
  <si>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</si>
  <si>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</si>
  <si>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</si>
  <si>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</si>
  <si>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</si>
  <si>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</si>
  <si>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</si>
  <si>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</si>
  <si>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</si>
  <si>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</si>
  <si>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</si>
  <si>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</si>
  <si>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</si>
  <si>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</si>
  <si>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</si>
  <si>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</si>
  <si>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</si>
  <si>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</si>
  <si>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</si>
  <si>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</si>
  <si>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</si>
  <si>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</si>
  <si>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</si>
  <si>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</si>
  <si>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</si>
  <si>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</si>
  <si>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</si>
  <si>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</si>
  <si>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</si>
  <si>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</si>
  <si>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</si>
  <si>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</si>
  <si>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</si>
  <si>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</si>
  <si>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</si>
  <si>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</si>
  <si>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</si>
  <si>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</si>
  <si>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</si>
  <si>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</si>
  <si>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</si>
  <si>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</si>
  <si>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</si>
  <si>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</si>
  <si>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</si>
  <si>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</si>
  <si>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</si>
  <si>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</si>
  <si>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</si>
  <si>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</si>
  <si>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</si>
  <si>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</si>
  <si>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</si>
  <si>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</si>
  <si>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</si>
  <si>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</si>
  <si>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</si>
  <si>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</si>
  <si>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</si>
  <si>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</si>
  <si>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</si>
  <si>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</si>
  <si>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</si>
  <si>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</si>
  <si>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</si>
  <si>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</si>
  <si>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</si>
  <si>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</si>
  <si>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</si>
  <si>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</si>
  <si>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</si>
  <si>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</si>
  <si>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</si>
  <si>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</si>
  <si>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</si>
  <si>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</si>
  <si>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</si>
  <si>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</si>
  <si>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</si>
  <si>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</si>
  <si>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</si>
  <si>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</si>
  <si>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</si>
  <si>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</si>
  <si>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</si>
  <si>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</si>
  <si>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</si>
  <si>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</si>
  <si>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</si>
  <si>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</si>
  <si>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</si>
  <si>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</si>
  <si>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</si>
  <si>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</si>
  <si>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</si>
  <si>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</si>
  <si>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</si>
  <si>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</si>
  <si>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</si>
  <si>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</si>
  <si>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</si>
  <si>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</si>
  <si>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</si>
  <si>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</si>
  <si>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</si>
  <si>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</si>
  <si>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</si>
  <si>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</si>
  <si>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</si>
  <si>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</si>
  <si>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</si>
  <si>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</si>
  <si>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</si>
  <si>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</si>
  <si>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</si>
  <si>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</si>
  <si>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</si>
  <si>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</si>
  <si>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</si>
  <si>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</si>
  <si>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</si>
  <si>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</si>
  <si>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</si>
  <si>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</si>
  <si>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</si>
  <si>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</si>
  <si>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</si>
  <si>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</si>
  <si>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</si>
  <si>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</si>
  <si>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</si>
  <si>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</si>
  <si>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</si>
  <si>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</si>
  <si>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</si>
  <si>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</si>
  <si>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</si>
  <si>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</si>
  <si>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</si>
  <si>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</si>
  <si>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</si>
  <si>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</si>
  <si>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</si>
  <si>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</si>
  <si>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</si>
  <si>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</si>
  <si>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</si>
  <si>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</si>
  <si>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</si>
  <si>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</si>
  <si>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</si>
  <si>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</si>
  <si>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</si>
  <si>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</si>
  <si>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</si>
  <si>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</si>
  <si>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</si>
  <si>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</si>
  <si>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</si>
  <si>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</si>
  <si>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</si>
  <si>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</si>
  <si>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</si>
  <si>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</si>
  <si>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</si>
  <si>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</si>
  <si>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</si>
  <si>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</si>
  <si>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</si>
  <si>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</si>
  <si>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</si>
  <si>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</si>
  <si>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</si>
  <si>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</si>
  <si>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</si>
  <si>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</si>
  <si>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</si>
  <si>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</si>
  <si>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</si>
  <si>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</si>
  <si>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</si>
  <si>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</si>
  <si>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</si>
  <si>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</si>
  <si>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</si>
  <si>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</si>
  <si>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</si>
  <si>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</si>
  <si>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</si>
  <si>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</si>
  <si>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</si>
  <si>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</si>
  <si>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</si>
  <si>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</si>
  <si>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</si>
  <si>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</si>
  <si>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</si>
  <si>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</si>
  <si>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</si>
  <si>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</si>
  <si>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</si>
  <si>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</si>
  <si>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</si>
  <si>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</si>
  <si>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</si>
  <si>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</si>
  <si>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</si>
  <si>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</si>
  <si>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</si>
  <si>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</si>
  <si>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</si>
  <si>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</si>
  <si>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</si>
  <si>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</si>
  <si>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</si>
  <si>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</si>
  <si>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</si>
  <si>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</si>
  <si>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</si>
  <si>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</si>
  <si>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</si>
  <si>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</si>
  <si>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</si>
  <si>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</si>
  <si>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</si>
  <si>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</si>
  <si>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</si>
  <si>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</si>
  <si>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</si>
  <si>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</si>
  <si>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</si>
  <si>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</si>
  <si>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</si>
  <si>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</si>
  <si>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</si>
  <si>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</si>
  <si>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</si>
  <si>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</si>
  <si>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</si>
  <si>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</si>
  <si>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</si>
  <si>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</si>
  <si>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</si>
  <si>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</si>
  <si>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</si>
  <si>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</si>
  <si>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</si>
  <si>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</si>
  <si>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</si>
  <si>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</si>
  <si>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</si>
  <si>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</si>
  <si>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</si>
  <si>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</si>
  <si>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</si>
  <si>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</si>
  <si>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</si>
  <si>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</si>
  <si>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</si>
  <si>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</si>
  <si>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</si>
  <si>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</si>
  <si>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</si>
  <si>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</si>
  <si>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</si>
  <si>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</si>
  <si>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</si>
  <si>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</si>
  <si>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</si>
  <si>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</si>
  <si>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</si>
  <si>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</si>
  <si>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</si>
  <si>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</si>
  <si>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</si>
  <si>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</si>
  <si>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</si>
  <si>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</si>
  <si>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</si>
  <si>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</si>
  <si>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</si>
  <si>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</si>
  <si>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</si>
  <si>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</si>
  <si>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</si>
  <si>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</si>
  <si>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</si>
  <si>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</si>
  <si>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</si>
  <si>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</si>
  <si>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</si>
  <si>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</si>
  <si>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</si>
  <si>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</si>
  <si>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</si>
  <si>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</si>
  <si>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</si>
  <si>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</si>
  <si>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</si>
  <si>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</si>
  <si>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</si>
  <si>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</si>
  <si>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</si>
  <si>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</si>
  <si>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</si>
  <si>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</si>
  <si>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</si>
  <si>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</si>
  <si>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</si>
  <si>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</si>
  <si>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</si>
  <si>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</si>
  <si>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</si>
  <si>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</si>
  <si>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</si>
  <si>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</si>
  <si>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</si>
  <si>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</si>
  <si>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</si>
  <si>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</si>
  <si>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</si>
  <si>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</si>
  <si>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</si>
  <si>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</si>
  <si>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</si>
  <si>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</si>
  <si>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</si>
  <si>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</si>
  <si>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</si>
  <si>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</si>
  <si>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</si>
  <si>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</si>
  <si>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</si>
  <si>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</si>
  <si>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</si>
  <si>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</si>
  <si>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</si>
  <si>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</si>
  <si>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</si>
  <si>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</si>
  <si>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</si>
  <si>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</si>
  <si>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</si>
  <si>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</si>
  <si>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</si>
  <si>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</si>
  <si>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</si>
  <si>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</si>
  <si>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</si>
  <si>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</si>
  <si>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</si>
  <si>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</si>
  <si>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</si>
  <si>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</si>
  <si>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</si>
  <si>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</si>
  <si>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</si>
  <si>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</si>
  <si>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</si>
  <si>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</si>
  <si>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</si>
  <si>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</si>
  <si>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</si>
  <si>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</si>
  <si>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</si>
  <si>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</si>
  <si>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</si>
  <si>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</si>
  <si>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</si>
  <si>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</si>
  <si>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</si>
  <si>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</si>
  <si>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</si>
  <si>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</si>
  <si>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</si>
  <si>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</si>
  <si>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</si>
  <si>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</si>
  <si>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</si>
  <si>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</si>
  <si>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</si>
  <si>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</si>
  <si>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</si>
  <si>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</si>
  <si>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</si>
  <si>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</si>
  <si>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</si>
  <si>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</si>
  <si>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</si>
  <si>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</si>
  <si>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</si>
  <si>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</si>
  <si>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</si>
  <si>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</si>
  <si>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</si>
  <si>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</si>
  <si>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</si>
  <si>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</si>
  <si>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</si>
  <si>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</si>
  <si>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</si>
  <si>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</si>
  <si>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</si>
  <si>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</si>
  <si>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</si>
  <si>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</si>
  <si>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</si>
  <si>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</si>
  <si>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</si>
  <si>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</si>
  <si>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</si>
  <si>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</si>
  <si>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</si>
  <si>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</si>
  <si>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</si>
  <si>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</si>
  <si>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</si>
  <si>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</si>
  <si>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</si>
  <si>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</si>
  <si>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</si>
  <si>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</si>
  <si>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</si>
  <si>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</si>
  <si>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</si>
  <si>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</si>
  <si>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</si>
  <si>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</si>
  <si>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</si>
  <si>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</si>
  <si>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</si>
  <si>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</si>
  <si>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</si>
  <si>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</si>
  <si>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</si>
  <si>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</si>
  <si>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</si>
  <si>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</si>
  <si>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</si>
  <si>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</si>
  <si>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</si>
  <si>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</si>
  <si>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</si>
  <si>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</si>
  <si>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</si>
  <si>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</si>
  <si>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</si>
  <si>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</si>
  <si>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</si>
  <si>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</si>
  <si>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</si>
  <si>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</si>
  <si>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</si>
  <si>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</si>
  <si>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</si>
  <si>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</si>
  <si>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</si>
  <si>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</si>
  <si>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</si>
  <si>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</si>
  <si>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</si>
  <si>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</si>
  <si>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</si>
  <si>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</si>
  <si>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</si>
  <si>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</si>
  <si>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</si>
  <si>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</si>
  <si>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</si>
  <si>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</si>
  <si>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</si>
  <si>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</si>
  <si>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</si>
  <si>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</si>
  <si>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</si>
  <si>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</si>
  <si>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</si>
  <si>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</si>
  <si>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</si>
  <si>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</si>
  <si>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</si>
  <si>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</si>
  <si>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</si>
  <si>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</si>
  <si>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</si>
  <si>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</si>
  <si>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</si>
  <si>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</si>
  <si>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</si>
  <si>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</si>
  <si>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</si>
  <si>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</si>
  <si>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</si>
  <si>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</si>
  <si>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</si>
  <si>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</si>
  <si>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</si>
  <si>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</si>
  <si>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</si>
  <si>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</si>
  <si>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</si>
  <si>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</si>
  <si>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</si>
  <si>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</si>
  <si>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</si>
  <si>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</si>
  <si>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</si>
  <si>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</si>
  <si>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</si>
  <si>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</si>
  <si>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</si>
  <si>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</si>
  <si>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</si>
  <si>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</si>
  <si>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</si>
  <si>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</si>
  <si>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</si>
  <si>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</si>
  <si>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</si>
  <si>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</si>
  <si>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</si>
  <si>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</si>
  <si>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</si>
  <si>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</si>
  <si>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</si>
  <si>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</si>
  <si>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</si>
  <si>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</si>
  <si>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</si>
  <si>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</si>
  <si>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</si>
  <si>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</si>
  <si>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</si>
  <si>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</si>
  <si>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</si>
  <si>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</si>
  <si>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</si>
  <si>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</si>
  <si>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</si>
  <si>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</si>
  <si>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</si>
  <si>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</si>
  <si>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</si>
  <si>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</si>
  <si>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</si>
  <si>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</si>
  <si>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</si>
  <si>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</si>
  <si>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</si>
  <si>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</si>
  <si>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</si>
  <si>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</si>
  <si>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</si>
  <si>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</si>
  <si>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</si>
  <si>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</si>
  <si>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</si>
  <si>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</si>
  <si>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</si>
  <si>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</si>
  <si>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</si>
  <si>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</si>
  <si>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</si>
  <si>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</si>
  <si>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</si>
  <si>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</si>
  <si>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</si>
  <si>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</si>
  <si>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</si>
  <si>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</si>
  <si>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</si>
  <si>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</si>
  <si>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</si>
  <si>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</si>
  <si>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</si>
  <si>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</si>
  <si>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</si>
  <si>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</si>
  <si>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</si>
  <si>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</si>
  <si>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</si>
  <si>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</si>
  <si>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</si>
  <si>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</si>
  <si>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</si>
  <si>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</si>
  <si>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</si>
  <si>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</si>
  <si>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</si>
  <si>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</si>
  <si>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</si>
  <si>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</si>
  <si>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</si>
  <si>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</si>
  <si>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</si>
  <si>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</si>
  <si>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</si>
  <si>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</si>
  <si>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</si>
  <si>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</si>
  <si>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</si>
  <si>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</si>
  <si>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Networks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</si>
  <si>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</si>
  <si>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</si>
  <si>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</si>
  <si>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</si>
  <si>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</si>
  <si>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</si>
  <si>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</si>
  <si>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</si>
  <si>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</si>
  <si>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</si>
  <si>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</si>
  <si>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</si>
  <si>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</si>
  <si>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service_networks</t>
  </si>
  <si>
    <t>mdi:certificate</t>
  </si>
  <si>
    <t>mdi:credit-card-wireless</t>
  </si>
  <si>
    <t>mdi:turbine</t>
  </si>
  <si>
    <t>network_domain</t>
  </si>
  <si>
    <t>mdi:archive-search-outline</t>
  </si>
  <si>
    <t>network_certs</t>
  </si>
  <si>
    <t>Certificates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</si>
</sst>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49" fontId="8" fillId="0" borderId="0" xfId="0" applyNumberFormat="1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1" totalsRowShown="0" headerRowDxfId="68" dataDxfId="66" headerRowBorderDxfId="67">
  <autoFilter ref="A3:BN481" xr:uid="{00000000-000C-0000-FFFF-FFFF00000000}"/>
  <sortState xmlns:xlrd2="http://schemas.microsoft.com/office/spreadsheetml/2017/richdata2" ref="A4:BN481">
    <sortCondition ref="A3:A481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1"/>
  <sheetViews>
    <sheetView tabSelected="1" topLeftCell="A267" zoomScale="121" zoomScaleNormal="120" workbookViewId="0">
      <selection activeCell="D288" sqref="D288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1499</v>
      </c>
      <c r="D282" s="30" t="s">
        <v>133</v>
      </c>
      <c r="E282" s="30" t="s">
        <v>1500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1501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1503</v>
      </c>
      <c r="AF282" s="30">
        <f>15*60</f>
        <v>900</v>
      </c>
      <c r="AG282" s="31" t="s">
        <v>34</v>
      </c>
      <c r="AH282" s="31"/>
      <c r="AI282" s="30" t="s">
        <v>1504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networks/data/internet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networks/command/internet</v>
      </c>
      <c r="AM282" s="30" t="str">
        <f>IF(ISBLANK(Table2[[#This Row],[index]]),  "", _xlfn.CONCAT(LOWER(Table2[[#This Row],[device_via_device]]), "/status"))</f>
        <v>networks/status</v>
      </c>
      <c r="AR282" s="30" t="s">
        <v>1505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1499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1499</v>
      </c>
      <c r="D283" s="30" t="s">
        <v>133</v>
      </c>
      <c r="E283" s="30" t="s">
        <v>1507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1501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1510</v>
      </c>
      <c r="AF283" s="30">
        <f>15*60</f>
        <v>900</v>
      </c>
      <c r="AG283" s="31" t="s">
        <v>34</v>
      </c>
      <c r="AH283" s="31"/>
      <c r="AI283" s="30" t="s">
        <v>1504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networks/data/wireless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networks/command/wireless</v>
      </c>
      <c r="AM283" s="30" t="str">
        <f>IF(ISBLANK(Table2[[#This Row],[index]]),  "", _xlfn.CONCAT(LOWER(Table2[[#This Row],[device_via_device]]), "/status"))</f>
        <v>networks/status</v>
      </c>
      <c r="AR283" s="30" t="s">
        <v>1505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1499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1499</v>
      </c>
      <c r="D284" s="30" t="s">
        <v>133</v>
      </c>
      <c r="E284" s="30" t="s">
        <v>1508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1501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1515</v>
      </c>
      <c r="AF284" s="30">
        <f>15*60</f>
        <v>900</v>
      </c>
      <c r="AG284" s="31" t="s">
        <v>34</v>
      </c>
      <c r="AH284" s="31"/>
      <c r="AI284" s="30" t="s">
        <v>1504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networks/data/zigbee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networks/command/zigbee</v>
      </c>
      <c r="AM284" s="30" t="str">
        <f>IF(ISBLANK(Table2[[#This Row],[index]]),  "", _xlfn.CONCAT(LOWER(Table2[[#This Row],[device_via_device]]), "/status"))</f>
        <v>networks/status</v>
      </c>
      <c r="AR284" s="30" t="s">
        <v>1505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1499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1499</v>
      </c>
      <c r="D285" s="30" t="s">
        <v>133</v>
      </c>
      <c r="E285" s="30" t="s">
        <v>1509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1501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1511</v>
      </c>
      <c r="AF285" s="30">
        <f>15*60</f>
        <v>900</v>
      </c>
      <c r="AG285" s="31" t="s">
        <v>34</v>
      </c>
      <c r="AH285" s="31"/>
      <c r="AI285" s="30" t="s">
        <v>1504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networks/data/weewx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networks/command/weewx</v>
      </c>
      <c r="AM285" s="30" t="str">
        <f>IF(ISBLANK(Table2[[#This Row],[index]]),  "", _xlfn.CONCAT(LOWER(Table2[[#This Row],[device_via_device]]), "/status"))</f>
        <v>networks/status</v>
      </c>
      <c r="AR285" s="30" t="s">
        <v>1505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1499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1499</v>
      </c>
      <c r="D286" s="30" t="s">
        <v>133</v>
      </c>
      <c r="E286" s="30" t="s">
        <v>1506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1501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1512</v>
      </c>
      <c r="AF286" s="30">
        <f>15*60</f>
        <v>900</v>
      </c>
      <c r="AG286" s="31" t="s">
        <v>34</v>
      </c>
      <c r="AH286" s="31"/>
      <c r="AI286" s="30" t="s">
        <v>1504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networks/data/ethernet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networks/command/ethernet</v>
      </c>
      <c r="AM286" s="30" t="str">
        <f>IF(ISBLANK(Table2[[#This Row],[index]]),  "", _xlfn.CONCAT(LOWER(Table2[[#This Row],[device_via_device]]), "/status"))</f>
        <v>networks/status</v>
      </c>
      <c r="AR286" s="30" t="s">
        <v>1505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1499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1499</v>
      </c>
      <c r="D287" s="30" t="s">
        <v>133</v>
      </c>
      <c r="E287" s="30" t="s">
        <v>1519</v>
      </c>
      <c r="F287" s="30" t="str">
        <f>IF(ISBLANK(Table2[[#This Row],[unique_id]]), "", PROPER(SUBSTITUTE(Table2[[#This Row],[unique_id]], "_", " ")))</f>
        <v>Network Certs</v>
      </c>
      <c r="G287" s="30" t="s">
        <v>1520</v>
      </c>
      <c r="H287" s="30" t="s">
        <v>1501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1514</v>
      </c>
      <c r="AF287" s="30">
        <f>15*60</f>
        <v>900</v>
      </c>
      <c r="AG287" s="31" t="s">
        <v>34</v>
      </c>
      <c r="AH287" s="31"/>
      <c r="AI287" s="30" t="s">
        <v>1504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homeassistant/switch/networks/network_certs/config</v>
      </c>
      <c r="AK287" s="30" t="str">
        <f>IF(ISBLANK(Table2[[#This Row],[index]]),  "", _xlfn.CONCAT(LOWER(Table2[[#This Row],[device_via_device]]), "/data/", SUBSTITUTE(LOWER(Table2[[#This Row],[unique_id]]), "network_", "")))</f>
        <v>networks/data/certs</v>
      </c>
      <c r="AL287" s="30" t="str">
        <f>IF(ISBLANK(Table2[[#This Row],[index]]),  "", _xlfn.CONCAT(LOWER(Table2[[#This Row],[device_via_device]]), "/command/", SUBSTITUTE(LOWER(Table2[[#This Row],[unique_id]]), "network_", "")))</f>
        <v>networks/command/certs</v>
      </c>
      <c r="AM287" s="30" t="str">
        <f>IF(ISBLANK(Table2[[#This Row],[index]]),  "", _xlfn.CONCAT(LOWER(Table2[[#This Row],[device_via_device]]), "/status"))</f>
        <v>networks/status</v>
      </c>
      <c r="AR287" s="30" t="s">
        <v>1505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Certs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1499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1499</v>
      </c>
      <c r="D288" s="30" t="s">
        <v>133</v>
      </c>
      <c r="E288" s="30" t="s">
        <v>1517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1501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1518</v>
      </c>
      <c r="AF288" s="30">
        <f>15*60</f>
        <v>900</v>
      </c>
      <c r="AG288" s="31" t="s">
        <v>34</v>
      </c>
      <c r="AH288" s="31"/>
      <c r="AI288" s="30" t="s">
        <v>1504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networks/data/domain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networks/command/domain</v>
      </c>
      <c r="AM288" s="30" t="str">
        <f>IF(ISBLANK(Table2[[#This Row],[index]]),  "", _xlfn.CONCAT(LOWER(Table2[[#This Row],[device_via_device]]), "/status"))</f>
        <v>networks/status</v>
      </c>
      <c r="AR288" s="30" t="s">
        <v>1505</v>
      </c>
      <c r="AS288" s="30">
        <v>1</v>
      </c>
      <c r="AT288" s="32"/>
      <c r="AU288" s="63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1499</v>
      </c>
      <c r="BC288" s="30" t="s">
        <v>1464</v>
      </c>
      <c r="BD288" s="30" t="s">
        <v>1083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1502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1502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1502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1502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1502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1502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1502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1513</v>
      </c>
      <c r="F298" s="30" t="str">
        <f>IF(ISBLANK(Table2[[#This Row],[unique_id]]), "", PROPER(SUBSTITUTE(Table2[[#This Row],[unique_id]], "_", " ")))</f>
        <v>Service Networks</v>
      </c>
      <c r="G298" s="30" t="s">
        <v>1499</v>
      </c>
      <c r="H298" s="30" t="s">
        <v>1502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1430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homeassistant/switch/supervisor_macmini-max/service_networks/config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supervisor/macmini-max/data/service/networks/health_status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supervisor/macmini-max/command/service/networks</v>
      </c>
      <c r="AM298" s="30" t="str">
        <f>IF(ISBLANK(Table2[[#This Row],[index]]),  "", _xlfn.CONCAT("supervisor/", Table2[[#This Row],[unique_id_device]], "/status"))</f>
        <v>supervisor/macmini-max/status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Networks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1502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Grafana</v>
      </c>
      <c r="G300" s="30" t="s">
        <v>1153</v>
      </c>
      <c r="H300" s="30" t="s">
        <v>1502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1473</v>
      </c>
      <c r="F301" s="30" t="str">
        <f>IF(ISBLANK(Table2[[#This Row],[unique_id]]), "", PROPER(SUBSTITUTE(Table2[[#This Row],[unique_id]], "_", " ")))</f>
        <v>Service Letsencrypt</v>
      </c>
      <c r="G301" s="30" t="s">
        <v>1488</v>
      </c>
      <c r="H301" s="30" t="s">
        <v>1502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1474</v>
      </c>
      <c r="F302" s="30" t="str">
        <f>IF(ISBLANK(Table2[[#This Row],[unique_id]]), "", PROPER(SUBSTITUTE(Table2[[#This Row],[unique_id]], "_", " ")))</f>
        <v>Service Sonarr</v>
      </c>
      <c r="G302" s="30" t="s">
        <v>1482</v>
      </c>
      <c r="H302" s="30" t="s">
        <v>1502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1498</v>
      </c>
      <c r="F303" s="30" t="str">
        <f>IF(ISBLANK(Table2[[#This Row],[unique_id]]), "", PROPER(SUBSTITUTE(Table2[[#This Row],[unique_id]], "_", " ")))</f>
        <v>Service Tempstat</v>
      </c>
      <c r="G303" s="30" t="s">
        <v>1494</v>
      </c>
      <c r="H303" s="30" t="s">
        <v>1502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1465</v>
      </c>
      <c r="F304" s="30" t="str">
        <f>IF(ISBLANK(Table2[[#This Row],[unique_id]]), "", PROPER(SUBSTITUTE(Table2[[#This Row],[unique_id]], "_", " ")))</f>
        <v>Service Homeassistant</v>
      </c>
      <c r="G304" s="30" t="s">
        <v>1157</v>
      </c>
      <c r="H304" s="30" t="s">
        <v>1502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1102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1476</v>
      </c>
      <c r="F305" s="30" t="str">
        <f>IF(ISBLANK(Table2[[#This Row],[unique_id]]), "", PROPER(SUBSTITUTE(Table2[[#This Row],[unique_id]], "_", " ")))</f>
        <v>Service Mariadb</v>
      </c>
      <c r="G305" s="30" t="s">
        <v>1489</v>
      </c>
      <c r="H305" s="30" t="s">
        <v>1502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1477</v>
      </c>
      <c r="F306" s="30" t="str">
        <f>IF(ISBLANK(Table2[[#This Row],[unique_id]]), "", PROPER(SUBSTITUTE(Table2[[#This Row],[unique_id]], "_", " ")))</f>
        <v>Service Nginx</v>
      </c>
      <c r="G306" s="30" t="s">
        <v>1155</v>
      </c>
      <c r="H306" s="30" t="s">
        <v>1502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1479</v>
      </c>
      <c r="F307" s="30" t="str">
        <f>IF(ISBLANK(Table2[[#This Row],[unique_id]]), "", PROPER(SUBSTITUTE(Table2[[#This Row],[unique_id]], "_", " ")))</f>
        <v>Service Vernemq</v>
      </c>
      <c r="G307" s="30" t="s">
        <v>1490</v>
      </c>
      <c r="H307" s="30" t="s">
        <v>1502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1480</v>
      </c>
      <c r="F308" s="30" t="str">
        <f>IF(ISBLANK(Table2[[#This Row],[unique_id]]), "", PROPER(SUBSTITUTE(Table2[[#This Row],[unique_id]], "_", " ")))</f>
        <v>Service Weewx</v>
      </c>
      <c r="G308" s="30" t="s">
        <v>39</v>
      </c>
      <c r="H308" s="30" t="s">
        <v>1502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1397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8" s="30" t="str">
        <f>IF(ISBLANK(Table2[[#This Row],[index]]),  "", _xlfn.CONCAT("supervisor/", Table2[[#This Row],[unique_id_device]], "/status"))</f>
        <v>supervisor/raspbpi-jen/status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1151</v>
      </c>
      <c r="D309" s="30" t="s">
        <v>133</v>
      </c>
      <c r="E309" s="30" t="s">
        <v>1481</v>
      </c>
      <c r="F309" s="30" t="str">
        <f>IF(ISBLANK(Table2[[#This Row],[unique_id]]), "", PROPER(SUBSTITUTE(Table2[[#This Row],[unique_id]], "_", " ")))</f>
        <v>Service Zigbee2Mqtt</v>
      </c>
      <c r="G309" s="30" t="s">
        <v>1491</v>
      </c>
      <c r="H309" s="30" t="s">
        <v>1502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1397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09" s="30" t="str">
        <f>IF(ISBLANK(Table2[[#This Row],[index]]),  "", _xlfn.CONCAT("supervisor/", Table2[[#This Row],[unique_id_device]], "/status"))</f>
        <v>supervisor/raspbpi-jen/status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422</v>
      </c>
      <c r="D310" s="30" t="s">
        <v>315</v>
      </c>
      <c r="E310" s="30" t="s">
        <v>314</v>
      </c>
      <c r="F310" s="36" t="str">
        <f>IF(ISBLANK(Table2[[#This Row],[unique_id]]), "", PROPER(SUBSTITUTE(Table2[[#This Row],[unique_id]], "_", " ")))</f>
        <v>Column Break</v>
      </c>
      <c r="G310" s="30" t="s">
        <v>311</v>
      </c>
      <c r="H310" s="30" t="s">
        <v>1502</v>
      </c>
      <c r="I310" s="30" t="s">
        <v>273</v>
      </c>
      <c r="M310" s="30" t="s">
        <v>312</v>
      </c>
      <c r="N310" s="30" t="s">
        <v>313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G310" s="31"/>
      <c r="AH310" s="31"/>
      <c r="AR310" s="39"/>
      <c r="AT310" s="32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/>
      </c>
      <c r="BF310" s="3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1162</v>
      </c>
      <c r="D311" s="30" t="s">
        <v>27</v>
      </c>
      <c r="E311" s="30" t="s">
        <v>1168</v>
      </c>
      <c r="F311" s="30" t="str">
        <f>IF(ISBLANK(Table2[[#This Row],[unique_id]]), "", PROPER(SUBSTITUTE(Table2[[#This Row],[unique_id]], "_", " ")))</f>
        <v>Template Utility Temperature Proxy</v>
      </c>
      <c r="G311" s="30" t="s">
        <v>1163</v>
      </c>
      <c r="H311" s="30" t="s">
        <v>1165</v>
      </c>
      <c r="I311" s="30" t="s">
        <v>273</v>
      </c>
      <c r="K311" s="30" t="s">
        <v>1133</v>
      </c>
      <c r="M311" s="30" t="s">
        <v>135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 t="s">
        <v>31</v>
      </c>
      <c r="AC311" s="30" t="s">
        <v>87</v>
      </c>
      <c r="AD311" s="30" t="s">
        <v>88</v>
      </c>
      <c r="AE311" s="30" t="s">
        <v>298</v>
      </c>
      <c r="AG311" s="31"/>
      <c r="AH311" s="31"/>
      <c r="AJ311" s="30" t="str">
        <f>IF(ISBLANK(AI311),  "", _xlfn.CONCAT("haas/entity/sensor/", LOWER(C311), "/", E311, "/config"))</f>
        <v/>
      </c>
      <c r="AK311" s="30" t="str">
        <f>IF(ISBLANK(AI311),  "", _xlfn.CONCAT(LOWER(C311), "/", E311))</f>
        <v/>
      </c>
      <c r="AR311" s="39"/>
      <c r="AT311" s="32"/>
      <c r="AU311" s="40"/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/>
      </c>
      <c r="BF311" s="3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1494</v>
      </c>
      <c r="D312" s="30" t="s">
        <v>27</v>
      </c>
      <c r="E312" s="30" t="s">
        <v>1080</v>
      </c>
      <c r="F312" s="36" t="str">
        <f>IF(ISBLANK(Table2[[#This Row],[unique_id]]), "", PROPER(SUBSTITUTE(Table2[[#This Row],[unique_id]], "_", " ")))</f>
        <v>Rack Top Temperature</v>
      </c>
      <c r="G312" s="30" t="s">
        <v>1082</v>
      </c>
      <c r="H312" s="30" t="s">
        <v>1165</v>
      </c>
      <c r="I312" s="30" t="s">
        <v>273</v>
      </c>
      <c r="K312" s="30" t="s">
        <v>1125</v>
      </c>
      <c r="O312" s="31"/>
      <c r="P312" s="30"/>
      <c r="T312" s="37"/>
      <c r="U312" s="30"/>
      <c r="V312" s="31" t="s">
        <v>1145</v>
      </c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F312" s="30">
        <v>300</v>
      </c>
      <c r="AG312" s="31" t="s">
        <v>34</v>
      </c>
      <c r="AH312" s="31"/>
      <c r="AI312" s="30" t="s">
        <v>1394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2" s="30" t="str">
        <f>IF(ISBLANK(Table2[[#This Row],[index]]),  "", _xlfn.CONCAT(LOWER(Table2[[#This Row],[device_via_device]]), "/data"))</f>
        <v>tempstat/data</v>
      </c>
      <c r="AL312" s="30" t="str">
        <f>IF(ISBLANK(Table2[[#This Row],[index]]), "", _xlfn.CONCAT(LOWER(Table2[[#This Row],[device_via_device]]), "/command"))</f>
        <v>tempstat/command</v>
      </c>
      <c r="AM312" s="30" t="str">
        <f>IF(ISBLANK(Table2[[#This Row],[index]]), "", _xlfn.CONCAT(LOWER(Table2[[#This Row],[device_via_device]]), "/status"))</f>
        <v>tempstat/status</v>
      </c>
      <c r="AR312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86</v>
      </c>
      <c r="BC312" s="30" t="s">
        <v>1496</v>
      </c>
      <c r="BD312" s="30" t="s">
        <v>1497</v>
      </c>
      <c r="BF312" s="30" t="s">
        <v>955</v>
      </c>
      <c r="BG312" s="30" t="s">
        <v>28</v>
      </c>
      <c r="BL312" s="30" t="s">
        <v>1101</v>
      </c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3" spans="1:66" ht="16" customHeight="1" x14ac:dyDescent="0.2">
      <c r="A313" s="30">
        <v>2531</v>
      </c>
      <c r="B313" s="30" t="s">
        <v>26</v>
      </c>
      <c r="C313" s="30" t="s">
        <v>1494</v>
      </c>
      <c r="D313" s="30" t="s">
        <v>27</v>
      </c>
      <c r="E313" s="30" t="s">
        <v>1125</v>
      </c>
      <c r="F313" s="30" t="str">
        <f>IF(ISBLANK(Table2[[#This Row],[unique_id]]), "", PROPER(SUBSTITUTE(Table2[[#This Row],[unique_id]], "_", " ")))</f>
        <v>Compensation Sensor Rack Top Temperature</v>
      </c>
      <c r="G313" s="30" t="s">
        <v>1082</v>
      </c>
      <c r="H313" s="30" t="s">
        <v>1165</v>
      </c>
      <c r="I313" s="30" t="s">
        <v>273</v>
      </c>
      <c r="J313" s="30" t="s">
        <v>86</v>
      </c>
      <c r="M313" s="30" t="s">
        <v>135</v>
      </c>
      <c r="O313" s="31"/>
      <c r="P313" s="30"/>
      <c r="T313" s="37"/>
      <c r="U313" s="30" t="s">
        <v>418</v>
      </c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G313" s="30" t="s">
        <v>28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1494</v>
      </c>
      <c r="D314" s="30" t="s">
        <v>27</v>
      </c>
      <c r="E314" s="30" t="s">
        <v>1081</v>
      </c>
      <c r="F314" s="36" t="str">
        <f>IF(ISBLANK(Table2[[#This Row],[unique_id]]), "", PROPER(SUBSTITUTE(Table2[[#This Row],[unique_id]], "_", " ")))</f>
        <v>Rack Bottom Temperature</v>
      </c>
      <c r="G314" s="30" t="s">
        <v>1084</v>
      </c>
      <c r="H314" s="30" t="s">
        <v>1165</v>
      </c>
      <c r="I314" s="30" t="s">
        <v>273</v>
      </c>
      <c r="K314" s="30" t="s">
        <v>1126</v>
      </c>
      <c r="O314" s="31"/>
      <c r="P314" s="30"/>
      <c r="T314" s="37"/>
      <c r="U314" s="30"/>
      <c r="V314" s="31" t="s">
        <v>1145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1496</v>
      </c>
      <c r="BD314" s="30" t="s">
        <v>1497</v>
      </c>
      <c r="BF314" s="30" t="s">
        <v>955</v>
      </c>
      <c r="BG314" s="30" t="s">
        <v>28</v>
      </c>
      <c r="BL314" s="30" t="s">
        <v>1100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5" spans="1:66" ht="16" customHeight="1" x14ac:dyDescent="0.2">
      <c r="A315" s="30">
        <v>2533</v>
      </c>
      <c r="B315" s="30" t="s">
        <v>26</v>
      </c>
      <c r="C315" s="30" t="s">
        <v>1494</v>
      </c>
      <c r="D315" s="30" t="s">
        <v>27</v>
      </c>
      <c r="E315" s="30" t="s">
        <v>1126</v>
      </c>
      <c r="F315" s="30" t="str">
        <f>IF(ISBLANK(Table2[[#This Row],[unique_id]]), "", PROPER(SUBSTITUTE(Table2[[#This Row],[unique_id]], "_", " ")))</f>
        <v>Compensation Sensor Rack Bottom Temperature</v>
      </c>
      <c r="G315" s="30" t="s">
        <v>1084</v>
      </c>
      <c r="H315" s="30" t="s">
        <v>1165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1151</v>
      </c>
      <c r="D316" s="30" t="s">
        <v>27</v>
      </c>
      <c r="E316" s="30" t="s">
        <v>1423</v>
      </c>
      <c r="F316" s="30" t="str">
        <f>IF(ISBLANK(Table2[[#This Row],[unique_id]]), "", PROPER(SUBSTITUTE(Table2[[#This Row],[unique_id]], "_", " ")))</f>
        <v>Host Mad Temperature</v>
      </c>
      <c r="G316" s="30" t="s">
        <v>1427</v>
      </c>
      <c r="H316" s="30" t="s">
        <v>1165</v>
      </c>
      <c r="I316" s="30" t="s">
        <v>273</v>
      </c>
      <c r="K316" s="30" t="s">
        <v>1424</v>
      </c>
      <c r="O316" s="31"/>
      <c r="P316" s="30"/>
      <c r="T316" s="37"/>
      <c r="U316" s="30"/>
      <c r="V316" s="31" t="s">
        <v>297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5</v>
      </c>
      <c r="AG316" s="31" t="s">
        <v>34</v>
      </c>
      <c r="AH316" s="31"/>
      <c r="AI316" s="30" t="s">
        <v>1429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6" s="30" t="str">
        <f>IF(ISBLANK(Table2[[#This Row],[index]]),  "", _xlfn.CONCAT("supervisor/", Table2[[#This Row],[unique_id_device]], "/status"))</f>
        <v>supervisor/macmini-mad/status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1151</v>
      </c>
      <c r="BC316" s="30" t="s">
        <v>1464</v>
      </c>
      <c r="BD316" s="30" t="s">
        <v>1083</v>
      </c>
      <c r="BF316" s="30" t="s">
        <v>955</v>
      </c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1151</v>
      </c>
      <c r="D317" s="30" t="s">
        <v>27</v>
      </c>
      <c r="E317" s="30" t="s">
        <v>1424</v>
      </c>
      <c r="F317" s="30" t="str">
        <f>IF(ISBLANK(Table2[[#This Row],[unique_id]]), "", PROPER(SUBSTITUTE(Table2[[#This Row],[unique_id]], "_", " ")))</f>
        <v>Compensation Sensor Host Mad Temperature</v>
      </c>
      <c r="G317" s="30" t="s">
        <v>1427</v>
      </c>
      <c r="H317" s="30" t="s">
        <v>1165</v>
      </c>
      <c r="I317" s="30" t="s">
        <v>273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1425</v>
      </c>
      <c r="F318" s="30" t="str">
        <f>IF(ISBLANK(Table2[[#This Row],[unique_id]]), "", PROPER(SUBSTITUTE(Table2[[#This Row],[unique_id]], "_", " ")))</f>
        <v>Host Max Temperature</v>
      </c>
      <c r="G318" s="30" t="s">
        <v>1428</v>
      </c>
      <c r="H318" s="30" t="s">
        <v>1165</v>
      </c>
      <c r="I318" s="30" t="s">
        <v>273</v>
      </c>
      <c r="K318" s="30" t="s">
        <v>1426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1430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8" s="30" t="str">
        <f>IF(ISBLANK(Table2[[#This Row],[index]]),  "", _xlfn.CONCAT("supervisor/", Table2[[#This Row],[unique_id_device]], "/status"))</f>
        <v>supervisor/macmini-max/status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1151</v>
      </c>
      <c r="BC318" s="30" t="s">
        <v>1464</v>
      </c>
      <c r="BD318" s="30" t="s">
        <v>1083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1426</v>
      </c>
      <c r="F319" s="30" t="str">
        <f>IF(ISBLANK(Table2[[#This Row],[unique_id]]), "", PROPER(SUBSTITUTE(Table2[[#This Row],[unique_id]], "_", " ")))</f>
        <v>Compensation Sensor Host Max Temperature</v>
      </c>
      <c r="G319" s="30" t="s">
        <v>1428</v>
      </c>
      <c r="H319" s="30" t="s">
        <v>1165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1388</v>
      </c>
      <c r="F320" s="30" t="str">
        <f>IF(ISBLANK(Table2[[#This Row],[unique_id]]), "", PROPER(SUBSTITUTE(Table2[[#This Row],[unique_id]], "_", " ")))</f>
        <v>Host May Temperature</v>
      </c>
      <c r="G320" s="30" t="s">
        <v>1387</v>
      </c>
      <c r="H320" s="30" t="s">
        <v>1165</v>
      </c>
      <c r="I320" s="30" t="s">
        <v>273</v>
      </c>
      <c r="K320" s="30" t="s">
        <v>1389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1394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0" s="30" t="str">
        <f>IF(ISBLANK(Table2[[#This Row],[index]]),  "", _xlfn.CONCAT("supervisor/", Table2[[#This Row],[unique_id_device]], "/status"))</f>
        <v>supervisor/macmini-may/status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1151</v>
      </c>
      <c r="BC320" s="30" t="s">
        <v>1464</v>
      </c>
      <c r="BD320" s="30" t="s">
        <v>1083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1389</v>
      </c>
      <c r="F321" s="30" t="str">
        <f>IF(ISBLANK(Table2[[#This Row],[unique_id]]), "", PROPER(SUBSTITUTE(Table2[[#This Row],[unique_id]], "_", " ")))</f>
        <v>Compensation Sensor Host May Temperature</v>
      </c>
      <c r="G321" s="30" t="s">
        <v>1387</v>
      </c>
      <c r="H321" s="30" t="s">
        <v>1165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1158</v>
      </c>
      <c r="F322" s="30" t="str">
        <f>IF(ISBLANK(Table2[[#This Row],[unique_id]]), "", PROPER(SUBSTITUTE(Table2[[#This Row],[unique_id]], "_", " ")))</f>
        <v>Host Meg Temperature</v>
      </c>
      <c r="G322" s="30" t="s">
        <v>1161</v>
      </c>
      <c r="H322" s="30" t="s">
        <v>1165</v>
      </c>
      <c r="I322" s="30" t="s">
        <v>273</v>
      </c>
      <c r="K322" s="30" t="s">
        <v>1160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1102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2" s="30" t="str">
        <f>IF(ISBLANK(Table2[[#This Row],[index]]),  "", _xlfn.CONCAT("supervisor/", Table2[[#This Row],[unique_id_device]], "/status"))</f>
        <v>supervisor/macmini-meg/status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1151</v>
      </c>
      <c r="BC322" s="30" t="s">
        <v>1464</v>
      </c>
      <c r="BD322" s="30" t="s">
        <v>1083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1151</v>
      </c>
      <c r="D323" s="30" t="s">
        <v>27</v>
      </c>
      <c r="E323" s="30" t="s">
        <v>1160</v>
      </c>
      <c r="F323" s="30" t="str">
        <f>IF(ISBLANK(Table2[[#This Row],[unique_id]]), "", PROPER(SUBSTITUTE(Table2[[#This Row],[unique_id]], "_", " ")))</f>
        <v>Compensation Sensor Host Meg Temperature</v>
      </c>
      <c r="G323" s="30" t="s">
        <v>1161</v>
      </c>
      <c r="H323" s="30" t="s">
        <v>1165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1162</v>
      </c>
      <c r="D324" s="30" t="s">
        <v>27</v>
      </c>
      <c r="E324" s="30" t="s">
        <v>1170</v>
      </c>
      <c r="F324" s="30" t="str">
        <f>IF(ISBLANK(Table2[[#This Row],[unique_id]]), "", PROPER(SUBSTITUTE(Table2[[#This Row],[unique_id]], "_", " ")))</f>
        <v>Template Deck Festoons Plug Temperature Proxy</v>
      </c>
      <c r="G324" s="30" t="s">
        <v>1167</v>
      </c>
      <c r="H324" s="30" t="s">
        <v>1166</v>
      </c>
      <c r="I324" s="30" t="s">
        <v>273</v>
      </c>
      <c r="K324" s="30" t="s">
        <v>1124</v>
      </c>
      <c r="M324" s="30" t="s">
        <v>135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1162</v>
      </c>
      <c r="D325" s="30" t="s">
        <v>27</v>
      </c>
      <c r="E325" s="30" t="s">
        <v>1169</v>
      </c>
      <c r="F325" s="30" t="str">
        <f>IF(ISBLANK(Table2[[#This Row],[unique_id]]), "", PROPER(SUBSTITUTE(Table2[[#This Row],[unique_id]], "_", " ")))</f>
        <v>Template Wardrobe Temperature Proxy</v>
      </c>
      <c r="G325" s="30" t="s">
        <v>1373</v>
      </c>
      <c r="H325" s="30" t="s">
        <v>1164</v>
      </c>
      <c r="I325" s="30" t="s">
        <v>273</v>
      </c>
      <c r="K325" s="30" t="s">
        <v>1130</v>
      </c>
      <c r="M325" s="30" t="s">
        <v>135</v>
      </c>
      <c r="O325" s="31"/>
      <c r="P325" s="30"/>
      <c r="T325" s="37"/>
      <c r="U325" s="30"/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1151</v>
      </c>
      <c r="D326" s="30" t="s">
        <v>27</v>
      </c>
      <c r="E326" s="30" t="s">
        <v>1400</v>
      </c>
      <c r="F326" s="30" t="str">
        <f>IF(ISBLANK(Table2[[#This Row],[unique_id]]), "", PROPER(SUBSTITUTE(Table2[[#This Row],[unique_id]], "_", " ")))</f>
        <v>Host Jen Temperature</v>
      </c>
      <c r="G326" s="30" t="s">
        <v>1401</v>
      </c>
      <c r="H326" s="30" t="s">
        <v>1164</v>
      </c>
      <c r="I326" s="30" t="s">
        <v>273</v>
      </c>
      <c r="K326" s="30" t="s">
        <v>1396</v>
      </c>
      <c r="O326" s="31"/>
      <c r="P326" s="30"/>
      <c r="T326" s="37"/>
      <c r="U326" s="30"/>
      <c r="V326" s="31" t="s">
        <v>297</v>
      </c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F326" s="30">
        <v>5</v>
      </c>
      <c r="AG326" s="31" t="s">
        <v>34</v>
      </c>
      <c r="AH326" s="31"/>
      <c r="AI326" s="30" t="s">
        <v>1397</v>
      </c>
      <c r="AJ32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6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6" s="30" t="str">
        <f>IF(ISBLANK(Table2[[#This Row],[index]]),  "", _xlfn.CONCAT("supervisor/", Table2[[#This Row],[unique_id_device]], "/status"))</f>
        <v>supervisor/raspbpi-jen/status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Wardrobe</v>
      </c>
      <c r="BB326" s="30" t="s">
        <v>1151</v>
      </c>
      <c r="BC326" s="30" t="s">
        <v>1464</v>
      </c>
      <c r="BD326" s="30" t="s">
        <v>1083</v>
      </c>
      <c r="BF326" s="30" t="s">
        <v>955</v>
      </c>
      <c r="BG326" s="30" t="s">
        <v>477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1151</v>
      </c>
      <c r="D327" s="30" t="s">
        <v>27</v>
      </c>
      <c r="E327" s="30" t="s">
        <v>1396</v>
      </c>
      <c r="F327" s="30" t="str">
        <f>IF(ISBLANK(Table2[[#This Row],[unique_id]]), "", PROPER(SUBSTITUTE(Table2[[#This Row],[unique_id]], "_", " ")))</f>
        <v>Compensation Sensor Host Jen Temperature</v>
      </c>
      <c r="G327" s="30" t="s">
        <v>1401</v>
      </c>
      <c r="H327" s="30" t="s">
        <v>1164</v>
      </c>
      <c r="I327" s="30" t="s">
        <v>273</v>
      </c>
      <c r="M327" s="30" t="s">
        <v>135</v>
      </c>
      <c r="O327" s="31"/>
      <c r="P327" s="30"/>
      <c r="T327" s="37"/>
      <c r="U327" s="30" t="s">
        <v>418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477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422</v>
      </c>
      <c r="D328" s="30" t="s">
        <v>315</v>
      </c>
      <c r="E328" s="30" t="s">
        <v>314</v>
      </c>
      <c r="F328" s="36" t="str">
        <f>IF(ISBLANK(Table2[[#This Row],[unique_id]]), "", PROPER(SUBSTITUTE(Table2[[#This Row],[unique_id]], "_", " ")))</f>
        <v>Column Break</v>
      </c>
      <c r="G328" s="30" t="s">
        <v>311</v>
      </c>
      <c r="H328" s="30" t="s">
        <v>1164</v>
      </c>
      <c r="I328" s="30" t="s">
        <v>273</v>
      </c>
      <c r="M328" s="30" t="s">
        <v>312</v>
      </c>
      <c r="N328" s="30" t="s">
        <v>313</v>
      </c>
      <c r="O328" s="31"/>
      <c r="P328" s="30"/>
      <c r="T328" s="37"/>
      <c r="U328" s="30"/>
      <c r="V328" s="31"/>
      <c r="W328" s="31"/>
      <c r="X328" s="31"/>
      <c r="Y328" s="31"/>
      <c r="Z328" s="31"/>
      <c r="AA328" s="31"/>
      <c r="AB328" s="30"/>
      <c r="AC328" s="30"/>
      <c r="AG328" s="31"/>
      <c r="AH328" s="31"/>
      <c r="AR328" s="39"/>
      <c r="AT328" s="32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603</v>
      </c>
      <c r="D329" s="30" t="s">
        <v>27</v>
      </c>
      <c r="E329" s="30" t="s">
        <v>641</v>
      </c>
      <c r="F329" s="36" t="str">
        <f>IF(ISBLANK(Table2[[#This Row],[unique_id]]), "", PROPER(SUBSTITUTE(Table2[[#This Row],[unique_id]], "_", " ")))</f>
        <v>Back Door Lock Battery</v>
      </c>
      <c r="G329" s="30" t="s">
        <v>627</v>
      </c>
      <c r="H329" s="30" t="s">
        <v>1149</v>
      </c>
      <c r="I329" s="30" t="s">
        <v>273</v>
      </c>
      <c r="M329" s="30" t="s">
        <v>135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T329" s="4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603</v>
      </c>
      <c r="D330" s="30" t="s">
        <v>27</v>
      </c>
      <c r="E330" s="30" t="s">
        <v>642</v>
      </c>
      <c r="F330" s="36" t="str">
        <f>IF(ISBLANK(Table2[[#This Row],[unique_id]]), "", PROPER(SUBSTITUTE(Table2[[#This Row],[unique_id]], "_", " ")))</f>
        <v>Front Door Lock Battery</v>
      </c>
      <c r="G330" s="30" t="s">
        <v>626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316</v>
      </c>
      <c r="D331" s="30" t="s">
        <v>27</v>
      </c>
      <c r="E331" s="30" t="s">
        <v>644</v>
      </c>
      <c r="F331" s="36" t="str">
        <f>IF(ISBLANK(Table2[[#This Row],[unique_id]]), "", PROPER(SUBSTITUTE(Table2[[#This Row],[unique_id]], "_", " ")))</f>
        <v>Template Back Door Sensor Battery Last</v>
      </c>
      <c r="G331" s="30" t="s">
        <v>629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316</v>
      </c>
      <c r="D332" s="30" t="s">
        <v>27</v>
      </c>
      <c r="E332" s="30" t="s">
        <v>643</v>
      </c>
      <c r="F332" s="36" t="str">
        <f>IF(ISBLANK(Table2[[#This Row],[unique_id]]), "", PROPER(SUBSTITUTE(Table2[[#This Row],[unique_id]], "_", " ")))</f>
        <v>Template Front Door Sensor Battery Last</v>
      </c>
      <c r="G332" s="30" t="s">
        <v>628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561</v>
      </c>
      <c r="C333" s="30" t="s">
        <v>439</v>
      </c>
      <c r="D333" s="30" t="s">
        <v>27</v>
      </c>
      <c r="E333" s="30" t="s">
        <v>467</v>
      </c>
      <c r="F333" s="36" t="str">
        <f>IF(ISBLANK(Table2[[#This Row],[unique_id]]), "", PROPER(SUBSTITUTE(Table2[[#This Row],[unique_id]], "_", " ")))</f>
        <v>Home Cube Remote Battery</v>
      </c>
      <c r="G333" s="30" t="s">
        <v>447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s="48" customFormat="1" ht="16" customHeight="1" x14ac:dyDescent="0.2">
      <c r="A334" s="30">
        <v>2552</v>
      </c>
      <c r="B334" s="48" t="s">
        <v>26</v>
      </c>
      <c r="C334" s="48" t="s">
        <v>149</v>
      </c>
      <c r="D334" s="48" t="s">
        <v>27</v>
      </c>
      <c r="E334" s="48" t="s">
        <v>638</v>
      </c>
      <c r="F334" s="49" t="str">
        <f>IF(ISBLANK(Table2[[#This Row],[unique_id]]), "", PROPER(SUBSTITUTE(Table2[[#This Row],[unique_id]], "_", " ")))</f>
        <v>Template Weatherstation Console Battery Percent Int</v>
      </c>
      <c r="G334" s="48" t="s">
        <v>636</v>
      </c>
      <c r="H334" s="48" t="s">
        <v>1149</v>
      </c>
      <c r="I334" s="48" t="s">
        <v>273</v>
      </c>
      <c r="M334" s="48" t="s">
        <v>135</v>
      </c>
      <c r="O334" s="50"/>
      <c r="T334" s="51"/>
      <c r="V334" s="50"/>
      <c r="W334" s="50"/>
      <c r="X334" s="50"/>
      <c r="Y334" s="50"/>
      <c r="Z334" s="50"/>
      <c r="AA334" s="50"/>
      <c r="AB334" s="48" t="s">
        <v>31</v>
      </c>
      <c r="AC334" s="48" t="s">
        <v>32</v>
      </c>
      <c r="AD334" s="48" t="s">
        <v>637</v>
      </c>
      <c r="AG334" s="50"/>
      <c r="AH334" s="50"/>
      <c r="AR334" s="52"/>
      <c r="AT334" s="53"/>
      <c r="AU334" s="50"/>
      <c r="AV334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48" t="str">
        <f>IF(ISBLANK(Table2[[#This Row],[device_model]]), "", Table2[[#This Row],[device_suggested_area]])</f>
        <v/>
      </c>
      <c r="BF334" s="50"/>
      <c r="BN334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s="48" customFormat="1" ht="16" customHeight="1" x14ac:dyDescent="0.2">
      <c r="A335" s="30">
        <v>2553</v>
      </c>
      <c r="B335" s="48" t="s">
        <v>26</v>
      </c>
      <c r="C335" s="48" t="s">
        <v>39</v>
      </c>
      <c r="D335" s="48" t="s">
        <v>27</v>
      </c>
      <c r="E335" s="48" t="s">
        <v>169</v>
      </c>
      <c r="F335" s="49" t="str">
        <f>IF(ISBLANK(Table2[[#This Row],[unique_id]]), "", PROPER(SUBSTITUTE(Table2[[#This Row],[unique_id]], "_", " ")))</f>
        <v>Weatherstation Console Battery Voltage</v>
      </c>
      <c r="G335" s="48" t="s">
        <v>446</v>
      </c>
      <c r="H335" s="48" t="s">
        <v>1149</v>
      </c>
      <c r="I335" s="48" t="s">
        <v>273</v>
      </c>
      <c r="O335" s="50"/>
      <c r="T335" s="51"/>
      <c r="V335" s="50" t="s">
        <v>1178</v>
      </c>
      <c r="W335" s="50"/>
      <c r="X335" s="50"/>
      <c r="Y335" s="50"/>
      <c r="Z335" s="50"/>
      <c r="AA335" s="50"/>
      <c r="AB335" s="48" t="s">
        <v>31</v>
      </c>
      <c r="AC335" s="48" t="s">
        <v>83</v>
      </c>
      <c r="AD335" s="48" t="s">
        <v>84</v>
      </c>
      <c r="AE335" s="48" t="s">
        <v>270</v>
      </c>
      <c r="AF335" s="48">
        <v>300</v>
      </c>
      <c r="AG335" s="50" t="s">
        <v>34</v>
      </c>
      <c r="AH335" s="50"/>
      <c r="AI335" s="48" t="s">
        <v>85</v>
      </c>
      <c r="AJ335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5" s="48" t="str">
        <f>IF(ISBLANK(Table2[[#This Row],[index]]),  "", _xlfn.CONCAT(LOWER(Table2[[#This Row],[device_via_device]]), "/", Table2[[#This Row],[unique_id]]))</f>
        <v>weewx/weatherstation_console_battery_voltage</v>
      </c>
      <c r="AR335" s="52" t="s">
        <v>1147</v>
      </c>
      <c r="AS335" s="48">
        <v>1</v>
      </c>
      <c r="AT335" s="53"/>
      <c r="AV335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5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5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5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48" t="str">
        <f>IF(ISBLANK(Table2[[#This Row],[device_model]]), "", Table2[[#This Row],[device_suggested_area]])</f>
        <v>Wardrobe</v>
      </c>
      <c r="BB335" s="48" t="s">
        <v>1177</v>
      </c>
      <c r="BC335" s="48" t="s">
        <v>36</v>
      </c>
      <c r="BD335" s="48" t="s">
        <v>37</v>
      </c>
      <c r="BF335" s="48" t="s">
        <v>1029</v>
      </c>
      <c r="BG335" s="48" t="s">
        <v>477</v>
      </c>
      <c r="BN335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127</v>
      </c>
      <c r="D336" s="30" t="s">
        <v>27</v>
      </c>
      <c r="E336" s="39" t="s">
        <v>1306</v>
      </c>
      <c r="F336" s="36" t="str">
        <f>IF(ISBLANK(Table2[[#This Row],[unique_id]]), "", PROPER(SUBSTITUTE(Table2[[#This Row],[unique_id]], "_", " ")))</f>
        <v>Office Pantry Battery</v>
      </c>
      <c r="G336" s="30" t="s">
        <v>440</v>
      </c>
      <c r="H336" s="30" t="s">
        <v>1149</v>
      </c>
      <c r="I336" s="30" t="s">
        <v>273</v>
      </c>
      <c r="M336" s="30" t="s">
        <v>135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U336" s="3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>Pantry</v>
      </c>
      <c r="BB336" s="30" t="s">
        <v>957</v>
      </c>
      <c r="BC336" s="30" t="s">
        <v>959</v>
      </c>
      <c r="BD336" s="30" t="s">
        <v>127</v>
      </c>
      <c r="BF336" s="30" t="s">
        <v>406</v>
      </c>
      <c r="BG336" s="30" t="s">
        <v>209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127</v>
      </c>
      <c r="D337" s="30" t="s">
        <v>27</v>
      </c>
      <c r="E337" s="39" t="s">
        <v>1307</v>
      </c>
      <c r="F337" s="36" t="str">
        <f>IF(ISBLANK(Table2[[#This Row],[unique_id]]), "", PROPER(SUBSTITUTE(Table2[[#This Row],[unique_id]], "_", " ")))</f>
        <v>Office Lounge Battery</v>
      </c>
      <c r="G337" s="30" t="s">
        <v>441</v>
      </c>
      <c r="H337" s="30" t="s">
        <v>1149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Lounge</v>
      </c>
      <c r="BB337" s="30" t="s">
        <v>957</v>
      </c>
      <c r="BC337" s="30" t="s">
        <v>959</v>
      </c>
      <c r="BD337" s="30" t="s">
        <v>127</v>
      </c>
      <c r="BF337" s="30" t="s">
        <v>406</v>
      </c>
      <c r="BG337" s="30" t="s">
        <v>192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1308</v>
      </c>
      <c r="F338" s="36" t="str">
        <f>IF(ISBLANK(Table2[[#This Row],[unique_id]]), "", PROPER(SUBSTITUTE(Table2[[#This Row],[unique_id]], "_", " ")))</f>
        <v>Office Dining Battery</v>
      </c>
      <c r="G338" s="30" t="s">
        <v>442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Dining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191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1309</v>
      </c>
      <c r="F339" s="36" t="str">
        <f>IF(ISBLANK(Table2[[#This Row],[unique_id]]), "", PROPER(SUBSTITUTE(Table2[[#This Row],[unique_id]], "_", " ")))</f>
        <v>Office Basement Battery</v>
      </c>
      <c r="G339" s="30" t="s">
        <v>443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Basement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208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180</v>
      </c>
      <c r="D340" s="30" t="s">
        <v>27</v>
      </c>
      <c r="E340" s="30" t="s">
        <v>702</v>
      </c>
      <c r="F340" s="36" t="str">
        <f>IF(ISBLANK(Table2[[#This Row],[unique_id]]), "", PROPER(SUBSTITUTE(Table2[[#This Row],[unique_id]], "_", " ")))</f>
        <v>Parents Move Battery</v>
      </c>
      <c r="G340" s="30" t="s">
        <v>444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180</v>
      </c>
      <c r="D341" s="30" t="s">
        <v>27</v>
      </c>
      <c r="E341" s="30" t="s">
        <v>701</v>
      </c>
      <c r="F341" s="36" t="str">
        <f>IF(ISBLANK(Table2[[#This Row],[unique_id]]), "", PROPER(SUBSTITUTE(Table2[[#This Row],[unique_id]], "_", " ")))</f>
        <v>Kitchen Move Battery</v>
      </c>
      <c r="G341" s="30" t="s">
        <v>445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422</v>
      </c>
      <c r="D342" s="30" t="s">
        <v>315</v>
      </c>
      <c r="E342" s="30" t="s">
        <v>314</v>
      </c>
      <c r="F342" s="36" t="str">
        <f>IF(ISBLANK(Table2[[#This Row],[unique_id]]), "", PROPER(SUBSTITUTE(Table2[[#This Row],[unique_id]], "_", " ")))</f>
        <v>Column Break</v>
      </c>
      <c r="G342" s="30" t="s">
        <v>311</v>
      </c>
      <c r="H342" s="30" t="s">
        <v>1149</v>
      </c>
      <c r="I342" s="30" t="s">
        <v>273</v>
      </c>
      <c r="M342" s="30" t="s">
        <v>312</v>
      </c>
      <c r="N342" s="30" t="s">
        <v>313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R342" s="39"/>
      <c r="AT342" s="32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743</v>
      </c>
      <c r="D343" s="30" t="s">
        <v>27</v>
      </c>
      <c r="E343" s="30" t="s">
        <v>794</v>
      </c>
      <c r="F343" s="36" t="str">
        <f>IF(ISBLANK(Table2[[#This Row],[unique_id]]), "", PROPER(SUBSTITUTE(Table2[[#This Row],[unique_id]], "_", " ")))</f>
        <v>All Standby</v>
      </c>
      <c r="G343" s="30" t="s">
        <v>795</v>
      </c>
      <c r="H343" s="30" t="s">
        <v>508</v>
      </c>
      <c r="I343" s="30" t="s">
        <v>273</v>
      </c>
      <c r="O343" s="31" t="s">
        <v>754</v>
      </c>
      <c r="P343" s="30"/>
      <c r="R343" s="41"/>
      <c r="T343" s="37" t="s">
        <v>793</v>
      </c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676</v>
      </c>
      <c r="D344" s="30" t="s">
        <v>133</v>
      </c>
      <c r="E344" s="30" t="s">
        <v>1431</v>
      </c>
      <c r="F344" s="36" t="str">
        <f>IF(ISBLANK(Table2[[#This Row],[unique_id]]), "", PROPER(SUBSTITUTE(Table2[[#This Row],[unique_id]], "_", " ")))</f>
        <v>Rack Printer Plug</v>
      </c>
      <c r="G344" s="30" t="s">
        <v>1446</v>
      </c>
      <c r="H344" s="30" t="s">
        <v>508</v>
      </c>
      <c r="I344" s="30" t="s">
        <v>273</v>
      </c>
      <c r="M344" s="30" t="s">
        <v>255</v>
      </c>
      <c r="O344" s="31" t="s">
        <v>754</v>
      </c>
      <c r="P344" s="30"/>
      <c r="T344" s="37" t="s">
        <v>937</v>
      </c>
      <c r="U344" s="30"/>
      <c r="V344" s="31"/>
      <c r="W344" s="31"/>
      <c r="X344" s="31"/>
      <c r="Y344" s="31"/>
      <c r="Z344" s="31"/>
      <c r="AA344" s="31" t="s">
        <v>1074</v>
      </c>
      <c r="AB344" s="30"/>
      <c r="AC344" s="30"/>
      <c r="AE344" s="30" t="s">
        <v>1432</v>
      </c>
      <c r="AF344" s="30">
        <v>10</v>
      </c>
      <c r="AG344" s="31" t="s">
        <v>34</v>
      </c>
      <c r="AH344" s="31" t="s">
        <v>863</v>
      </c>
      <c r="AJ344" s="30" t="str">
        <f>_xlfn.CONCAT("homeassistant/", Table2[[#This Row],[entity_namespace]], "/tasmota/",Table2[[#This Row],[unique_id]], "/config")</f>
        <v>homeassistant/switch/tasmota/rack_printer_plug/config</v>
      </c>
      <c r="AK344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4" s="30" t="str">
        <f>_xlfn.CONCAT("tasmota/device/",Table2[[#This Row],[unique_id]], "/cmnd/POWER")</f>
        <v>tasmota/device/rack_printer_plug/cmnd/POWER</v>
      </c>
      <c r="AM344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4" s="30" t="s">
        <v>882</v>
      </c>
      <c r="AO344" s="30" t="s">
        <v>883</v>
      </c>
      <c r="AP344" s="30" t="s">
        <v>872</v>
      </c>
      <c r="AQ344" s="30" t="s">
        <v>873</v>
      </c>
      <c r="AR344" s="30" t="s">
        <v>936</v>
      </c>
      <c r="AS344" s="30">
        <v>1</v>
      </c>
      <c r="AT344" s="34" t="str">
        <f>HYPERLINK(_xlfn.CONCAT("http://", Table2[[#This Row],[connection_ip]], "/?"))</f>
        <v>http://10.0.4.111/?</v>
      </c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Rack</v>
      </c>
      <c r="BB344" s="30" t="s">
        <v>364</v>
      </c>
      <c r="BC344" s="39" t="s">
        <v>733</v>
      </c>
      <c r="BD344" s="30" t="s">
        <v>1075</v>
      </c>
      <c r="BF344" s="30" t="s">
        <v>853</v>
      </c>
      <c r="BG344" s="30" t="s">
        <v>28</v>
      </c>
      <c r="BK344" s="30" t="s">
        <v>1212</v>
      </c>
      <c r="BL344" s="30" t="s">
        <v>1451</v>
      </c>
      <c r="BM344" s="30" t="s">
        <v>1447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5" spans="1:66" ht="16" customHeight="1" x14ac:dyDescent="0.2">
      <c r="A345" s="30">
        <v>2563</v>
      </c>
      <c r="B345" s="30" t="s">
        <v>26</v>
      </c>
      <c r="C345" s="30" t="s">
        <v>676</v>
      </c>
      <c r="D345" s="30" t="s">
        <v>133</v>
      </c>
      <c r="E345" s="30" t="s">
        <v>1441</v>
      </c>
      <c r="F345" s="36" t="str">
        <f>IF(ISBLANK(Table2[[#This Row],[unique_id]]), "", PROPER(SUBSTITUTE(Table2[[#This Row],[unique_id]], "_", " ")))</f>
        <v>Rack Screen Plug</v>
      </c>
      <c r="G345" s="30" t="s">
        <v>1434</v>
      </c>
      <c r="H345" s="30" t="s">
        <v>508</v>
      </c>
      <c r="I345" s="30" t="s">
        <v>273</v>
      </c>
      <c r="M345" s="30" t="s">
        <v>255</v>
      </c>
      <c r="O345" s="31" t="s">
        <v>754</v>
      </c>
      <c r="P345" s="30"/>
      <c r="T345" s="37" t="s">
        <v>937</v>
      </c>
      <c r="U345" s="30"/>
      <c r="V345" s="31"/>
      <c r="W345" s="31"/>
      <c r="X345" s="31"/>
      <c r="Y345" s="31"/>
      <c r="Z345" s="31"/>
      <c r="AA345" s="31" t="s">
        <v>1074</v>
      </c>
      <c r="AB345" s="30"/>
      <c r="AC345" s="30"/>
      <c r="AE345" s="30" t="s">
        <v>1435</v>
      </c>
      <c r="AF345" s="30">
        <v>10</v>
      </c>
      <c r="AG345" s="31" t="s">
        <v>34</v>
      </c>
      <c r="AH345" s="31" t="s">
        <v>863</v>
      </c>
      <c r="AJ345" s="30" t="str">
        <f>_xlfn.CONCAT("homeassistant/", Table2[[#This Row],[entity_namespace]], "/tasmota/",Table2[[#This Row],[unique_id]], "/config")</f>
        <v>homeassistant/switch/tasmota/rack_screen_plug/config</v>
      </c>
      <c r="AK345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5" s="30" t="str">
        <f>_xlfn.CONCAT("tasmota/device/",Table2[[#This Row],[unique_id]], "/cmnd/POWER")</f>
        <v>tasmota/device/rack_screen_plug/cmnd/POWER</v>
      </c>
      <c r="AM345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5" s="30" t="s">
        <v>882</v>
      </c>
      <c r="AO345" s="30" t="s">
        <v>883</v>
      </c>
      <c r="AP345" s="30" t="s">
        <v>872</v>
      </c>
      <c r="AQ345" s="30" t="s">
        <v>873</v>
      </c>
      <c r="AR345" s="30" t="s">
        <v>936</v>
      </c>
      <c r="AS345" s="30">
        <v>1</v>
      </c>
      <c r="AT345" s="34" t="str">
        <f>HYPERLINK(_xlfn.CONCAT("http://", Table2[[#This Row],[connection_ip]], "/?"))</f>
        <v>http://10.0.4.109/?</v>
      </c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Rack</v>
      </c>
      <c r="BB345" s="30" t="s">
        <v>1438</v>
      </c>
      <c r="BC345" s="39" t="s">
        <v>733</v>
      </c>
      <c r="BD345" s="30" t="s">
        <v>1075</v>
      </c>
      <c r="BF345" s="30" t="s">
        <v>853</v>
      </c>
      <c r="BG345" s="30" t="s">
        <v>28</v>
      </c>
      <c r="BK345" s="30" t="s">
        <v>1212</v>
      </c>
      <c r="BL345" s="30" t="s">
        <v>1443</v>
      </c>
      <c r="BM345" s="30" t="s">
        <v>1439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6" spans="1:66" ht="16" customHeight="1" x14ac:dyDescent="0.2">
      <c r="A346" s="30">
        <v>2564</v>
      </c>
      <c r="B346" s="30" t="s">
        <v>26</v>
      </c>
      <c r="C346" s="30" t="s">
        <v>676</v>
      </c>
      <c r="D346" s="30" t="s">
        <v>133</v>
      </c>
      <c r="E346" s="30" t="s">
        <v>1415</v>
      </c>
      <c r="F346" s="36" t="str">
        <f>IF(ISBLANK(Table2[[#This Row],[unique_id]]), "", PROPER(SUBSTITUTE(Table2[[#This Row],[unique_id]], "_", " ")))</f>
        <v>Rack Backup Plug</v>
      </c>
      <c r="G346" s="30" t="s">
        <v>1433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1436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homeassistant/switch/tasmota/rack_backup_plug/config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6" s="30" t="str">
        <f>_xlfn.CONCAT("tasmota/device/",Table2[[#This Row],[unique_id]], "/cmnd/POWER")</f>
        <v>tasmota/device/rack_backup_plug/cmnd/POWER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http://10.0.4.110/?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1437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1442</v>
      </c>
      <c r="BM346" s="30" t="s">
        <v>1440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7" spans="1:66" ht="16" customHeight="1" x14ac:dyDescent="0.2">
      <c r="A347" s="30">
        <v>2565</v>
      </c>
      <c r="B347" s="30" t="s">
        <v>26</v>
      </c>
      <c r="C347" s="30" t="s">
        <v>676</v>
      </c>
      <c r="D347" s="30" t="s">
        <v>133</v>
      </c>
      <c r="E347" s="30" t="s">
        <v>854</v>
      </c>
      <c r="F347" s="36" t="str">
        <f>IF(ISBLANK(Table2[[#This Row],[unique_id]]), "", PROPER(SUBSTITUTE(Table2[[#This Row],[unique_id]], "_", " ")))</f>
        <v>Rack Fans Plug</v>
      </c>
      <c r="G347" s="30" t="s">
        <v>570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1516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homeassistant/switch/tasmota/rack_fans_plug/config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7" s="30" t="str">
        <f>_xlfn.CONCAT("tasmota/device/",Table2[[#This Row],[unique_id]], "/cmnd/POWER")</f>
        <v>tasmota/device/rack_fans_plug/cmnd/POWER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http://10.0.4.101/?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130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571</v>
      </c>
      <c r="BM347" s="30" t="s">
        <v>1266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48" spans="1:66" ht="16" customHeight="1" x14ac:dyDescent="0.2">
      <c r="A348" s="30">
        <v>2566</v>
      </c>
      <c r="B348" s="30" t="s">
        <v>26</v>
      </c>
      <c r="C348" s="30" t="s">
        <v>774</v>
      </c>
      <c r="D348" s="30" t="s">
        <v>147</v>
      </c>
      <c r="E348" s="37" t="s">
        <v>1036</v>
      </c>
      <c r="F348" s="36" t="str">
        <f>IF(ISBLANK(Table2[[#This Row],[unique_id]]), "", PROPER(SUBSTITUTE(Table2[[#This Row],[unique_id]], "_", " ")))</f>
        <v>Template Lounge Tv Plug Proxy</v>
      </c>
      <c r="G348" s="30" t="s">
        <v>178</v>
      </c>
      <c r="H348" s="30" t="s">
        <v>508</v>
      </c>
      <c r="I348" s="30" t="s">
        <v>273</v>
      </c>
      <c r="O348" s="31" t="s">
        <v>754</v>
      </c>
      <c r="P348" s="30" t="s">
        <v>164</v>
      </c>
      <c r="Q348" s="30" t="s">
        <v>726</v>
      </c>
      <c r="R348" s="41" t="s">
        <v>711</v>
      </c>
      <c r="S348" s="30" t="str">
        <f>Table2[[#This Row],[friendly_name]]</f>
        <v>Lounge TV</v>
      </c>
      <c r="T348" s="37" t="s">
        <v>1033</v>
      </c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R348" s="39"/>
      <c r="AT348" s="32"/>
      <c r="AU348" s="30" t="s">
        <v>133</v>
      </c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Lounge</v>
      </c>
      <c r="BB348" s="30" t="s">
        <v>946</v>
      </c>
      <c r="BC348" s="30" t="s">
        <v>341</v>
      </c>
      <c r="BD348" s="30" t="s">
        <v>231</v>
      </c>
      <c r="BF348" s="30" t="s">
        <v>344</v>
      </c>
      <c r="BG348" s="30" t="s">
        <v>192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231</v>
      </c>
      <c r="D349" s="30" t="s">
        <v>133</v>
      </c>
      <c r="E349" s="30" t="s">
        <v>1035</v>
      </c>
      <c r="F349" s="36" t="str">
        <f>IF(ISBLANK(Table2[[#This Row],[unique_id]]), "", PROPER(SUBSTITUTE(Table2[[#This Row],[unique_id]], "_", " ")))</f>
        <v>Lounge Tv Plug</v>
      </c>
      <c r="G349" s="30" t="s">
        <v>178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 t="s">
        <v>164</v>
      </c>
      <c r="Q349" s="30" t="s">
        <v>726</v>
      </c>
      <c r="R349" s="41" t="s">
        <v>711</v>
      </c>
      <c r="S349" s="30" t="str">
        <f>Table2[[#This Row],[friendly_name]]</f>
        <v>Lounge TV</v>
      </c>
      <c r="T349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49" s="30"/>
      <c r="V349" s="31"/>
      <c r="W349" s="31"/>
      <c r="X349" s="31"/>
      <c r="Y349" s="31"/>
      <c r="Z349" s="31"/>
      <c r="AA349" s="31"/>
      <c r="AB349" s="30"/>
      <c r="AC349" s="30"/>
      <c r="AE349" s="30" t="s">
        <v>248</v>
      </c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Lounge</v>
      </c>
      <c r="BB349" s="30" t="s">
        <v>946</v>
      </c>
      <c r="BC349" s="30" t="s">
        <v>341</v>
      </c>
      <c r="BD349" s="30" t="s">
        <v>231</v>
      </c>
      <c r="BF349" s="30" t="s">
        <v>344</v>
      </c>
      <c r="BG349" s="30" t="s">
        <v>192</v>
      </c>
      <c r="BJ349" s="30" t="s">
        <v>943</v>
      </c>
      <c r="BK349" s="30" t="s">
        <v>1212</v>
      </c>
      <c r="BL349" s="30" t="s">
        <v>331</v>
      </c>
      <c r="BM349" s="30" t="s">
        <v>1246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0" spans="1:66" s="54" customFormat="1" ht="16" customHeight="1" x14ac:dyDescent="0.2">
      <c r="A350" s="30">
        <v>2568</v>
      </c>
      <c r="B350" s="54" t="s">
        <v>561</v>
      </c>
      <c r="C350" s="54" t="s">
        <v>774</v>
      </c>
      <c r="D350" s="54" t="s">
        <v>147</v>
      </c>
      <c r="E350" s="55" t="s">
        <v>1349</v>
      </c>
      <c r="F350" s="56" t="str">
        <f>IF(ISBLANK(Table2[[#This Row],[unique_id]]), "", PROPER(SUBSTITUTE(Table2[[#This Row],[unique_id]], "_", " ")))</f>
        <v>Broken Template Lounge Sub Plug Proxy</v>
      </c>
      <c r="G350" s="54" t="s">
        <v>758</v>
      </c>
      <c r="H350" s="54" t="s">
        <v>508</v>
      </c>
      <c r="I350" s="54" t="s">
        <v>273</v>
      </c>
      <c r="O350" s="57" t="s">
        <v>754</v>
      </c>
      <c r="P350" s="54" t="s">
        <v>164</v>
      </c>
      <c r="Q350" s="54" t="s">
        <v>726</v>
      </c>
      <c r="R350" s="60" t="s">
        <v>711</v>
      </c>
      <c r="S350" s="54" t="str">
        <f>Table2[[#This Row],[friendly_name]]</f>
        <v>Lounge Sub</v>
      </c>
      <c r="T350" s="55" t="s">
        <v>1033</v>
      </c>
      <c r="V350" s="57"/>
      <c r="W350" s="57"/>
      <c r="X350" s="57"/>
      <c r="Y350" s="57"/>
      <c r="Z350" s="57"/>
      <c r="AA350" s="57"/>
      <c r="AG350" s="57"/>
      <c r="AH350" s="57"/>
      <c r="AR350" s="59"/>
      <c r="AT350" s="61"/>
      <c r="AU350" s="54" t="s">
        <v>133</v>
      </c>
      <c r="AV35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54" t="str">
        <f>IF(ISBLANK(Table2[[#This Row],[device_model]]), "", Table2[[#This Row],[device_suggested_area]])</f>
        <v>Lounge</v>
      </c>
      <c r="BB350" s="54" t="s">
        <v>986</v>
      </c>
      <c r="BC350" s="59" t="s">
        <v>342</v>
      </c>
      <c r="BD350" s="54" t="s">
        <v>231</v>
      </c>
      <c r="BF350" s="54" t="s">
        <v>343</v>
      </c>
      <c r="BG350" s="54" t="s">
        <v>192</v>
      </c>
      <c r="BN35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s="54" customFormat="1" ht="16" customHeight="1" x14ac:dyDescent="0.2">
      <c r="A351" s="30">
        <v>2569</v>
      </c>
      <c r="B351" s="54" t="s">
        <v>561</v>
      </c>
      <c r="C351" s="54" t="s">
        <v>231</v>
      </c>
      <c r="D351" s="54" t="s">
        <v>133</v>
      </c>
      <c r="E351" s="54" t="s">
        <v>1350</v>
      </c>
      <c r="F351" s="56" t="str">
        <f>IF(ISBLANK(Table2[[#This Row],[unique_id]]), "", PROPER(SUBSTITUTE(Table2[[#This Row],[unique_id]], "_", " ")))</f>
        <v>Broken Lounge Sub Plug</v>
      </c>
      <c r="G351" s="54" t="s">
        <v>758</v>
      </c>
      <c r="H351" s="54" t="s">
        <v>508</v>
      </c>
      <c r="I351" s="54" t="s">
        <v>273</v>
      </c>
      <c r="M351" s="54" t="s">
        <v>255</v>
      </c>
      <c r="O351" s="57" t="s">
        <v>754</v>
      </c>
      <c r="P351" s="54" t="s">
        <v>164</v>
      </c>
      <c r="Q351" s="54" t="s">
        <v>726</v>
      </c>
      <c r="R351" s="60" t="s">
        <v>711</v>
      </c>
      <c r="S351" s="54" t="str">
        <f>Table2[[#This Row],[friendly_name]]</f>
        <v>Lounge Sub</v>
      </c>
      <c r="T351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1" s="57"/>
      <c r="W351" s="57"/>
      <c r="X351" s="57"/>
      <c r="Y351" s="57"/>
      <c r="Z351" s="57"/>
      <c r="AA351" s="57"/>
      <c r="AE351" s="54" t="s">
        <v>759</v>
      </c>
      <c r="AG351" s="57"/>
      <c r="AH351" s="57"/>
      <c r="AT351" s="58"/>
      <c r="AV35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54" t="str">
        <f>IF(ISBLANK(Table2[[#This Row],[device_model]]), "", Table2[[#This Row],[device_suggested_area]])</f>
        <v>Lounge</v>
      </c>
      <c r="BB351" s="54" t="s">
        <v>986</v>
      </c>
      <c r="BC351" s="59" t="s">
        <v>342</v>
      </c>
      <c r="BD351" s="54" t="s">
        <v>231</v>
      </c>
      <c r="BF351" s="54" t="s">
        <v>343</v>
      </c>
      <c r="BG351" s="54" t="s">
        <v>192</v>
      </c>
      <c r="BJ351" s="54" t="s">
        <v>942</v>
      </c>
      <c r="BK351" s="54" t="s">
        <v>1212</v>
      </c>
      <c r="BL351" s="54" t="s">
        <v>322</v>
      </c>
      <c r="BM351" s="54" t="s">
        <v>1247</v>
      </c>
      <c r="BN35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774</v>
      </c>
      <c r="D352" s="54" t="s">
        <v>147</v>
      </c>
      <c r="E352" s="55" t="s">
        <v>1351</v>
      </c>
      <c r="F352" s="56" t="str">
        <f>IF(ISBLANK(Table2[[#This Row],[unique_id]]), "", PROPER(SUBSTITUTE(Table2[[#This Row],[unique_id]], "_", " ")))</f>
        <v>Broken Template Study Outlet Plug Proxy</v>
      </c>
      <c r="G352" s="54" t="s">
        <v>224</v>
      </c>
      <c r="H352" s="54" t="s">
        <v>508</v>
      </c>
      <c r="I352" s="54" t="s">
        <v>273</v>
      </c>
      <c r="O352" s="57" t="s">
        <v>754</v>
      </c>
      <c r="P352" s="54" t="s">
        <v>164</v>
      </c>
      <c r="Q352" s="54" t="s">
        <v>726</v>
      </c>
      <c r="R352" s="54" t="s">
        <v>508</v>
      </c>
      <c r="S352" s="54" t="str">
        <f>Table2[[#This Row],[friendly_name]]</f>
        <v>Study Outlet</v>
      </c>
      <c r="T352" s="55" t="s">
        <v>1032</v>
      </c>
      <c r="V352" s="57"/>
      <c r="W352" s="57"/>
      <c r="X352" s="57"/>
      <c r="Y352" s="57"/>
      <c r="Z352" s="57"/>
      <c r="AA352" s="57"/>
      <c r="AG352" s="57"/>
      <c r="AH352" s="57"/>
      <c r="AT352" s="58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Study</v>
      </c>
      <c r="BB352" s="54" t="s">
        <v>984</v>
      </c>
      <c r="BC352" s="59" t="s">
        <v>342</v>
      </c>
      <c r="BD352" s="54" t="s">
        <v>231</v>
      </c>
      <c r="BF352" s="54" t="s">
        <v>343</v>
      </c>
      <c r="BG352" s="54" t="s">
        <v>338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231</v>
      </c>
      <c r="D353" s="54" t="s">
        <v>133</v>
      </c>
      <c r="E353" s="54" t="s">
        <v>1352</v>
      </c>
      <c r="F353" s="56" t="str">
        <f>IF(ISBLANK(Table2[[#This Row],[unique_id]]), "", PROPER(SUBSTITUTE(Table2[[#This Row],[unique_id]], "_", " ")))</f>
        <v>Broken Study Outlet Plug</v>
      </c>
      <c r="G353" s="54" t="s">
        <v>224</v>
      </c>
      <c r="H353" s="54" t="s">
        <v>508</v>
      </c>
      <c r="I353" s="54" t="s">
        <v>273</v>
      </c>
      <c r="M353" s="54" t="s">
        <v>255</v>
      </c>
      <c r="O353" s="57" t="s">
        <v>754</v>
      </c>
      <c r="P353" s="54" t="s">
        <v>164</v>
      </c>
      <c r="Q353" s="54" t="s">
        <v>726</v>
      </c>
      <c r="R353" s="54" t="s">
        <v>508</v>
      </c>
      <c r="S353" s="54" t="str">
        <f>Table2[[#This Row],[friendly_name]]</f>
        <v>Study Outlet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249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Study</v>
      </c>
      <c r="BB353" s="54" t="s">
        <v>984</v>
      </c>
      <c r="BC353" s="59" t="s">
        <v>342</v>
      </c>
      <c r="BD353" s="54" t="s">
        <v>231</v>
      </c>
      <c r="BF353" s="54" t="s">
        <v>343</v>
      </c>
      <c r="BG353" s="54" t="s">
        <v>338</v>
      </c>
      <c r="BJ353" s="54" t="s">
        <v>942</v>
      </c>
      <c r="BK353" s="54" t="s">
        <v>1212</v>
      </c>
      <c r="BL353" s="54" t="s">
        <v>333</v>
      </c>
      <c r="BM353" s="54" t="s">
        <v>1248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774</v>
      </c>
      <c r="D354" s="54" t="s">
        <v>147</v>
      </c>
      <c r="E354" s="55" t="s">
        <v>1353</v>
      </c>
      <c r="F354" s="56" t="str">
        <f>IF(ISBLANK(Table2[[#This Row],[unique_id]]), "", PROPER(SUBSTITUTE(Table2[[#This Row],[unique_id]], "_", " ")))</f>
        <v>Broken Template Office Outlet Plug Proxy</v>
      </c>
      <c r="G354" s="54" t="s">
        <v>223</v>
      </c>
      <c r="H354" s="54" t="s">
        <v>508</v>
      </c>
      <c r="I354" s="54" t="s">
        <v>273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Office Outlet</v>
      </c>
      <c r="T354" s="55" t="s">
        <v>1032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Office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210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231</v>
      </c>
      <c r="D355" s="54" t="s">
        <v>133</v>
      </c>
      <c r="E355" s="54" t="s">
        <v>1354</v>
      </c>
      <c r="F355" s="56" t="str">
        <f>IF(ISBLANK(Table2[[#This Row],[unique_id]]), "", PROPER(SUBSTITUTE(Table2[[#This Row],[unique_id]], "_", " ")))</f>
        <v>Broken Office Outlet Plug</v>
      </c>
      <c r="G355" s="54" t="s">
        <v>223</v>
      </c>
      <c r="H355" s="54" t="s">
        <v>508</v>
      </c>
      <c r="I355" s="54" t="s">
        <v>273</v>
      </c>
      <c r="M355" s="54" t="s">
        <v>255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Office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Office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210</v>
      </c>
      <c r="BJ355" s="54" t="s">
        <v>943</v>
      </c>
      <c r="BK355" s="54" t="s">
        <v>1212</v>
      </c>
      <c r="BL355" s="54" t="s">
        <v>334</v>
      </c>
      <c r="BM355" s="54" t="s">
        <v>1249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774</v>
      </c>
      <c r="D356" s="54" t="s">
        <v>147</v>
      </c>
      <c r="E356" s="55" t="s">
        <v>1355</v>
      </c>
      <c r="F356" s="56" t="str">
        <f>IF(ISBLANK(Table2[[#This Row],[unique_id]]), "", PROPER(SUBSTITUTE(Table2[[#This Row],[unique_id]], "_", " ")))</f>
        <v>Broken Template Kitchen Dish Washer Plug Proxy</v>
      </c>
      <c r="G356" s="54" t="s">
        <v>226</v>
      </c>
      <c r="H356" s="54" t="s">
        <v>508</v>
      </c>
      <c r="I356" s="54" t="s">
        <v>273</v>
      </c>
      <c r="O356" s="57" t="s">
        <v>754</v>
      </c>
      <c r="P356" s="54" t="s">
        <v>164</v>
      </c>
      <c r="Q356" s="54" t="s">
        <v>727</v>
      </c>
      <c r="R356" s="54" t="s">
        <v>737</v>
      </c>
      <c r="S356" s="54" t="str">
        <f>Table2[[#This Row],[friendly_name]]</f>
        <v>Dish Washer</v>
      </c>
      <c r="T356" s="55" t="s">
        <v>1032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Kitchen</v>
      </c>
      <c r="BB356" s="54" t="s">
        <v>226</v>
      </c>
      <c r="BC356" s="59" t="s">
        <v>342</v>
      </c>
      <c r="BD356" s="54" t="s">
        <v>231</v>
      </c>
      <c r="BF356" s="54" t="s">
        <v>343</v>
      </c>
      <c r="BG356" s="54" t="s">
        <v>204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231</v>
      </c>
      <c r="D357" s="54" t="s">
        <v>133</v>
      </c>
      <c r="E357" s="54" t="s">
        <v>1356</v>
      </c>
      <c r="F357" s="56" t="str">
        <f>IF(ISBLANK(Table2[[#This Row],[unique_id]]), "", PROPER(SUBSTITUTE(Table2[[#This Row],[unique_id]], "_", " ")))</f>
        <v>Broken Kitchen Dish Washer Plug</v>
      </c>
      <c r="G357" s="54" t="s">
        <v>226</v>
      </c>
      <c r="H357" s="54" t="s">
        <v>508</v>
      </c>
      <c r="I357" s="54" t="s">
        <v>273</v>
      </c>
      <c r="M357" s="54" t="s">
        <v>255</v>
      </c>
      <c r="O357" s="57" t="s">
        <v>754</v>
      </c>
      <c r="P357" s="54" t="s">
        <v>164</v>
      </c>
      <c r="Q357" s="54" t="s">
        <v>727</v>
      </c>
      <c r="R357" s="54" t="s">
        <v>737</v>
      </c>
      <c r="S357" s="54" t="str">
        <f>Table2[[#This Row],[friendly_name]]</f>
        <v>Dish Washer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242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Kitchen</v>
      </c>
      <c r="BB357" s="54" t="s">
        <v>226</v>
      </c>
      <c r="BC357" s="59" t="s">
        <v>342</v>
      </c>
      <c r="BD357" s="54" t="s">
        <v>231</v>
      </c>
      <c r="BF357" s="54" t="s">
        <v>343</v>
      </c>
      <c r="BG357" s="54" t="s">
        <v>204</v>
      </c>
      <c r="BJ357" s="54" t="s">
        <v>943</v>
      </c>
      <c r="BK357" s="54" t="s">
        <v>1212</v>
      </c>
      <c r="BL357" s="54" t="s">
        <v>325</v>
      </c>
      <c r="BM357" s="54" t="s">
        <v>1250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58" spans="1:66" ht="16" customHeight="1" x14ac:dyDescent="0.2">
      <c r="A358" s="30">
        <v>2576</v>
      </c>
      <c r="B358" s="30" t="s">
        <v>26</v>
      </c>
      <c r="C358" s="30" t="s">
        <v>774</v>
      </c>
      <c r="D358" s="30" t="s">
        <v>147</v>
      </c>
      <c r="E358" s="37" t="s">
        <v>930</v>
      </c>
      <c r="F358" s="36" t="str">
        <f>IF(ISBLANK(Table2[[#This Row],[unique_id]]), "", PROPER(SUBSTITUTE(Table2[[#This Row],[unique_id]], "_", " ")))</f>
        <v>Template Kitchen Dish Washer Plug Proxy</v>
      </c>
      <c r="G358" s="30" t="s">
        <v>226</v>
      </c>
      <c r="H358" s="30" t="s">
        <v>508</v>
      </c>
      <c r="I358" s="30" t="s">
        <v>273</v>
      </c>
      <c r="O358" s="31" t="s">
        <v>754</v>
      </c>
      <c r="P358" s="30" t="s">
        <v>164</v>
      </c>
      <c r="Q358" s="30" t="s">
        <v>727</v>
      </c>
      <c r="R358" s="30" t="s">
        <v>737</v>
      </c>
      <c r="S358" s="30" t="str">
        <f>Table2[[#This Row],[friendly_name]]</f>
        <v>Dish Washer</v>
      </c>
      <c r="T35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58" s="30"/>
      <c r="V358" s="31"/>
      <c r="W358" s="31"/>
      <c r="X358" s="31"/>
      <c r="Y358" s="31"/>
      <c r="Z358" s="31"/>
      <c r="AA358" s="31"/>
      <c r="AB358" s="30"/>
      <c r="AC358" s="30"/>
      <c r="AG358" s="31"/>
      <c r="AH358" s="31"/>
      <c r="AT358" s="40"/>
      <c r="AU358" s="30" t="s">
        <v>133</v>
      </c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Kitchen</v>
      </c>
      <c r="BB358" s="30" t="s">
        <v>226</v>
      </c>
      <c r="BC358" s="30" t="s">
        <v>341</v>
      </c>
      <c r="BD358" s="30" t="s">
        <v>231</v>
      </c>
      <c r="BF358" s="30" t="s">
        <v>344</v>
      </c>
      <c r="BG358" s="30" t="s">
        <v>204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ht="16" customHeight="1" x14ac:dyDescent="0.2">
      <c r="A359" s="30">
        <v>2577</v>
      </c>
      <c r="B359" s="30" t="s">
        <v>26</v>
      </c>
      <c r="C359" s="30" t="s">
        <v>231</v>
      </c>
      <c r="D359" s="30" t="s">
        <v>133</v>
      </c>
      <c r="E359" s="30" t="s">
        <v>801</v>
      </c>
      <c r="F359" s="36" t="str">
        <f>IF(ISBLANK(Table2[[#This Row],[unique_id]]), "", PROPER(SUBSTITUTE(Table2[[#This Row],[unique_id]], "_", " ")))</f>
        <v>Kitchen Dish Washer Plug</v>
      </c>
      <c r="G359" s="30" t="s">
        <v>226</v>
      </c>
      <c r="H359" s="30" t="s">
        <v>508</v>
      </c>
      <c r="I359" s="30" t="s">
        <v>273</v>
      </c>
      <c r="M359" s="30" t="s">
        <v>255</v>
      </c>
      <c r="O359" s="31" t="s">
        <v>754</v>
      </c>
      <c r="P359" s="30" t="s">
        <v>164</v>
      </c>
      <c r="Q359" s="30" t="s">
        <v>727</v>
      </c>
      <c r="R359" s="30" t="s">
        <v>737</v>
      </c>
      <c r="S359" s="30" t="str">
        <f>Table2[[#This Row],[friendly_name]]</f>
        <v>Dish Washer</v>
      </c>
      <c r="T359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59" s="30"/>
      <c r="V359" s="31"/>
      <c r="W359" s="31"/>
      <c r="X359" s="31"/>
      <c r="Y359" s="31"/>
      <c r="Z359" s="31"/>
      <c r="AA359" s="31"/>
      <c r="AB359" s="30"/>
      <c r="AC359" s="30"/>
      <c r="AE359" s="30" t="s">
        <v>242</v>
      </c>
      <c r="AG359" s="31"/>
      <c r="AH359" s="31"/>
      <c r="AT359" s="40"/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Kitchen</v>
      </c>
      <c r="BB359" s="30" t="s">
        <v>226</v>
      </c>
      <c r="BC359" s="30" t="s">
        <v>341</v>
      </c>
      <c r="BD359" s="30" t="s">
        <v>231</v>
      </c>
      <c r="BF359" s="30" t="s">
        <v>344</v>
      </c>
      <c r="BG359" s="30" t="s">
        <v>204</v>
      </c>
      <c r="BJ359" s="30" t="s">
        <v>943</v>
      </c>
      <c r="BK359" s="30" t="s">
        <v>1212</v>
      </c>
      <c r="BL359" s="30" t="s">
        <v>337</v>
      </c>
      <c r="BM359" s="30" t="s">
        <v>1261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774</v>
      </c>
      <c r="D360" s="54" t="s">
        <v>147</v>
      </c>
      <c r="E360" s="55" t="s">
        <v>1357</v>
      </c>
      <c r="F360" s="56" t="str">
        <f>IF(ISBLANK(Table2[[#This Row],[unique_id]]), "", PROPER(SUBSTITUTE(Table2[[#This Row],[unique_id]], "_", " ")))</f>
        <v>Broken Template Laundry Clothes Dryer Plug Proxy</v>
      </c>
      <c r="G360" s="54" t="s">
        <v>227</v>
      </c>
      <c r="H360" s="54" t="s">
        <v>508</v>
      </c>
      <c r="I360" s="54" t="s">
        <v>273</v>
      </c>
      <c r="O360" s="57" t="s">
        <v>754</v>
      </c>
      <c r="P360" s="54" t="s">
        <v>164</v>
      </c>
      <c r="Q360" s="54" t="s">
        <v>727</v>
      </c>
      <c r="R360" s="54" t="s">
        <v>737</v>
      </c>
      <c r="S360" s="54" t="str">
        <f>Table2[[#This Row],[friendly_name]]</f>
        <v>Clothes Dryer</v>
      </c>
      <c r="T360" s="55" t="s">
        <v>1032</v>
      </c>
      <c r="V360" s="57"/>
      <c r="W360" s="57"/>
      <c r="X360" s="57"/>
      <c r="Y360" s="57"/>
      <c r="Z360" s="57"/>
      <c r="AA360" s="57"/>
      <c r="AG360" s="57"/>
      <c r="AH360" s="57"/>
      <c r="AT360" s="58"/>
      <c r="AU360" s="54" t="s">
        <v>133</v>
      </c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Laundry</v>
      </c>
      <c r="BB360" s="54" t="s">
        <v>227</v>
      </c>
      <c r="BC360" s="59" t="s">
        <v>342</v>
      </c>
      <c r="BD360" s="54" t="s">
        <v>231</v>
      </c>
      <c r="BF360" s="54" t="s">
        <v>343</v>
      </c>
      <c r="BG360" s="54" t="s">
        <v>211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231</v>
      </c>
      <c r="D361" s="54" t="s">
        <v>133</v>
      </c>
      <c r="E361" s="54" t="s">
        <v>1358</v>
      </c>
      <c r="F361" s="56" t="str">
        <f>IF(ISBLANK(Table2[[#This Row],[unique_id]]), "", PROPER(SUBSTITUTE(Table2[[#This Row],[unique_id]], "_", " ")))</f>
        <v>Broken Laundry Clothes Dryer Plug</v>
      </c>
      <c r="G361" s="54" t="s">
        <v>227</v>
      </c>
      <c r="H361" s="54" t="s">
        <v>508</v>
      </c>
      <c r="I361" s="54" t="s">
        <v>273</v>
      </c>
      <c r="M361" s="54" t="s">
        <v>255</v>
      </c>
      <c r="O361" s="57" t="s">
        <v>754</v>
      </c>
      <c r="P361" s="54" t="s">
        <v>164</v>
      </c>
      <c r="Q361" s="54" t="s">
        <v>727</v>
      </c>
      <c r="R361" s="54" t="s">
        <v>737</v>
      </c>
      <c r="S361" s="54" t="str">
        <f>Table2[[#This Row],[friendly_name]]</f>
        <v>Clothes Dryer</v>
      </c>
      <c r="T361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1" s="57"/>
      <c r="W361" s="57"/>
      <c r="X361" s="57"/>
      <c r="Y361" s="57"/>
      <c r="Z361" s="57"/>
      <c r="AA361" s="57"/>
      <c r="AE361" s="54" t="s">
        <v>243</v>
      </c>
      <c r="AG361" s="57"/>
      <c r="AH361" s="57"/>
      <c r="AT361" s="58"/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Laundry</v>
      </c>
      <c r="BB361" s="54" t="s">
        <v>227</v>
      </c>
      <c r="BC361" s="59" t="s">
        <v>342</v>
      </c>
      <c r="BD361" s="54" t="s">
        <v>231</v>
      </c>
      <c r="BF361" s="54" t="s">
        <v>343</v>
      </c>
      <c r="BG361" s="54" t="s">
        <v>211</v>
      </c>
      <c r="BJ361" s="54" t="s">
        <v>942</v>
      </c>
      <c r="BK361" s="54" t="s">
        <v>1212</v>
      </c>
      <c r="BL361" s="54" t="s">
        <v>326</v>
      </c>
      <c r="BM361" s="54" t="s">
        <v>1251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774</v>
      </c>
      <c r="D362" s="54" t="s">
        <v>147</v>
      </c>
      <c r="E362" s="55" t="s">
        <v>1359</v>
      </c>
      <c r="F362" s="56" t="str">
        <f>IF(ISBLANK(Table2[[#This Row],[unique_id]]), "", PROPER(SUBSTITUTE(Table2[[#This Row],[unique_id]], "_", " ")))</f>
        <v>Broken Template Laundry Washing Machine Plug Proxy</v>
      </c>
      <c r="G362" s="54" t="s">
        <v>225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Washing Machine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225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231</v>
      </c>
      <c r="D363" s="54" t="s">
        <v>133</v>
      </c>
      <c r="E363" s="54" t="s">
        <v>1360</v>
      </c>
      <c r="F363" s="56" t="str">
        <f>IF(ISBLANK(Table2[[#This Row],[unique_id]]), "", PROPER(SUBSTITUTE(Table2[[#This Row],[unique_id]], "_", " ")))</f>
        <v>Broken Laundry Washing Machine Plug</v>
      </c>
      <c r="G363" s="54" t="s">
        <v>225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Washing Machine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244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225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J363" s="54" t="s">
        <v>942</v>
      </c>
      <c r="BK363" s="54" t="s">
        <v>1212</v>
      </c>
      <c r="BL363" s="54" t="s">
        <v>327</v>
      </c>
      <c r="BM363" s="54" t="s">
        <v>1252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4" spans="1:66" ht="16" customHeight="1" x14ac:dyDescent="0.2">
      <c r="A364" s="30">
        <v>2582</v>
      </c>
      <c r="B364" s="30" t="s">
        <v>26</v>
      </c>
      <c r="C364" s="30" t="s">
        <v>774</v>
      </c>
      <c r="D364" s="30" t="s">
        <v>147</v>
      </c>
      <c r="E364" s="37" t="s">
        <v>1445</v>
      </c>
      <c r="F364" s="36" t="str">
        <f>IF(ISBLANK(Table2[[#This Row],[unique_id]]), "", PROPER(SUBSTITUTE(Table2[[#This Row],[unique_id]], "_", " ")))</f>
        <v>Template Kitchen Fridge Plug Proxy</v>
      </c>
      <c r="G364" s="30" t="s">
        <v>221</v>
      </c>
      <c r="H364" s="30" t="s">
        <v>508</v>
      </c>
      <c r="I364" s="30" t="s">
        <v>273</v>
      </c>
      <c r="O364" s="31" t="s">
        <v>754</v>
      </c>
      <c r="P364" s="30" t="s">
        <v>164</v>
      </c>
      <c r="Q364" s="30" t="s">
        <v>726</v>
      </c>
      <c r="R364" s="30" t="s">
        <v>738</v>
      </c>
      <c r="S364" s="30" t="str">
        <f>Table2[[#This Row],[friendly_name]]</f>
        <v>Kitchen Fridge</v>
      </c>
      <c r="T364" s="37" t="s">
        <v>1033</v>
      </c>
      <c r="U364" s="30"/>
      <c r="V364" s="31"/>
      <c r="W364" s="31"/>
      <c r="X364" s="31"/>
      <c r="Y364" s="31"/>
      <c r="Z364" s="31"/>
      <c r="AA364" s="31"/>
      <c r="AB364" s="30"/>
      <c r="AC364" s="30"/>
      <c r="AG364" s="31"/>
      <c r="AH364" s="31"/>
      <c r="AT364" s="40"/>
      <c r="AU364" s="30" t="s">
        <v>133</v>
      </c>
      <c r="AV3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30" t="str">
        <f>IF(ISBLANK(Table2[[#This Row],[device_model]]), "", Table2[[#This Row],[device_suggested_area]])</f>
        <v>Kitchen</v>
      </c>
      <c r="BB364" s="30" t="s">
        <v>987</v>
      </c>
      <c r="BC364" s="30" t="s">
        <v>341</v>
      </c>
      <c r="BD364" s="30" t="s">
        <v>231</v>
      </c>
      <c r="BF364" s="30" t="s">
        <v>344</v>
      </c>
      <c r="BG364" s="30" t="s">
        <v>204</v>
      </c>
      <c r="BN3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ht="16" customHeight="1" x14ac:dyDescent="0.2">
      <c r="A365" s="30">
        <v>2583</v>
      </c>
      <c r="B365" s="30" t="s">
        <v>26</v>
      </c>
      <c r="C365" s="30" t="s">
        <v>231</v>
      </c>
      <c r="D365" s="30" t="s">
        <v>133</v>
      </c>
      <c r="E365" s="30" t="s">
        <v>1444</v>
      </c>
      <c r="F365" s="36" t="str">
        <f>IF(ISBLANK(Table2[[#This Row],[unique_id]]), "", PROPER(SUBSTITUTE(Table2[[#This Row],[unique_id]], "_", " ")))</f>
        <v>Kitchen Fridge Plug</v>
      </c>
      <c r="G365" s="30" t="s">
        <v>221</v>
      </c>
      <c r="H365" s="30" t="s">
        <v>508</v>
      </c>
      <c r="I365" s="30" t="s">
        <v>273</v>
      </c>
      <c r="M365" s="30" t="s">
        <v>255</v>
      </c>
      <c r="O365" s="31" t="s">
        <v>754</v>
      </c>
      <c r="P365" s="30" t="s">
        <v>164</v>
      </c>
      <c r="Q365" s="30" t="s">
        <v>726</v>
      </c>
      <c r="R365" s="30" t="s">
        <v>738</v>
      </c>
      <c r="S365" s="30" t="str">
        <f>Table2[[#This Row],[friendly_name]]</f>
        <v>Kitchen Fridge</v>
      </c>
      <c r="T365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5" s="30"/>
      <c r="V365" s="31"/>
      <c r="W365" s="31"/>
      <c r="X365" s="31"/>
      <c r="Y365" s="31"/>
      <c r="Z365" s="31"/>
      <c r="AA365" s="31"/>
      <c r="AB365" s="30"/>
      <c r="AC365" s="30"/>
      <c r="AE365" s="30" t="s">
        <v>246</v>
      </c>
      <c r="AG365" s="31"/>
      <c r="AH365" s="31"/>
      <c r="AT365" s="40"/>
      <c r="AU365" s="30"/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987</v>
      </c>
      <c r="BC365" s="30" t="s">
        <v>341</v>
      </c>
      <c r="BD365" s="30" t="s">
        <v>231</v>
      </c>
      <c r="BF365" s="30" t="s">
        <v>344</v>
      </c>
      <c r="BG365" s="30" t="s">
        <v>204</v>
      </c>
      <c r="BJ365" s="30" t="s">
        <v>943</v>
      </c>
      <c r="BK365" s="62" t="s">
        <v>1212</v>
      </c>
      <c r="BL365" s="62" t="s">
        <v>1416</v>
      </c>
      <c r="BM365" s="62" t="s">
        <v>1417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6" spans="1:66" ht="16" customHeight="1" x14ac:dyDescent="0.2">
      <c r="A366" s="30">
        <v>2584</v>
      </c>
      <c r="B366" s="30" t="s">
        <v>26</v>
      </c>
      <c r="C366" s="30" t="s">
        <v>774</v>
      </c>
      <c r="D366" s="30" t="s">
        <v>147</v>
      </c>
      <c r="E366" s="37" t="s">
        <v>932</v>
      </c>
      <c r="F366" s="36" t="str">
        <f>IF(ISBLANK(Table2[[#This Row],[unique_id]]), "", PROPER(SUBSTITUTE(Table2[[#This Row],[unique_id]], "_", " ")))</f>
        <v>Template Deck Freezer Plug Proxy</v>
      </c>
      <c r="G366" s="30" t="s">
        <v>222</v>
      </c>
      <c r="H366" s="30" t="s">
        <v>508</v>
      </c>
      <c r="I366" s="30" t="s">
        <v>273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Deck Freezer</v>
      </c>
      <c r="T366" s="37" t="s">
        <v>1033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Deck</v>
      </c>
      <c r="BB366" s="30" t="s">
        <v>988</v>
      </c>
      <c r="BC366" s="30" t="s">
        <v>341</v>
      </c>
      <c r="BD366" s="30" t="s">
        <v>231</v>
      </c>
      <c r="BF366" s="30" t="s">
        <v>344</v>
      </c>
      <c r="BG366" s="30" t="s">
        <v>339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803</v>
      </c>
      <c r="F367" s="36" t="str">
        <f>IF(ISBLANK(Table2[[#This Row],[unique_id]]), "", PROPER(SUBSTITUTE(Table2[[#This Row],[unique_id]], "_", " ")))</f>
        <v>Deck Freezer Plug</v>
      </c>
      <c r="G367" s="30" t="s">
        <v>222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Deck Freezer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247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Deck</v>
      </c>
      <c r="BB367" s="30" t="s">
        <v>988</v>
      </c>
      <c r="BC367" s="30" t="s">
        <v>341</v>
      </c>
      <c r="BD367" s="30" t="s">
        <v>231</v>
      </c>
      <c r="BF367" s="30" t="s">
        <v>344</v>
      </c>
      <c r="BG367" s="30" t="s">
        <v>339</v>
      </c>
      <c r="BJ367" s="30" t="s">
        <v>943</v>
      </c>
      <c r="BK367" s="30" t="s">
        <v>1212</v>
      </c>
      <c r="BL367" s="30" t="s">
        <v>329</v>
      </c>
      <c r="BM367" s="30" t="s">
        <v>1254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68" spans="1:66" ht="16" customHeight="1" x14ac:dyDescent="0.2">
      <c r="A368" s="30">
        <v>2586</v>
      </c>
      <c r="B368" s="30" t="s">
        <v>26</v>
      </c>
      <c r="C368" s="30" t="s">
        <v>774</v>
      </c>
      <c r="D368" s="30" t="s">
        <v>147</v>
      </c>
      <c r="E368" s="37" t="s">
        <v>1341</v>
      </c>
      <c r="F368" s="36" t="str">
        <f>IF(ISBLANK(Table2[[#This Row],[unique_id]]), "", PROPER(SUBSTITUTE(Table2[[#This Row],[unique_id]], "_", " ")))</f>
        <v>Template Garden Sewerage Blower Plug Proxy</v>
      </c>
      <c r="G368" s="30" t="s">
        <v>1342</v>
      </c>
      <c r="H368" s="30" t="s">
        <v>508</v>
      </c>
      <c r="I368" s="30" t="s">
        <v>273</v>
      </c>
      <c r="O368" s="31" t="s">
        <v>754</v>
      </c>
      <c r="P368" s="30" t="s">
        <v>164</v>
      </c>
      <c r="Q368" s="30" t="s">
        <v>726</v>
      </c>
      <c r="R368" s="30" t="s">
        <v>508</v>
      </c>
      <c r="S368" s="30" t="str">
        <f>Table2[[#This Row],[friendly_name]]</f>
        <v>Sewerage Blower</v>
      </c>
      <c r="T36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">
        <v>558</v>
      </c>
      <c r="BB368" s="30" t="s">
        <v>1342</v>
      </c>
      <c r="BC368" s="30" t="s">
        <v>341</v>
      </c>
      <c r="BD368" s="30" t="s">
        <v>231</v>
      </c>
      <c r="BF368" s="30" t="s">
        <v>344</v>
      </c>
      <c r="BG368" s="30" t="s">
        <v>558</v>
      </c>
      <c r="BL368" s="36"/>
      <c r="BM368" s="36"/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231</v>
      </c>
      <c r="D369" s="30" t="s">
        <v>133</v>
      </c>
      <c r="E369" s="30" t="s">
        <v>1340</v>
      </c>
      <c r="F369" s="36" t="str">
        <f>IF(ISBLANK(Table2[[#This Row],[unique_id]]), "", PROPER(SUBSTITUTE(Table2[[#This Row],[unique_id]], "_", " ")))</f>
        <v>Garden Sewerage Blower Plug</v>
      </c>
      <c r="G369" s="30" t="s">
        <v>1342</v>
      </c>
      <c r="H369" s="30" t="s">
        <v>508</v>
      </c>
      <c r="I369" s="30" t="s">
        <v>273</v>
      </c>
      <c r="M369" s="30" t="s">
        <v>255</v>
      </c>
      <c r="O369" s="31" t="s">
        <v>754</v>
      </c>
      <c r="P369" s="30" t="s">
        <v>164</v>
      </c>
      <c r="Q369" s="30" t="s">
        <v>726</v>
      </c>
      <c r="R369" s="30" t="s">
        <v>508</v>
      </c>
      <c r="S369" s="30" t="str">
        <f>Table2[[#This Row],[friendly_name]]</f>
        <v>Sewerage Blower</v>
      </c>
      <c r="T36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241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">
        <v>558</v>
      </c>
      <c r="BB369" s="30" t="s">
        <v>1342</v>
      </c>
      <c r="BC369" s="30" t="s">
        <v>341</v>
      </c>
      <c r="BD369" s="30" t="s">
        <v>231</v>
      </c>
      <c r="BF369" s="30" t="s">
        <v>344</v>
      </c>
      <c r="BG369" s="30" t="s">
        <v>558</v>
      </c>
      <c r="BJ369" s="30" t="s">
        <v>943</v>
      </c>
      <c r="BK369" s="30" t="s">
        <v>1212</v>
      </c>
      <c r="BL369" s="36" t="s">
        <v>345</v>
      </c>
      <c r="BM369" s="36" t="s">
        <v>1233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0" spans="1:66" s="54" customFormat="1" ht="16" customHeight="1" x14ac:dyDescent="0.2">
      <c r="A370" s="30">
        <v>2588</v>
      </c>
      <c r="B370" s="54" t="s">
        <v>561</v>
      </c>
      <c r="C370" s="54" t="s">
        <v>774</v>
      </c>
      <c r="D370" s="54" t="s">
        <v>147</v>
      </c>
      <c r="E370" s="55" t="s">
        <v>1361</v>
      </c>
      <c r="F370" s="56" t="str">
        <f>IF(ISBLANK(Table2[[#This Row],[unique_id]]), "", PROPER(SUBSTITUTE(Table2[[#This Row],[unique_id]], "_", " ")))</f>
        <v>Broken Template Study Battery Charger Plug Proxy</v>
      </c>
      <c r="G370" s="54" t="s">
        <v>229</v>
      </c>
      <c r="H370" s="54" t="s">
        <v>508</v>
      </c>
      <c r="I370" s="54" t="s">
        <v>273</v>
      </c>
      <c r="O370" s="57" t="s">
        <v>754</v>
      </c>
      <c r="P370" s="54" t="s">
        <v>164</v>
      </c>
      <c r="Q370" s="54" t="s">
        <v>726</v>
      </c>
      <c r="R370" s="54" t="s">
        <v>508</v>
      </c>
      <c r="S370" s="54" t="str">
        <f>Table2[[#This Row],[friendly_name]]</f>
        <v>Battery Charger</v>
      </c>
      <c r="T370" s="55" t="s">
        <v>1032</v>
      </c>
      <c r="V370" s="57"/>
      <c r="W370" s="57"/>
      <c r="X370" s="57"/>
      <c r="Y370" s="57"/>
      <c r="Z370" s="57"/>
      <c r="AA370" s="57"/>
      <c r="AG370" s="57"/>
      <c r="AH370" s="57"/>
      <c r="AT370" s="58"/>
      <c r="AU370" s="54" t="s">
        <v>133</v>
      </c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Study</v>
      </c>
      <c r="BB370" s="54" t="s">
        <v>229</v>
      </c>
      <c r="BC370" s="59" t="s">
        <v>342</v>
      </c>
      <c r="BD370" s="54" t="s">
        <v>231</v>
      </c>
      <c r="BF370" s="54" t="s">
        <v>343</v>
      </c>
      <c r="BG370" s="54" t="s">
        <v>338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4" customFormat="1" ht="16" customHeight="1" x14ac:dyDescent="0.2">
      <c r="A371" s="30">
        <v>2589</v>
      </c>
      <c r="B371" s="54" t="s">
        <v>561</v>
      </c>
      <c r="C371" s="54" t="s">
        <v>231</v>
      </c>
      <c r="D371" s="54" t="s">
        <v>133</v>
      </c>
      <c r="E371" s="54" t="s">
        <v>1362</v>
      </c>
      <c r="F371" s="56" t="str">
        <f>IF(ISBLANK(Table2[[#This Row],[unique_id]]), "", PROPER(SUBSTITUTE(Table2[[#This Row],[unique_id]], "_", " ")))</f>
        <v>Broken Study Battery Charger Plug</v>
      </c>
      <c r="G371" s="54" t="s">
        <v>229</v>
      </c>
      <c r="H371" s="54" t="s">
        <v>508</v>
      </c>
      <c r="I371" s="54" t="s">
        <v>273</v>
      </c>
      <c r="M371" s="54" t="s">
        <v>255</v>
      </c>
      <c r="O371" s="57" t="s">
        <v>754</v>
      </c>
      <c r="P371" s="54" t="s">
        <v>164</v>
      </c>
      <c r="Q371" s="54" t="s">
        <v>726</v>
      </c>
      <c r="R371" s="54" t="s">
        <v>508</v>
      </c>
      <c r="S371" s="54" t="str">
        <f>Table2[[#This Row],[friendly_name]]</f>
        <v>Battery Charger</v>
      </c>
      <c r="T371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1" s="57"/>
      <c r="W371" s="57"/>
      <c r="X371" s="57"/>
      <c r="Y371" s="57"/>
      <c r="Z371" s="57"/>
      <c r="AA371" s="57"/>
      <c r="AE371" s="54" t="s">
        <v>253</v>
      </c>
      <c r="AG371" s="57"/>
      <c r="AH371" s="57"/>
      <c r="AT371" s="58"/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Study</v>
      </c>
      <c r="BB371" s="54" t="s">
        <v>229</v>
      </c>
      <c r="BC371" s="59" t="s">
        <v>342</v>
      </c>
      <c r="BD371" s="54" t="s">
        <v>231</v>
      </c>
      <c r="BF371" s="54" t="s">
        <v>343</v>
      </c>
      <c r="BG371" s="54" t="s">
        <v>338</v>
      </c>
      <c r="BJ371" s="54" t="s">
        <v>942</v>
      </c>
      <c r="BK371" s="54" t="s">
        <v>1212</v>
      </c>
      <c r="BL371" s="54" t="s">
        <v>323</v>
      </c>
      <c r="BM371" s="54" t="s">
        <v>1255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774</v>
      </c>
      <c r="D372" s="54" t="s">
        <v>147</v>
      </c>
      <c r="E372" s="55" t="s">
        <v>1363</v>
      </c>
      <c r="F372" s="56" t="str">
        <f>IF(ISBLANK(Table2[[#This Row],[unique_id]]), "", PROPER(SUBSTITUTE(Table2[[#This Row],[unique_id]], "_", " ")))</f>
        <v>Broken Template Laundry Vacuum Charger Plug Proxy</v>
      </c>
      <c r="G372" s="54" t="s">
        <v>228</v>
      </c>
      <c r="H372" s="54" t="s">
        <v>508</v>
      </c>
      <c r="I372" s="54" t="s">
        <v>273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Vacuum Charger</v>
      </c>
      <c r="T372" s="55" t="s">
        <v>1032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Laundry</v>
      </c>
      <c r="BB372" s="54" t="s">
        <v>228</v>
      </c>
      <c r="BC372" s="59" t="s">
        <v>342</v>
      </c>
      <c r="BD372" s="54" t="s">
        <v>231</v>
      </c>
      <c r="BF372" s="54" t="s">
        <v>343</v>
      </c>
      <c r="BG372" s="54" t="s">
        <v>211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231</v>
      </c>
      <c r="D373" s="54" t="s">
        <v>133</v>
      </c>
      <c r="E373" s="54" t="s">
        <v>1364</v>
      </c>
      <c r="F373" s="56" t="str">
        <f>IF(ISBLANK(Table2[[#This Row],[unique_id]]), "", PROPER(SUBSTITUTE(Table2[[#This Row],[unique_id]], "_", " ")))</f>
        <v>Broken Laundry Vacuum Charger Plug</v>
      </c>
      <c r="G373" s="54" t="s">
        <v>228</v>
      </c>
      <c r="H373" s="54" t="s">
        <v>508</v>
      </c>
      <c r="I373" s="54" t="s">
        <v>273</v>
      </c>
      <c r="M373" s="54" t="s">
        <v>255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Vacuum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Laundry</v>
      </c>
      <c r="BB373" s="54" t="s">
        <v>228</v>
      </c>
      <c r="BC373" s="59" t="s">
        <v>342</v>
      </c>
      <c r="BD373" s="54" t="s">
        <v>231</v>
      </c>
      <c r="BF373" s="54" t="s">
        <v>343</v>
      </c>
      <c r="BG373" s="54" t="s">
        <v>211</v>
      </c>
      <c r="BJ373" s="54" t="s">
        <v>943</v>
      </c>
      <c r="BK373" s="54" t="s">
        <v>1212</v>
      </c>
      <c r="BL373" s="54" t="s">
        <v>324</v>
      </c>
      <c r="BM373" s="54" t="s">
        <v>1256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774</v>
      </c>
      <c r="D374" s="54" t="s">
        <v>147</v>
      </c>
      <c r="E374" s="55" t="s">
        <v>1365</v>
      </c>
      <c r="F374" s="56" t="str">
        <f>IF(ISBLANK(Table2[[#This Row],[unique_id]]), "", PROPER(SUBSTITUTE(Table2[[#This Row],[unique_id]], "_", " ")))</f>
        <v>Broken Template Ada Tablet Plug Proxy</v>
      </c>
      <c r="G374" s="54" t="s">
        <v>787</v>
      </c>
      <c r="H374" s="54" t="s">
        <v>508</v>
      </c>
      <c r="I374" s="54" t="s">
        <v>273</v>
      </c>
      <c r="O374" s="57" t="s">
        <v>754</v>
      </c>
      <c r="P374" s="54" t="s">
        <v>164</v>
      </c>
      <c r="Q374" s="54" t="s">
        <v>726</v>
      </c>
      <c r="R374" s="60" t="s">
        <v>711</v>
      </c>
      <c r="S374" s="54" t="str">
        <f>Table2[[#This Row],[friendly_name]]</f>
        <v>Ada Tablet</v>
      </c>
      <c r="T374" s="55" t="s">
        <v>1032</v>
      </c>
      <c r="V374" s="57"/>
      <c r="W374" s="57"/>
      <c r="X374" s="57"/>
      <c r="Y374" s="57"/>
      <c r="Z374" s="57"/>
      <c r="AA374" s="57"/>
      <c r="AG374" s="57"/>
      <c r="AH374" s="57"/>
      <c r="AR374" s="59"/>
      <c r="AT374" s="61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Lounge</v>
      </c>
      <c r="BB374" s="54" t="s">
        <v>787</v>
      </c>
      <c r="BC374" s="59" t="s">
        <v>342</v>
      </c>
      <c r="BD374" s="54" t="s">
        <v>231</v>
      </c>
      <c r="BF374" s="54" t="s">
        <v>343</v>
      </c>
      <c r="BG374" s="54" t="s">
        <v>192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231</v>
      </c>
      <c r="D375" s="54" t="s">
        <v>133</v>
      </c>
      <c r="E375" s="54" t="s">
        <v>1366</v>
      </c>
      <c r="F375" s="56" t="str">
        <f>IF(ISBLANK(Table2[[#This Row],[unique_id]]), "", PROPER(SUBSTITUTE(Table2[[#This Row],[unique_id]], "_", " ")))</f>
        <v>Broken Ada Tablet Plug</v>
      </c>
      <c r="G375" s="54" t="s">
        <v>787</v>
      </c>
      <c r="H375" s="54" t="s">
        <v>508</v>
      </c>
      <c r="I375" s="54" t="s">
        <v>273</v>
      </c>
      <c r="M375" s="54" t="s">
        <v>255</v>
      </c>
      <c r="O375" s="57" t="s">
        <v>754</v>
      </c>
      <c r="P375" s="54" t="s">
        <v>164</v>
      </c>
      <c r="Q375" s="54" t="s">
        <v>726</v>
      </c>
      <c r="R375" s="60" t="s">
        <v>711</v>
      </c>
      <c r="S375" s="54" t="str">
        <f>Table2[[#This Row],[friendly_name]]</f>
        <v>Ada Tablet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788</v>
      </c>
      <c r="AG375" s="57"/>
      <c r="AH375" s="57"/>
      <c r="AR375" s="59"/>
      <c r="AT375" s="61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Lounge</v>
      </c>
      <c r="BB375" s="54" t="s">
        <v>787</v>
      </c>
      <c r="BC375" s="59" t="s">
        <v>342</v>
      </c>
      <c r="BD375" s="54" t="s">
        <v>231</v>
      </c>
      <c r="BF375" s="54" t="s">
        <v>343</v>
      </c>
      <c r="BG375" s="54" t="s">
        <v>192</v>
      </c>
      <c r="BJ375" s="54" t="s">
        <v>942</v>
      </c>
      <c r="BK375" s="54" t="s">
        <v>1212</v>
      </c>
      <c r="BL375" s="54" t="s">
        <v>766</v>
      </c>
      <c r="BM375" s="54" t="s">
        <v>1257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6" spans="1:66" ht="16" customHeight="1" x14ac:dyDescent="0.2">
      <c r="A376" s="30">
        <v>2594</v>
      </c>
      <c r="B376" s="30" t="s">
        <v>26</v>
      </c>
      <c r="C376" s="30" t="s">
        <v>359</v>
      </c>
      <c r="D376" s="30" t="s">
        <v>133</v>
      </c>
      <c r="E376" s="39" t="s">
        <v>593</v>
      </c>
      <c r="F376" s="36" t="str">
        <f>IF(ISBLANK(Table2[[#This Row],[unique_id]]), "", PROPER(SUBSTITUTE(Table2[[#This Row],[unique_id]], "_", " ")))</f>
        <v>Deck Fans Outlet</v>
      </c>
      <c r="G376" s="30" t="s">
        <v>596</v>
      </c>
      <c r="H376" s="30" t="s">
        <v>508</v>
      </c>
      <c r="I376" s="30" t="s">
        <v>273</v>
      </c>
      <c r="M376" s="30" t="s">
        <v>255</v>
      </c>
      <c r="O376" s="31" t="s">
        <v>754</v>
      </c>
      <c r="P376" s="30" t="s">
        <v>164</v>
      </c>
      <c r="Q376" s="30" t="s">
        <v>726</v>
      </c>
      <c r="R376" s="30" t="s">
        <v>728</v>
      </c>
      <c r="S376" s="30" t="s">
        <v>785</v>
      </c>
      <c r="T376" s="37" t="s">
        <v>784</v>
      </c>
      <c r="U376" s="30"/>
      <c r="V376" s="31"/>
      <c r="W376" s="31" t="s">
        <v>471</v>
      </c>
      <c r="X376" s="31"/>
      <c r="Y376" s="42" t="s">
        <v>723</v>
      </c>
      <c r="Z376" s="31"/>
      <c r="AA376" s="31"/>
      <c r="AB376" s="30"/>
      <c r="AC376" s="30"/>
      <c r="AE376" s="30" t="s">
        <v>249</v>
      </c>
      <c r="AG376" s="31"/>
      <c r="AH376" s="31"/>
      <c r="AT3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6" s="37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6" s="30" t="str">
        <f>Table2[[#This Row],[device_suggested_area]]</f>
        <v>Deck</v>
      </c>
      <c r="BA376" s="30" t="str">
        <f>IF(ISBLANK(Table2[[#This Row],[device_model]]), "", Table2[[#This Row],[device_suggested_area]])</f>
        <v>Deck</v>
      </c>
      <c r="BB376" s="37" t="s">
        <v>980</v>
      </c>
      <c r="BC376" s="37" t="s">
        <v>598</v>
      </c>
      <c r="BD376" s="30" t="s">
        <v>359</v>
      </c>
      <c r="BF376" s="37" t="s">
        <v>599</v>
      </c>
      <c r="BG376" s="30" t="s">
        <v>339</v>
      </c>
      <c r="BL376" s="30" t="s">
        <v>600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7" spans="1:66" ht="16" customHeight="1" x14ac:dyDescent="0.2">
      <c r="A377" s="30">
        <v>2595</v>
      </c>
      <c r="B377" s="30" t="s">
        <v>26</v>
      </c>
      <c r="C377" s="30" t="s">
        <v>359</v>
      </c>
      <c r="D377" s="30" t="s">
        <v>133</v>
      </c>
      <c r="E377" s="39" t="s">
        <v>594</v>
      </c>
      <c r="F377" s="36" t="str">
        <f>IF(ISBLANK(Table2[[#This Row],[unique_id]]), "", PROPER(SUBSTITUTE(Table2[[#This Row],[unique_id]], "_", " ")))</f>
        <v>Kitchen Fan Outlet</v>
      </c>
      <c r="G377" s="30" t="s">
        <v>595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728</v>
      </c>
      <c r="S377" s="30" t="s">
        <v>785</v>
      </c>
      <c r="T377" s="37" t="s">
        <v>784</v>
      </c>
      <c r="U377" s="30"/>
      <c r="V377" s="31"/>
      <c r="W377" s="31" t="s">
        <v>471</v>
      </c>
      <c r="X377" s="31"/>
      <c r="Y377" s="42" t="s">
        <v>723</v>
      </c>
      <c r="Z377" s="31"/>
      <c r="AA377" s="31"/>
      <c r="AB377" s="30"/>
      <c r="AC377" s="30"/>
      <c r="AE377" s="30" t="s">
        <v>249</v>
      </c>
      <c r="AG377" s="31"/>
      <c r="AH377" s="31"/>
      <c r="AT3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7" s="37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7" s="30" t="str">
        <f>Table2[[#This Row],[device_suggested_area]]</f>
        <v>Kitchen</v>
      </c>
      <c r="BA377" s="30" t="str">
        <f>IF(ISBLANK(Table2[[#This Row],[device_model]]), "", Table2[[#This Row],[device_suggested_area]])</f>
        <v>Kitchen</v>
      </c>
      <c r="BB377" s="37" t="s">
        <v>981</v>
      </c>
      <c r="BC377" s="37" t="s">
        <v>598</v>
      </c>
      <c r="BD377" s="30" t="s">
        <v>359</v>
      </c>
      <c r="BF377" s="37" t="s">
        <v>599</v>
      </c>
      <c r="BG377" s="30" t="s">
        <v>204</v>
      </c>
      <c r="BL377" s="30" t="s">
        <v>601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1461</v>
      </c>
      <c r="F378" s="36" t="str">
        <f>IF(ISBLANK(Table2[[#This Row],[unique_id]]), "", PROPER(SUBSTITUTE(Table2[[#This Row],[unique_id]], "_", " ")))</f>
        <v>Ada Desk Outlet</v>
      </c>
      <c r="G378" s="30" t="s">
        <v>1460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42"/>
      <c r="AA378" s="42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Ada</v>
      </c>
      <c r="BA378" s="30" t="str">
        <f>IF(ISBLANK(Table2[[#This Row],[device_model]]), "", Table2[[#This Row],[device_suggested_area]])</f>
        <v>Ada</v>
      </c>
      <c r="BB378" s="37" t="s">
        <v>1450</v>
      </c>
      <c r="BC378" s="37" t="s">
        <v>598</v>
      </c>
      <c r="BD378" s="30" t="s">
        <v>359</v>
      </c>
      <c r="BF378" s="37" t="s">
        <v>599</v>
      </c>
      <c r="BG378" s="30" t="s">
        <v>129</v>
      </c>
      <c r="BL378" s="30" t="s">
        <v>1462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1449</v>
      </c>
      <c r="F379" s="36" t="str">
        <f>IF(ISBLANK(Table2[[#This Row],[unique_id]]), "", PROPER(SUBSTITUTE(Table2[[#This Row],[unique_id]], "_", " ")))</f>
        <v>Edwin Desk Outlet</v>
      </c>
      <c r="G379" s="30" t="s">
        <v>1448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42"/>
      <c r="AA379" s="42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Edwin</v>
      </c>
      <c r="BA379" s="30" t="str">
        <f>IF(ISBLANK(Table2[[#This Row],[device_model]]), "", Table2[[#This Row],[device_suggested_area]])</f>
        <v>Edwin</v>
      </c>
      <c r="BB379" s="37" t="s">
        <v>1450</v>
      </c>
      <c r="BC379" s="37" t="s">
        <v>598</v>
      </c>
      <c r="BD379" s="30" t="s">
        <v>359</v>
      </c>
      <c r="BF379" s="37" t="s">
        <v>599</v>
      </c>
      <c r="BG379" s="30" t="s">
        <v>126</v>
      </c>
      <c r="BL379" s="30" t="s">
        <v>597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0" spans="1:66" s="54" customFormat="1" ht="16" customHeight="1" x14ac:dyDescent="0.2">
      <c r="A380" s="30">
        <v>2598</v>
      </c>
      <c r="B380" s="54" t="s">
        <v>561</v>
      </c>
      <c r="C380" s="54" t="s">
        <v>774</v>
      </c>
      <c r="D380" s="54" t="s">
        <v>147</v>
      </c>
      <c r="E380" s="55" t="s">
        <v>1390</v>
      </c>
      <c r="F380" s="56" t="str">
        <f>IF(ISBLANK(Table2[[#This Row],[unique_id]]), "", PROPER(SUBSTITUTE(Table2[[#This Row],[unique_id]], "_", " ")))</f>
        <v>Broken Template Server May Plug Proxy</v>
      </c>
      <c r="G380" s="54" t="s">
        <v>1391</v>
      </c>
      <c r="H380" s="54" t="s">
        <v>508</v>
      </c>
      <c r="I380" s="54" t="s">
        <v>273</v>
      </c>
      <c r="O380" s="57" t="s">
        <v>754</v>
      </c>
      <c r="R380" s="54" t="s">
        <v>767</v>
      </c>
      <c r="S380" s="54" t="str">
        <f>Table2[[#This Row],[friendly_name]]</f>
        <v>Server May</v>
      </c>
      <c r="T380" s="55" t="s">
        <v>1032</v>
      </c>
      <c r="V380" s="57"/>
      <c r="W380" s="57"/>
      <c r="X380" s="57"/>
      <c r="Y380" s="57"/>
      <c r="Z380" s="57"/>
      <c r="AA380" s="57"/>
      <c r="AG380" s="57"/>
      <c r="AH380" s="57"/>
      <c r="AR380" s="59"/>
      <c r="AT380" s="61"/>
      <c r="AU380" s="54" t="s">
        <v>133</v>
      </c>
      <c r="AV38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4" t="str">
        <f>IF(ISBLANK(Table2[[#This Row],[device_model]]), "", Table2[[#This Row],[device_suggested_area]])</f>
        <v>Rack</v>
      </c>
      <c r="BB380" s="54" t="s">
        <v>1395</v>
      </c>
      <c r="BC380" s="59" t="s">
        <v>342</v>
      </c>
      <c r="BD380" s="54" t="s">
        <v>231</v>
      </c>
      <c r="BF380" s="54" t="s">
        <v>343</v>
      </c>
      <c r="BG380" s="54" t="s">
        <v>28</v>
      </c>
      <c r="BN38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231</v>
      </c>
      <c r="D381" s="54" t="s">
        <v>133</v>
      </c>
      <c r="E381" s="54" t="s">
        <v>1392</v>
      </c>
      <c r="F381" s="56" t="str">
        <f>IF(ISBLANK(Table2[[#This Row],[unique_id]]), "", PROPER(SUBSTITUTE(Table2[[#This Row],[unique_id]], "_", " ")))</f>
        <v>Broken Server May Plug</v>
      </c>
      <c r="G381" s="54" t="s">
        <v>1391</v>
      </c>
      <c r="H381" s="54" t="s">
        <v>508</v>
      </c>
      <c r="I381" s="54" t="s">
        <v>273</v>
      </c>
      <c r="M381" s="54" t="s">
        <v>255</v>
      </c>
      <c r="O381" s="57" t="s">
        <v>754</v>
      </c>
      <c r="R381" s="54" t="s">
        <v>767</v>
      </c>
      <c r="S381" s="54" t="str">
        <f>Table2[[#This Row],[friendly_name]]</f>
        <v>Server May</v>
      </c>
      <c r="T381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1" s="57"/>
      <c r="W381" s="57"/>
      <c r="X381" s="57"/>
      <c r="Y381" s="57"/>
      <c r="Z381" s="57"/>
      <c r="AA381" s="57"/>
      <c r="AE381" s="54" t="s">
        <v>250</v>
      </c>
      <c r="AG381" s="57"/>
      <c r="AH381" s="57"/>
      <c r="AR381" s="59"/>
      <c r="AT381" s="61"/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Rack</v>
      </c>
      <c r="BB381" s="54" t="s">
        <v>1395</v>
      </c>
      <c r="BC381" s="59" t="s">
        <v>342</v>
      </c>
      <c r="BD381" s="54" t="s">
        <v>231</v>
      </c>
      <c r="BF381" s="54" t="s">
        <v>343</v>
      </c>
      <c r="BG381" s="54" t="s">
        <v>28</v>
      </c>
      <c r="BJ381" s="54" t="s">
        <v>943</v>
      </c>
      <c r="BK381" s="54" t="s">
        <v>1212</v>
      </c>
      <c r="BL381" s="54" t="s">
        <v>770</v>
      </c>
      <c r="BM381" s="54" t="s">
        <v>1258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774</v>
      </c>
      <c r="D382" s="54" t="s">
        <v>147</v>
      </c>
      <c r="E382" s="55" t="s">
        <v>1367</v>
      </c>
      <c r="F382" s="56" t="str">
        <f>IF(ISBLANK(Table2[[#This Row],[unique_id]]), "", PROPER(SUBSTITUTE(Table2[[#This Row],[unique_id]], "_", " ")))</f>
        <v>Broken Template Server Meg Plug Proxy</v>
      </c>
      <c r="G382" s="59" t="s">
        <v>771</v>
      </c>
      <c r="H382" s="54" t="s">
        <v>508</v>
      </c>
      <c r="I382" s="54" t="s">
        <v>273</v>
      </c>
      <c r="O382" s="57" t="s">
        <v>754</v>
      </c>
      <c r="R382" s="54" t="s">
        <v>767</v>
      </c>
      <c r="S382" s="54" t="str">
        <f>Table2[[#This Row],[friendly_name]]</f>
        <v>Server Meg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1025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231</v>
      </c>
      <c r="D383" s="54" t="s">
        <v>133</v>
      </c>
      <c r="E383" s="54" t="s">
        <v>1368</v>
      </c>
      <c r="F383" s="56" t="str">
        <f>IF(ISBLANK(Table2[[#This Row],[unique_id]]), "", PROPER(SUBSTITUTE(Table2[[#This Row],[unique_id]], "_", " ")))</f>
        <v>Broken Server Meg Plug</v>
      </c>
      <c r="G383" s="59" t="s">
        <v>771</v>
      </c>
      <c r="H383" s="54" t="s">
        <v>508</v>
      </c>
      <c r="I383" s="54" t="s">
        <v>273</v>
      </c>
      <c r="M383" s="54" t="s">
        <v>255</v>
      </c>
      <c r="O383" s="57" t="s">
        <v>754</v>
      </c>
      <c r="R383" s="54" t="s">
        <v>767</v>
      </c>
      <c r="S383" s="54" t="str">
        <f>Table2[[#This Row],[friendly_name]]</f>
        <v>Server Meg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1025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J383" s="54" t="s">
        <v>943</v>
      </c>
      <c r="BK383" s="54" t="s">
        <v>1212</v>
      </c>
      <c r="BL383" s="54" t="s">
        <v>769</v>
      </c>
      <c r="BM383" s="54" t="s">
        <v>1259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4" spans="1:66" ht="16" customHeight="1" x14ac:dyDescent="0.2">
      <c r="A384" s="30">
        <v>2602</v>
      </c>
      <c r="B384" s="30" t="s">
        <v>26</v>
      </c>
      <c r="C384" s="30" t="s">
        <v>774</v>
      </c>
      <c r="D384" s="30" t="s">
        <v>147</v>
      </c>
      <c r="E384" s="37" t="s">
        <v>1398</v>
      </c>
      <c r="F384" s="36" t="str">
        <f>IF(ISBLANK(Table2[[#This Row],[unique_id]]), "", PROPER(SUBSTITUTE(Table2[[#This Row],[unique_id]], "_", " ")))</f>
        <v>Template Server Jen Plug Proxy</v>
      </c>
      <c r="G384" s="30" t="s">
        <v>1402</v>
      </c>
      <c r="H384" s="30" t="s">
        <v>508</v>
      </c>
      <c r="I384" s="30" t="s">
        <v>273</v>
      </c>
      <c r="O384" s="31" t="s">
        <v>754</v>
      </c>
      <c r="P384" s="30" t="s">
        <v>164</v>
      </c>
      <c r="Q384" s="30" t="s">
        <v>726</v>
      </c>
      <c r="R384" s="30" t="s">
        <v>728</v>
      </c>
      <c r="S384" s="30" t="str">
        <f>Table2[[#This Row],[friendly_name]]</f>
        <v>Server Jen</v>
      </c>
      <c r="T384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4" s="30"/>
      <c r="V384" s="31"/>
      <c r="W384" s="31"/>
      <c r="X384" s="31"/>
      <c r="Y384" s="31"/>
      <c r="Z384" s="31"/>
      <c r="AA384" s="31"/>
      <c r="AB384" s="30"/>
      <c r="AC384" s="30"/>
      <c r="AG384" s="31"/>
      <c r="AH384" s="31"/>
      <c r="AT384" s="40"/>
      <c r="AU384" s="30" t="s">
        <v>133</v>
      </c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30" t="s">
        <v>477</v>
      </c>
      <c r="BB384" s="30" t="s">
        <v>1403</v>
      </c>
      <c r="BC384" s="30" t="s">
        <v>341</v>
      </c>
      <c r="BD384" s="30" t="s">
        <v>231</v>
      </c>
      <c r="BF384" s="30" t="s">
        <v>344</v>
      </c>
      <c r="BG384" s="30" t="s">
        <v>477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ht="16" customHeight="1" x14ac:dyDescent="0.2">
      <c r="A385" s="30">
        <v>2603</v>
      </c>
      <c r="B385" s="30" t="s">
        <v>26</v>
      </c>
      <c r="C385" s="30" t="s">
        <v>231</v>
      </c>
      <c r="D385" s="30" t="s">
        <v>133</v>
      </c>
      <c r="E385" s="30" t="s">
        <v>1399</v>
      </c>
      <c r="F385" s="36" t="str">
        <f>IF(ISBLANK(Table2[[#This Row],[unique_id]]), "", PROPER(SUBSTITUTE(Table2[[#This Row],[unique_id]], "_", " ")))</f>
        <v>Server Jen Plug</v>
      </c>
      <c r="G385" s="30" t="s">
        <v>1402</v>
      </c>
      <c r="H385" s="30" t="s">
        <v>508</v>
      </c>
      <c r="I385" s="30" t="s">
        <v>273</v>
      </c>
      <c r="M385" s="30" t="s">
        <v>255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tr">
        <f>Table2[[#This Row],[friendly_name]]</f>
        <v>Server Jen</v>
      </c>
      <c r="T385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5" s="30"/>
      <c r="V385" s="31"/>
      <c r="W385" s="31"/>
      <c r="X385" s="31"/>
      <c r="Y385" s="31"/>
      <c r="Z385" s="31"/>
      <c r="AA385" s="31"/>
      <c r="AB385" s="30"/>
      <c r="AC385" s="30"/>
      <c r="AE385" s="30" t="s">
        <v>250</v>
      </c>
      <c r="AG385" s="31"/>
      <c r="AH385" s="31"/>
      <c r="AT385" s="40"/>
      <c r="AU385" s="30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30" t="s">
        <v>477</v>
      </c>
      <c r="BB385" s="30" t="s">
        <v>1403</v>
      </c>
      <c r="BC385" s="30" t="s">
        <v>341</v>
      </c>
      <c r="BD385" s="30" t="s">
        <v>231</v>
      </c>
      <c r="BF385" s="30" t="s">
        <v>344</v>
      </c>
      <c r="BG385" s="30" t="s">
        <v>477</v>
      </c>
      <c r="BJ385" s="30" t="s">
        <v>943</v>
      </c>
      <c r="BK385" s="30" t="s">
        <v>1212</v>
      </c>
      <c r="BL385" s="30" t="s">
        <v>330</v>
      </c>
      <c r="BM385" s="30" t="s">
        <v>1260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6" spans="1:66" ht="16" customHeight="1" x14ac:dyDescent="0.2">
      <c r="A386" s="30">
        <v>2604</v>
      </c>
      <c r="B386" s="30" t="s">
        <v>26</v>
      </c>
      <c r="C386" s="30" t="s">
        <v>774</v>
      </c>
      <c r="D386" s="30" t="s">
        <v>147</v>
      </c>
      <c r="E386" s="37" t="s">
        <v>933</v>
      </c>
      <c r="F386" s="36" t="str">
        <f>IF(ISBLANK(Table2[[#This Row],[unique_id]]), "", PROPER(SUBSTITUTE(Table2[[#This Row],[unique_id]], "_", " ")))</f>
        <v>Template Rack Outlet Plug Proxy</v>
      </c>
      <c r="G386" s="30" t="s">
        <v>220</v>
      </c>
      <c r="H386" s="30" t="s">
        <v>508</v>
      </c>
      <c r="I386" s="30" t="s">
        <v>273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Rack</v>
      </c>
      <c r="T386" s="37" t="s">
        <v>1034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tr">
        <f>IF(ISBLANK(Table2[[#This Row],[device_model]]), "", Table2[[#This Row],[device_suggested_area]])</f>
        <v>Rack</v>
      </c>
      <c r="BB386" s="30" t="s">
        <v>984</v>
      </c>
      <c r="BC386" s="30" t="s">
        <v>881</v>
      </c>
      <c r="BD386" s="30" t="s">
        <v>1075</v>
      </c>
      <c r="BF386" s="30" t="s">
        <v>853</v>
      </c>
      <c r="BG386" s="30" t="s">
        <v>28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customHeight="1" x14ac:dyDescent="0.2">
      <c r="A387" s="30">
        <v>2605</v>
      </c>
      <c r="B387" s="30" t="s">
        <v>26</v>
      </c>
      <c r="C387" s="30" t="s">
        <v>676</v>
      </c>
      <c r="D387" s="30" t="s">
        <v>133</v>
      </c>
      <c r="E387" s="30" t="s">
        <v>804</v>
      </c>
      <c r="F387" s="36" t="str">
        <f>IF(ISBLANK(Table2[[#This Row],[unique_id]]), "", PROPER(SUBSTITUTE(Table2[[#This Row],[unique_id]], "_", " ")))</f>
        <v>Rack Outlet Plug</v>
      </c>
      <c r="G387" s="30" t="s">
        <v>220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Rack</v>
      </c>
      <c r="T38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7" s="30"/>
      <c r="V387" s="31"/>
      <c r="W387" s="31"/>
      <c r="X387" s="31"/>
      <c r="Y387" s="31"/>
      <c r="Z387" s="31"/>
      <c r="AA387" s="42" t="s">
        <v>1073</v>
      </c>
      <c r="AB387" s="30"/>
      <c r="AC387" s="30"/>
      <c r="AE387" s="30" t="s">
        <v>250</v>
      </c>
      <c r="AF387" s="30">
        <v>10</v>
      </c>
      <c r="AG387" s="31" t="s">
        <v>34</v>
      </c>
      <c r="AH387" s="31" t="s">
        <v>863</v>
      </c>
      <c r="AJ387" s="30" t="str">
        <f>_xlfn.CONCAT("homeassistant/", Table2[[#This Row],[entity_namespace]], "/tasmota/",Table2[[#This Row],[unique_id]], "/config")</f>
        <v>homeassistant/switch/tasmota/rack_outlet_plug/config</v>
      </c>
      <c r="AK387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7" s="30" t="str">
        <f>_xlfn.CONCAT("tasmota/device/",Table2[[#This Row],[unique_id]], "/cmnd/POWER")</f>
        <v>tasmota/device/rack_outlet_plug/cmnd/POWER</v>
      </c>
      <c r="AM38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7" s="30" t="s">
        <v>882</v>
      </c>
      <c r="AO387" s="30" t="s">
        <v>883</v>
      </c>
      <c r="AP387" s="30" t="s">
        <v>872</v>
      </c>
      <c r="AQ387" s="30" t="s">
        <v>873</v>
      </c>
      <c r="AR387" s="30" t="s">
        <v>936</v>
      </c>
      <c r="AS387" s="30">
        <v>1</v>
      </c>
      <c r="AT387" s="34" t="str">
        <f>HYPERLINK(_xlfn.CONCAT("http://", Table2[[#This Row],[connection_ip]], "/?"))</f>
        <v>http://10.0.4.102/?</v>
      </c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tr">
        <f>IF(ISBLANK(Table2[[#This Row],[device_model]]), "", Table2[[#This Row],[device_suggested_area]])</f>
        <v>Rack</v>
      </c>
      <c r="BB387" s="30" t="s">
        <v>984</v>
      </c>
      <c r="BC387" s="30" t="s">
        <v>881</v>
      </c>
      <c r="BD387" s="30" t="s">
        <v>1075</v>
      </c>
      <c r="BF387" s="30" t="s">
        <v>853</v>
      </c>
      <c r="BG387" s="30" t="s">
        <v>28</v>
      </c>
      <c r="BK387" s="30" t="s">
        <v>1212</v>
      </c>
      <c r="BL387" s="30" t="s">
        <v>880</v>
      </c>
      <c r="BM387" s="30" t="s">
        <v>1262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88" spans="1:66" ht="16" customHeight="1" x14ac:dyDescent="0.2">
      <c r="A388" s="30">
        <v>2606</v>
      </c>
      <c r="B388" s="30" t="s">
        <v>26</v>
      </c>
      <c r="C388" s="30" t="s">
        <v>676</v>
      </c>
      <c r="D388" s="30" t="s">
        <v>27</v>
      </c>
      <c r="E388" s="30" t="s">
        <v>934</v>
      </c>
      <c r="F388" s="36" t="str">
        <f>IF(ISBLANK(Table2[[#This Row],[unique_id]]), "", PROPER(SUBSTITUTE(Table2[[#This Row],[unique_id]], "_", " ")))</f>
        <v>Rack Outlet Plug Energy Power</v>
      </c>
      <c r="G388" s="30" t="s">
        <v>220</v>
      </c>
      <c r="H388" s="30" t="s">
        <v>508</v>
      </c>
      <c r="I388" s="30" t="s">
        <v>273</v>
      </c>
      <c r="O388" s="31"/>
      <c r="P388" s="30"/>
      <c r="T388" s="37"/>
      <c r="U388" s="30"/>
      <c r="V388" s="31"/>
      <c r="W388" s="31"/>
      <c r="X388" s="31"/>
      <c r="Y388" s="31"/>
      <c r="Z388" s="31"/>
      <c r="AA388" s="31"/>
      <c r="AB388" s="30" t="s">
        <v>31</v>
      </c>
      <c r="AC388" s="30" t="s">
        <v>309</v>
      </c>
      <c r="AD388" s="30" t="s">
        <v>864</v>
      </c>
      <c r="AF388" s="30">
        <v>10</v>
      </c>
      <c r="AG388" s="31" t="s">
        <v>34</v>
      </c>
      <c r="AH388" s="31" t="s">
        <v>863</v>
      </c>
      <c r="AJ388" s="30" t="str">
        <f>_xlfn.CONCAT("homeassistant/", Table2[[#This Row],[entity_namespace]], "/tasmota/",Table2[[#This Row],[unique_id]], "/config")</f>
        <v>homeassistant/sensor/tasmota/rack_outlet_plug_energy_power/config</v>
      </c>
      <c r="AK388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8" s="30" t="s">
        <v>882</v>
      </c>
      <c r="AO388" s="30" t="s">
        <v>883</v>
      </c>
      <c r="AP388" s="30" t="s">
        <v>872</v>
      </c>
      <c r="AQ388" s="30" t="s">
        <v>873</v>
      </c>
      <c r="AR388" s="30" t="s">
        <v>1069</v>
      </c>
      <c r="AS388" s="30">
        <v>1</v>
      </c>
      <c r="AT388" s="34"/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2607</v>
      </c>
      <c r="B389" s="30" t="s">
        <v>26</v>
      </c>
      <c r="C389" s="30" t="s">
        <v>676</v>
      </c>
      <c r="D389" s="30" t="s">
        <v>27</v>
      </c>
      <c r="E389" s="30" t="s">
        <v>935</v>
      </c>
      <c r="F389" s="36" t="str">
        <f>IF(ISBLANK(Table2[[#This Row],[unique_id]]), "", PROPER(SUBSTITUTE(Table2[[#This Row],[unique_id]], "_", " ")))</f>
        <v>Rack Outlet Plug Energy Total</v>
      </c>
      <c r="G389" s="30" t="s">
        <v>220</v>
      </c>
      <c r="H389" s="30" t="s">
        <v>508</v>
      </c>
      <c r="I389" s="30" t="s">
        <v>273</v>
      </c>
      <c r="O389" s="31"/>
      <c r="P389" s="30"/>
      <c r="T389" s="37"/>
      <c r="U389" s="30"/>
      <c r="V389" s="31"/>
      <c r="W389" s="31"/>
      <c r="X389" s="31"/>
      <c r="Y389" s="31"/>
      <c r="Z389" s="31"/>
      <c r="AA389" s="31"/>
      <c r="AB389" s="30" t="s">
        <v>76</v>
      </c>
      <c r="AC389" s="30" t="s">
        <v>310</v>
      </c>
      <c r="AD389" s="30" t="s">
        <v>865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homeassistant/sensor/tasmota/rack_outlet_plug_energy_total/config</v>
      </c>
      <c r="AK38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1070</v>
      </c>
      <c r="AS389" s="30">
        <v>1</v>
      </c>
      <c r="AT389" s="34"/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774</v>
      </c>
      <c r="D390" s="30" t="s">
        <v>147</v>
      </c>
      <c r="E390" s="37" t="s">
        <v>1059</v>
      </c>
      <c r="F390" s="36" t="str">
        <f>IF(ISBLANK(Table2[[#This Row],[unique_id]]), "", PROPER(SUBSTITUTE(Table2[[#This Row],[unique_id]], "_", " ")))</f>
        <v>Template Ceiling Network Switch Plug Proxy</v>
      </c>
      <c r="G390" s="30" t="s">
        <v>1382</v>
      </c>
      <c r="H390" s="30" t="s">
        <v>508</v>
      </c>
      <c r="I390" s="30" t="s">
        <v>273</v>
      </c>
      <c r="O390" s="31" t="s">
        <v>754</v>
      </c>
      <c r="P390" s="30" t="s">
        <v>164</v>
      </c>
      <c r="Q390" s="30" t="s">
        <v>726</v>
      </c>
      <c r="R390" s="30" t="s">
        <v>728</v>
      </c>
      <c r="S390" s="30" t="str">
        <f>Table2[[#This Row],[friendly_name]]</f>
        <v>Ceiling Network Devices</v>
      </c>
      <c r="T390" s="37" t="s">
        <v>1034</v>
      </c>
      <c r="U390" s="30"/>
      <c r="V390" s="31"/>
      <c r="W390" s="31"/>
      <c r="X390" s="31"/>
      <c r="Y390" s="31"/>
      <c r="Z390" s="31"/>
      <c r="AA390" s="31"/>
      <c r="AB390" s="30"/>
      <c r="AC390" s="30"/>
      <c r="AG390" s="31"/>
      <c r="AH390" s="31"/>
      <c r="AT390" s="40"/>
      <c r="AU390" s="30" t="s">
        <v>133</v>
      </c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Ceiling</v>
      </c>
      <c r="BB390" s="30" t="s">
        <v>218</v>
      </c>
      <c r="BC390" s="30" t="s">
        <v>881</v>
      </c>
      <c r="BD390" s="30" t="s">
        <v>1075</v>
      </c>
      <c r="BF390" s="30" t="s">
        <v>853</v>
      </c>
      <c r="BG390" s="30" t="s">
        <v>385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133</v>
      </c>
      <c r="E391" s="30" t="s">
        <v>1060</v>
      </c>
      <c r="F391" s="36" t="str">
        <f>IF(ISBLANK(Table2[[#This Row],[unique_id]]), "", PROPER(SUBSTITUTE(Table2[[#This Row],[unique_id]], "_", " ")))</f>
        <v>Ceiling Network Switch Plug</v>
      </c>
      <c r="G391" s="30" t="s">
        <v>1382</v>
      </c>
      <c r="H391" s="30" t="s">
        <v>508</v>
      </c>
      <c r="I391" s="30" t="s">
        <v>273</v>
      </c>
      <c r="M391" s="30" t="s">
        <v>255</v>
      </c>
      <c r="O391" s="31" t="s">
        <v>754</v>
      </c>
      <c r="P391" s="30" t="s">
        <v>164</v>
      </c>
      <c r="Q391" s="30" t="s">
        <v>726</v>
      </c>
      <c r="R391" s="30" t="s">
        <v>728</v>
      </c>
      <c r="S391" s="30" t="str">
        <f>Table2[[#This Row],[friendly_name]]</f>
        <v>Ceiling Network Devices</v>
      </c>
      <c r="T391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1" s="30"/>
      <c r="V391" s="31"/>
      <c r="W391" s="31"/>
      <c r="X391" s="31"/>
      <c r="Y391" s="31"/>
      <c r="Z391" s="31"/>
      <c r="AA391" s="42" t="s">
        <v>1073</v>
      </c>
      <c r="AB391" s="30"/>
      <c r="AC391" s="30"/>
      <c r="AE391" s="30" t="s">
        <v>251</v>
      </c>
      <c r="AF391" s="30">
        <v>10</v>
      </c>
      <c r="AG391" s="31" t="s">
        <v>34</v>
      </c>
      <c r="AH391" s="31" t="s">
        <v>863</v>
      </c>
      <c r="AJ391" s="30" t="str">
        <f>_xlfn.CONCAT("homeassistant/", Table2[[#This Row],[entity_namespace]], "/tasmota/",Table2[[#This Row],[unique_id]], "/config")</f>
        <v>homeassistant/switch/tasmota/ceiling_network_switch_plug/config</v>
      </c>
      <c r="AK391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1" s="30" t="str">
        <f>_xlfn.CONCAT("tasmota/device/",Table2[[#This Row],[unique_id]], "/cmnd/POWER")</f>
        <v>tasmota/device/ceiling_network_switch_plug/cmnd/POWER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936</v>
      </c>
      <c r="AS391" s="30">
        <v>1</v>
      </c>
      <c r="AT391" s="34" t="str">
        <f>HYPERLINK(_xlfn.CONCAT("http://", Table2[[#This Row],[connection_ip]], "/?"))</f>
        <v>http://10.0.4.105/?</v>
      </c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Ceiling</v>
      </c>
      <c r="BB391" s="30" t="s">
        <v>218</v>
      </c>
      <c r="BC391" s="30" t="s">
        <v>881</v>
      </c>
      <c r="BD391" s="30" t="s">
        <v>1075</v>
      </c>
      <c r="BF391" s="30" t="s">
        <v>853</v>
      </c>
      <c r="BG391" s="30" t="s">
        <v>385</v>
      </c>
      <c r="BK391" s="30" t="s">
        <v>1212</v>
      </c>
      <c r="BL391" s="41" t="s">
        <v>945</v>
      </c>
      <c r="BM391" s="30" t="s">
        <v>1264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2" spans="1:66" ht="16" customHeight="1" x14ac:dyDescent="0.2">
      <c r="A392" s="30">
        <v>2610</v>
      </c>
      <c r="B392" s="30" t="s">
        <v>26</v>
      </c>
      <c r="C392" s="30" t="s">
        <v>676</v>
      </c>
      <c r="D392" s="30" t="s">
        <v>27</v>
      </c>
      <c r="E392" s="30" t="s">
        <v>1061</v>
      </c>
      <c r="F392" s="36" t="str">
        <f>IF(ISBLANK(Table2[[#This Row],[unique_id]]), "", PROPER(SUBSTITUTE(Table2[[#This Row],[unique_id]], "_", " ")))</f>
        <v>Ceiling Network Switch Plug Energy Power</v>
      </c>
      <c r="G392" s="30" t="s">
        <v>1382</v>
      </c>
      <c r="H392" s="30" t="s">
        <v>508</v>
      </c>
      <c r="I392" s="30" t="s">
        <v>273</v>
      </c>
      <c r="O392" s="31"/>
      <c r="P392" s="30"/>
      <c r="T392" s="37"/>
      <c r="U392" s="30"/>
      <c r="V392" s="31"/>
      <c r="W392" s="31"/>
      <c r="X392" s="31"/>
      <c r="Y392" s="31"/>
      <c r="Z392" s="31"/>
      <c r="AA392" s="31"/>
      <c r="AB392" s="30" t="s">
        <v>31</v>
      </c>
      <c r="AC392" s="30" t="s">
        <v>309</v>
      </c>
      <c r="AD392" s="30" t="s">
        <v>864</v>
      </c>
      <c r="AF392" s="30">
        <v>10</v>
      </c>
      <c r="AG392" s="31" t="s">
        <v>34</v>
      </c>
      <c r="AH392" s="31" t="s">
        <v>863</v>
      </c>
      <c r="AJ392" s="30" t="str">
        <f>_xlfn.CONCAT("homeassistant/", Table2[[#This Row],[entity_namespace]], "/tasmota/",Table2[[#This Row],[unique_id]], "/config")</f>
        <v>homeassistant/sensor/tasmota/ceiling_network_switch_plug_energy_power/config</v>
      </c>
      <c r="AK39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1069</v>
      </c>
      <c r="AS392" s="30">
        <v>1</v>
      </c>
      <c r="AT392" s="34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676</v>
      </c>
      <c r="D393" s="30" t="s">
        <v>27</v>
      </c>
      <c r="E393" s="30" t="s">
        <v>1062</v>
      </c>
      <c r="F393" s="36" t="str">
        <f>IF(ISBLANK(Table2[[#This Row],[unique_id]]), "", PROPER(SUBSTITUTE(Table2[[#This Row],[unique_id]], "_", " ")))</f>
        <v>Ceiling Network Switch Plug Energy Total</v>
      </c>
      <c r="G393" s="30" t="s">
        <v>1382</v>
      </c>
      <c r="H393" s="30" t="s">
        <v>508</v>
      </c>
      <c r="I393" s="30" t="s">
        <v>273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76</v>
      </c>
      <c r="AC393" s="30" t="s">
        <v>310</v>
      </c>
      <c r="AD393" s="30" t="s">
        <v>865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homeassistant/sensor/tasmota/ceiling_network_switch_plug_energy_total/config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1070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4" customFormat="1" ht="16" customHeight="1" x14ac:dyDescent="0.2">
      <c r="A394" s="30">
        <v>2612</v>
      </c>
      <c r="B394" s="54" t="s">
        <v>561</v>
      </c>
      <c r="C394" s="54" t="s">
        <v>774</v>
      </c>
      <c r="D394" s="54" t="s">
        <v>147</v>
      </c>
      <c r="E394" s="55" t="s">
        <v>1369</v>
      </c>
      <c r="F394" s="56" t="str">
        <f>IF(ISBLANK(Table2[[#This Row],[unique_id]]), "", PROPER(SUBSTITUTE(Table2[[#This Row],[unique_id]], "_", " ")))</f>
        <v>Broken Template Rack Internet Modem Plug Proxy</v>
      </c>
      <c r="G394" s="54" t="s">
        <v>219</v>
      </c>
      <c r="H394" s="54" t="s">
        <v>508</v>
      </c>
      <c r="I394" s="54" t="s">
        <v>273</v>
      </c>
      <c r="O394" s="57" t="s">
        <v>754</v>
      </c>
      <c r="R394" s="54" t="s">
        <v>768</v>
      </c>
      <c r="S394" s="54" t="str">
        <f>Table2[[#This Row],[friendly_name]]</f>
        <v>Internet Modem</v>
      </c>
      <c r="T394" s="55" t="s">
        <v>1032</v>
      </c>
      <c r="V394" s="57"/>
      <c r="W394" s="57"/>
      <c r="X394" s="57"/>
      <c r="Y394" s="57"/>
      <c r="Z394" s="57"/>
      <c r="AA394" s="57"/>
      <c r="AG394" s="57"/>
      <c r="AH394" s="57"/>
      <c r="AT394" s="58"/>
      <c r="AU394" s="54" t="s">
        <v>133</v>
      </c>
      <c r="AV39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4" t="str">
        <f>IF(ISBLANK(Table2[[#This Row],[device_model]]), "", Table2[[#This Row],[device_suggested_area]])</f>
        <v>Rack</v>
      </c>
      <c r="BB394" s="54" t="s">
        <v>989</v>
      </c>
      <c r="BC394" s="59" t="s">
        <v>342</v>
      </c>
      <c r="BD394" s="54" t="s">
        <v>231</v>
      </c>
      <c r="BF394" s="54" t="s">
        <v>343</v>
      </c>
      <c r="BG394" s="54" t="s">
        <v>28</v>
      </c>
      <c r="BN39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54" customFormat="1" ht="16" customHeight="1" x14ac:dyDescent="0.2">
      <c r="A395" s="30">
        <v>2613</v>
      </c>
      <c r="B395" s="54" t="s">
        <v>561</v>
      </c>
      <c r="C395" s="54" t="s">
        <v>231</v>
      </c>
      <c r="D395" s="54" t="s">
        <v>133</v>
      </c>
      <c r="E395" s="54" t="s">
        <v>1370</v>
      </c>
      <c r="F395" s="56" t="str">
        <f>IF(ISBLANK(Table2[[#This Row],[unique_id]]), "", PROPER(SUBSTITUTE(Table2[[#This Row],[unique_id]], "_", " ")))</f>
        <v>Broken Rack Internet Modem Plug</v>
      </c>
      <c r="G395" s="54" t="s">
        <v>219</v>
      </c>
      <c r="H395" s="54" t="s">
        <v>508</v>
      </c>
      <c r="I395" s="54" t="s">
        <v>273</v>
      </c>
      <c r="M395" s="54" t="s">
        <v>255</v>
      </c>
      <c r="O395" s="57" t="s">
        <v>754</v>
      </c>
      <c r="R395" s="54" t="s">
        <v>768</v>
      </c>
      <c r="S395" s="54" t="str">
        <f>Table2[[#This Row],[friendly_name]]</f>
        <v>Internet Modem</v>
      </c>
      <c r="T395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5" s="57"/>
      <c r="W395" s="57"/>
      <c r="X395" s="57"/>
      <c r="Y395" s="57"/>
      <c r="Z395" s="57"/>
      <c r="AA395" s="57"/>
      <c r="AE395" s="54" t="s">
        <v>252</v>
      </c>
      <c r="AG395" s="57"/>
      <c r="AH395" s="57"/>
      <c r="AT395" s="58"/>
      <c r="AV39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4" t="str">
        <f>IF(ISBLANK(Table2[[#This Row],[device_model]]), "", Table2[[#This Row],[device_suggested_area]])</f>
        <v>Rack</v>
      </c>
      <c r="BB395" s="54" t="s">
        <v>989</v>
      </c>
      <c r="BC395" s="59" t="s">
        <v>342</v>
      </c>
      <c r="BD395" s="54" t="s">
        <v>231</v>
      </c>
      <c r="BF395" s="54" t="s">
        <v>343</v>
      </c>
      <c r="BG395" s="54" t="s">
        <v>28</v>
      </c>
      <c r="BJ395" s="54" t="s">
        <v>942</v>
      </c>
      <c r="BK395" s="54" t="s">
        <v>1212</v>
      </c>
      <c r="BL395" s="54" t="s">
        <v>336</v>
      </c>
      <c r="BM395" s="54" t="s">
        <v>1265</v>
      </c>
      <c r="BN39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6" spans="1:66" ht="16" customHeight="1" x14ac:dyDescent="0.2">
      <c r="A396" s="30">
        <v>2614</v>
      </c>
      <c r="B396" s="30" t="s">
        <v>26</v>
      </c>
      <c r="C396" s="30" t="s">
        <v>432</v>
      </c>
      <c r="D396" s="30" t="s">
        <v>27</v>
      </c>
      <c r="E396" s="30" t="s">
        <v>780</v>
      </c>
      <c r="F396" s="36" t="str">
        <f>IF(ISBLANK(Table2[[#This Row],[unique_id]]), "", PROPER(SUBSTITUTE(Table2[[#This Row],[unique_id]], "_", " ")))</f>
        <v>Garden Repeater Linkquality</v>
      </c>
      <c r="G396" s="30" t="s">
        <v>680</v>
      </c>
      <c r="H396" s="30" t="s">
        <v>508</v>
      </c>
      <c r="I396" s="30" t="s">
        <v>273</v>
      </c>
      <c r="O396" s="31" t="s">
        <v>754</v>
      </c>
      <c r="P396" s="30" t="s">
        <v>164</v>
      </c>
      <c r="Q396" s="30" t="s">
        <v>726</v>
      </c>
      <c r="R396" s="30" t="s">
        <v>728</v>
      </c>
      <c r="S396" s="30" t="s">
        <v>785</v>
      </c>
      <c r="T396" s="37" t="s">
        <v>783</v>
      </c>
      <c r="U396" s="30"/>
      <c r="V396" s="31"/>
      <c r="W396" s="31" t="s">
        <v>471</v>
      </c>
      <c r="X396" s="31"/>
      <c r="Y396" s="42" t="s">
        <v>723</v>
      </c>
      <c r="Z396" s="31"/>
      <c r="AA396" s="31"/>
      <c r="AB396" s="30"/>
      <c r="AC396" s="30"/>
      <c r="AG396" s="31"/>
      <c r="AH396" s="31"/>
      <c r="AT3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6" s="30" t="str">
        <f>Table2[[#This Row],[device_suggested_area]]</f>
        <v>Garden</v>
      </c>
      <c r="BA396" s="30" t="str">
        <f>IF(ISBLANK(Table2[[#This Row],[device_model]]), "", Table2[[#This Row],[device_suggested_area]])</f>
        <v>Garden</v>
      </c>
      <c r="BB396" s="30" t="s">
        <v>954</v>
      </c>
      <c r="BC396" s="39" t="s">
        <v>678</v>
      </c>
      <c r="BD396" s="30" t="s">
        <v>432</v>
      </c>
      <c r="BF396" s="30" t="s">
        <v>677</v>
      </c>
      <c r="BG396" s="30" t="s">
        <v>558</v>
      </c>
      <c r="BL396" s="30" t="s">
        <v>679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7" spans="1:66" ht="16" customHeight="1" x14ac:dyDescent="0.2">
      <c r="A397" s="30">
        <v>2615</v>
      </c>
      <c r="B397" s="30" t="s">
        <v>26</v>
      </c>
      <c r="C397" s="30" t="s">
        <v>432</v>
      </c>
      <c r="D397" s="30" t="s">
        <v>27</v>
      </c>
      <c r="E397" s="30" t="s">
        <v>781</v>
      </c>
      <c r="F397" s="36" t="str">
        <f>IF(ISBLANK(Table2[[#This Row],[unique_id]]), "", PROPER(SUBSTITUTE(Table2[[#This Row],[unique_id]], "_", " ")))</f>
        <v>Landing Repeater Linkquality</v>
      </c>
      <c r="G397" s="30" t="s">
        <v>682</v>
      </c>
      <c r="H397" s="30" t="s">
        <v>508</v>
      </c>
      <c r="I397" s="30" t="s">
        <v>273</v>
      </c>
      <c r="O397" s="31" t="s">
        <v>754</v>
      </c>
      <c r="P397" s="30" t="s">
        <v>164</v>
      </c>
      <c r="Q397" s="30" t="s">
        <v>726</v>
      </c>
      <c r="R397" s="30" t="s">
        <v>728</v>
      </c>
      <c r="S397" s="30" t="s">
        <v>785</v>
      </c>
      <c r="T397" s="37" t="s">
        <v>783</v>
      </c>
      <c r="U397" s="30"/>
      <c r="V397" s="31"/>
      <c r="W397" s="31" t="s">
        <v>471</v>
      </c>
      <c r="X397" s="31"/>
      <c r="Y397" s="42" t="s">
        <v>723</v>
      </c>
      <c r="Z397" s="31"/>
      <c r="AA397" s="31"/>
      <c r="AB397" s="30"/>
      <c r="AC397" s="30"/>
      <c r="AG397" s="31"/>
      <c r="AH397" s="31"/>
      <c r="AT3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7" s="30" t="str">
        <f>Table2[[#This Row],[device_suggested_area]]</f>
        <v>Landing</v>
      </c>
      <c r="BA397" s="30" t="str">
        <f>IF(ISBLANK(Table2[[#This Row],[device_model]]), "", Table2[[#This Row],[device_suggested_area]])</f>
        <v>Landing</v>
      </c>
      <c r="BB397" s="30" t="s">
        <v>954</v>
      </c>
      <c r="BC397" s="39" t="s">
        <v>678</v>
      </c>
      <c r="BD397" s="30" t="s">
        <v>432</v>
      </c>
      <c r="BF397" s="30" t="s">
        <v>677</v>
      </c>
      <c r="BG397" s="30" t="s">
        <v>541</v>
      </c>
      <c r="BL397" s="30" t="s">
        <v>684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398" spans="1:66" ht="16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782</v>
      </c>
      <c r="F398" s="36" t="str">
        <f>IF(ISBLANK(Table2[[#This Row],[unique_id]]), "", PROPER(SUBSTITUTE(Table2[[#This Row],[unique_id]], "_", " ")))</f>
        <v>Driveway Repeater Linkquality</v>
      </c>
      <c r="G398" s="30" t="s">
        <v>681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Driveway</v>
      </c>
      <c r="BA398" s="30" t="str">
        <f>IF(ISBLANK(Table2[[#This Row],[device_model]]), "", Table2[[#This Row],[device_suggested_area]])</f>
        <v>Driveway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683</v>
      </c>
      <c r="BL398" s="30" t="s">
        <v>685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399" spans="1:66" ht="16" customHeight="1" x14ac:dyDescent="0.2">
      <c r="A399" s="30">
        <v>2617</v>
      </c>
      <c r="B399" s="30" t="s">
        <v>26</v>
      </c>
      <c r="C399" s="30" t="s">
        <v>149</v>
      </c>
      <c r="D399" s="30" t="s">
        <v>292</v>
      </c>
      <c r="E399" s="30" t="s">
        <v>852</v>
      </c>
      <c r="F399" s="36" t="str">
        <f>IF(ISBLANK(Table2[[#This Row],[unique_id]]), "", PROPER(SUBSTITUTE(Table2[[#This Row],[unique_id]], "_", " ")))</f>
        <v>Lighting Reset Adaptive Lighting All</v>
      </c>
      <c r="G399" s="30" t="s">
        <v>756</v>
      </c>
      <c r="H399" s="30" t="s">
        <v>526</v>
      </c>
      <c r="I399" s="30" t="s">
        <v>273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/>
      <c r="AC399" s="30"/>
      <c r="AE399" s="30" t="s">
        <v>274</v>
      </c>
      <c r="AG399" s="31"/>
      <c r="AH399" s="31"/>
      <c r="AT399" s="4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/>
      </c>
      <c r="BF399" s="31"/>
      <c r="BG399" s="30" t="s">
        <v>164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149</v>
      </c>
      <c r="D400" s="30" t="s">
        <v>292</v>
      </c>
      <c r="E400" s="36" t="s">
        <v>513</v>
      </c>
      <c r="F400" s="36" t="str">
        <f>IF(ISBLANK(Table2[[#This Row],[unique_id]]), "", PROPER(SUBSTITUTE(Table2[[#This Row],[unique_id]], "_", " ")))</f>
        <v>Lighting Reset Adaptive Lighting Ada Lamp</v>
      </c>
      <c r="G400" s="36" t="s">
        <v>193</v>
      </c>
      <c r="H400" s="30" t="s">
        <v>526</v>
      </c>
      <c r="I400" s="30" t="s">
        <v>273</v>
      </c>
      <c r="J400" s="30" t="s">
        <v>512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/>
      <c r="AC400" s="30"/>
      <c r="AE400" s="30" t="s">
        <v>274</v>
      </c>
      <c r="AG400" s="31"/>
      <c r="AH400" s="31"/>
      <c r="AT400" s="32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/>
      </c>
      <c r="BF400" s="31"/>
      <c r="BG400" s="30" t="s">
        <v>129</v>
      </c>
      <c r="BI400" s="30" t="s">
        <v>668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6" t="s">
        <v>507</v>
      </c>
      <c r="F401" s="36" t="str">
        <f>IF(ISBLANK(Table2[[#This Row],[unique_id]]), "", PROPER(SUBSTITUTE(Table2[[#This Row],[unique_id]], "_", " ")))</f>
        <v>Lighting Reset Adaptive Lighting Edwin Lamp</v>
      </c>
      <c r="G401" s="36" t="s">
        <v>203</v>
      </c>
      <c r="H401" s="30" t="s">
        <v>526</v>
      </c>
      <c r="I401" s="30" t="s">
        <v>273</v>
      </c>
      <c r="J401" s="30" t="s">
        <v>512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126</v>
      </c>
      <c r="BI401" s="30" t="s">
        <v>668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514</v>
      </c>
      <c r="F402" s="36" t="str">
        <f>IF(ISBLANK(Table2[[#This Row],[unique_id]]), "", PROPER(SUBSTITUTE(Table2[[#This Row],[unique_id]], "_", " ")))</f>
        <v>Lighting Reset Adaptive Lighting Edwin Night Light</v>
      </c>
      <c r="G402" s="36" t="s">
        <v>390</v>
      </c>
      <c r="H402" s="30" t="s">
        <v>526</v>
      </c>
      <c r="I402" s="30" t="s">
        <v>273</v>
      </c>
      <c r="J402" s="30" t="s">
        <v>525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126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515</v>
      </c>
      <c r="F403" s="36" t="str">
        <f>IF(ISBLANK(Table2[[#This Row],[unique_id]]), "", PROPER(SUBSTITUTE(Table2[[#This Row],[unique_id]], "_", " ")))</f>
        <v>Lighting Reset Adaptive Lighting Hallway Main</v>
      </c>
      <c r="G403" s="36" t="s">
        <v>198</v>
      </c>
      <c r="H403" s="30" t="s">
        <v>526</v>
      </c>
      <c r="I403" s="30" t="s">
        <v>273</v>
      </c>
      <c r="J403" s="30" t="s">
        <v>533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386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836</v>
      </c>
      <c r="F404" s="36" t="str">
        <f>IF(ISBLANK(Table2[[#This Row],[unique_id]]), "", PROPER(SUBSTITUTE(Table2[[#This Row],[unique_id]], "_", " ")))</f>
        <v>Lighting Reset Adaptive Lighting Hallway Sconces</v>
      </c>
      <c r="G404" s="36" t="s">
        <v>821</v>
      </c>
      <c r="H404" s="30" t="s">
        <v>526</v>
      </c>
      <c r="I404" s="30" t="s">
        <v>273</v>
      </c>
      <c r="J404" s="30" t="s">
        <v>837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386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516</v>
      </c>
      <c r="F405" s="36" t="str">
        <f>IF(ISBLANK(Table2[[#This Row],[unique_id]]), "", PROPER(SUBSTITUTE(Table2[[#This Row],[unique_id]], "_", " ")))</f>
        <v>Lighting Reset Adaptive Lighting Dining Main</v>
      </c>
      <c r="G405" s="36" t="s">
        <v>137</v>
      </c>
      <c r="H405" s="30" t="s">
        <v>526</v>
      </c>
      <c r="I405" s="30" t="s">
        <v>273</v>
      </c>
      <c r="J405" s="30" t="s">
        <v>533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191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517</v>
      </c>
      <c r="F406" s="36" t="str">
        <f>IF(ISBLANK(Table2[[#This Row],[unique_id]]), "", PROPER(SUBSTITUTE(Table2[[#This Row],[unique_id]], "_", " ")))</f>
        <v>Lighting Reset Adaptive Lighting Lounge Main</v>
      </c>
      <c r="G406" s="36" t="s">
        <v>205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192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568</v>
      </c>
      <c r="F407" s="36" t="str">
        <f>IF(ISBLANK(Table2[[#This Row],[unique_id]]), "", PROPER(SUBSTITUTE(Table2[[#This Row],[unique_id]], "_", " ")))</f>
        <v>Lighting Reset Adaptive Lighting Lounge Lamp</v>
      </c>
      <c r="G407" s="36" t="s">
        <v>538</v>
      </c>
      <c r="H407" s="30" t="s">
        <v>526</v>
      </c>
      <c r="I407" s="30" t="s">
        <v>273</v>
      </c>
      <c r="J407" s="30" t="s">
        <v>512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164</v>
      </c>
      <c r="BI407" s="30" t="s">
        <v>668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1454</v>
      </c>
      <c r="F408" s="36" t="str">
        <f>IF(ISBLANK(Table2[[#This Row],[unique_id]]), "", PROPER(SUBSTITUTE(Table2[[#This Row],[unique_id]], "_", " ")))</f>
        <v>Lighting Reset Adaptive Lighting Lounge Reading</v>
      </c>
      <c r="G408" s="36" t="s">
        <v>538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164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518</v>
      </c>
      <c r="F409" s="36" t="str">
        <f>IF(ISBLANK(Table2[[#This Row],[unique_id]]), "", PROPER(SUBSTITUTE(Table2[[#This Row],[unique_id]], "_", " ")))</f>
        <v>Lighting Reset Adaptive Lighting Parents Main</v>
      </c>
      <c r="G409" s="36" t="s">
        <v>194</v>
      </c>
      <c r="H409" s="30" t="s">
        <v>526</v>
      </c>
      <c r="I409" s="30" t="s">
        <v>273</v>
      </c>
      <c r="J409" s="30" t="s">
        <v>533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190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838</v>
      </c>
      <c r="F410" s="36" t="str">
        <f>IF(ISBLANK(Table2[[#This Row],[unique_id]]), "", PROPER(SUBSTITUTE(Table2[[#This Row],[unique_id]], "_", " ")))</f>
        <v>Lighting Reset Adaptive Lighting Parents Jane Bedside</v>
      </c>
      <c r="G410" s="36" t="s">
        <v>830</v>
      </c>
      <c r="H410" s="30" t="s">
        <v>526</v>
      </c>
      <c r="I410" s="30" t="s">
        <v>273</v>
      </c>
      <c r="J410" s="30" t="s">
        <v>840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190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839</v>
      </c>
      <c r="F411" s="36" t="str">
        <f>IF(ISBLANK(Table2[[#This Row],[unique_id]]), "", PROPER(SUBSTITUTE(Table2[[#This Row],[unique_id]], "_", " ")))</f>
        <v>Lighting Reset Adaptive Lighting Parents Graham Bedside</v>
      </c>
      <c r="G411" s="36" t="s">
        <v>831</v>
      </c>
      <c r="H411" s="30" t="s">
        <v>526</v>
      </c>
      <c r="I411" s="30" t="s">
        <v>273</v>
      </c>
      <c r="J411" s="30" t="s">
        <v>841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842</v>
      </c>
      <c r="F412" s="36" t="str">
        <f>IF(ISBLANK(Table2[[#This Row],[unique_id]]), "", PROPER(SUBSTITUTE(Table2[[#This Row],[unique_id]], "_", " ")))</f>
        <v>Lighting Reset Adaptive Lighting Study Lamp</v>
      </c>
      <c r="G412" s="36" t="s">
        <v>708</v>
      </c>
      <c r="H412" s="30" t="s">
        <v>526</v>
      </c>
      <c r="I412" s="30" t="s">
        <v>273</v>
      </c>
      <c r="J412" s="30" t="s">
        <v>512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338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519</v>
      </c>
      <c r="F413" s="36" t="str">
        <f>IF(ISBLANK(Table2[[#This Row],[unique_id]]), "", PROPER(SUBSTITUTE(Table2[[#This Row],[unique_id]], "_", " ")))</f>
        <v>Lighting Reset Adaptive Lighting Kitchen Main</v>
      </c>
      <c r="G413" s="36" t="s">
        <v>200</v>
      </c>
      <c r="H413" s="30" t="s">
        <v>526</v>
      </c>
      <c r="I413" s="30" t="s">
        <v>273</v>
      </c>
      <c r="J413" s="30" t="s">
        <v>533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204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520</v>
      </c>
      <c r="F414" s="36" t="str">
        <f>IF(ISBLANK(Table2[[#This Row],[unique_id]]), "", PROPER(SUBSTITUTE(Table2[[#This Row],[unique_id]], "_", " ")))</f>
        <v>Lighting Reset Adaptive Lighting Laundry Main</v>
      </c>
      <c r="G414" s="36" t="s">
        <v>202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211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521</v>
      </c>
      <c r="F415" s="36" t="str">
        <f>IF(ISBLANK(Table2[[#This Row],[unique_id]]), "", PROPER(SUBSTITUTE(Table2[[#This Row],[unique_id]], "_", " ")))</f>
        <v>Lighting Reset Adaptive Lighting Pantry Main</v>
      </c>
      <c r="G415" s="36" t="s">
        <v>201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209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534</v>
      </c>
      <c r="F416" s="36" t="str">
        <f>IF(ISBLANK(Table2[[#This Row],[unique_id]]), "", PROPER(SUBSTITUTE(Table2[[#This Row],[unique_id]], "_", " ")))</f>
        <v>Lighting Reset Adaptive Lighting Office Main</v>
      </c>
      <c r="G416" s="36" t="s">
        <v>197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210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522</v>
      </c>
      <c r="F417" s="36" t="str">
        <f>IF(ISBLANK(Table2[[#This Row],[unique_id]]), "", PROPER(SUBSTITUTE(Table2[[#This Row],[unique_id]], "_", " ")))</f>
        <v>Lighting Reset Adaptive Lighting Bathroom Main</v>
      </c>
      <c r="G417" s="36" t="s">
        <v>196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340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843</v>
      </c>
      <c r="F418" s="36" t="str">
        <f>IF(ISBLANK(Table2[[#This Row],[unique_id]]), "", PROPER(SUBSTITUTE(Table2[[#This Row],[unique_id]], "_", " ")))</f>
        <v>Lighting Reset Adaptive Lighting Bathroom Sconces</v>
      </c>
      <c r="G418" s="36" t="s">
        <v>827</v>
      </c>
      <c r="H418" s="30" t="s">
        <v>526</v>
      </c>
      <c r="I418" s="30" t="s">
        <v>273</v>
      </c>
      <c r="J418" s="30" t="s">
        <v>837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340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523</v>
      </c>
      <c r="F419" s="36" t="str">
        <f>IF(ISBLANK(Table2[[#This Row],[unique_id]]), "", PROPER(SUBSTITUTE(Table2[[#This Row],[unique_id]], "_", " ")))</f>
        <v>Lighting Reset Adaptive Lighting Ensuite Main</v>
      </c>
      <c r="G419" s="36" t="s">
        <v>195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376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844</v>
      </c>
      <c r="F420" s="36" t="str">
        <f>IF(ISBLANK(Table2[[#This Row],[unique_id]]), "", PROPER(SUBSTITUTE(Table2[[#This Row],[unique_id]], "_", " ")))</f>
        <v>Lighting Reset Adaptive Lighting Ensuite Sconces</v>
      </c>
      <c r="G420" s="36" t="s">
        <v>810</v>
      </c>
      <c r="H420" s="30" t="s">
        <v>526</v>
      </c>
      <c r="I420" s="30" t="s">
        <v>273</v>
      </c>
      <c r="J420" s="30" t="s">
        <v>837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376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524</v>
      </c>
      <c r="F421" s="36" t="str">
        <f>IF(ISBLANK(Table2[[#This Row],[unique_id]]), "", PROPER(SUBSTITUTE(Table2[[#This Row],[unique_id]], "_", " ")))</f>
        <v>Lighting Reset Adaptive Lighting Wardrobe Main</v>
      </c>
      <c r="G421" s="36" t="s">
        <v>199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477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2650</v>
      </c>
      <c r="B422" s="30" t="s">
        <v>26</v>
      </c>
      <c r="C422" s="30" t="s">
        <v>233</v>
      </c>
      <c r="D422" s="30" t="s">
        <v>144</v>
      </c>
      <c r="E422" s="30" t="s">
        <v>145</v>
      </c>
      <c r="F422" s="36" t="str">
        <f>IF(ISBLANK(Table2[[#This Row],[unique_id]]), "", PROPER(SUBSTITUTE(Table2[[#This Row],[unique_id]], "_", " ")))</f>
        <v>Ada Home</v>
      </c>
      <c r="G422" s="30" t="s">
        <v>183</v>
      </c>
      <c r="H422" s="30" t="s">
        <v>711</v>
      </c>
      <c r="I422" s="30" t="s">
        <v>143</v>
      </c>
      <c r="M422" s="30" t="s">
        <v>135</v>
      </c>
      <c r="N422" s="30" t="s">
        <v>268</v>
      </c>
      <c r="O422" s="31" t="s">
        <v>754</v>
      </c>
      <c r="P422" s="30" t="s">
        <v>164</v>
      </c>
      <c r="Q422" s="30" t="s">
        <v>726</v>
      </c>
      <c r="R422" s="41" t="s">
        <v>711</v>
      </c>
      <c r="S422" s="30" t="str">
        <f>_xlfn.CONCAT( Table2[[#This Row],[friendly_name]], " Devices")</f>
        <v>Ada Home Devices</v>
      </c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G422" s="31"/>
      <c r="AH422" s="31"/>
      <c r="AT422" s="40"/>
      <c r="AU422" s="3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>Ada</v>
      </c>
      <c r="BB422" s="30" t="s">
        <v>164</v>
      </c>
      <c r="BC422" s="30" t="s">
        <v>373</v>
      </c>
      <c r="BD422" s="30" t="s">
        <v>233</v>
      </c>
      <c r="BF422" s="30" t="s">
        <v>1008</v>
      </c>
      <c r="BG422" s="30" t="s">
        <v>129</v>
      </c>
      <c r="BK422" s="30" t="s">
        <v>1211</v>
      </c>
      <c r="BL422" s="41" t="s">
        <v>402</v>
      </c>
      <c r="BM422" s="39" t="s">
        <v>1213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3" spans="1:66" ht="16" customHeight="1" x14ac:dyDescent="0.2">
      <c r="A423" s="30">
        <v>2651</v>
      </c>
      <c r="B423" s="30" t="s">
        <v>26</v>
      </c>
      <c r="C423" s="30" t="s">
        <v>233</v>
      </c>
      <c r="D423" s="30" t="s">
        <v>144</v>
      </c>
      <c r="E423" s="30" t="s">
        <v>256</v>
      </c>
      <c r="F423" s="36" t="str">
        <f>IF(ISBLANK(Table2[[#This Row],[unique_id]]), "", PROPER(SUBSTITUTE(Table2[[#This Row],[unique_id]], "_", " ")))</f>
        <v>Edwin Home</v>
      </c>
      <c r="G423" s="30" t="s">
        <v>257</v>
      </c>
      <c r="H423" s="30" t="s">
        <v>711</v>
      </c>
      <c r="I423" s="30" t="s">
        <v>143</v>
      </c>
      <c r="M423" s="30" t="s">
        <v>135</v>
      </c>
      <c r="N423" s="30" t="s">
        <v>268</v>
      </c>
      <c r="O423" s="31" t="s">
        <v>754</v>
      </c>
      <c r="P423" s="30" t="s">
        <v>164</v>
      </c>
      <c r="Q423" s="30" t="s">
        <v>726</v>
      </c>
      <c r="R423" s="41" t="s">
        <v>711</v>
      </c>
      <c r="S423" s="30" t="str">
        <f>_xlfn.CONCAT( Table2[[#This Row],[friendly_name]], " Devices")</f>
        <v>Edwin Home Devices</v>
      </c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G423" s="31"/>
      <c r="AH423" s="31"/>
      <c r="AT423" s="40"/>
      <c r="AU423" s="3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>Edwin</v>
      </c>
      <c r="BB423" s="30" t="s">
        <v>164</v>
      </c>
      <c r="BC423" s="30" t="s">
        <v>373</v>
      </c>
      <c r="BD423" s="30" t="s">
        <v>233</v>
      </c>
      <c r="BF423" s="30" t="s">
        <v>1008</v>
      </c>
      <c r="BG423" s="30" t="s">
        <v>126</v>
      </c>
      <c r="BK423" s="30" t="s">
        <v>1211</v>
      </c>
      <c r="BL423" s="41" t="s">
        <v>401</v>
      </c>
      <c r="BM423" s="39" t="s">
        <v>1214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4" spans="1:66" ht="16" customHeight="1" x14ac:dyDescent="0.2">
      <c r="A424" s="30">
        <v>2652</v>
      </c>
      <c r="B424" s="30" t="s">
        <v>26</v>
      </c>
      <c r="C424" s="30" t="s">
        <v>233</v>
      </c>
      <c r="D424" s="30" t="s">
        <v>144</v>
      </c>
      <c r="E424" s="30" t="s">
        <v>264</v>
      </c>
      <c r="F424" s="36" t="str">
        <f>IF(ISBLANK(Table2[[#This Row],[unique_id]]), "", PROPER(SUBSTITUTE(Table2[[#This Row],[unique_id]], "_", " ")))</f>
        <v>Parents Home</v>
      </c>
      <c r="G424" s="30" t="s">
        <v>258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Parents Home Devices</v>
      </c>
      <c r="T424" s="37" t="s">
        <v>736</v>
      </c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Parents</v>
      </c>
      <c r="BB424" s="30" t="s">
        <v>164</v>
      </c>
      <c r="BC424" s="30" t="s">
        <v>1002</v>
      </c>
      <c r="BD424" s="30" t="s">
        <v>233</v>
      </c>
      <c r="BF424" s="30" t="s">
        <v>1009</v>
      </c>
      <c r="BG424" s="30" t="s">
        <v>190</v>
      </c>
      <c r="BK424" s="30" t="s">
        <v>1211</v>
      </c>
      <c r="BL424" s="41" t="s">
        <v>618</v>
      </c>
      <c r="BM424" s="39" t="s">
        <v>1215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5" spans="1:66" ht="16" customHeight="1" x14ac:dyDescent="0.2">
      <c r="A425" s="30">
        <v>2653</v>
      </c>
      <c r="B425" s="30" t="s">
        <v>26</v>
      </c>
      <c r="C425" s="30" t="s">
        <v>233</v>
      </c>
      <c r="D425" s="30" t="s">
        <v>144</v>
      </c>
      <c r="E425" s="30" t="s">
        <v>260</v>
      </c>
      <c r="F425" s="36" t="str">
        <f>IF(ISBLANK(Table2[[#This Row],[unique_id]]), "", PROPER(SUBSTITUTE(Table2[[#This Row],[unique_id]], "_", " ")))</f>
        <v>Kitchen Home</v>
      </c>
      <c r="G425" s="30" t="s">
        <v>259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Kitchen Home Devices</v>
      </c>
      <c r="T425" s="37" t="s">
        <v>736</v>
      </c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Kitchen</v>
      </c>
      <c r="BB425" s="30" t="s">
        <v>164</v>
      </c>
      <c r="BC425" s="30" t="s">
        <v>1002</v>
      </c>
      <c r="BD425" s="30" t="s">
        <v>233</v>
      </c>
      <c r="BF425" s="30" t="s">
        <v>1009</v>
      </c>
      <c r="BG425" s="30" t="s">
        <v>204</v>
      </c>
      <c r="BK425" s="30" t="s">
        <v>1211</v>
      </c>
      <c r="BL425" s="41" t="s">
        <v>696</v>
      </c>
      <c r="BM425" s="39" t="s">
        <v>1216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6" spans="1:66" ht="16" customHeight="1" x14ac:dyDescent="0.2">
      <c r="A426" s="30">
        <v>2654</v>
      </c>
      <c r="B426" s="30" t="s">
        <v>26</v>
      </c>
      <c r="C426" s="30" t="s">
        <v>233</v>
      </c>
      <c r="D426" s="30" t="s">
        <v>144</v>
      </c>
      <c r="E426" s="30" t="s">
        <v>589</v>
      </c>
      <c r="F426" s="36" t="str">
        <f>IF(ISBLANK(Table2[[#This Row],[unique_id]]), "", PROPER(SUBSTITUTE(Table2[[#This Row],[unique_id]], "_", " ")))</f>
        <v>Office Home</v>
      </c>
      <c r="G426" s="30" t="s">
        <v>590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Office Home Devices</v>
      </c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Office</v>
      </c>
      <c r="BB426" s="30" t="s">
        <v>164</v>
      </c>
      <c r="BC426" s="30" t="s">
        <v>373</v>
      </c>
      <c r="BD426" s="30" t="s">
        <v>233</v>
      </c>
      <c r="BF426" s="30" t="s">
        <v>1008</v>
      </c>
      <c r="BG426" s="30" t="s">
        <v>210</v>
      </c>
      <c r="BK426" s="30" t="s">
        <v>1211</v>
      </c>
      <c r="BL426" s="41" t="s">
        <v>399</v>
      </c>
      <c r="BM426" s="39" t="s">
        <v>1217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7" spans="1:66" ht="16" customHeight="1" x14ac:dyDescent="0.2">
      <c r="A427" s="30">
        <v>2655</v>
      </c>
      <c r="B427" s="30" t="s">
        <v>26</v>
      </c>
      <c r="C427" s="30" t="s">
        <v>233</v>
      </c>
      <c r="D427" s="30" t="s">
        <v>144</v>
      </c>
      <c r="E427" s="30" t="s">
        <v>621</v>
      </c>
      <c r="F427" s="36" t="str">
        <f>IF(ISBLANK(Table2[[#This Row],[unique_id]]), "", PROPER(SUBSTITUTE(Table2[[#This Row],[unique_id]], "_", " ")))</f>
        <v>Lounge Home</v>
      </c>
      <c r="G427" s="30" t="s">
        <v>622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Lounge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Lounge</v>
      </c>
      <c r="BB427" s="30" t="s">
        <v>164</v>
      </c>
      <c r="BC427" s="30" t="s">
        <v>373</v>
      </c>
      <c r="BD427" s="30" t="s">
        <v>233</v>
      </c>
      <c r="BF427" s="30" t="s">
        <v>1008</v>
      </c>
      <c r="BG427" s="30" t="s">
        <v>192</v>
      </c>
      <c r="BK427" s="30" t="s">
        <v>1211</v>
      </c>
      <c r="BL427" s="41" t="s">
        <v>400</v>
      </c>
      <c r="BM427" s="39" t="s">
        <v>1218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28" spans="1:66" ht="16" customHeight="1" x14ac:dyDescent="0.2">
      <c r="A428" s="30">
        <v>2656</v>
      </c>
      <c r="B428" s="30" t="s">
        <v>26</v>
      </c>
      <c r="C428" s="30" t="s">
        <v>233</v>
      </c>
      <c r="D428" s="30" t="s">
        <v>144</v>
      </c>
      <c r="E428" s="30" t="s">
        <v>786</v>
      </c>
      <c r="F428" s="36" t="str">
        <f>IF(ISBLANK(Table2[[#This Row],[unique_id]]), "", PROPER(SUBSTITUTE(Table2[[#This Row],[unique_id]], "_", " ")))</f>
        <v>Ada Tablet</v>
      </c>
      <c r="G428" s="30" t="s">
        <v>787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/>
      <c r="P428" s="30"/>
      <c r="R428" s="41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Lounge</v>
      </c>
      <c r="BB428" s="30" t="s">
        <v>787</v>
      </c>
      <c r="BC428" s="30" t="s">
        <v>1010</v>
      </c>
      <c r="BD428" s="30" t="s">
        <v>233</v>
      </c>
      <c r="BF428" s="30" t="s">
        <v>789</v>
      </c>
      <c r="BG428" s="30" t="s">
        <v>192</v>
      </c>
      <c r="BK428" s="30" t="s">
        <v>1211</v>
      </c>
      <c r="BL428" s="41" t="s">
        <v>1190</v>
      </c>
      <c r="BM428" s="39" t="s">
        <v>1219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29" spans="1:66" ht="16" customHeight="1" x14ac:dyDescent="0.2">
      <c r="A429" s="30">
        <v>2657</v>
      </c>
      <c r="B429" s="30" t="s">
        <v>26</v>
      </c>
      <c r="C429" s="30" t="s">
        <v>233</v>
      </c>
      <c r="D429" s="30" t="s">
        <v>144</v>
      </c>
      <c r="E429" s="30" t="s">
        <v>790</v>
      </c>
      <c r="F429" s="36" t="str">
        <f>IF(ISBLANK(Table2[[#This Row],[unique_id]]), "", PROPER(SUBSTITUTE(Table2[[#This Row],[unique_id]], "_", " ")))</f>
        <v>Edwin Tablet</v>
      </c>
      <c r="G429" s="30" t="s">
        <v>791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/>
      <c r="P429" s="30"/>
      <c r="R429" s="41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Kitchen</v>
      </c>
      <c r="BB429" s="30" t="s">
        <v>791</v>
      </c>
      <c r="BC429" s="30" t="s">
        <v>1010</v>
      </c>
      <c r="BD429" s="30" t="s">
        <v>233</v>
      </c>
      <c r="BF429" s="30" t="s">
        <v>789</v>
      </c>
      <c r="BG429" s="30" t="s">
        <v>204</v>
      </c>
      <c r="BK429" s="30" t="s">
        <v>1211</v>
      </c>
      <c r="BL429" s="41" t="s">
        <v>1191</v>
      </c>
      <c r="BM429" s="39" t="s">
        <v>1222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0" spans="1:66" ht="16" customHeight="1" x14ac:dyDescent="0.2">
      <c r="A430" s="30">
        <v>2658</v>
      </c>
      <c r="B430" s="30" t="s">
        <v>26</v>
      </c>
      <c r="C430" s="30" t="s">
        <v>562</v>
      </c>
      <c r="D430" s="30" t="s">
        <v>144</v>
      </c>
      <c r="E430" s="30" t="s">
        <v>586</v>
      </c>
      <c r="F430" s="36" t="str">
        <f>IF(ISBLANK(Table2[[#This Row],[unique_id]]), "", PROPER(SUBSTITUTE(Table2[[#This Row],[unique_id]], "_", " ")))</f>
        <v>Lg Webos Smart Tv</v>
      </c>
      <c r="G430" s="30" t="s">
        <v>178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946</v>
      </c>
      <c r="BC430" s="30" t="s">
        <v>565</v>
      </c>
      <c r="BD430" s="30" t="s">
        <v>562</v>
      </c>
      <c r="BF430" s="30" t="s">
        <v>564</v>
      </c>
      <c r="BG430" s="30" t="s">
        <v>192</v>
      </c>
      <c r="BK430" s="30" t="s">
        <v>1211</v>
      </c>
      <c r="BL430" s="41" t="s">
        <v>563</v>
      </c>
      <c r="BM430" s="39" t="s">
        <v>1220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1" spans="1:66" ht="16" customHeight="1" x14ac:dyDescent="0.2">
      <c r="A431" s="30">
        <v>2659</v>
      </c>
      <c r="B431" s="30" t="s">
        <v>561</v>
      </c>
      <c r="C431" s="30" t="s">
        <v>262</v>
      </c>
      <c r="D431" s="30" t="s">
        <v>144</v>
      </c>
      <c r="E431" s="30" t="s">
        <v>263</v>
      </c>
      <c r="F431" s="36" t="str">
        <f>IF(ISBLANK(Table2[[#This Row],[unique_id]]), "", PROPER(SUBSTITUTE(Table2[[#This Row],[unique_id]], "_", " ")))</f>
        <v>Parents Tv</v>
      </c>
      <c r="G431" s="30" t="s">
        <v>261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Parents</v>
      </c>
      <c r="BB431" s="30" t="s">
        <v>946</v>
      </c>
      <c r="BC431" s="30" t="s">
        <v>1003</v>
      </c>
      <c r="BD431" s="30" t="s">
        <v>262</v>
      </c>
      <c r="BF431" s="30" t="s">
        <v>379</v>
      </c>
      <c r="BG431" s="30" t="s">
        <v>190</v>
      </c>
      <c r="BK431" s="30" t="s">
        <v>1211</v>
      </c>
      <c r="BL431" s="41" t="s">
        <v>381</v>
      </c>
      <c r="BM431" s="39" t="s">
        <v>1221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2" spans="1:66" ht="16" customHeight="1" x14ac:dyDescent="0.2">
      <c r="A432" s="30">
        <v>2660</v>
      </c>
      <c r="B432" s="30" t="s">
        <v>561</v>
      </c>
      <c r="C432" s="30" t="s">
        <v>233</v>
      </c>
      <c r="D432" s="30" t="s">
        <v>144</v>
      </c>
      <c r="E432" s="30" t="s">
        <v>666</v>
      </c>
      <c r="F432" s="36" t="str">
        <f>IF(ISBLANK(Table2[[#This Row],[unique_id]]), "", PROPER(SUBSTITUTE(Table2[[#This Row],[unique_id]], "_", " ")))</f>
        <v>Office Tv</v>
      </c>
      <c r="G432" s="30" t="s">
        <v>667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Office</v>
      </c>
      <c r="BB432" s="30" t="s">
        <v>946</v>
      </c>
      <c r="BC432" s="30" t="s">
        <v>374</v>
      </c>
      <c r="BD432" s="30" t="s">
        <v>233</v>
      </c>
      <c r="BF432" s="30" t="s">
        <v>375</v>
      </c>
      <c r="BG432" s="30" t="s">
        <v>210</v>
      </c>
      <c r="BK432" s="30" t="s">
        <v>1211</v>
      </c>
      <c r="BL432" s="41" t="s">
        <v>403</v>
      </c>
      <c r="BM432" s="39" t="s">
        <v>1223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3" spans="1:66" ht="16" customHeight="1" x14ac:dyDescent="0.2">
      <c r="A433" s="30">
        <v>2661</v>
      </c>
      <c r="B433" s="30" t="s">
        <v>26</v>
      </c>
      <c r="C433" s="30" t="s">
        <v>422</v>
      </c>
      <c r="D433" s="30" t="s">
        <v>315</v>
      </c>
      <c r="E433" s="30" t="s">
        <v>314</v>
      </c>
      <c r="F433" s="36" t="str">
        <f>IF(ISBLANK(Table2[[#This Row],[unique_id]]), "", PROPER(SUBSTITUTE(Table2[[#This Row],[unique_id]], "_", " ")))</f>
        <v>Column Break</v>
      </c>
      <c r="G433" s="30" t="s">
        <v>311</v>
      </c>
      <c r="H433" s="30" t="s">
        <v>711</v>
      </c>
      <c r="I433" s="30" t="s">
        <v>143</v>
      </c>
      <c r="M433" s="30" t="s">
        <v>312</v>
      </c>
      <c r="N433" s="30" t="s">
        <v>313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2662</v>
      </c>
      <c r="B434" s="30" t="s">
        <v>26</v>
      </c>
      <c r="C434" s="30" t="s">
        <v>180</v>
      </c>
      <c r="D434" s="30" t="s">
        <v>144</v>
      </c>
      <c r="E434" s="30" t="s">
        <v>700</v>
      </c>
      <c r="F434" s="36" t="str">
        <f>IF(ISBLANK(Table2[[#This Row],[unique_id]]), "", PROPER(SUBSTITUTE(Table2[[#This Row],[unique_id]], "_", " ")))</f>
        <v>Lounge Arc</v>
      </c>
      <c r="G434" s="30" t="s">
        <v>703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 t="s">
        <v>754</v>
      </c>
      <c r="P434" s="30"/>
      <c r="R434" s="41"/>
      <c r="T434" s="37" t="str">
        <f>_xlfn.CONCAT("name: ", Table2[[#This Row],[friendly_name]])</f>
        <v>name: Lounge Arc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Lounge</v>
      </c>
      <c r="BB434" s="30" t="s">
        <v>566</v>
      </c>
      <c r="BC434" s="30" t="s">
        <v>1006</v>
      </c>
      <c r="BD434" s="30" t="s">
        <v>180</v>
      </c>
      <c r="BF434" s="30">
        <v>15.4</v>
      </c>
      <c r="BG434" s="30" t="s">
        <v>192</v>
      </c>
      <c r="BK434" s="30" t="s">
        <v>1211</v>
      </c>
      <c r="BL434" s="30" t="s">
        <v>567</v>
      </c>
      <c r="BM434" s="39" t="s">
        <v>1224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5" spans="1:66" ht="16" customHeight="1" x14ac:dyDescent="0.2">
      <c r="A435" s="30">
        <v>2663</v>
      </c>
      <c r="B435" s="30" t="s">
        <v>561</v>
      </c>
      <c r="C435" s="30" t="s">
        <v>774</v>
      </c>
      <c r="D435" s="30" t="s">
        <v>147</v>
      </c>
      <c r="E435" s="30" t="s">
        <v>776</v>
      </c>
      <c r="F435" s="36" t="str">
        <f>IF(ISBLANK(Table2[[#This Row],[unique_id]]), "", PROPER(SUBSTITUTE(Table2[[#This Row],[unique_id]], "_", " ")))</f>
        <v>Template Kitchen Move Proxy</v>
      </c>
      <c r="G435" s="30" t="s">
        <v>704</v>
      </c>
      <c r="H435" s="30" t="s">
        <v>711</v>
      </c>
      <c r="I435" s="30" t="s">
        <v>143</v>
      </c>
      <c r="O435" s="31" t="s">
        <v>754</v>
      </c>
      <c r="P435" s="30" t="s">
        <v>164</v>
      </c>
      <c r="Q435" s="30" t="s">
        <v>726</v>
      </c>
      <c r="R435" s="41" t="s">
        <v>711</v>
      </c>
      <c r="S435" s="30" t="str">
        <f>_xlfn.CONCAT( Table2[[#This Row],[friendly_name]], " Devices")</f>
        <v>Kitchen Move Devices</v>
      </c>
      <c r="T435" s="37" t="s">
        <v>779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 t="s">
        <v>144</v>
      </c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347</v>
      </c>
      <c r="BC435" s="30" t="s">
        <v>1004</v>
      </c>
      <c r="BD435" s="30" t="s">
        <v>180</v>
      </c>
      <c r="BF435" s="30">
        <v>15.4</v>
      </c>
      <c r="BG435" s="30" t="s">
        <v>204</v>
      </c>
      <c r="BM435" s="39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customHeight="1" x14ac:dyDescent="0.2">
      <c r="A436" s="30">
        <v>2664</v>
      </c>
      <c r="B436" s="30" t="s">
        <v>26</v>
      </c>
      <c r="C436" s="30" t="s">
        <v>180</v>
      </c>
      <c r="D436" s="30" t="s">
        <v>144</v>
      </c>
      <c r="E436" s="30" t="s">
        <v>699</v>
      </c>
      <c r="F436" s="36" t="str">
        <f>IF(ISBLANK(Table2[[#This Row],[unique_id]]), "", PROPER(SUBSTITUTE(Table2[[#This Row],[unique_id]], "_", " ")))</f>
        <v>Kitchen Move</v>
      </c>
      <c r="G436" s="30" t="s">
        <v>704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 t="s">
        <v>754</v>
      </c>
      <c r="P436" s="30" t="s">
        <v>164</v>
      </c>
      <c r="Q436" s="30" t="s">
        <v>726</v>
      </c>
      <c r="R436" s="41" t="s">
        <v>711</v>
      </c>
      <c r="S436" s="30" t="str">
        <f>_xlfn.CONCAT( Table2[[#This Row],[friendly_name]], " Devices")</f>
        <v>Kitchen Move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Kitchen</v>
      </c>
      <c r="BB436" s="30" t="s">
        <v>347</v>
      </c>
      <c r="BC436" s="30" t="s">
        <v>1004</v>
      </c>
      <c r="BD436" s="30" t="s">
        <v>180</v>
      </c>
      <c r="BF436" s="30">
        <v>15.4</v>
      </c>
      <c r="BG436" s="30" t="s">
        <v>204</v>
      </c>
      <c r="BK436" s="30" t="s">
        <v>1211</v>
      </c>
      <c r="BL436" s="30" t="s">
        <v>350</v>
      </c>
      <c r="BM436" s="39" t="s">
        <v>1225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7" spans="1:66" ht="16" customHeight="1" x14ac:dyDescent="0.2">
      <c r="A437" s="30">
        <v>2665</v>
      </c>
      <c r="B437" s="30" t="s">
        <v>26</v>
      </c>
      <c r="C437" s="30" t="s">
        <v>180</v>
      </c>
      <c r="D437" s="30" t="s">
        <v>144</v>
      </c>
      <c r="E437" s="30" t="s">
        <v>698</v>
      </c>
      <c r="F437" s="36" t="str">
        <f>IF(ISBLANK(Table2[[#This Row],[unique_id]]), "", PROPER(SUBSTITUTE(Table2[[#This Row],[unique_id]], "_", " ")))</f>
        <v>Kitchen Five</v>
      </c>
      <c r="G437" s="30" t="s">
        <v>705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Five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778</v>
      </c>
      <c r="BC437" s="30" t="s">
        <v>1005</v>
      </c>
      <c r="BD437" s="30" t="s">
        <v>180</v>
      </c>
      <c r="BF437" s="30">
        <v>15.4</v>
      </c>
      <c r="BG437" s="30" t="s">
        <v>204</v>
      </c>
      <c r="BK437" s="30" t="s">
        <v>1211</v>
      </c>
      <c r="BL437" s="37" t="s">
        <v>349</v>
      </c>
      <c r="BM437" s="39" t="s">
        <v>1226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38" spans="1:66" ht="16" customHeight="1" x14ac:dyDescent="0.2">
      <c r="A438" s="30">
        <v>2666</v>
      </c>
      <c r="B438" s="30" t="s">
        <v>561</v>
      </c>
      <c r="C438" s="30" t="s">
        <v>774</v>
      </c>
      <c r="D438" s="30" t="s">
        <v>147</v>
      </c>
      <c r="E438" s="30" t="s">
        <v>777</v>
      </c>
      <c r="F438" s="36" t="str">
        <f>IF(ISBLANK(Table2[[#This Row],[unique_id]]), "", PROPER(SUBSTITUTE(Table2[[#This Row],[unique_id]], "_", " ")))</f>
        <v>Template Parents Move Proxy</v>
      </c>
      <c r="G438" s="30" t="s">
        <v>706</v>
      </c>
      <c r="H438" s="30" t="s">
        <v>711</v>
      </c>
      <c r="I438" s="30" t="s">
        <v>143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Parents Move Devices</v>
      </c>
      <c r="T438" s="37" t="s">
        <v>779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 t="s">
        <v>144</v>
      </c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Parents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190</v>
      </c>
      <c r="BM438" s="39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2667</v>
      </c>
      <c r="B439" s="30" t="s">
        <v>26</v>
      </c>
      <c r="C439" s="30" t="s">
        <v>180</v>
      </c>
      <c r="D439" s="30" t="s">
        <v>144</v>
      </c>
      <c r="E439" s="30" t="s">
        <v>697</v>
      </c>
      <c r="F439" s="36" t="str">
        <f>IF(ISBLANK(Table2[[#This Row],[unique_id]]), "", PROPER(SUBSTITUTE(Table2[[#This Row],[unique_id]], "_", " ")))</f>
        <v>Parents Move</v>
      </c>
      <c r="G439" s="30" t="s">
        <v>706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Parents Move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190</v>
      </c>
      <c r="BK439" s="30" t="s">
        <v>1211</v>
      </c>
      <c r="BL439" s="30" t="s">
        <v>348</v>
      </c>
      <c r="BM439" s="39" t="s">
        <v>1227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0" spans="1:66" ht="16" customHeight="1" x14ac:dyDescent="0.2">
      <c r="A440" s="30">
        <v>2668</v>
      </c>
      <c r="B440" s="30" t="s">
        <v>26</v>
      </c>
      <c r="C440" s="30" t="s">
        <v>262</v>
      </c>
      <c r="D440" s="30" t="s">
        <v>144</v>
      </c>
      <c r="E440" s="30" t="s">
        <v>1270</v>
      </c>
      <c r="F440" s="36" t="str">
        <f>IF(ISBLANK(Table2[[#This Row],[unique_id]]), "", PROPER(SUBSTITUTE(Table2[[#This Row],[unique_id]], "_", " ")))</f>
        <v>Parents Homepod</v>
      </c>
      <c r="G440" s="30" t="s">
        <v>1271</v>
      </c>
      <c r="H440" s="30" t="s">
        <v>711</v>
      </c>
      <c r="I440" s="30" t="s">
        <v>143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1272</v>
      </c>
      <c r="BC440" s="30" t="s">
        <v>1007</v>
      </c>
      <c r="BD440" s="30" t="s">
        <v>262</v>
      </c>
      <c r="BF440" s="30" t="s">
        <v>379</v>
      </c>
      <c r="BG440" s="30" t="s">
        <v>190</v>
      </c>
      <c r="BK440" s="30" t="s">
        <v>1211</v>
      </c>
      <c r="BL440" s="41" t="s">
        <v>382</v>
      </c>
      <c r="BM440" s="39" t="s">
        <v>1228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1" spans="1:66" ht="16" customHeight="1" x14ac:dyDescent="0.2">
      <c r="A441" s="30">
        <v>2700</v>
      </c>
      <c r="B441" s="30" t="s">
        <v>26</v>
      </c>
      <c r="C441" s="30" t="s">
        <v>149</v>
      </c>
      <c r="D441" s="30" t="s">
        <v>292</v>
      </c>
      <c r="E441" s="30" t="s">
        <v>634</v>
      </c>
      <c r="F441" s="36" t="str">
        <f>IF(ISBLANK(Table2[[#This Row],[unique_id]]), "", PROPER(SUBSTITUTE(Table2[[#This Row],[unique_id]], "_", " ")))</f>
        <v>Back Door Lock Security</v>
      </c>
      <c r="G441" s="30" t="s">
        <v>630</v>
      </c>
      <c r="H441" s="30" t="s">
        <v>612</v>
      </c>
      <c r="I441" s="30" t="s">
        <v>207</v>
      </c>
      <c r="M441" s="30" t="s">
        <v>135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E441" s="30" t="s">
        <v>645</v>
      </c>
      <c r="AG441" s="31"/>
      <c r="AH441" s="31"/>
      <c r="AT441" s="4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/>
      </c>
      <c r="BF441" s="31"/>
      <c r="BL441" s="41"/>
      <c r="BM441" s="39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2701</v>
      </c>
      <c r="B442" s="30" t="s">
        <v>26</v>
      </c>
      <c r="C442" s="30" t="s">
        <v>149</v>
      </c>
      <c r="D442" s="30" t="s">
        <v>147</v>
      </c>
      <c r="E442" s="30" t="s">
        <v>647</v>
      </c>
      <c r="F442" s="36" t="str">
        <f>IF(ISBLANK(Table2[[#This Row],[unique_id]]), "", PROPER(SUBSTITUTE(Table2[[#This Row],[unique_id]], "_", " ")))</f>
        <v>Template Back Door State</v>
      </c>
      <c r="G442" s="30" t="s">
        <v>272</v>
      </c>
      <c r="H442" s="30" t="s">
        <v>612</v>
      </c>
      <c r="I442" s="30" t="s">
        <v>207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/>
      </c>
      <c r="BF442" s="31"/>
      <c r="BL442" s="41"/>
      <c r="BM442" s="39"/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66" ht="16" customHeight="1" x14ac:dyDescent="0.2">
      <c r="A443" s="30">
        <v>2702</v>
      </c>
      <c r="B443" s="30" t="s">
        <v>26</v>
      </c>
      <c r="C443" s="30" t="s">
        <v>603</v>
      </c>
      <c r="D443" s="30" t="s">
        <v>606</v>
      </c>
      <c r="E443" s="30" t="s">
        <v>607</v>
      </c>
      <c r="F443" s="36" t="str">
        <f>IF(ISBLANK(Table2[[#This Row],[unique_id]]), "", PROPER(SUBSTITUTE(Table2[[#This Row],[unique_id]], "_", " ")))</f>
        <v>Back Door Lock</v>
      </c>
      <c r="G443" s="30" t="s">
        <v>649</v>
      </c>
      <c r="H443" s="30" t="s">
        <v>612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 t="s">
        <v>471</v>
      </c>
      <c r="X443" s="31"/>
      <c r="Y443" s="42" t="s">
        <v>722</v>
      </c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3" s="30" t="str">
        <f>Table2[[#This Row],[device_suggested_area]]</f>
        <v>Back Door</v>
      </c>
      <c r="BA443" s="30" t="str">
        <f>IF(ISBLANK(Table2[[#This Row],[device_model]]), "", Table2[[#This Row],[device_suggested_area]])</f>
        <v>Back Door</v>
      </c>
      <c r="BB443" s="30" t="s">
        <v>997</v>
      </c>
      <c r="BC443" s="30" t="s">
        <v>604</v>
      </c>
      <c r="BD443" s="30" t="s">
        <v>603</v>
      </c>
      <c r="BF443" s="30" t="s">
        <v>605</v>
      </c>
      <c r="BG443" s="30" t="s">
        <v>612</v>
      </c>
      <c r="BL443" s="30" t="s">
        <v>602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4" spans="1:66" ht="16" customHeight="1" x14ac:dyDescent="0.2">
      <c r="A444" s="30">
        <v>2703</v>
      </c>
      <c r="B444" s="30" t="s">
        <v>26</v>
      </c>
      <c r="C444" s="30" t="s">
        <v>316</v>
      </c>
      <c r="D444" s="30" t="s">
        <v>147</v>
      </c>
      <c r="E444" s="30" t="s">
        <v>640</v>
      </c>
      <c r="F444" s="36" t="str">
        <f>IF(ISBLANK(Table2[[#This Row],[unique_id]]), "", PROPER(SUBSTITUTE(Table2[[#This Row],[unique_id]], "_", " ")))</f>
        <v>Template Back Door Sensor Contact Last</v>
      </c>
      <c r="G444" s="30" t="s">
        <v>648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 t="s">
        <v>471</v>
      </c>
      <c r="X444" s="31"/>
      <c r="Y444" s="42" t="s">
        <v>722</v>
      </c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4" s="37" t="str">
        <f>Table2[[#This Row],[device_suggested_area]]</f>
        <v>Back Door</v>
      </c>
      <c r="BA444" s="30" t="str">
        <f>IF(ISBLANK(Table2[[#This Row],[device_model]]), "", Table2[[#This Row],[device_suggested_area]])</f>
        <v>Back Door</v>
      </c>
      <c r="BB444" s="37" t="s">
        <v>1001</v>
      </c>
      <c r="BC444" s="37" t="s">
        <v>623</v>
      </c>
      <c r="BD444" s="30" t="s">
        <v>1075</v>
      </c>
      <c r="BF444" s="30" t="s">
        <v>605</v>
      </c>
      <c r="BG444" s="30" t="s">
        <v>612</v>
      </c>
      <c r="BL444" s="30" t="s">
        <v>625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5" spans="1:66" ht="16" customHeight="1" x14ac:dyDescent="0.2">
      <c r="A445" s="30">
        <v>2704</v>
      </c>
      <c r="B445" s="30" t="s">
        <v>561</v>
      </c>
      <c r="C445" s="30" t="s">
        <v>232</v>
      </c>
      <c r="D445" s="30" t="s">
        <v>146</v>
      </c>
      <c r="F445" s="36" t="str">
        <f>IF(ISBLANK(Table2[[#This Row],[unique_id]]), "", PROPER(SUBSTITUTE(Table2[[#This Row],[unique_id]], "_", " ")))</f>
        <v/>
      </c>
      <c r="G445" s="30" t="s">
        <v>612</v>
      </c>
      <c r="H445" s="30" t="s">
        <v>620</v>
      </c>
      <c r="I445" s="30" t="s">
        <v>207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C445" s="37"/>
      <c r="BF445" s="31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2705</v>
      </c>
      <c r="B446" s="30" t="s">
        <v>26</v>
      </c>
      <c r="C446" s="30" t="s">
        <v>149</v>
      </c>
      <c r="D446" s="30" t="s">
        <v>292</v>
      </c>
      <c r="E446" s="30" t="s">
        <v>635</v>
      </c>
      <c r="F446" s="36" t="str">
        <f>IF(ISBLANK(Table2[[#This Row],[unique_id]]), "", PROPER(SUBSTITUTE(Table2[[#This Row],[unique_id]], "_", " ")))</f>
        <v>Front Door Lock Security</v>
      </c>
      <c r="G446" s="30" t="s">
        <v>630</v>
      </c>
      <c r="H446" s="30" t="s">
        <v>611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645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2706</v>
      </c>
      <c r="B447" s="30" t="s">
        <v>26</v>
      </c>
      <c r="C447" s="30" t="s">
        <v>149</v>
      </c>
      <c r="D447" s="30" t="s">
        <v>147</v>
      </c>
      <c r="E447" s="30" t="s">
        <v>646</v>
      </c>
      <c r="F447" s="36" t="str">
        <f>IF(ISBLANK(Table2[[#This Row],[unique_id]]), "", PROPER(SUBSTITUTE(Table2[[#This Row],[unique_id]], "_", " ")))</f>
        <v>Template Front Door State</v>
      </c>
      <c r="G447" s="30" t="s">
        <v>272</v>
      </c>
      <c r="H447" s="30" t="s">
        <v>611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2707</v>
      </c>
      <c r="B448" s="30" t="s">
        <v>26</v>
      </c>
      <c r="C448" s="30" t="s">
        <v>603</v>
      </c>
      <c r="D448" s="30" t="s">
        <v>606</v>
      </c>
      <c r="E448" s="30" t="s">
        <v>608</v>
      </c>
      <c r="F448" s="36" t="str">
        <f>IF(ISBLANK(Table2[[#This Row],[unique_id]]), "", PROPER(SUBSTITUTE(Table2[[#This Row],[unique_id]], "_", " ")))</f>
        <v>Front Door Lock</v>
      </c>
      <c r="G448" s="30" t="s">
        <v>649</v>
      </c>
      <c r="H448" s="30" t="s">
        <v>611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 t="s">
        <v>471</v>
      </c>
      <c r="X448" s="31"/>
      <c r="Y448" s="42" t="s">
        <v>722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Front Door</v>
      </c>
      <c r="BA448" s="30" t="str">
        <f>IF(ISBLANK(Table2[[#This Row],[device_model]]), "", Table2[[#This Row],[device_suggested_area]])</f>
        <v>Front Door</v>
      </c>
      <c r="BB448" s="30" t="s">
        <v>997</v>
      </c>
      <c r="BC448" s="30" t="s">
        <v>604</v>
      </c>
      <c r="BD448" s="30" t="s">
        <v>603</v>
      </c>
      <c r="BF448" s="30" t="s">
        <v>605</v>
      </c>
      <c r="BG448" s="30" t="s">
        <v>611</v>
      </c>
      <c r="BL448" s="30" t="s">
        <v>609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49" spans="1:66" ht="16" customHeight="1" x14ac:dyDescent="0.2">
      <c r="A449" s="30">
        <v>2708</v>
      </c>
      <c r="B449" s="30" t="s">
        <v>26</v>
      </c>
      <c r="C449" s="30" t="s">
        <v>316</v>
      </c>
      <c r="D449" s="30" t="s">
        <v>147</v>
      </c>
      <c r="E449" s="30" t="s">
        <v>639</v>
      </c>
      <c r="F449" s="36" t="str">
        <f>IF(ISBLANK(Table2[[#This Row],[unique_id]]), "", PROPER(SUBSTITUTE(Table2[[#This Row],[unique_id]], "_", " ")))</f>
        <v>Template Front Door Sensor Contact Last</v>
      </c>
      <c r="G449" s="30" t="s">
        <v>648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 t="s">
        <v>471</v>
      </c>
      <c r="X449" s="31"/>
      <c r="Y449" s="42" t="s">
        <v>722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Front Door</v>
      </c>
      <c r="BA449" s="30" t="str">
        <f>IF(ISBLANK(Table2[[#This Row],[device_model]]), "", Table2[[#This Row],[device_suggested_area]])</f>
        <v>Front Door</v>
      </c>
      <c r="BB449" s="37" t="s">
        <v>1001</v>
      </c>
      <c r="BC449" s="37" t="s">
        <v>623</v>
      </c>
      <c r="BD449" s="30" t="s">
        <v>1075</v>
      </c>
      <c r="BF449" s="30" t="s">
        <v>605</v>
      </c>
      <c r="BG449" s="30" t="s">
        <v>611</v>
      </c>
      <c r="BL449" s="30" t="s">
        <v>624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0" spans="1:66" ht="16" customHeight="1" x14ac:dyDescent="0.2">
      <c r="A450" s="30">
        <v>2709</v>
      </c>
      <c r="B450" s="30" t="s">
        <v>561</v>
      </c>
      <c r="C450" s="30" t="s">
        <v>232</v>
      </c>
      <c r="D450" s="30" t="s">
        <v>146</v>
      </c>
      <c r="F450" s="36" t="str">
        <f>IF(ISBLANK(Table2[[#This Row],[unique_id]]), "", PROPER(SUBSTITUTE(Table2[[#This Row],[unique_id]], "_", " ")))</f>
        <v/>
      </c>
      <c r="G450" s="30" t="s">
        <v>611</v>
      </c>
      <c r="H450" s="30" t="s">
        <v>619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2710</v>
      </c>
      <c r="B451" s="30" t="s">
        <v>26</v>
      </c>
      <c r="C451" s="30" t="s">
        <v>132</v>
      </c>
      <c r="D451" s="30" t="s">
        <v>147</v>
      </c>
      <c r="E451" s="30" t="s">
        <v>581</v>
      </c>
      <c r="F451" s="36" t="str">
        <f>IF(ISBLANK(Table2[[#This Row],[unique_id]]), "", PROPER(SUBSTITUTE(Table2[[#This Row],[unique_id]], "_", " ")))</f>
        <v>Ada Fan Occupancy</v>
      </c>
      <c r="G451" s="30" t="s">
        <v>129</v>
      </c>
      <c r="H451" s="30" t="s">
        <v>617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2711</v>
      </c>
      <c r="B452" s="30" t="s">
        <v>26</v>
      </c>
      <c r="C452" s="30" t="s">
        <v>132</v>
      </c>
      <c r="D452" s="30" t="s">
        <v>147</v>
      </c>
      <c r="E452" s="30" t="s">
        <v>580</v>
      </c>
      <c r="F452" s="36" t="str">
        <f>IF(ISBLANK(Table2[[#This Row],[unique_id]]), "", PROPER(SUBSTITUTE(Table2[[#This Row],[unique_id]], "_", " ")))</f>
        <v>Edwin Fan Occupancy</v>
      </c>
      <c r="G452" s="30" t="s">
        <v>126</v>
      </c>
      <c r="H452" s="30" t="s">
        <v>617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2712</v>
      </c>
      <c r="B453" s="30" t="s">
        <v>26</v>
      </c>
      <c r="C453" s="30" t="s">
        <v>132</v>
      </c>
      <c r="D453" s="30" t="s">
        <v>147</v>
      </c>
      <c r="E453" s="30" t="s">
        <v>582</v>
      </c>
      <c r="F453" s="36" t="str">
        <f>IF(ISBLANK(Table2[[#This Row],[unique_id]]), "", PROPER(SUBSTITUTE(Table2[[#This Row],[unique_id]], "_", " ")))</f>
        <v>Parents Fan Occupancy</v>
      </c>
      <c r="G453" s="30" t="s">
        <v>190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2713</v>
      </c>
      <c r="B454" s="30" t="s">
        <v>26</v>
      </c>
      <c r="C454" s="30" t="s">
        <v>132</v>
      </c>
      <c r="D454" s="30" t="s">
        <v>147</v>
      </c>
      <c r="E454" s="30" t="s">
        <v>583</v>
      </c>
      <c r="F454" s="36" t="str">
        <f>IF(ISBLANK(Table2[[#This Row],[unique_id]]), "", PROPER(SUBSTITUTE(Table2[[#This Row],[unique_id]], "_", " ")))</f>
        <v>Lounge Fan Occupancy</v>
      </c>
      <c r="G454" s="30" t="s">
        <v>192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2714</v>
      </c>
      <c r="B455" s="30" t="s">
        <v>26</v>
      </c>
      <c r="C455" s="30" t="s">
        <v>132</v>
      </c>
      <c r="D455" s="30" t="s">
        <v>147</v>
      </c>
      <c r="E455" s="30" t="s">
        <v>584</v>
      </c>
      <c r="F455" s="36" t="str">
        <f>IF(ISBLANK(Table2[[#This Row],[unique_id]]), "", PROPER(SUBSTITUTE(Table2[[#This Row],[unique_id]], "_", " ")))</f>
        <v>Deck East Fan Occupancy</v>
      </c>
      <c r="G455" s="30" t="s">
        <v>213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2715</v>
      </c>
      <c r="B456" s="30" t="s">
        <v>26</v>
      </c>
      <c r="C456" s="30" t="s">
        <v>132</v>
      </c>
      <c r="D456" s="30" t="s">
        <v>147</v>
      </c>
      <c r="E456" s="30" t="s">
        <v>585</v>
      </c>
      <c r="F456" s="36" t="str">
        <f>IF(ISBLANK(Table2[[#This Row],[unique_id]]), "", PROPER(SUBSTITUTE(Table2[[#This Row],[unique_id]], "_", " ")))</f>
        <v>Deck West Fan Occupancy</v>
      </c>
      <c r="G456" s="30" t="s">
        <v>212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2716</v>
      </c>
      <c r="B457" s="30" t="s">
        <v>26</v>
      </c>
      <c r="C457" s="30" t="s">
        <v>422</v>
      </c>
      <c r="D457" s="30" t="s">
        <v>315</v>
      </c>
      <c r="E457" s="30" t="s">
        <v>314</v>
      </c>
      <c r="F457" s="36" t="str">
        <f>IF(ISBLANK(Table2[[#This Row],[unique_id]]), "", PROPER(SUBSTITUTE(Table2[[#This Row],[unique_id]], "_", " ")))</f>
        <v>Column Break</v>
      </c>
      <c r="G457" s="30" t="s">
        <v>311</v>
      </c>
      <c r="H457" s="30" t="s">
        <v>614</v>
      </c>
      <c r="I457" s="30" t="s">
        <v>207</v>
      </c>
      <c r="M457" s="30" t="s">
        <v>312</v>
      </c>
      <c r="N457" s="30" t="s">
        <v>313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2717</v>
      </c>
      <c r="B458" s="30" t="s">
        <v>26</v>
      </c>
      <c r="C458" s="30" t="s">
        <v>232</v>
      </c>
      <c r="D458" s="30" t="s">
        <v>147</v>
      </c>
      <c r="E458" s="30" t="s">
        <v>148</v>
      </c>
      <c r="F458" s="36" t="str">
        <f>IF(ISBLANK(Table2[[#This Row],[unique_id]]), "", PROPER(SUBSTITUTE(Table2[[#This Row],[unique_id]], "_", " ")))</f>
        <v>Uvc Ada Motion</v>
      </c>
      <c r="G458" s="30" t="s">
        <v>610</v>
      </c>
      <c r="H458" s="30" t="s">
        <v>614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2718</v>
      </c>
      <c r="B459" s="30" t="s">
        <v>26</v>
      </c>
      <c r="C459" s="30" t="s">
        <v>232</v>
      </c>
      <c r="D459" s="30" t="s">
        <v>146</v>
      </c>
      <c r="E459" s="30" t="s">
        <v>1283</v>
      </c>
      <c r="F459" s="36" t="str">
        <f>IF(ISBLANK(Table2[[#This Row],[unique_id]]), "", PROPER(SUBSTITUTE(Table2[[#This Row],[unique_id]], "_", " ")))</f>
        <v>Uvc Ada Medium Resolution Channel</v>
      </c>
      <c r="G459" s="30" t="s">
        <v>129</v>
      </c>
      <c r="H459" s="30" t="s">
        <v>616</v>
      </c>
      <c r="I459" s="30" t="s">
        <v>207</v>
      </c>
      <c r="M459" s="30" t="s">
        <v>135</v>
      </c>
      <c r="N459" s="30" t="s">
        <v>269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0" t="s">
        <v>1383</v>
      </c>
      <c r="BA459" s="30" t="str">
        <f>IF(ISBLANK(Table2[[#This Row],[device_model]]), "", Table2[[#This Row],[device_suggested_area]])</f>
        <v>Ada</v>
      </c>
      <c r="BB459" s="30" t="str">
        <f>Table2[[#This Row],[device_suggested_area]]</f>
        <v>Ada</v>
      </c>
      <c r="BC459" s="30" t="s">
        <v>367</v>
      </c>
      <c r="BD459" s="30" t="s">
        <v>232</v>
      </c>
      <c r="BF459" s="30" t="s">
        <v>368</v>
      </c>
      <c r="BG459" s="30" t="s">
        <v>129</v>
      </c>
      <c r="BK459" s="30" t="s">
        <v>1212</v>
      </c>
      <c r="BL459" s="30" t="s">
        <v>365</v>
      </c>
      <c r="BM459" s="30" t="s">
        <v>1267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0" spans="1:66" ht="16" customHeight="1" x14ac:dyDescent="0.2">
      <c r="A460" s="30">
        <v>2719</v>
      </c>
      <c r="B460" s="30" t="s">
        <v>26</v>
      </c>
      <c r="C460" s="30" t="s">
        <v>232</v>
      </c>
      <c r="D460" s="30" t="s">
        <v>147</v>
      </c>
      <c r="E460" s="30" t="s">
        <v>206</v>
      </c>
      <c r="F460" s="36" t="str">
        <f>IF(ISBLANK(Table2[[#This Row],[unique_id]]), "", PROPER(SUBSTITUTE(Table2[[#This Row],[unique_id]], "_", " ")))</f>
        <v>Uvc Edwin Motion</v>
      </c>
      <c r="G460" s="30" t="s">
        <v>610</v>
      </c>
      <c r="H460" s="30" t="s">
        <v>613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2720</v>
      </c>
      <c r="B461" s="30" t="s">
        <v>26</v>
      </c>
      <c r="C461" s="30" t="s">
        <v>232</v>
      </c>
      <c r="D461" s="30" t="s">
        <v>146</v>
      </c>
      <c r="E461" s="30" t="s">
        <v>1284</v>
      </c>
      <c r="F461" s="36" t="str">
        <f>IF(ISBLANK(Table2[[#This Row],[unique_id]]), "", PROPER(SUBSTITUTE(Table2[[#This Row],[unique_id]], "_", " ")))</f>
        <v>Uvc Edwin Medium Resolution Channel</v>
      </c>
      <c r="G461" s="30" t="s">
        <v>126</v>
      </c>
      <c r="H461" s="30" t="s">
        <v>615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1383</v>
      </c>
      <c r="BA461" s="30" t="str">
        <f>IF(ISBLANK(Table2[[#This Row],[device_model]]), "", Table2[[#This Row],[device_suggested_area]])</f>
        <v>Edwin</v>
      </c>
      <c r="BB461" s="30" t="str">
        <f>Table2[[#This Row],[device_suggested_area]]</f>
        <v>Edwin</v>
      </c>
      <c r="BC461" s="30" t="s">
        <v>367</v>
      </c>
      <c r="BD461" s="30" t="s">
        <v>232</v>
      </c>
      <c r="BF461" s="30" t="s">
        <v>368</v>
      </c>
      <c r="BG461" s="30" t="s">
        <v>126</v>
      </c>
      <c r="BK461" s="30" t="s">
        <v>1212</v>
      </c>
      <c r="BL461" s="30" t="s">
        <v>366</v>
      </c>
      <c r="BM461" s="30" t="s">
        <v>1268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2" spans="1:66" ht="16" customHeight="1" x14ac:dyDescent="0.2">
      <c r="A462" s="30">
        <v>2721</v>
      </c>
      <c r="B462" s="30" t="s">
        <v>26</v>
      </c>
      <c r="C462" s="30" t="s">
        <v>422</v>
      </c>
      <c r="D462" s="30" t="s">
        <v>315</v>
      </c>
      <c r="E462" s="30" t="s">
        <v>314</v>
      </c>
      <c r="F462" s="36" t="str">
        <f>IF(ISBLANK(Table2[[#This Row],[unique_id]]), "", PROPER(SUBSTITUTE(Table2[[#This Row],[unique_id]], "_", " ")))</f>
        <v>Column Break</v>
      </c>
      <c r="G462" s="30" t="s">
        <v>311</v>
      </c>
      <c r="H462" s="30" t="s">
        <v>615</v>
      </c>
      <c r="I462" s="30" t="s">
        <v>207</v>
      </c>
      <c r="M462" s="30" t="s">
        <v>312</v>
      </c>
      <c r="N462" s="30" t="s">
        <v>313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5000</v>
      </c>
      <c r="B463" s="39" t="s">
        <v>26</v>
      </c>
      <c r="C463" s="30" t="s">
        <v>232</v>
      </c>
      <c r="F463" s="36" t="str">
        <f>IF(ISBLANK(Table2[[#This Row],[unique_id]]), "", PROPER(SUBSTITUTE(Table2[[#This Row],[unique_id]], "_", " ")))</f>
        <v/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1384</v>
      </c>
      <c r="BA463" s="30" t="str">
        <f>IF(ISBLANK(Table2[[#This Row],[device_model]]), "", Table2[[#This Row],[device_suggested_area]])</f>
        <v>Rack</v>
      </c>
      <c r="BC463" s="30" t="s">
        <v>993</v>
      </c>
      <c r="BD463" s="30" t="s">
        <v>232</v>
      </c>
      <c r="BF463" s="30" t="s">
        <v>384</v>
      </c>
      <c r="BG463" s="30" t="s">
        <v>28</v>
      </c>
      <c r="BK463" s="30" t="s">
        <v>1205</v>
      </c>
      <c r="BL463" s="30" t="s">
        <v>387</v>
      </c>
      <c r="BM463" s="30" t="s">
        <v>1206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4" spans="1:66" ht="16" customHeight="1" x14ac:dyDescent="0.2">
      <c r="A464" s="30">
        <v>5001</v>
      </c>
      <c r="B464" s="39" t="s">
        <v>26</v>
      </c>
      <c r="C464" s="30" t="s">
        <v>232</v>
      </c>
      <c r="F464" s="36" t="str">
        <f>IF(ISBLANK(Table2[[#This Row],[unique_id]]), "", PROPER(SUBSTITUTE(Table2[[#This Row],[unique_id]], "_", " ")))</f>
        <v/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1385</v>
      </c>
      <c r="BA464" s="30" t="str">
        <f>IF(ISBLANK(Table2[[#This Row],[device_model]]), "", Table2[[#This Row],[device_suggested_area]])</f>
        <v>Rack</v>
      </c>
      <c r="BB464" s="30" t="str">
        <f>Table2[[#This Row],[device_suggested_area]]</f>
        <v>Rack</v>
      </c>
      <c r="BC464" s="30" t="s">
        <v>990</v>
      </c>
      <c r="BD464" s="30" t="s">
        <v>232</v>
      </c>
      <c r="BF464" s="30" t="s">
        <v>591</v>
      </c>
      <c r="BG464" s="30" t="s">
        <v>28</v>
      </c>
      <c r="BK464" s="30" t="s">
        <v>1205</v>
      </c>
      <c r="BL464" s="30" t="s">
        <v>592</v>
      </c>
      <c r="BM464" s="30" t="s">
        <v>1207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5" spans="1:66" ht="16" customHeight="1" x14ac:dyDescent="0.2">
      <c r="A465" s="30">
        <v>5002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1385</v>
      </c>
      <c r="BA465" s="30" t="str">
        <f>IF(ISBLANK(Table2[[#This Row],[device_model]]), "", Table2[[#This Row],[device_suggested_area]])</f>
        <v>Office</v>
      </c>
      <c r="BB465" s="30" t="str">
        <f>Table2[[#This Row],[device_suggested_area]]</f>
        <v>Office</v>
      </c>
      <c r="BC465" s="30" t="s">
        <v>991</v>
      </c>
      <c r="BD465" s="30" t="s">
        <v>232</v>
      </c>
      <c r="BF465" s="30" t="s">
        <v>1031</v>
      </c>
      <c r="BG465" s="30" t="s">
        <v>210</v>
      </c>
      <c r="BK465" s="30" t="s">
        <v>1205</v>
      </c>
      <c r="BL465" s="30" t="s">
        <v>388</v>
      </c>
      <c r="BM465" s="30" t="s">
        <v>1421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6" spans="1:66" ht="16" customHeight="1" x14ac:dyDescent="0.2">
      <c r="A466" s="30">
        <v>5003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Ceiling</v>
      </c>
      <c r="BB466" s="30" t="str">
        <f>Table2[[#This Row],[device_suggested_area]]</f>
        <v>Ceiling</v>
      </c>
      <c r="BC466" s="30" t="s">
        <v>1420</v>
      </c>
      <c r="BD466" s="30" t="s">
        <v>232</v>
      </c>
      <c r="BF466" s="30" t="s">
        <v>1031</v>
      </c>
      <c r="BG466" s="30" t="s">
        <v>385</v>
      </c>
      <c r="BK466" s="30" t="s">
        <v>1205</v>
      </c>
      <c r="BL466" s="30" t="s">
        <v>1422</v>
      </c>
      <c r="BM466" s="30" t="s">
        <v>1208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7" spans="1:66" ht="16" customHeight="1" x14ac:dyDescent="0.2">
      <c r="A467" s="30">
        <v>5004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1386</v>
      </c>
      <c r="BA467" s="30" t="str">
        <f>IF(ISBLANK(Table2[[#This Row],[device_model]]), "", Table2[[#This Row],[device_suggested_area]])</f>
        <v>Hallway</v>
      </c>
      <c r="BB467" s="30" t="str">
        <f>Table2[[#This Row],[device_suggested_area]]</f>
        <v>Hallway</v>
      </c>
      <c r="BC467" s="30" t="s">
        <v>1328</v>
      </c>
      <c r="BD467" s="30" t="s">
        <v>232</v>
      </c>
      <c r="BF467" s="30" t="s">
        <v>1030</v>
      </c>
      <c r="BG467" s="30" t="s">
        <v>386</v>
      </c>
      <c r="BK467" s="30" t="s">
        <v>1205</v>
      </c>
      <c r="BL467" s="30" t="s">
        <v>1327</v>
      </c>
      <c r="BM467" s="30" t="s">
        <v>1209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68" spans="1:66" ht="16" customHeight="1" x14ac:dyDescent="0.2">
      <c r="A468" s="30">
        <v>5005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1386</v>
      </c>
      <c r="BA468" s="30" t="str">
        <f>IF(ISBLANK(Table2[[#This Row],[device_model]]), "", Table2[[#This Row],[device_suggested_area]])</f>
        <v>Deck North</v>
      </c>
      <c r="BB468" s="30" t="str">
        <f>Table2[[#This Row],[device_suggested_area]]</f>
        <v>Deck North</v>
      </c>
      <c r="BC468" s="30" t="s">
        <v>992</v>
      </c>
      <c r="BD468" s="30" t="s">
        <v>232</v>
      </c>
      <c r="BF468" s="30" t="s">
        <v>1030</v>
      </c>
      <c r="BG468" s="30" t="s">
        <v>1379</v>
      </c>
      <c r="BK468" s="30" t="s">
        <v>1205</v>
      </c>
      <c r="BL468" s="30" t="s">
        <v>1381</v>
      </c>
      <c r="BM468" s="30" t="s">
        <v>1210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69" spans="1:66" ht="16" customHeight="1" x14ac:dyDescent="0.2">
      <c r="A469" s="30">
        <v>5006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Deck South</v>
      </c>
      <c r="BB469" s="30" t="str">
        <f>Table2[[#This Row],[device_suggested_area]]</f>
        <v>Deck South</v>
      </c>
      <c r="BC469" s="30" t="s">
        <v>992</v>
      </c>
      <c r="BD469" s="30" t="s">
        <v>232</v>
      </c>
      <c r="BF469" s="30" t="s">
        <v>1030</v>
      </c>
      <c r="BG469" s="30" t="s">
        <v>1378</v>
      </c>
      <c r="BK469" s="30" t="s">
        <v>1205</v>
      </c>
      <c r="BL469" s="30" t="s">
        <v>389</v>
      </c>
      <c r="BM469" s="30" t="s">
        <v>1380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0" spans="1:66" ht="16" customHeight="1" x14ac:dyDescent="0.2">
      <c r="A470" s="30">
        <v>5007</v>
      </c>
      <c r="B470" s="39" t="s">
        <v>561</v>
      </c>
      <c r="C470" s="39" t="s">
        <v>232</v>
      </c>
      <c r="D470" s="39"/>
      <c r="E470" s="39"/>
      <c r="F470" s="36" t="str">
        <f>IF(ISBLANK(Table2[[#This Row],[unique_id]]), "", PROPER(SUBSTITUTE(Table2[[#This Row],[unique_id]], "_", " ")))</f>
        <v/>
      </c>
      <c r="G470" s="39"/>
      <c r="H470" s="39"/>
      <c r="I470" s="39"/>
      <c r="K470" s="39"/>
      <c r="L470" s="39"/>
      <c r="M470" s="39"/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1313</v>
      </c>
      <c r="BA470" s="30" t="str">
        <f>IF(ISBLANK(Table2[[#This Row],[device_model]]), "", Table2[[#This Row],[device_suggested_area]])</f>
        <v>Rack</v>
      </c>
      <c r="BB470" s="30" t="s">
        <v>1324</v>
      </c>
      <c r="BC470" s="30" t="s">
        <v>1315</v>
      </c>
      <c r="BD470" s="30" t="s">
        <v>1313</v>
      </c>
      <c r="BF470" s="30" t="s">
        <v>1321</v>
      </c>
      <c r="BG470" s="30" t="s">
        <v>28</v>
      </c>
      <c r="BL470" s="41"/>
      <c r="BM470" s="30" t="s">
        <v>1323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1" spans="1:66" ht="16" customHeight="1" x14ac:dyDescent="0.2">
      <c r="A471" s="30">
        <v>5008</v>
      </c>
      <c r="B471" s="39" t="s">
        <v>561</v>
      </c>
      <c r="C471" s="39" t="s">
        <v>1313</v>
      </c>
      <c r="D471" s="39"/>
      <c r="E471" s="39"/>
      <c r="F471" s="36" t="str">
        <f>IF(ISBLANK(Table2[[#This Row],[unique_id]]), "", PROPER(SUBSTITUTE(Table2[[#This Row],[unique_id]], "_", " ")))</f>
        <v/>
      </c>
      <c r="G471" s="39"/>
      <c r="H471" s="39"/>
      <c r="I471" s="39"/>
      <c r="K471" s="39"/>
      <c r="L471" s="39"/>
      <c r="M471" s="39"/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">
        <v>1314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1313</v>
      </c>
      <c r="BA471" s="30" t="str">
        <f>IF(ISBLANK(Table2[[#This Row],[device_model]]), "", Table2[[#This Row],[device_suggested_area]])</f>
        <v>Rack</v>
      </c>
      <c r="BB471" s="30" t="s">
        <v>989</v>
      </c>
      <c r="BC471" s="30" t="s">
        <v>1315</v>
      </c>
      <c r="BD471" s="30" t="s">
        <v>1313</v>
      </c>
      <c r="BF471" s="30" t="s">
        <v>1321</v>
      </c>
      <c r="BG471" s="30" t="s">
        <v>28</v>
      </c>
      <c r="BL471" s="41"/>
      <c r="BM471" s="30" t="s">
        <v>1316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2" spans="1:66" ht="16" customHeight="1" x14ac:dyDescent="0.2">
      <c r="A472" s="30">
        <v>5009</v>
      </c>
      <c r="B472" s="39" t="s">
        <v>561</v>
      </c>
      <c r="C472" s="39" t="s">
        <v>1317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">
        <v>1318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1317</v>
      </c>
      <c r="BA472" s="30" t="str">
        <f>IF(ISBLANK(Table2[[#This Row],[device_model]]), "", Table2[[#This Row],[device_suggested_area]])</f>
        <v>Rack</v>
      </c>
      <c r="BB472" s="30" t="s">
        <v>1319</v>
      </c>
      <c r="BC472" s="30" t="s">
        <v>1320</v>
      </c>
      <c r="BD472" s="30" t="s">
        <v>1317</v>
      </c>
      <c r="BF472" s="30" t="s">
        <v>1321</v>
      </c>
      <c r="BG472" s="30" t="s">
        <v>28</v>
      </c>
      <c r="BL472" s="41"/>
      <c r="BM472" s="30" t="s">
        <v>1322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3" spans="1:66" ht="16" customHeight="1" x14ac:dyDescent="0.2">
      <c r="A473" s="30">
        <v>5010</v>
      </c>
      <c r="B473" s="39" t="s">
        <v>561</v>
      </c>
      <c r="C473" s="39" t="s">
        <v>369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994</v>
      </c>
      <c r="BA473" s="30" t="str">
        <f>IF(ISBLANK(Table2[[#This Row],[device_model]]), "", Table2[[#This Row],[device_suggested_area]])</f>
        <v>Rack</v>
      </c>
      <c r="BB473" s="30" t="s">
        <v>369</v>
      </c>
      <c r="BC473" s="30" t="s">
        <v>370</v>
      </c>
      <c r="BD473" s="30" t="s">
        <v>372</v>
      </c>
      <c r="BF473" s="30" t="s">
        <v>371</v>
      </c>
      <c r="BG473" s="30" t="s">
        <v>28</v>
      </c>
      <c r="BK473" s="30" t="s">
        <v>1211</v>
      </c>
      <c r="BL473" s="41" t="s">
        <v>414</v>
      </c>
      <c r="BM473" s="30" t="s">
        <v>1229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4" spans="1:66" ht="16" customHeight="1" x14ac:dyDescent="0.2">
      <c r="A474" s="30">
        <v>5011</v>
      </c>
      <c r="B474" s="39" t="s">
        <v>26</v>
      </c>
      <c r="C474" s="39" t="s">
        <v>360</v>
      </c>
      <c r="D474" s="39"/>
      <c r="E474" s="39"/>
      <c r="F474" s="30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J474" s="30" t="str">
        <f>IF(ISBLANK(AI474),  "", _xlfn.CONCAT("haas/entity/sensor/", LOWER(C474), "/", E474, "/config"))</f>
        <v/>
      </c>
      <c r="AK474" s="30" t="str">
        <f>IF(ISBLANK(AI474),  "", _xlfn.CONCAT(LOWER(C474), "/", E474))</f>
        <v/>
      </c>
      <c r="AT474" s="40"/>
      <c r="AU474" s="40"/>
      <c r="AV4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1021</v>
      </c>
      <c r="BA474" s="30" t="str">
        <f>IF(ISBLANK(Table2[[#This Row],[device_model]]), "", Table2[[#This Row],[device_suggested_area]])</f>
        <v>Wardrobe</v>
      </c>
      <c r="BB474" s="30" t="s">
        <v>1404</v>
      </c>
      <c r="BC474" s="30" t="s">
        <v>1000</v>
      </c>
      <c r="BD474" s="30" t="s">
        <v>536</v>
      </c>
      <c r="BF474" s="62" t="s">
        <v>1408</v>
      </c>
      <c r="BG474" s="30" t="s">
        <v>477</v>
      </c>
      <c r="BK474" s="30" t="s">
        <v>383</v>
      </c>
      <c r="BL474" s="30" t="s">
        <v>535</v>
      </c>
      <c r="BM474" s="30" t="s">
        <v>1204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5" spans="1:66" ht="16" customHeight="1" x14ac:dyDescent="0.2">
      <c r="A475" s="30">
        <v>5012</v>
      </c>
      <c r="B475" s="39" t="s">
        <v>561</v>
      </c>
      <c r="C475" s="39" t="s">
        <v>360</v>
      </c>
      <c r="D475" s="39"/>
      <c r="E475" s="39"/>
      <c r="F475" s="30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J475" s="30" t="str">
        <f>IF(ISBLANK(AI475),  "", _xlfn.CONCAT("haas/entity/sensor/", LOWER(C475), "/", E475, "/config"))</f>
        <v/>
      </c>
      <c r="AK475" s="30" t="str">
        <f>IF(ISBLANK(AI475),  "", _xlfn.CONCAT(LOWER(C475), "/", E475))</f>
        <v/>
      </c>
      <c r="AT475" s="40"/>
      <c r="AU475" s="4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1021</v>
      </c>
      <c r="BA475" s="30" t="str">
        <f>IF(ISBLANK(Table2[[#This Row],[device_model]]), "", Table2[[#This Row],[device_suggested_area]])</f>
        <v>Guildford</v>
      </c>
      <c r="BB475" s="30" t="s">
        <v>1406</v>
      </c>
      <c r="BC475" s="30" t="s">
        <v>1407</v>
      </c>
      <c r="BD475" s="30" t="s">
        <v>536</v>
      </c>
      <c r="BF475" s="62" t="s">
        <v>1408</v>
      </c>
      <c r="BG475" s="30" t="s">
        <v>1405</v>
      </c>
      <c r="BL475" s="30" t="s">
        <v>1412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6" spans="1:66" ht="16" customHeight="1" x14ac:dyDescent="0.2">
      <c r="A476" s="30">
        <v>5013</v>
      </c>
      <c r="B476" s="39" t="s">
        <v>26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>IF(ISBLANK(AI476),  "", _xlfn.CONCAT("haas/entity/sensor/", LOWER(C476), "/", E476, "/config"))</f>
        <v/>
      </c>
      <c r="AK476" s="30" t="str">
        <f>IF(ISBLANK(AI476),  "", _xlfn.CONCAT(LOWER(C476), "/", E476))</f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1020</v>
      </c>
      <c r="BA476" s="30" t="str">
        <f>IF(ISBLANK(Table2[[#This Row],[device_model]]), "", Table2[[#This Row],[device_suggested_area]])</f>
        <v>Rack</v>
      </c>
      <c r="BB476" s="30" t="s">
        <v>1409</v>
      </c>
      <c r="BC476" s="30" t="s">
        <v>1410</v>
      </c>
      <c r="BD476" s="30" t="s">
        <v>262</v>
      </c>
      <c r="BF476" s="62" t="s">
        <v>1414</v>
      </c>
      <c r="BG476" s="30" t="s">
        <v>28</v>
      </c>
      <c r="BK476" s="30" t="s">
        <v>383</v>
      </c>
      <c r="BL476" s="41" t="s">
        <v>1413</v>
      </c>
      <c r="BM476" s="30" t="s">
        <v>1200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7" spans="1:66" ht="16" customHeight="1" x14ac:dyDescent="0.2">
      <c r="A477" s="30">
        <v>5014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>IF(ISBLANK(AI477),  "", _xlfn.CONCAT("haas/entity/sensor/", LOWER(C477), "/", E477, "/config"))</f>
        <v/>
      </c>
      <c r="AK477" s="30" t="str">
        <f>IF(ISBLANK(AI477),  "", _xlfn.CONCAT(LOWER(C477), "/", E477))</f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1020</v>
      </c>
      <c r="BA477" s="30" t="str">
        <f>IF(ISBLANK(Table2[[#This Row],[device_model]]), "", Table2[[#This Row],[device_suggested_area]])</f>
        <v>Rack</v>
      </c>
      <c r="BB477" s="30" t="s">
        <v>1411</v>
      </c>
      <c r="BC477" s="30" t="s">
        <v>998</v>
      </c>
      <c r="BD477" s="30" t="s">
        <v>262</v>
      </c>
      <c r="BF477" s="62" t="s">
        <v>1418</v>
      </c>
      <c r="BG477" s="30" t="s">
        <v>28</v>
      </c>
      <c r="BK477" s="30" t="s">
        <v>383</v>
      </c>
      <c r="BL477" s="46" t="s">
        <v>1419</v>
      </c>
      <c r="BM477" s="30" t="s">
        <v>1201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78" spans="1:66" ht="16" customHeight="1" x14ac:dyDescent="0.2">
      <c r="A478" s="30">
        <v>5015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>IF(ISBLANK(AI478),  "", _xlfn.CONCAT("haas/entity/sensor/", LOWER(C478), "/", E478, "/config"))</f>
        <v/>
      </c>
      <c r="AK478" s="30" t="str">
        <f>IF(ISBLANK(AI478),  "", _xlfn.CONCAT(LOWER(C478), "/", E478))</f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1393</v>
      </c>
      <c r="BC478" s="30" t="s">
        <v>998</v>
      </c>
      <c r="BD478" s="30" t="s">
        <v>262</v>
      </c>
      <c r="BF478" s="62" t="s">
        <v>1408</v>
      </c>
      <c r="BG478" s="30" t="s">
        <v>28</v>
      </c>
      <c r="BK478" s="30" t="s">
        <v>383</v>
      </c>
      <c r="BL478" s="46" t="s">
        <v>1279</v>
      </c>
      <c r="BM478" s="30" t="s">
        <v>1202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79" spans="1:66" ht="16" customHeight="1" x14ac:dyDescent="0.2">
      <c r="A479" s="30">
        <v>5016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>IF(ISBLANK(AI479),  "", _xlfn.CONCAT("haas/entity/sensor/", LOWER(C479), "/", E479, "/config"))</f>
        <v/>
      </c>
      <c r="AK479" s="30" t="str">
        <f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999</v>
      </c>
      <c r="BC479" s="30" t="s">
        <v>998</v>
      </c>
      <c r="BD479" s="30" t="s">
        <v>262</v>
      </c>
      <c r="BF479" s="62" t="s">
        <v>1408</v>
      </c>
      <c r="BG479" s="30" t="s">
        <v>28</v>
      </c>
      <c r="BK479" s="30" t="s">
        <v>383</v>
      </c>
      <c r="BL479" s="30" t="s">
        <v>569</v>
      </c>
      <c r="BM479" s="30" t="s">
        <v>1203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0" spans="1:66" ht="16" customHeight="1" x14ac:dyDescent="0.2">
      <c r="A480" s="30">
        <v>5017</v>
      </c>
      <c r="B480" s="30" t="s">
        <v>26</v>
      </c>
      <c r="C480" s="30" t="s">
        <v>364</v>
      </c>
      <c r="E480" s="39"/>
      <c r="F480" s="36" t="str">
        <f>IF(ISBLANK(Table2[[#This Row],[unique_id]]), "", PROPER(SUBSTITUTE(Table2[[#This Row],[unique_id]], "_", " ")))</f>
        <v/>
      </c>
      <c r="I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362</v>
      </c>
      <c r="BA480" s="30" t="str">
        <f>IF(ISBLANK(Table2[[#This Row],[device_model]]), "", Table2[[#This Row],[device_suggested_area]])</f>
        <v>Rack</v>
      </c>
      <c r="BB480" s="30" t="s">
        <v>364</v>
      </c>
      <c r="BC480" s="30" t="s">
        <v>363</v>
      </c>
      <c r="BD480" s="30" t="s">
        <v>362</v>
      </c>
      <c r="BF480" s="30" t="s">
        <v>742</v>
      </c>
      <c r="BG480" s="30" t="s">
        <v>28</v>
      </c>
      <c r="BK480" s="30" t="s">
        <v>1212</v>
      </c>
      <c r="BL480" s="30" t="s">
        <v>361</v>
      </c>
      <c r="BM480" s="30" t="s">
        <v>1269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1" spans="1:66" ht="16" customHeight="1" x14ac:dyDescent="0.2">
      <c r="A481" s="30">
        <v>5018</v>
      </c>
      <c r="B481" s="30" t="s">
        <v>26</v>
      </c>
      <c r="C481" s="30" t="s">
        <v>439</v>
      </c>
      <c r="E481" s="39"/>
      <c r="F481" s="36" t="str">
        <f>IF(ISBLANK(Table2[[#This Row],[unique_id]]), "", PROPER(SUBSTITUTE(Table2[[#This Row],[unique_id]], "_", " ")))</f>
        <v/>
      </c>
      <c r="I481" s="39"/>
      <c r="O481" s="31"/>
      <c r="P481" s="30"/>
      <c r="T481" s="37"/>
      <c r="U481" s="30"/>
      <c r="V481" s="31"/>
      <c r="W481" s="31" t="s">
        <v>471</v>
      </c>
      <c r="X481" s="31"/>
      <c r="Y481" s="42" t="s">
        <v>722</v>
      </c>
      <c r="Z481" s="42"/>
      <c r="AA481" s="42"/>
      <c r="AB481" s="30"/>
      <c r="AC481" s="30"/>
      <c r="AG481" s="31"/>
      <c r="AH481" s="31"/>
      <c r="AT4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1" s="37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7" t="str">
        <f>Table2[[#This Row],[device_suggested_area]]</f>
        <v>Home</v>
      </c>
      <c r="BA481" s="30" t="str">
        <f>IF(ISBLANK(Table2[[#This Row],[device_model]]), "", Table2[[#This Row],[device_suggested_area]])</f>
        <v>Home</v>
      </c>
      <c r="BB481" s="37" t="s">
        <v>996</v>
      </c>
      <c r="BC481" s="37" t="s">
        <v>463</v>
      </c>
      <c r="BD481" s="30" t="s">
        <v>439</v>
      </c>
      <c r="BF481" s="37" t="s">
        <v>464</v>
      </c>
      <c r="BG481" s="30" t="s">
        <v>164</v>
      </c>
      <c r="BL481" s="30" t="s">
        <v>462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2026-07-31T00:29:10Z</dcterms:modified>
</cp:coreProperties>
</file>