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5E4573CA-278D-AF41-94E4-2A73B828667D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L320" i="1" l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BN320" i="1"/>
  <c r="BA320" i="1"/>
  <c r="AW320" i="1" s="1"/>
  <c r="AM320" i="1"/>
  <c r="AK320" i="1"/>
  <c r="AJ320" i="1"/>
  <c r="F320" i="1"/>
  <c r="BN319" i="1"/>
  <c r="BA319" i="1"/>
  <c r="AW319" i="1" s="1"/>
  <c r="AM319" i="1"/>
  <c r="AK319" i="1"/>
  <c r="AJ319" i="1"/>
  <c r="F319" i="1"/>
  <c r="BN318" i="1"/>
  <c r="BA318" i="1"/>
  <c r="AW318" i="1" s="1"/>
  <c r="AM318" i="1"/>
  <c r="AK318" i="1"/>
  <c r="AJ318" i="1"/>
  <c r="F318" i="1"/>
  <c r="BN317" i="1"/>
  <c r="BA317" i="1"/>
  <c r="AW317" i="1" s="1"/>
  <c r="AM317" i="1"/>
  <c r="AK317" i="1"/>
  <c r="AJ317" i="1"/>
  <c r="F317" i="1"/>
  <c r="BN316" i="1"/>
  <c r="BA316" i="1"/>
  <c r="AW316" i="1" s="1"/>
  <c r="AM316" i="1"/>
  <c r="AK316" i="1"/>
  <c r="AJ316" i="1"/>
  <c r="F316" i="1"/>
  <c r="BN315" i="1"/>
  <c r="BA315" i="1"/>
  <c r="AW315" i="1" s="1"/>
  <c r="AM315" i="1"/>
  <c r="AK315" i="1"/>
  <c r="AJ315" i="1"/>
  <c r="F315" i="1"/>
  <c r="BN314" i="1"/>
  <c r="BA314" i="1"/>
  <c r="AW314" i="1" s="1"/>
  <c r="AM314" i="1"/>
  <c r="AK314" i="1"/>
  <c r="AJ314" i="1"/>
  <c r="F314" i="1"/>
  <c r="BN313" i="1"/>
  <c r="BA313" i="1"/>
  <c r="AW313" i="1" s="1"/>
  <c r="AM313" i="1"/>
  <c r="AK313" i="1"/>
  <c r="AJ313" i="1"/>
  <c r="F313" i="1"/>
  <c r="BN312" i="1"/>
  <c r="BA312" i="1"/>
  <c r="AW312" i="1" s="1"/>
  <c r="AM312" i="1"/>
  <c r="AK312" i="1"/>
  <c r="AJ312" i="1"/>
  <c r="F312" i="1"/>
  <c r="BN311" i="1"/>
  <c r="BA311" i="1"/>
  <c r="AW311" i="1" s="1"/>
  <c r="AM311" i="1"/>
  <c r="AK311" i="1"/>
  <c r="AJ311" i="1"/>
  <c r="F311" i="1"/>
  <c r="BN310" i="1"/>
  <c r="BA310" i="1"/>
  <c r="AW310" i="1" s="1"/>
  <c r="AM310" i="1"/>
  <c r="AK310" i="1"/>
  <c r="AJ310" i="1"/>
  <c r="F310" i="1"/>
  <c r="BN309" i="1"/>
  <c r="BA309" i="1"/>
  <c r="AW309" i="1" s="1"/>
  <c r="AM309" i="1"/>
  <c r="AK309" i="1"/>
  <c r="AJ309" i="1"/>
  <c r="F309" i="1"/>
  <c r="BN308" i="1"/>
  <c r="BA308" i="1"/>
  <c r="AW308" i="1" s="1"/>
  <c r="AM308" i="1"/>
  <c r="AK308" i="1"/>
  <c r="AJ308" i="1"/>
  <c r="F308" i="1"/>
  <c r="BN307" i="1"/>
  <c r="BA307" i="1"/>
  <c r="AW307" i="1" s="1"/>
  <c r="AM307" i="1"/>
  <c r="AK307" i="1"/>
  <c r="AJ307" i="1"/>
  <c r="F307" i="1"/>
  <c r="BN306" i="1"/>
  <c r="BA306" i="1"/>
  <c r="AW306" i="1" s="1"/>
  <c r="AM306" i="1"/>
  <c r="AK306" i="1"/>
  <c r="AJ306" i="1"/>
  <c r="F306" i="1"/>
  <c r="BN305" i="1"/>
  <c r="BA305" i="1"/>
  <c r="AW305" i="1" s="1"/>
  <c r="AM305" i="1"/>
  <c r="AK305" i="1"/>
  <c r="AJ305" i="1"/>
  <c r="F305" i="1"/>
  <c r="BN304" i="1"/>
  <c r="BA304" i="1"/>
  <c r="AW304" i="1" s="1"/>
  <c r="AM304" i="1"/>
  <c r="AK304" i="1"/>
  <c r="AJ304" i="1"/>
  <c r="F304" i="1"/>
  <c r="BN303" i="1"/>
  <c r="BA303" i="1"/>
  <c r="AW303" i="1" s="1"/>
  <c r="AV303" i="1" s="1"/>
  <c r="AM303" i="1"/>
  <c r="AK303" i="1"/>
  <c r="AJ303" i="1"/>
  <c r="F303" i="1"/>
  <c r="BN302" i="1"/>
  <c r="BA302" i="1"/>
  <c r="AW302" i="1" s="1"/>
  <c r="AM302" i="1"/>
  <c r="AK302" i="1"/>
  <c r="AJ302" i="1"/>
  <c r="F302" i="1"/>
  <c r="BN301" i="1"/>
  <c r="BA301" i="1"/>
  <c r="AW301" i="1" s="1"/>
  <c r="AV301" i="1" s="1"/>
  <c r="AM301" i="1"/>
  <c r="AK301" i="1"/>
  <c r="AJ301" i="1"/>
  <c r="F301" i="1"/>
  <c r="BN300" i="1"/>
  <c r="BA300" i="1"/>
  <c r="AW300" i="1" s="1"/>
  <c r="AV300" i="1" s="1"/>
  <c r="AM300" i="1"/>
  <c r="AK300" i="1"/>
  <c r="AJ300" i="1"/>
  <c r="F300" i="1"/>
  <c r="AK299" i="1"/>
  <c r="BA299" i="1"/>
  <c r="AM299" i="1"/>
  <c r="AJ299" i="1"/>
  <c r="G161" i="1"/>
  <c r="BN389" i="1"/>
  <c r="BA389" i="1"/>
  <c r="AZ389" i="1"/>
  <c r="AW389" i="1" s="1"/>
  <c r="AX389" i="1" s="1"/>
  <c r="AT389" i="1"/>
  <c r="F389" i="1"/>
  <c r="BN295" i="1"/>
  <c r="BA295" i="1"/>
  <c r="AW295" i="1"/>
  <c r="AX295" i="1" s="1"/>
  <c r="AV295" i="1"/>
  <c r="F295" i="1"/>
  <c r="BN418" i="1"/>
  <c r="BA418" i="1"/>
  <c r="AW418" i="1"/>
  <c r="AX418" i="1" s="1"/>
  <c r="AV418" i="1"/>
  <c r="F41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0" i="1"/>
  <c r="AW380" i="1"/>
  <c r="AV380" i="1" s="1"/>
  <c r="T380" i="1"/>
  <c r="S380" i="1"/>
  <c r="F380" i="1"/>
  <c r="BN379" i="1"/>
  <c r="AW379" i="1"/>
  <c r="AX379" i="1" s="1"/>
  <c r="T379" i="1"/>
  <c r="S379" i="1"/>
  <c r="F379" i="1"/>
  <c r="BN406" i="1"/>
  <c r="BA406" i="1"/>
  <c r="AW406" i="1" s="1"/>
  <c r="AX406" i="1" s="1"/>
  <c r="T406" i="1"/>
  <c r="S406" i="1"/>
  <c r="F406" i="1"/>
  <c r="BN405" i="1"/>
  <c r="BA405" i="1"/>
  <c r="AW405" i="1" s="1"/>
  <c r="AX405" i="1" s="1"/>
  <c r="S405" i="1"/>
  <c r="F405" i="1"/>
  <c r="BN404" i="1"/>
  <c r="BA404" i="1"/>
  <c r="AW404" i="1" s="1"/>
  <c r="AM404" i="1"/>
  <c r="AK404" i="1"/>
  <c r="AJ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T402" i="1"/>
  <c r="AM402" i="1"/>
  <c r="AL402" i="1"/>
  <c r="AK402" i="1"/>
  <c r="AJ402" i="1"/>
  <c r="T402" i="1"/>
  <c r="S402" i="1"/>
  <c r="F402" i="1"/>
  <c r="BN401" i="1"/>
  <c r="BA401" i="1"/>
  <c r="AW401" i="1" s="1"/>
  <c r="S401" i="1"/>
  <c r="F401" i="1"/>
  <c r="BN400" i="1"/>
  <c r="BA400" i="1"/>
  <c r="AW400" i="1" s="1"/>
  <c r="AM400" i="1"/>
  <c r="AK400" i="1"/>
  <c r="AJ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T398" i="1"/>
  <c r="AM398" i="1"/>
  <c r="AL398" i="1"/>
  <c r="AK398" i="1"/>
  <c r="AJ398" i="1"/>
  <c r="T398" i="1"/>
  <c r="S398" i="1"/>
  <c r="F398" i="1"/>
  <c r="BN397" i="1"/>
  <c r="BA397" i="1"/>
  <c r="AW397" i="1" s="1"/>
  <c r="S397" i="1"/>
  <c r="F397" i="1"/>
  <c r="BN396" i="1"/>
  <c r="AW396" i="1"/>
  <c r="AX396" i="1" s="1"/>
  <c r="T396" i="1"/>
  <c r="S396" i="1"/>
  <c r="F396" i="1"/>
  <c r="BN395" i="1"/>
  <c r="AW395" i="1"/>
  <c r="AX395" i="1" s="1"/>
  <c r="T395" i="1"/>
  <c r="S395" i="1"/>
  <c r="F395" i="1"/>
  <c r="BN394" i="1"/>
  <c r="BA394" i="1"/>
  <c r="AW394" i="1" s="1"/>
  <c r="T394" i="1"/>
  <c r="S394" i="1"/>
  <c r="F394" i="1"/>
  <c r="BN393" i="1"/>
  <c r="BA393" i="1"/>
  <c r="AW393" i="1" s="1"/>
  <c r="S393" i="1"/>
  <c r="F393" i="1"/>
  <c r="BN392" i="1"/>
  <c r="BA392" i="1"/>
  <c r="AW392" i="1" s="1"/>
  <c r="T392" i="1"/>
  <c r="S392" i="1"/>
  <c r="F392" i="1"/>
  <c r="BN391" i="1"/>
  <c r="BA391" i="1"/>
  <c r="AW391" i="1" s="1"/>
  <c r="AX391" i="1" s="1"/>
  <c r="S391" i="1"/>
  <c r="F391" i="1"/>
  <c r="BN358" i="1"/>
  <c r="BA358" i="1"/>
  <c r="AW358" i="1" s="1"/>
  <c r="AV358" i="1" s="1"/>
  <c r="AT358" i="1"/>
  <c r="AM358" i="1"/>
  <c r="AL358" i="1"/>
  <c r="AK358" i="1"/>
  <c r="AJ358" i="1"/>
  <c r="F358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31" i="1"/>
  <c r="BA331" i="1"/>
  <c r="AX331" i="1"/>
  <c r="AK331" i="1"/>
  <c r="AJ331" i="1"/>
  <c r="F331" i="1"/>
  <c r="AY331" i="1" s="1"/>
  <c r="BN330" i="1"/>
  <c r="BA330" i="1"/>
  <c r="AW330" i="1" s="1"/>
  <c r="AK330" i="1"/>
  <c r="AJ330" i="1"/>
  <c r="F330" i="1"/>
  <c r="BN329" i="1"/>
  <c r="BA329" i="1"/>
  <c r="AX329" i="1"/>
  <c r="AK329" i="1"/>
  <c r="AJ329" i="1"/>
  <c r="F329" i="1"/>
  <c r="AY329" i="1" s="1"/>
  <c r="BN328" i="1"/>
  <c r="BA328" i="1"/>
  <c r="AW328" i="1" s="1"/>
  <c r="AK328" i="1"/>
  <c r="AJ328" i="1"/>
  <c r="F328" i="1"/>
  <c r="BA476" i="1"/>
  <c r="BN477" i="1"/>
  <c r="BB477" i="1"/>
  <c r="AW477" i="1" s="1"/>
  <c r="BA477" i="1"/>
  <c r="F477" i="1"/>
  <c r="BN478" i="1"/>
  <c r="BB478" i="1"/>
  <c r="AW478" i="1" s="1"/>
  <c r="BA478" i="1"/>
  <c r="F478" i="1"/>
  <c r="BN490" i="1"/>
  <c r="BA490" i="1"/>
  <c r="AW490" i="1"/>
  <c r="AX490" i="1" s="1"/>
  <c r="AK490" i="1"/>
  <c r="AJ490" i="1"/>
  <c r="F490" i="1"/>
  <c r="BN489" i="1"/>
  <c r="BA489" i="1"/>
  <c r="AW489" i="1"/>
  <c r="AX489" i="1" s="1"/>
  <c r="AK489" i="1"/>
  <c r="AJ489" i="1"/>
  <c r="F489" i="1"/>
  <c r="BA487" i="1"/>
  <c r="BA486" i="1"/>
  <c r="BN486" i="1"/>
  <c r="AW486" i="1"/>
  <c r="AX486" i="1" s="1"/>
  <c r="AK486" i="1"/>
  <c r="AJ486" i="1"/>
  <c r="F486" i="1"/>
  <c r="BN485" i="1"/>
  <c r="BA485" i="1"/>
  <c r="AW485" i="1"/>
  <c r="AX485" i="1" s="1"/>
  <c r="AK485" i="1"/>
  <c r="AJ485" i="1"/>
  <c r="F485" i="1"/>
  <c r="AV471" i="1"/>
  <c r="AV456" i="1"/>
  <c r="AV461" i="1"/>
  <c r="AV469" i="1"/>
  <c r="BB479" i="1"/>
  <c r="AW479" i="1" s="1"/>
  <c r="AV479" i="1" s="1"/>
  <c r="BN479" i="1"/>
  <c r="BA479" i="1"/>
  <c r="F47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9" i="1"/>
  <c r="AW369" i="1" s="1"/>
  <c r="BA370" i="1"/>
  <c r="AW370" i="1" s="1"/>
  <c r="S370" i="1"/>
  <c r="S369" i="1"/>
  <c r="BN370" i="1"/>
  <c r="T370" i="1"/>
  <c r="F370" i="1"/>
  <c r="BN369" i="1"/>
  <c r="T369" i="1"/>
  <c r="F36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1" i="1"/>
  <c r="BA481" i="1"/>
  <c r="AW481" i="1"/>
  <c r="AX481" i="1" s="1"/>
  <c r="F481" i="1"/>
  <c r="BN483" i="1"/>
  <c r="BA483" i="1"/>
  <c r="AW483" i="1"/>
  <c r="AX483" i="1" s="1"/>
  <c r="F483" i="1"/>
  <c r="AW482" i="1"/>
  <c r="AX482" i="1" s="1"/>
  <c r="BN482" i="1"/>
  <c r="BA482" i="1"/>
  <c r="F48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40" i="1"/>
  <c r="BA440" i="1"/>
  <c r="AW440" i="1" s="1"/>
  <c r="AX440" i="1" s="1"/>
  <c r="F44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33" i="1"/>
  <c r="BA333" i="1"/>
  <c r="AX333" i="1"/>
  <c r="AK333" i="1"/>
  <c r="AJ333" i="1"/>
  <c r="F333" i="1"/>
  <c r="AY333" i="1" s="1"/>
  <c r="BN332" i="1"/>
  <c r="BA332" i="1"/>
  <c r="AW332" i="1" s="1"/>
  <c r="AV332" i="1" s="1"/>
  <c r="AK332" i="1"/>
  <c r="AJ332" i="1"/>
  <c r="F332" i="1"/>
  <c r="BA488" i="1"/>
  <c r="AW487" i="1"/>
  <c r="AX487" i="1" s="1"/>
  <c r="AW488" i="1"/>
  <c r="AX488" i="1" s="1"/>
  <c r="F487" i="1"/>
  <c r="AJ487" i="1"/>
  <c r="AK487" i="1"/>
  <c r="BN487" i="1"/>
  <c r="F488" i="1"/>
  <c r="AJ488" i="1"/>
  <c r="AK488" i="1"/>
  <c r="BN48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3" i="1"/>
  <c r="AX325" i="1"/>
  <c r="AX327" i="1"/>
  <c r="AX335" i="1"/>
  <c r="AX336" i="1"/>
  <c r="AX337" i="1"/>
  <c r="AX33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21" i="1"/>
  <c r="F322" i="1"/>
  <c r="F323" i="1"/>
  <c r="F324" i="1"/>
  <c r="F325" i="1"/>
  <c r="F326" i="1"/>
  <c r="F327" i="1"/>
  <c r="F334" i="1"/>
  <c r="F335" i="1"/>
  <c r="AY335" i="1" s="1"/>
  <c r="F336" i="1"/>
  <c r="AY336" i="1" s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9" i="1"/>
  <c r="F360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1" i="1"/>
  <c r="F382" i="1"/>
  <c r="F383" i="1"/>
  <c r="F384" i="1"/>
  <c r="F385" i="1"/>
  <c r="F386" i="1"/>
  <c r="F387" i="1"/>
  <c r="F388" i="1"/>
  <c r="F390" i="1"/>
  <c r="F407" i="1"/>
  <c r="F408" i="1"/>
  <c r="F409" i="1"/>
  <c r="F410" i="1"/>
  <c r="F411" i="1"/>
  <c r="F412" i="1"/>
  <c r="F413" i="1"/>
  <c r="F414" i="1"/>
  <c r="F415" i="1"/>
  <c r="F416" i="1"/>
  <c r="F417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8" i="1"/>
  <c r="F469" i="1"/>
  <c r="F470" i="1"/>
  <c r="F471" i="1"/>
  <c r="F472" i="1"/>
  <c r="F473" i="1"/>
  <c r="F474" i="1"/>
  <c r="F475" i="1"/>
  <c r="F476" i="1"/>
  <c r="F480" i="1"/>
  <c r="F484" i="1"/>
  <c r="F491" i="1"/>
  <c r="F492" i="1"/>
  <c r="AJ346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6" i="1"/>
  <c r="AJ324" i="1"/>
  <c r="AJ26" i="1"/>
  <c r="AJ338" i="1"/>
  <c r="AJ334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6" i="1"/>
  <c r="BA336" i="1"/>
  <c r="AK336" i="1"/>
  <c r="AJ336" i="1"/>
  <c r="AJ337" i="1"/>
  <c r="AK337" i="1"/>
  <c r="BA337" i="1"/>
  <c r="BN337" i="1"/>
  <c r="AJ323" i="1"/>
  <c r="AK323" i="1"/>
  <c r="BA323" i="1"/>
  <c r="BN323" i="1"/>
  <c r="BN327" i="1"/>
  <c r="BA327" i="1"/>
  <c r="AK327" i="1"/>
  <c r="AJ327" i="1"/>
  <c r="BN326" i="1"/>
  <c r="BA326" i="1"/>
  <c r="AW326" i="1" s="1"/>
  <c r="AV326" i="1" s="1"/>
  <c r="AR326" i="1"/>
  <c r="AK326" i="1"/>
  <c r="BN325" i="1"/>
  <c r="BA325" i="1"/>
  <c r="AK325" i="1"/>
  <c r="AJ325" i="1"/>
  <c r="BN324" i="1"/>
  <c r="BA324" i="1"/>
  <c r="AW324" i="1" s="1"/>
  <c r="AV324" i="1" s="1"/>
  <c r="AR324" i="1"/>
  <c r="AK324" i="1"/>
  <c r="AJ335" i="1"/>
  <c r="AK335" i="1"/>
  <c r="BA335" i="1"/>
  <c r="BN335" i="1"/>
  <c r="AJ339" i="1"/>
  <c r="AK339" i="1"/>
  <c r="BA339" i="1"/>
  <c r="BN339" i="1"/>
  <c r="AR54" i="1"/>
  <c r="AR44" i="1"/>
  <c r="BN334" i="1"/>
  <c r="BA334" i="1"/>
  <c r="AW334" i="1" s="1"/>
  <c r="AV334" i="1" s="1"/>
  <c r="AK334" i="1"/>
  <c r="BA338" i="1"/>
  <c r="AW338" i="1" s="1"/>
  <c r="AK338" i="1"/>
  <c r="BN338" i="1"/>
  <c r="BN288" i="1"/>
  <c r="BA288" i="1"/>
  <c r="AW288" i="1" s="1"/>
  <c r="AV288" i="1" s="1"/>
  <c r="AK288" i="1"/>
  <c r="BN287" i="1"/>
  <c r="BA287" i="1"/>
  <c r="AW287" i="1" s="1"/>
  <c r="AV287" i="1" s="1"/>
  <c r="AK287" i="1"/>
  <c r="BN299" i="1"/>
  <c r="AW299" i="1"/>
  <c r="AV299" i="1" s="1"/>
  <c r="BN321" i="1"/>
  <c r="BA321" i="1"/>
  <c r="AW321" i="1"/>
  <c r="AX321" i="1" s="1"/>
  <c r="AV321" i="1"/>
  <c r="BN322" i="1"/>
  <c r="BA322" i="1"/>
  <c r="AW322" i="1"/>
  <c r="AX322" i="1" s="1"/>
  <c r="AV322" i="1"/>
  <c r="AR77" i="1"/>
  <c r="AR76" i="1"/>
  <c r="AR75" i="1"/>
  <c r="AR74" i="1"/>
  <c r="AR73" i="1"/>
  <c r="AR72" i="1"/>
  <c r="AR26" i="1"/>
  <c r="AX312" i="1" l="1"/>
  <c r="AX315" i="1"/>
  <c r="AX304" i="1"/>
  <c r="AX309" i="1"/>
  <c r="AX319" i="1"/>
  <c r="AY311" i="1"/>
  <c r="AX302" i="1"/>
  <c r="AX305" i="1"/>
  <c r="AX314" i="1"/>
  <c r="AY304" i="1"/>
  <c r="AY314" i="1"/>
  <c r="AY302" i="1"/>
  <c r="AY306" i="1"/>
  <c r="AY316" i="1"/>
  <c r="AX307" i="1"/>
  <c r="AY309" i="1"/>
  <c r="AX317" i="1"/>
  <c r="AY319" i="1"/>
  <c r="AY301" i="1"/>
  <c r="AY312" i="1"/>
  <c r="AY305" i="1"/>
  <c r="AV302" i="1"/>
  <c r="AX301" i="1"/>
  <c r="AY307" i="1"/>
  <c r="AY317" i="1"/>
  <c r="AY303" i="1"/>
  <c r="AX308" i="1"/>
  <c r="AY310" i="1"/>
  <c r="AX318" i="1"/>
  <c r="AY320" i="1"/>
  <c r="AX300" i="1"/>
  <c r="AX311" i="1"/>
  <c r="AY313" i="1"/>
  <c r="AX310" i="1"/>
  <c r="AX320" i="1"/>
  <c r="AX303" i="1"/>
  <c r="AX313" i="1"/>
  <c r="AY315" i="1"/>
  <c r="AY300" i="1"/>
  <c r="AX306" i="1"/>
  <c r="AY308" i="1"/>
  <c r="AX316" i="1"/>
  <c r="AY318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Y389" i="1"/>
  <c r="AV389" i="1"/>
  <c r="AY295" i="1"/>
  <c r="AY162" i="1"/>
  <c r="AY418" i="1"/>
  <c r="AV161" i="1"/>
  <c r="AY380" i="1"/>
  <c r="AY161" i="1"/>
  <c r="AV162" i="1"/>
  <c r="AX162" i="1"/>
  <c r="AV379" i="1"/>
  <c r="AY379" i="1"/>
  <c r="AY397" i="1"/>
  <c r="AX380" i="1"/>
  <c r="AY401" i="1"/>
  <c r="AV405" i="1"/>
  <c r="AY395" i="1"/>
  <c r="AY405" i="1"/>
  <c r="AX400" i="1"/>
  <c r="AV400" i="1"/>
  <c r="AX399" i="1"/>
  <c r="AV399" i="1"/>
  <c r="AX401" i="1"/>
  <c r="AV401" i="1"/>
  <c r="AX398" i="1"/>
  <c r="AV398" i="1"/>
  <c r="AY396" i="1"/>
  <c r="AY398" i="1"/>
  <c r="AY400" i="1"/>
  <c r="AY399" i="1"/>
  <c r="AY404" i="1"/>
  <c r="AY406" i="1"/>
  <c r="AV395" i="1"/>
  <c r="AX403" i="1"/>
  <c r="AV403" i="1"/>
  <c r="AX394" i="1"/>
  <c r="AV394" i="1"/>
  <c r="AY394" i="1"/>
  <c r="AY392" i="1"/>
  <c r="AX392" i="1"/>
  <c r="AV392" i="1"/>
  <c r="AX402" i="1"/>
  <c r="AV402" i="1"/>
  <c r="AY402" i="1"/>
  <c r="AY393" i="1"/>
  <c r="AY403" i="1"/>
  <c r="AX404" i="1"/>
  <c r="AV404" i="1"/>
  <c r="AV393" i="1"/>
  <c r="AX393" i="1"/>
  <c r="AX397" i="1"/>
  <c r="AV391" i="1"/>
  <c r="AV397" i="1"/>
  <c r="AY391" i="1"/>
  <c r="AV396" i="1"/>
  <c r="AV406" i="1"/>
  <c r="AY355" i="1"/>
  <c r="AX357" i="1"/>
  <c r="AY358" i="1"/>
  <c r="AX355" i="1"/>
  <c r="AY356" i="1"/>
  <c r="AX356" i="1"/>
  <c r="AV356" i="1"/>
  <c r="AY357" i="1"/>
  <c r="AX358" i="1"/>
  <c r="AV355" i="1"/>
  <c r="AX330" i="1"/>
  <c r="AV330" i="1"/>
  <c r="AY330" i="1"/>
  <c r="AX328" i="1"/>
  <c r="AY328" i="1"/>
  <c r="AV328" i="1"/>
  <c r="AY477" i="1"/>
  <c r="AV477" i="1"/>
  <c r="AX477" i="1"/>
  <c r="AX478" i="1"/>
  <c r="AV478" i="1"/>
  <c r="AY478" i="1"/>
  <c r="AY490" i="1"/>
  <c r="AV490" i="1"/>
  <c r="AY485" i="1"/>
  <c r="AV485" i="1"/>
  <c r="AY489" i="1"/>
  <c r="AV489" i="1"/>
  <c r="AY486" i="1"/>
  <c r="AV486" i="1"/>
  <c r="AV481" i="1"/>
  <c r="AY127" i="1"/>
  <c r="AY479" i="1"/>
  <c r="AX479" i="1"/>
  <c r="AV127" i="1"/>
  <c r="AY128" i="1"/>
  <c r="AV128" i="1"/>
  <c r="AY42" i="1"/>
  <c r="AY109" i="1"/>
  <c r="AY108" i="1"/>
  <c r="AV108" i="1"/>
  <c r="AX108" i="1"/>
  <c r="AV109" i="1"/>
  <c r="AY369" i="1"/>
  <c r="AX370" i="1"/>
  <c r="AV370" i="1"/>
  <c r="AY370" i="1"/>
  <c r="AX369" i="1"/>
  <c r="AV369" i="1"/>
  <c r="AY481" i="1"/>
  <c r="AY483" i="1"/>
  <c r="AY482" i="1"/>
  <c r="AY467" i="1"/>
  <c r="AX107" i="1"/>
  <c r="AV107" i="1"/>
  <c r="AY107" i="1"/>
  <c r="AX106" i="1"/>
  <c r="AV106" i="1"/>
  <c r="AY106" i="1"/>
  <c r="AY56" i="1"/>
  <c r="AY465" i="1"/>
  <c r="AY464" i="1"/>
  <c r="AY462" i="1"/>
  <c r="AY463" i="1"/>
  <c r="AY466" i="1"/>
  <c r="AY440" i="1"/>
  <c r="AV44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2" i="1"/>
  <c r="AY332" i="1"/>
  <c r="AY488" i="1"/>
  <c r="AV488" i="1"/>
  <c r="AV487" i="1"/>
  <c r="AY487" i="1"/>
  <c r="AY41" i="1"/>
  <c r="AY43" i="1"/>
  <c r="AX287" i="1"/>
  <c r="AX338" i="1"/>
  <c r="AX334" i="1"/>
  <c r="AX324" i="1"/>
  <c r="AX299" i="1"/>
  <c r="AX288" i="1"/>
  <c r="AX326" i="1"/>
  <c r="AY15" i="1"/>
  <c r="AY334" i="1"/>
  <c r="AV338" i="1"/>
  <c r="AY338" i="1"/>
  <c r="AY324" i="1"/>
  <c r="AY288" i="1"/>
  <c r="AY287" i="1"/>
  <c r="AY17" i="1"/>
  <c r="AY5" i="1"/>
  <c r="AY25" i="1"/>
  <c r="AY13" i="1"/>
  <c r="AY27" i="1"/>
  <c r="AY31" i="1"/>
  <c r="AY19" i="1"/>
  <c r="AY7" i="1"/>
  <c r="AY322" i="1"/>
  <c r="AY327" i="1"/>
  <c r="AY326" i="1"/>
  <c r="AY299" i="1"/>
  <c r="AY234" i="1"/>
  <c r="AY23" i="1"/>
  <c r="AY11" i="1"/>
  <c r="AY325" i="1"/>
  <c r="AY21" i="1"/>
  <c r="AY9" i="1"/>
  <c r="AY339" i="1"/>
  <c r="AY323" i="1"/>
  <c r="AY337" i="1"/>
  <c r="AY321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6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3" i="1"/>
  <c r="AX473" i="1" s="1"/>
  <c r="AW471" i="1"/>
  <c r="AX471" i="1" s="1"/>
  <c r="AW469" i="1"/>
  <c r="AX469" i="1" s="1"/>
  <c r="AW468" i="1"/>
  <c r="AX468" i="1" s="1"/>
  <c r="AV468" i="1"/>
  <c r="AW461" i="1"/>
  <c r="AX461" i="1" s="1"/>
  <c r="AW458" i="1"/>
  <c r="AX458" i="1" s="1"/>
  <c r="AV458" i="1"/>
  <c r="AW457" i="1"/>
  <c r="AX457" i="1" s="1"/>
  <c r="AV457" i="1"/>
  <c r="AW456" i="1"/>
  <c r="AX456" i="1" s="1"/>
  <c r="AW453" i="1"/>
  <c r="AX453" i="1" s="1"/>
  <c r="AV453" i="1"/>
  <c r="AW452" i="1"/>
  <c r="AX452" i="1" s="1"/>
  <c r="AV452" i="1"/>
  <c r="AW444" i="1"/>
  <c r="AX444" i="1" s="1"/>
  <c r="AV444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354" i="1"/>
  <c r="AX354" i="1" s="1"/>
  <c r="AV354" i="1"/>
  <c r="AW353" i="1"/>
  <c r="AX353" i="1" s="1"/>
  <c r="AV353" i="1"/>
  <c r="AW352" i="1"/>
  <c r="AX352" i="1" s="1"/>
  <c r="AV352" i="1"/>
  <c r="AW351" i="1"/>
  <c r="AX351" i="1" s="1"/>
  <c r="AV35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4" i="1"/>
  <c r="AV474" i="1" s="1"/>
  <c r="AW484" i="1"/>
  <c r="AW491" i="1"/>
  <c r="AX491" i="1" s="1"/>
  <c r="BA473" i="1"/>
  <c r="BA471" i="1"/>
  <c r="BA469" i="1"/>
  <c r="BA468" i="1"/>
  <c r="BA461" i="1"/>
  <c r="BA458" i="1"/>
  <c r="BA457" i="1"/>
  <c r="BA456" i="1"/>
  <c r="BA453" i="1"/>
  <c r="BA452" i="1"/>
  <c r="BA444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7" i="1"/>
  <c r="BA416" i="1"/>
  <c r="BA415" i="1"/>
  <c r="BA414" i="1"/>
  <c r="BA413" i="1"/>
  <c r="BA412" i="1"/>
  <c r="BA411" i="1"/>
  <c r="BA410" i="1"/>
  <c r="BA354" i="1"/>
  <c r="BA353" i="1"/>
  <c r="BA352" i="1"/>
  <c r="BA351" i="1"/>
  <c r="BA345" i="1"/>
  <c r="BA344" i="1"/>
  <c r="BA343" i="1"/>
  <c r="BA342" i="1"/>
  <c r="BA341" i="1"/>
  <c r="BA340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9" i="1"/>
  <c r="BA454" i="1"/>
  <c r="BA492" i="1"/>
  <c r="BA281" i="1"/>
  <c r="AW281" i="1" s="1"/>
  <c r="AX281" i="1" s="1"/>
  <c r="BA480" i="1"/>
  <c r="BA475" i="1"/>
  <c r="BA474" i="1"/>
  <c r="BA472" i="1"/>
  <c r="BA470" i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60" i="1"/>
  <c r="BA45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0" i="1"/>
  <c r="BA388" i="1"/>
  <c r="BA38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4" i="1"/>
  <c r="BA350" i="1"/>
  <c r="AW350" i="1" s="1"/>
  <c r="AX350" i="1" s="1"/>
  <c r="BA349" i="1"/>
  <c r="AW349" i="1" s="1"/>
  <c r="AX349" i="1" s="1"/>
  <c r="BA348" i="1"/>
  <c r="AW348" i="1" s="1"/>
  <c r="AX348" i="1" s="1"/>
  <c r="BA347" i="1"/>
  <c r="AW347" i="1" s="1"/>
  <c r="AX34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1" i="1"/>
  <c r="AW441" i="1" s="1"/>
  <c r="AX441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9" i="1"/>
  <c r="BA408" i="1"/>
  <c r="BA40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3" i="1"/>
  <c r="AW443" i="1" s="1"/>
  <c r="AX443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346" i="1"/>
  <c r="AW346" i="1" s="1"/>
  <c r="AX346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1" i="1"/>
  <c r="BA451" i="1"/>
  <c r="BA442" i="1"/>
  <c r="AW442" i="1" s="1"/>
  <c r="AX442" i="1" s="1"/>
  <c r="S374" i="1"/>
  <c r="S373" i="1"/>
  <c r="S372" i="1"/>
  <c r="S368" i="1"/>
  <c r="S384" i="1"/>
  <c r="S383" i="1"/>
  <c r="S382" i="1"/>
  <c r="S366" i="1"/>
  <c r="S364" i="1"/>
  <c r="T230" i="1"/>
  <c r="T226" i="1"/>
  <c r="T114" i="1"/>
  <c r="S446" i="1"/>
  <c r="S447" i="1"/>
  <c r="S450" i="1"/>
  <c r="S449" i="1"/>
  <c r="S360" i="1"/>
  <c r="S359" i="1"/>
  <c r="S362" i="1"/>
  <c r="S361" i="1"/>
  <c r="S386" i="1"/>
  <c r="S385" i="1"/>
  <c r="T376" i="1"/>
  <c r="T378" i="1"/>
  <c r="T224" i="1"/>
  <c r="T360" i="1"/>
  <c r="T374" i="1"/>
  <c r="T372" i="1"/>
  <c r="T368" i="1"/>
  <c r="T364" i="1"/>
  <c r="T382" i="1"/>
  <c r="T366" i="1"/>
  <c r="T384" i="1"/>
  <c r="T362" i="1"/>
  <c r="T386" i="1"/>
  <c r="S435" i="1"/>
  <c r="S437" i="1"/>
  <c r="S438" i="1"/>
  <c r="S448" i="1"/>
  <c r="S436" i="1"/>
  <c r="S434" i="1"/>
  <c r="S433" i="1"/>
  <c r="S381" i="1"/>
  <c r="S363" i="1"/>
  <c r="S365" i="1"/>
  <c r="S367" i="1"/>
  <c r="S371" i="1"/>
  <c r="BB480" i="1"/>
  <c r="AW480" i="1" s="1"/>
  <c r="BB476" i="1"/>
  <c r="AW476" i="1" s="1"/>
  <c r="BB475" i="1"/>
  <c r="AW475" i="1" s="1"/>
  <c r="BB472" i="1"/>
  <c r="AW472" i="1" s="1"/>
  <c r="BB470" i="1"/>
  <c r="AW470" i="1" s="1"/>
  <c r="AZ492" i="1"/>
  <c r="AW492" i="1" s="1"/>
  <c r="AX492" i="1" s="1"/>
  <c r="AZ459" i="1"/>
  <c r="AW459" i="1" s="1"/>
  <c r="AX459" i="1" s="1"/>
  <c r="AZ454" i="1"/>
  <c r="AW454" i="1" s="1"/>
  <c r="AX454" i="1" s="1"/>
  <c r="AZ460" i="1"/>
  <c r="AW460" i="1" s="1"/>
  <c r="AX460" i="1" s="1"/>
  <c r="AZ455" i="1"/>
  <c r="AW455" i="1" s="1"/>
  <c r="AX455" i="1" s="1"/>
  <c r="AZ390" i="1"/>
  <c r="AW390" i="1" s="1"/>
  <c r="AX390" i="1" s="1"/>
  <c r="AZ388" i="1"/>
  <c r="AW388" i="1" s="1"/>
  <c r="AX388" i="1" s="1"/>
  <c r="AZ387" i="1"/>
  <c r="AW387" i="1" s="1"/>
  <c r="AX38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9" i="1"/>
  <c r="AW409" i="1" s="1"/>
  <c r="AX409" i="1" s="1"/>
  <c r="AZ408" i="1"/>
  <c r="AW408" i="1" s="1"/>
  <c r="AX408" i="1" s="1"/>
  <c r="AZ407" i="1"/>
  <c r="AW407" i="1" s="1"/>
  <c r="AX40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7" i="1"/>
  <c r="S37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9" i="1"/>
  <c r="BN360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1" i="1"/>
  <c r="BN382" i="1"/>
  <c r="BN383" i="1"/>
  <c r="BN384" i="1"/>
  <c r="BN385" i="1"/>
  <c r="BN386" i="1"/>
  <c r="BN387" i="1"/>
  <c r="BN388" i="1"/>
  <c r="BN390" i="1"/>
  <c r="BN407" i="1"/>
  <c r="BN408" i="1"/>
  <c r="BN409" i="1"/>
  <c r="BN410" i="1"/>
  <c r="BN411" i="1"/>
  <c r="BN412" i="1"/>
  <c r="BN413" i="1"/>
  <c r="BN414" i="1"/>
  <c r="BN415" i="1"/>
  <c r="BN416" i="1"/>
  <c r="BN417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8" i="1"/>
  <c r="BN469" i="1"/>
  <c r="BN470" i="1"/>
  <c r="BN471" i="1"/>
  <c r="BN472" i="1"/>
  <c r="BN473" i="1"/>
  <c r="BN474" i="1"/>
  <c r="BN475" i="1"/>
  <c r="BN476" i="1"/>
  <c r="BN480" i="1"/>
  <c r="BN484" i="1"/>
  <c r="BN491" i="1"/>
  <c r="BN49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5" i="1"/>
  <c r="T205" i="1"/>
  <c r="T200" i="1"/>
  <c r="S378" i="1"/>
  <c r="S37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9" i="1"/>
  <c r="AT408" i="1"/>
  <c r="AT492" i="1"/>
  <c r="AT407" i="1"/>
  <c r="AT390" i="1"/>
  <c r="AT388" i="1"/>
  <c r="AT38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5" i="1" l="1"/>
  <c r="AV475" i="1"/>
  <c r="AX476" i="1"/>
  <c r="AV476" i="1"/>
  <c r="AX484" i="1"/>
  <c r="AV484" i="1"/>
  <c r="AX470" i="1"/>
  <c r="AV470" i="1"/>
  <c r="AX480" i="1"/>
  <c r="AV480" i="1"/>
  <c r="AX472" i="1"/>
  <c r="AV472" i="1"/>
  <c r="AX474" i="1"/>
  <c r="AW451" i="1"/>
  <c r="AX451" i="1" s="1"/>
  <c r="AY346" i="1"/>
  <c r="AY226" i="1"/>
  <c r="AV390" i="1"/>
  <c r="AV168" i="1"/>
  <c r="AY47" i="1"/>
  <c r="AV120" i="1"/>
  <c r="AY341" i="1"/>
  <c r="AY215" i="1"/>
  <c r="AY216" i="1"/>
  <c r="AY95" i="1"/>
  <c r="AY101" i="1"/>
  <c r="AY342" i="1"/>
  <c r="AY353" i="1"/>
  <c r="AV81" i="1"/>
  <c r="AY8" i="1"/>
  <c r="AY363" i="1"/>
  <c r="AV142" i="1"/>
  <c r="AV192" i="1"/>
  <c r="AY230" i="1"/>
  <c r="AY200" i="1"/>
  <c r="AY233" i="1"/>
  <c r="AY152" i="1"/>
  <c r="AV450" i="1"/>
  <c r="AY453" i="1"/>
  <c r="AY140" i="1"/>
  <c r="AY73" i="1"/>
  <c r="AV437" i="1"/>
  <c r="AY437" i="1"/>
  <c r="AY231" i="1"/>
  <c r="AY491" i="1"/>
  <c r="AY96" i="1"/>
  <c r="AY289" i="1"/>
  <c r="AY296" i="1"/>
  <c r="AY354" i="1"/>
  <c r="AY414" i="1"/>
  <c r="AY427" i="1"/>
  <c r="AY4" i="1"/>
  <c r="AY28" i="1"/>
  <c r="AY26" i="1"/>
  <c r="AV167" i="1"/>
  <c r="AY167" i="1"/>
  <c r="AY374" i="1"/>
  <c r="AY470" i="1"/>
  <c r="AY86" i="1"/>
  <c r="AY178" i="1"/>
  <c r="AY219" i="1"/>
  <c r="AY74" i="1"/>
  <c r="AY87" i="1"/>
  <c r="AV438" i="1"/>
  <c r="AY438" i="1"/>
  <c r="AV202" i="1"/>
  <c r="AY202" i="1"/>
  <c r="AY205" i="1"/>
  <c r="AY360" i="1"/>
  <c r="AY430" i="1"/>
  <c r="AY459" i="1"/>
  <c r="AY89" i="1"/>
  <c r="AV439" i="1"/>
  <c r="AY439" i="1"/>
  <c r="AY68" i="1"/>
  <c r="AV203" i="1"/>
  <c r="AY203" i="1"/>
  <c r="AY206" i="1"/>
  <c r="AY368" i="1"/>
  <c r="AV382" i="1"/>
  <c r="AY240" i="1"/>
  <c r="AY246" i="1"/>
  <c r="AY252" i="1"/>
  <c r="AY264" i="1"/>
  <c r="AY276" i="1"/>
  <c r="AY344" i="1"/>
  <c r="AY415" i="1"/>
  <c r="AY428" i="1"/>
  <c r="AV297" i="1"/>
  <c r="AV460" i="1"/>
  <c r="AY375" i="1"/>
  <c r="AY188" i="1"/>
  <c r="AV190" i="1"/>
  <c r="AY190" i="1"/>
  <c r="AY476" i="1"/>
  <c r="AY442" i="1"/>
  <c r="AV32" i="1"/>
  <c r="AV283" i="1"/>
  <c r="AY283" i="1"/>
  <c r="AV69" i="1"/>
  <c r="AY69" i="1"/>
  <c r="AY204" i="1"/>
  <c r="AY371" i="1"/>
  <c r="AY383" i="1"/>
  <c r="AV154" i="1"/>
  <c r="AV191" i="1"/>
  <c r="AY191" i="1"/>
  <c r="AY150" i="1"/>
  <c r="AV387" i="1"/>
  <c r="AY387" i="1"/>
  <c r="AV284" i="1"/>
  <c r="AY284" i="1"/>
  <c r="AY70" i="1"/>
  <c r="AV112" i="1"/>
  <c r="AY112" i="1"/>
  <c r="AY207" i="1"/>
  <c r="AY241" i="1"/>
  <c r="AY253" i="1"/>
  <c r="AY265" i="1"/>
  <c r="AY277" i="1"/>
  <c r="AY429" i="1"/>
  <c r="AY468" i="1"/>
  <c r="AY386" i="1"/>
  <c r="AV169" i="1"/>
  <c r="AY169" i="1"/>
  <c r="AY75" i="1"/>
  <c r="AY166" i="1"/>
  <c r="AV92" i="1"/>
  <c r="AY92" i="1"/>
  <c r="AV285" i="1"/>
  <c r="AY285" i="1"/>
  <c r="AY71" i="1"/>
  <c r="AY117" i="1"/>
  <c r="AY208" i="1"/>
  <c r="AV449" i="1"/>
  <c r="AY449" i="1"/>
  <c r="AY373" i="1"/>
  <c r="AY385" i="1"/>
  <c r="AY62" i="1"/>
  <c r="AY407" i="1"/>
  <c r="AY472" i="1"/>
  <c r="AY484" i="1"/>
  <c r="AY408" i="1"/>
  <c r="AV145" i="1"/>
  <c r="AY199" i="1"/>
  <c r="AY18" i="1"/>
  <c r="AY55" i="1"/>
  <c r="AV110" i="1"/>
  <c r="AY349" i="1"/>
  <c r="AV181" i="1"/>
  <c r="AY443" i="1"/>
  <c r="AY85" i="1"/>
  <c r="AY183" i="1"/>
  <c r="AY195" i="1"/>
  <c r="AY455" i="1"/>
  <c r="AY133" i="1"/>
  <c r="AY237" i="1"/>
  <c r="AY273" i="1"/>
  <c r="AY419" i="1"/>
  <c r="AY456" i="1"/>
  <c r="AY49" i="1"/>
  <c r="AY63" i="1"/>
  <c r="AV350" i="1"/>
  <c r="AY48" i="1"/>
  <c r="AY249" i="1"/>
  <c r="AV156" i="1"/>
  <c r="AY50" i="1"/>
  <c r="AY364" i="1"/>
  <c r="AY376" i="1"/>
  <c r="AY238" i="1"/>
  <c r="AY420" i="1"/>
  <c r="AY432" i="1"/>
  <c r="AY6" i="1"/>
  <c r="AY431" i="1"/>
  <c r="AY170" i="1"/>
  <c r="AV157" i="1"/>
  <c r="AY12" i="1"/>
  <c r="AY365" i="1"/>
  <c r="AV171" i="1"/>
  <c r="AV193" i="1"/>
  <c r="AY473" i="1"/>
  <c r="AY239" i="1"/>
  <c r="AY251" i="1"/>
  <c r="AY263" i="1"/>
  <c r="AY159" i="1"/>
  <c r="AV111" i="1"/>
  <c r="AY223" i="1"/>
  <c r="AY51" i="1"/>
  <c r="AY135" i="1"/>
  <c r="AY211" i="1"/>
  <c r="AV367" i="1"/>
  <c r="AY351" i="1"/>
  <c r="AY30" i="1"/>
  <c r="AY275" i="1"/>
  <c r="AV381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8" i="1"/>
  <c r="AY259" i="1"/>
  <c r="AY235" i="1"/>
  <c r="AY454" i="1"/>
  <c r="AY212" i="1"/>
  <c r="AY61" i="1"/>
  <c r="AY471" i="1"/>
  <c r="AY143" i="1"/>
  <c r="AY412" i="1"/>
  <c r="AY20" i="1"/>
  <c r="AY250" i="1"/>
  <c r="AY372" i="1"/>
  <c r="AV176" i="1"/>
  <c r="AV436" i="1"/>
  <c r="AV158" i="1"/>
  <c r="AY158" i="1"/>
  <c r="AV177" i="1"/>
  <c r="AV218" i="1"/>
  <c r="AY218" i="1"/>
  <c r="AY14" i="1"/>
  <c r="AY52" i="1"/>
  <c r="AV66" i="1"/>
  <c r="AV281" i="1"/>
  <c r="AY160" i="1"/>
  <c r="AY421" i="1"/>
  <c r="AV4" i="1"/>
  <c r="AV28" i="1"/>
  <c r="AY67" i="1"/>
  <c r="AY224" i="1"/>
  <c r="AY377" i="1"/>
  <c r="AY32" i="1"/>
  <c r="AY155" i="1"/>
  <c r="AY298" i="1"/>
  <c r="AY111" i="1"/>
  <c r="AY262" i="1"/>
  <c r="AY416" i="1"/>
  <c r="AY72" i="1"/>
  <c r="AY229" i="1"/>
  <c r="AY384" i="1"/>
  <c r="AY138" i="1"/>
  <c r="AY99" i="1"/>
  <c r="AY80" i="1"/>
  <c r="AY413" i="1"/>
  <c r="AY65" i="1"/>
  <c r="AV172" i="1"/>
  <c r="AY172" i="1"/>
  <c r="AV198" i="1"/>
  <c r="AV16" i="1"/>
  <c r="AY53" i="1"/>
  <c r="AY232" i="1"/>
  <c r="AY445" i="1"/>
  <c r="AY79" i="1"/>
  <c r="AY46" i="1"/>
  <c r="AY469" i="1"/>
  <c r="AY274" i="1"/>
  <c r="AY480" i="1"/>
  <c r="AY366" i="1"/>
  <c r="AY446" i="1"/>
  <c r="AY461" i="1"/>
  <c r="AY186" i="1"/>
  <c r="AY179" i="1"/>
  <c r="AY378" i="1"/>
  <c r="AY163" i="1"/>
  <c r="AV199" i="1"/>
  <c r="AY220" i="1"/>
  <c r="AV55" i="1"/>
  <c r="AY97" i="1"/>
  <c r="AY290" i="1"/>
  <c r="AY422" i="1"/>
  <c r="AY444" i="1"/>
  <c r="AY58" i="1"/>
  <c r="AY214" i="1"/>
  <c r="AY367" i="1"/>
  <c r="AY474" i="1"/>
  <c r="AY144" i="1"/>
  <c r="AY286" i="1"/>
  <c r="AY441" i="1"/>
  <c r="AY390" i="1"/>
  <c r="AY343" i="1"/>
  <c r="AY492" i="1"/>
  <c r="AY281" i="1"/>
  <c r="AY201" i="1"/>
  <c r="AY66" i="1"/>
  <c r="AY91" i="1"/>
  <c r="AY409" i="1"/>
  <c r="AY149" i="1"/>
  <c r="AY209" i="1"/>
  <c r="AY221" i="1"/>
  <c r="AY76" i="1"/>
  <c r="AV447" i="1"/>
  <c r="AV223" i="1"/>
  <c r="AY258" i="1"/>
  <c r="AY381" i="1"/>
  <c r="AY340" i="1"/>
  <c r="AY156" i="1"/>
  <c r="AY452" i="1"/>
  <c r="AY417" i="1"/>
  <c r="AY35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5" i="1"/>
  <c r="AY270" i="1"/>
  <c r="AY425" i="1"/>
  <c r="AY81" i="1"/>
  <c r="AY236" i="1"/>
  <c r="AY352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5" i="1"/>
  <c r="AY145" i="1"/>
  <c r="AY447" i="1"/>
  <c r="AY271" i="1"/>
  <c r="AY247" i="1"/>
  <c r="AY16" i="1"/>
  <c r="AY198" i="1"/>
  <c r="AY100" i="1"/>
  <c r="AY257" i="1"/>
  <c r="AY136" i="1"/>
  <c r="AY184" i="1"/>
  <c r="AV347" i="1"/>
  <c r="AY40" i="1"/>
  <c r="AY88" i="1"/>
  <c r="AY242" i="1"/>
  <c r="AY254" i="1"/>
  <c r="AY266" i="1"/>
  <c r="AY278" i="1"/>
  <c r="AY448" i="1"/>
  <c r="AY260" i="1"/>
  <c r="AY382" i="1"/>
  <c r="AY34" i="1"/>
  <c r="AY192" i="1"/>
  <c r="AY157" i="1"/>
  <c r="AY410" i="1"/>
  <c r="AY423" i="1"/>
  <c r="AY116" i="1"/>
  <c r="AY293" i="1"/>
  <c r="AY45" i="1"/>
  <c r="AY118" i="1"/>
  <c r="AV146" i="1"/>
  <c r="AY146" i="1"/>
  <c r="AY196" i="1"/>
  <c r="AY137" i="1"/>
  <c r="AY185" i="1"/>
  <c r="AV348" i="1"/>
  <c r="AY361" i="1"/>
  <c r="AY460" i="1"/>
  <c r="AY119" i="1"/>
  <c r="AY272" i="1"/>
  <c r="AY82" i="1"/>
  <c r="AY171" i="1"/>
  <c r="AY458" i="1"/>
  <c r="AY350" i="1"/>
  <c r="AY39" i="1"/>
  <c r="AY256" i="1"/>
  <c r="AY139" i="1"/>
  <c r="AY348" i="1"/>
  <c r="AY217" i="1"/>
  <c r="AY197" i="1"/>
  <c r="AY433" i="1"/>
  <c r="AY113" i="1"/>
  <c r="AY36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4" i="1"/>
  <c r="AY114" i="1"/>
  <c r="AV363" i="1"/>
  <c r="AV375" i="1"/>
  <c r="AY154" i="1"/>
  <c r="AY297" i="1"/>
  <c r="AY450" i="1"/>
  <c r="AY110" i="1"/>
  <c r="AY261" i="1"/>
  <c r="AY228" i="1"/>
  <c r="AY193" i="1"/>
  <c r="AY189" i="1"/>
  <c r="AY426" i="1"/>
  <c r="AY292" i="1"/>
  <c r="AY165" i="1"/>
  <c r="AY424" i="1"/>
  <c r="AY175" i="1"/>
  <c r="AV459" i="1"/>
  <c r="AV54" i="1"/>
  <c r="AV435" i="1"/>
  <c r="AY64" i="1"/>
  <c r="AV115" i="1"/>
  <c r="AV364" i="1"/>
  <c r="AV376" i="1"/>
  <c r="AY457" i="1"/>
  <c r="AY168" i="1"/>
  <c r="AY120" i="1"/>
  <c r="AY436" i="1"/>
  <c r="AY411" i="1"/>
  <c r="AY347" i="1"/>
  <c r="AY77" i="1"/>
  <c r="AY435" i="1"/>
  <c r="AY177" i="1"/>
  <c r="AV65" i="1"/>
  <c r="AV159" i="1"/>
  <c r="AV219" i="1"/>
  <c r="AV53" i="1"/>
  <c r="AV445" i="1"/>
  <c r="AV220" i="1"/>
  <c r="AV76" i="1"/>
  <c r="AV44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9" i="1"/>
  <c r="AV204" i="1"/>
  <c r="AV217" i="1"/>
  <c r="AV12" i="1"/>
  <c r="AV205" i="1"/>
  <c r="AV75" i="1"/>
  <c r="AV33" i="1"/>
  <c r="AV22" i="1"/>
  <c r="AV207" i="1"/>
  <c r="AV372" i="1"/>
  <c r="AV384" i="1"/>
  <c r="AV216" i="1"/>
  <c r="AV64" i="1"/>
  <c r="AV34" i="1"/>
  <c r="AV59" i="1"/>
  <c r="AV208" i="1"/>
  <c r="AV359" i="1"/>
  <c r="AV373" i="1"/>
  <c r="AV385" i="1"/>
  <c r="AV233" i="1"/>
  <c r="AV74" i="1"/>
  <c r="AV286" i="1"/>
  <c r="AV60" i="1"/>
  <c r="AV360" i="1"/>
  <c r="AV374" i="1"/>
  <c r="AV386" i="1"/>
  <c r="AV10" i="1"/>
  <c r="AV86" i="1"/>
  <c r="AV231" i="1"/>
  <c r="AV407" i="1"/>
  <c r="AV87" i="1"/>
  <c r="AV408" i="1"/>
  <c r="AV282" i="1"/>
  <c r="AV455" i="1"/>
  <c r="AV36" i="1"/>
  <c r="AV346" i="1"/>
  <c r="AV441" i="1"/>
  <c r="AV361" i="1"/>
  <c r="AV48" i="1"/>
  <c r="AV62" i="1"/>
  <c r="AV349" i="1"/>
  <c r="AV113" i="1"/>
  <c r="AV362" i="1"/>
  <c r="AV492" i="1"/>
  <c r="AV230" i="1"/>
  <c r="AV14" i="1"/>
  <c r="AV49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8" i="1"/>
  <c r="AV45" i="1"/>
  <c r="AV71" i="1"/>
  <c r="AV117" i="1"/>
  <c r="AV434" i="1"/>
  <c r="AV46" i="1"/>
  <c r="AV119" i="1"/>
  <c r="AV433" i="1"/>
  <c r="AV196" i="1"/>
  <c r="AV47" i="1"/>
  <c r="AV226" i="1"/>
  <c r="AV83" i="1"/>
  <c r="AV197" i="1"/>
  <c r="AV227" i="1"/>
  <c r="AV144" i="1"/>
  <c r="AV446" i="1"/>
  <c r="AV368" i="1"/>
  <c r="AV442" i="1"/>
  <c r="AV371" i="1"/>
  <c r="AV141" i="1"/>
  <c r="AV175" i="1"/>
  <c r="AV188" i="1"/>
  <c r="AV229" i="1"/>
  <c r="AV72" i="1"/>
  <c r="AV200" i="1"/>
  <c r="AV365" i="1"/>
  <c r="AV377" i="1"/>
  <c r="AV73" i="1"/>
  <c r="AV201" i="1"/>
  <c r="AV366" i="1"/>
  <c r="AV378" i="1"/>
  <c r="AV178" i="1"/>
  <c r="AV67" i="1"/>
  <c r="AV189" i="1"/>
  <c r="AV163" i="1"/>
  <c r="AV179" i="1"/>
  <c r="AV89" i="1"/>
  <c r="AV18" i="1"/>
  <c r="AV68" i="1"/>
  <c r="AV206" i="1"/>
  <c r="AV90" i="1"/>
  <c r="AV20" i="1"/>
  <c r="AV383" i="1"/>
  <c r="AV77" i="1"/>
  <c r="AV91" i="1"/>
  <c r="AV44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4" i="1"/>
  <c r="AV221" i="1"/>
  <c r="AV174" i="1"/>
  <c r="AV170" i="1"/>
  <c r="AY451" i="1" l="1"/>
  <c r="AV451" i="1"/>
  <c r="AY180" i="1"/>
  <c r="AV180" i="1"/>
  <c r="AY187" i="1"/>
  <c r="AV187" i="1"/>
</calcChain>
</file>

<file path=xl/sharedStrings.xml><?xml version="1.0" encoding="utf-8"?>
<sst xmlns="http://schemas.openxmlformats.org/spreadsheetml/2006/main" count="7870" uniqueCount="1569">
  <si>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</si>
  <si>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</si>
  <si>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</si>
  <si>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</si>
  <si>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</si>
  <si>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</si>
  <si>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</si>
  <si>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</si>
  <si>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</si>
  <si>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</si>
  <si>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</si>
  <si>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</si>
  <si>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</si>
  <si>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</si>
  <si>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</si>
  <si>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</si>
  <si>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</si>
  <si>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</si>
  <si>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</si>
  <si>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</si>
  <si>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</si>
  <si>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</si>
  <si>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</si>
  <si>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</si>
  <si>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</si>
  <si>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</si>
  <si>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</si>
  <si>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</si>
  <si>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</si>
  <si>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</si>
  <si>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</si>
  <si>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</si>
  <si>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</si>
  <si>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</si>
  <si>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</si>
  <si>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</si>
  <si>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</si>
  <si>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</si>
  <si>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</si>
  <si>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</si>
  <si>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</si>
  <si>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</si>
  <si>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</si>
  <si>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</si>
  <si>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</si>
  <si>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</si>
  <si>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</si>
  <si>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</si>
  <si>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</si>
  <si>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</si>
  <si>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</si>
  <si>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</si>
  <si>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</si>
  <si>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</si>
  <si>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</si>
  <si>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</si>
  <si>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</si>
  <si>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</si>
  <si>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</si>
  <si>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</si>
  <si>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</si>
  <si>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</si>
  <si>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</si>
  <si>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</si>
  <si>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</si>
  <si>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</si>
  <si>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</si>
  <si>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</si>
  <si>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</si>
  <si>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</si>
  <si>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</si>
  <si>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</si>
  <si>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</si>
  <si>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</si>
  <si>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</si>
  <si>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</si>
  <si>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</si>
  <si>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</si>
  <si>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</si>
  <si>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</si>
  <si>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</si>
  <si>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</si>
  <si>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</si>
  <si>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</si>
  <si>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</si>
  <si>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</si>
  <si>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</si>
  <si>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</si>
  <si>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</si>
  <si>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</si>
  <si>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</si>
  <si>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</si>
  <si>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</si>
  <si>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</si>
  <si>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</si>
  <si>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</si>
  <si>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</si>
  <si>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</si>
  <si>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</si>
  <si>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</si>
  <si>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</si>
  <si>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</si>
  <si>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</si>
  <si>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</si>
  <si>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</si>
  <si>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</si>
  <si>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</si>
  <si>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</si>
  <si>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</si>
  <si>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</si>
  <si>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</si>
  <si>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</si>
  <si>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</si>
  <si>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</si>
  <si>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</si>
  <si>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</si>
  <si>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</si>
  <si>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</si>
  <si>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</si>
  <si>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</si>
  <si>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</si>
  <si>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</si>
  <si>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</si>
  <si>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</si>
  <si>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</si>
  <si>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</si>
  <si>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</si>
  <si>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</si>
  <si>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</si>
  <si>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</si>
  <si>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</si>
  <si>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</si>
  <si>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</si>
  <si>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</si>
  <si>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</si>
  <si>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</si>
  <si>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</si>
  <si>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</si>
  <si>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</si>
  <si>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</si>
  <si>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</si>
  <si>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</si>
  <si>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</si>
  <si>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</si>
  <si>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</si>
  <si>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</si>
  <si>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</si>
  <si>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</si>
  <si>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</si>
  <si>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</si>
  <si>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</si>
  <si>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</si>
  <si>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</si>
  <si>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</si>
  <si>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</si>
  <si>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</si>
  <si>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</si>
  <si>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</si>
  <si>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</si>
  <si>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</si>
  <si>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</si>
  <si>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</si>
  <si>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</si>
  <si>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</si>
  <si>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</si>
  <si>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</si>
  <si>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</si>
  <si>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</si>
  <si>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</si>
  <si>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</si>
  <si>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</si>
  <si>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</si>
  <si>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</si>
  <si>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</si>
  <si>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</si>
  <si>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</si>
  <si>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</si>
  <si>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</si>
  <si>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</si>
  <si>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</si>
  <si>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</si>
  <si>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</si>
  <si>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</si>
  <si>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</si>
  <si>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</si>
  <si>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</si>
  <si>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</si>
  <si>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</si>
  <si>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</si>
  <si>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</si>
  <si>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</si>
  <si>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</si>
  <si>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</si>
  <si>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</si>
  <si>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</si>
  <si>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</si>
  <si>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</si>
  <si>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</si>
  <si>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</si>
  <si>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</si>
  <si>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</si>
  <si>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</si>
  <si>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</si>
  <si>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</si>
  <si>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</si>
  <si>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</si>
  <si>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</si>
  <si>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</si>
  <si>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</si>
  <si>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</si>
  <si>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</si>
  <si>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</si>
  <si>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</si>
  <si>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</si>
  <si>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</si>
  <si>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</si>
  <si>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</si>
  <si>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</si>
  <si>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</si>
  <si>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</si>
  <si>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</si>
  <si>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</si>
  <si>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</si>
  <si>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</si>
  <si>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</si>
  <si>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</si>
  <si>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</si>
  <si>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</si>
  <si>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</si>
  <si>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</si>
  <si>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</si>
  <si>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</si>
  <si>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</si>
  <si>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</si>
  <si>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</si>
  <si>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</si>
  <si>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</si>
  <si>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</si>
  <si>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</si>
  <si>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</si>
  <si>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</si>
  <si>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</si>
  <si>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</si>
  <si>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</si>
  <si>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</si>
  <si>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</si>
  <si>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</si>
  <si>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</si>
  <si>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</si>
  <si>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</si>
  <si>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</si>
  <si>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</si>
  <si>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</si>
  <si>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</si>
  <si>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</si>
  <si>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</si>
  <si>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</si>
  <si>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</si>
  <si>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</si>
  <si>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</si>
  <si>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</si>
  <si>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</si>
  <si>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</si>
  <si>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</si>
  <si>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</si>
  <si>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</si>
  <si>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</si>
  <si>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</si>
  <si>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</si>
  <si>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</si>
  <si>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</si>
  <si>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</si>
  <si>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</si>
  <si>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</si>
  <si>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</si>
  <si>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</si>
  <si>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</si>
  <si>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</si>
  <si>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</si>
  <si>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</si>
  <si>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</si>
  <si>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</si>
  <si>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</si>
  <si>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</si>
  <si>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</si>
  <si>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</si>
  <si>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</si>
  <si>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</si>
  <si>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</si>
  <si>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</si>
  <si>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</si>
  <si>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</si>
  <si>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</si>
  <si>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</si>
  <si>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</si>
  <si>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</si>
  <si>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</si>
  <si>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</si>
  <si>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</si>
  <si>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</si>
  <si>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</si>
  <si>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</si>
  <si>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</si>
  <si>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</si>
  <si>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</si>
  <si>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</si>
  <si>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</si>
  <si>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</si>
  <si>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</si>
  <si>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</si>
  <si>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</si>
  <si>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</si>
  <si>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</si>
  <si>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</si>
  <si>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</si>
  <si>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</si>
  <si>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</si>
  <si>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</si>
  <si>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</si>
  <si>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</si>
  <si>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</si>
  <si>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</si>
  <si>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</si>
  <si>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</si>
  <si>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</si>
  <si>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</si>
  <si>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</si>
  <si>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</si>
  <si>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</si>
  <si>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</si>
  <si>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</si>
  <si>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</si>
  <si>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</si>
  <si>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</si>
  <si>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</si>
  <si>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</si>
  <si>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</si>
  <si>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</si>
  <si>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</si>
  <si>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</si>
  <si>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</si>
  <si>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</si>
  <si>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</si>
  <si>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</si>
  <si>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</si>
  <si>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</si>
  <si>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</si>
  <si>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</si>
  <si>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</si>
  <si>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</si>
  <si>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</si>
  <si>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</si>
  <si>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</si>
  <si>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</si>
  <si>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</si>
  <si>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</si>
  <si>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</si>
  <si>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</si>
  <si>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</si>
  <si>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</si>
  <si>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</si>
  <si>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</si>
  <si>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</si>
  <si>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</si>
  <si>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</si>
  <si>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</si>
  <si>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</si>
  <si>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</si>
  <si>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</si>
  <si>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</si>
  <si>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</si>
  <si>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</si>
  <si>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</si>
  <si>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</si>
  <si>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</si>
  <si>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</si>
  <si>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</si>
  <si>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</si>
  <si>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</si>
  <si>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</si>
  <si>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</si>
  <si>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</si>
  <si>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</si>
  <si>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</si>
  <si>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</si>
  <si>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</si>
  <si>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</si>
  <si>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</si>
  <si>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</si>
  <si>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</si>
  <si>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</si>
  <si>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</si>
  <si>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</si>
  <si>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</si>
  <si>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</si>
  <si>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</si>
  <si>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</si>
  <si>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</si>
  <si>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</si>
  <si>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</si>
  <si>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</si>
  <si>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</si>
  <si>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</si>
  <si>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</si>
  <si>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</si>
  <si>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</si>
  <si>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</si>
  <si>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</si>
  <si>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</si>
  <si>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</si>
  <si>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</si>
  <si>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</si>
  <si>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</si>
  <si>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</si>
  <si>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</si>
  <si>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</si>
  <si>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</si>
  <si>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</si>
  <si>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</si>
  <si>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</si>
  <si>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</si>
  <si>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</si>
  <si>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</si>
  <si>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</si>
  <si>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</si>
  <si>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</si>
  <si>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</si>
  <si>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</si>
  <si>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</si>
  <si>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</si>
  <si>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</si>
  <si>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</si>
  <si>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</si>
  <si>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</si>
  <si>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</si>
  <si>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</si>
  <si>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</si>
  <si>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</si>
  <si>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</si>
  <si>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</si>
  <si>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</si>
  <si>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</si>
  <si>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</si>
  <si>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</si>
  <si>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</si>
  <si>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</si>
  <si>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</si>
  <si>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</si>
  <si>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</si>
  <si>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</si>
  <si>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</si>
  <si>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</si>
  <si>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</si>
  <si>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</si>
  <si>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</si>
  <si>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</si>
  <si>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</si>
  <si>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</si>
  <si>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</si>
  <si>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</si>
  <si>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</si>
  <si>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</si>
  <si>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</si>
  <si>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</si>
  <si>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</si>
  <si>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</si>
  <si>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</si>
  <si>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</si>
  <si>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</si>
  <si>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</si>
  <si>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</si>
  <si>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</si>
  <si>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</si>
  <si>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</si>
  <si>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</si>
  <si>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</si>
  <si>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</si>
  <si>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</si>
  <si>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</si>
  <si>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</si>
  <si>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</si>
  <si>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</si>
  <si>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</si>
  <si>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</si>
  <si>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</si>
  <si>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</si>
  <si>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</si>
  <si>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</si>
  <si>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</si>
  <si>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</si>
  <si>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</si>
  <si>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</si>
  <si>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</si>
  <si>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</si>
  <si>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</si>
  <si>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</si>
  <si>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</si>
  <si>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</si>
  <si>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</si>
  <si>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</si>
  <si>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</si>
  <si>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</si>
  <si>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</si>
  <si>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</si>
  <si>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</si>
  <si>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</si>
  <si>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</si>
  <si>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</si>
  <si>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</si>
  <si>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</si>
  <si>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</si>
  <si>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</si>
  <si>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</si>
  <si>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</si>
  <si>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</si>
  <si>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</si>
  <si>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</si>
  <si>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</si>
  <si>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</si>
  <si>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</si>
  <si>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</si>
  <si>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</si>
  <si>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</si>
  <si>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</si>
  <si>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</si>
  <si>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</si>
  <si>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</si>
  <si>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</si>
  <si>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</si>
  <si>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</si>
  <si>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</si>
  <si>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</si>
  <si>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</si>
  <si>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</si>
  <si>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</si>
  <si>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</si>
  <si>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</si>
  <si>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</si>
  <si>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</si>
  <si>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</si>
  <si>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</si>
  <si>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</si>
  <si>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</si>
  <si>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</si>
  <si>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</si>
  <si>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</si>
  <si>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</si>
  <si>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</si>
  <si>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</si>
  <si>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</si>
  <si>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</si>
  <si>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</si>
  <si>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</si>
  <si>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</si>
  <si>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</si>
  <si>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</si>
  <si>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</si>
  <si>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</si>
  <si>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</si>
  <si>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</si>
  <si>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</si>
  <si>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</si>
  <si>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</si>
  <si>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</si>
  <si>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</si>
  <si>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</si>
  <si>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</si>
  <si>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</si>
  <si>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</si>
  <si>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</si>
  <si>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</si>
  <si>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</si>
  <si>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</si>
  <si>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</si>
  <si>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</si>
  <si>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</si>
  <si>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</si>
  <si>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</si>
  <si>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</si>
  <si>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</si>
  <si>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</si>
  <si>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</si>
  <si>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</si>
  <si>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</si>
  <si>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</si>
  <si>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</si>
  <si>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</si>
  <si>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</si>
  <si>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</si>
  <si>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</si>
  <si>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</si>
  <si>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</si>
  <si>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</si>
  <si>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</si>
  <si>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</si>
  <si>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</si>
  <si>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</si>
  <si>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</si>
  <si>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</si>
  <si>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</si>
  <si>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</si>
  <si>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</si>
  <si>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</si>
  <si>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</si>
  <si>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</si>
  <si>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</si>
  <si>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</si>
  <si>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</si>
  <si>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</si>
  <si>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</si>
  <si>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</si>
  <si>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</si>
  <si>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</si>
  <si>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</si>
  <si>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</si>
  <si>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</si>
  <si>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</si>
  <si>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</si>
  <si>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</si>
  <si>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</si>
  <si>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</si>
  <si>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</si>
  <si>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</si>
  <si>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</si>
  <si>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</si>
  <si>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</si>
  <si>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</si>
  <si>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</si>
  <si>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</si>
  <si>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</si>
  <si>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</si>
  <si>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</si>
  <si>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</si>
  <si>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</si>
  <si>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</si>
  <si>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</si>
  <si>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</si>
  <si>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</si>
  <si>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</si>
  <si>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</si>
  <si>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</si>
  <si>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</si>
  <si>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</si>
  <si>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</si>
  <si>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</si>
  <si>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</si>
  <si>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</si>
  <si>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</si>
  <si>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</si>
  <si>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</si>
  <si>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</si>
  <si>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</si>
  <si>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</si>
  <si>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</si>
  <si>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</si>
  <si>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</si>
  <si>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</si>
  <si>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</si>
  <si>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</si>
  <si>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</si>
  <si>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</si>
  <si>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</si>
  <si>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</si>
  <si>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</si>
  <si>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</si>
  <si>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</si>
  <si>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</si>
  <si>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</si>
  <si>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</si>
  <si>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</si>
  <si>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</si>
  <si>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</si>
  <si>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</si>
  <si>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</si>
  <si>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</si>
  <si>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</si>
  <si>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</si>
  <si>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</si>
  <si>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</si>
  <si>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</si>
  <si>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</si>
  <si>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</si>
  <si>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</si>
  <si>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</si>
  <si>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</si>
  <si>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</si>
  <si>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</si>
  <si>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</si>
  <si>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</si>
  <si>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</si>
  <si>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</si>
  <si>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</si>
  <si>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</si>
  <si>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</si>
  <si>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</si>
  <si>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</si>
  <si>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</si>
  <si>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</si>
  <si>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</si>
  <si>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</si>
  <si>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</si>
  <si>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</si>
  <si>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</si>
  <si>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</si>
  <si>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</si>
  <si>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</si>
  <si>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</si>
  <si>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</si>
  <si>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</si>
  <si>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</si>
  <si>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</si>
  <si>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</si>
  <si>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</si>
  <si>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</si>
  <si>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</si>
  <si>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</si>
  <si>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</si>
  <si>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</si>
  <si>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</si>
  <si>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</si>
  <si>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</si>
  <si>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</si>
  <si>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</si>
  <si>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</si>
  <si>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</si>
  <si>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</si>
  <si>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</si>
  <si>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</si>
  <si>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</si>
  <si>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</si>
  <si>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</si>
  <si>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</si>
  <si>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</si>
  <si>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</si>
  <si>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</si>
  <si>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</si>
  <si>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</si>
  <si>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</si>
  <si>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</si>
  <si>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</si>
  <si>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</si>
  <si>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</si>
  <si>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</si>
  <si>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</si>
  <si>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</si>
  <si>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</si>
  <si>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</si>
  <si>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</si>
  <si>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</si>
  <si>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</si>
  <si>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</si>
  <si>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</si>
  <si>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</si>
  <si>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</si>
  <si>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</si>
  <si>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</si>
  <si>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</si>
  <si>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</si>
  <si>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</si>
  <si>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</si>
  <si>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</si>
  <si>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</si>
  <si>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</si>
  <si>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</si>
  <si>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</si>
  <si>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</si>
  <si>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</si>
  <si>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</si>
  <si>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</si>
  <si>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</si>
  <si>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</si>
  <si>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</si>
  <si>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</si>
  <si>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</si>
  <si>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</si>
  <si>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</si>
  <si>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</si>
  <si>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</si>
  <si>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</si>
  <si>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</si>
  <si>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</si>
  <si>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</si>
  <si>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</si>
  <si>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</si>
  <si>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</si>
  <si>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</si>
  <si>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</si>
  <si>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</si>
  <si>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</si>
  <si>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</si>
  <si>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</si>
  <si>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</si>
  <si>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</si>
  <si>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</si>
  <si>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</si>
  <si>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</si>
  <si>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</si>
  <si>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</si>
  <si>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</si>
  <si>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</si>
  <si>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</si>
  <si>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</si>
  <si>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</si>
  <si>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</si>
  <si>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</si>
  <si>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</si>
  <si>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</si>
  <si>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</si>
  <si>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</si>
  <si>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</si>
  <si>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</si>
  <si>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</si>
  <si>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</si>
  <si>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</si>
  <si>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</si>
  <si>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</si>
  <si>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</si>
  <si>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</si>
  <si>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</si>
  <si>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</si>
  <si>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</si>
  <si>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</si>
  <si>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</si>
  <si>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</si>
  <si>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</si>
  <si>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</si>
  <si>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</si>
  <si>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</si>
  <si>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</si>
  <si>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</si>
  <si>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</si>
  <si>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</si>
  <si>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</si>
  <si>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</si>
  <si>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</si>
  <si>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</si>
  <si>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</si>
  <si>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</si>
  <si>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</si>
  <si>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</si>
  <si>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</si>
  <si>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</si>
  <si>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</si>
  <si>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</si>
  <si>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</si>
  <si>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</si>
  <si>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</si>
  <si>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</si>
  <si>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</si>
  <si>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</si>
  <si>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</si>
  <si>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</si>
  <si>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</si>
  <si>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</si>
  <si>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</si>
  <si>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</si>
  <si>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</si>
  <si>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</si>
  <si>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</si>
  <si>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</si>
  <si>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</si>
  <si>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</si>
  <si>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</si>
  <si>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</si>
  <si>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</si>
  <si>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</si>
  <si>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</si>
  <si>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</si>
  <si>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</si>
  <si>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</si>
  <si>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</si>
  <si>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</si>
  <si>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</si>
  <si>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</si>
  <si>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</si>
  <si>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</si>
  <si>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</si>
  <si>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</si>
  <si>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</si>
  <si>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</si>
  <si>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</si>
  <si>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</si>
  <si>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</si>
  <si>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</si>
  <si>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</si>
  <si>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</si>
  <si>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</si>
  <si>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</si>
  <si>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</si>
  <si>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</si>
  <si>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</si>
  <si>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</si>
  <si>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</si>
  <si>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</si>
  <si>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</si>
  <si>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</si>
  <si>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</si>
  <si>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</si>
  <si>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</si>
  <si>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</si>
  <si>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</si>
  <si>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</si>
  <si>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</si>
  <si>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</si>
  <si>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</si>
  <si>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</si>
  <si>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</si>
  <si>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</si>
  <si>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</si>
  <si>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</si>
  <si>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</si>
  <si>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</si>
  <si>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</si>
  <si>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</si>
  <si>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</si>
  <si>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</si>
  <si>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</si>
  <si>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</si>
  <si>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</si>
  <si>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</si>
  <si>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</si>
  <si>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</si>
  <si>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</si>
  <si>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</si>
  <si>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</si>
  <si>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</si>
  <si>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</si>
  <si>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</si>
  <si>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</si>
  <si>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</si>
  <si>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</si>
  <si>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</si>
  <si>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</si>
  <si>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</si>
  <si>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</si>
  <si>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</si>
  <si>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</si>
  <si>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</si>
  <si>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</si>
  <si>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</si>
  <si>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</si>
  <si>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</si>
  <si>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</si>
  <si>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</si>
  <si>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</si>
  <si>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</si>
  <si>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</si>
  <si>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</si>
  <si>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</si>
  <si>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</si>
  <si>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</si>
  <si>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</si>
  <si>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</si>
  <si>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</si>
  <si>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</si>
  <si>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</si>
  <si>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</si>
  <si>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</si>
  <si>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</si>
  <si>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</si>
  <si>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</si>
  <si>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</si>
  <si>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</si>
  <si>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</si>
  <si>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</si>
  <si>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</si>
  <si>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</si>
  <si>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</si>
  <si>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</si>
  <si>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</si>
  <si>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</si>
  <si>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</si>
  <si>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</si>
  <si>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</si>
  <si>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</si>
  <si>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</si>
  <si>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</si>
  <si>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</si>
  <si>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</si>
  <si>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</si>
  <si>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</si>
  <si>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</si>
  <si>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</si>
  <si>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</si>
  <si>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</si>
  <si>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</si>
  <si>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</si>
  <si>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</si>
  <si>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</si>
  <si>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</si>
  <si>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</si>
  <si>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</si>
  <si>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</si>
  <si>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</si>
  <si>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</si>
  <si>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</si>
  <si>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</si>
  <si>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</si>
  <si>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</si>
  <si>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</si>
  <si>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</si>
  <si>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</si>
  <si>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</si>
  <si>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</si>
  <si>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</si>
  <si>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</si>
  <si>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</si>
  <si>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</si>
  <si>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</si>
  <si>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</si>
  <si>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</si>
  <si>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</si>
  <si>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</si>
  <si>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</si>
  <si>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</si>
  <si>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</si>
  <si>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</si>
  <si>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</si>
  <si>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</si>
  <si>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</si>
  <si>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</si>
  <si>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</si>
  <si>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</si>
  <si>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</si>
  <si>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</si>
  <si>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</si>
  <si>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</si>
  <si>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</si>
  <si>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</si>
  <si>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</si>
  <si>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</si>
  <si>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</si>
  <si>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</si>
  <si>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</si>
  <si>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</si>
  <si>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</si>
  <si>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</si>
  <si>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</si>
  <si>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</si>
  <si>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</si>
  <si>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</si>
  <si>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</si>
  <si>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</si>
  <si>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</si>
  <si>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</si>
  <si>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</si>
  <si>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</si>
  <si>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</si>
  <si>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</si>
  <si>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</si>
  <si>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</si>
  <si>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</si>
  <si>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</si>
  <si>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</si>
  <si>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</si>
  <si>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</si>
  <si>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</si>
  <si>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</si>
  <si>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</si>
  <si>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</si>
  <si>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</si>
  <si>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</si>
  <si>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</si>
  <si>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</si>
  <si>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</si>
  <si>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</si>
  <si>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</si>
  <si>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</si>
  <si>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</si>
  <si>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</si>
  <si>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</si>
  <si>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</si>
  <si>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</si>
  <si>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</si>
  <si>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</si>
  <si>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</si>
  <si>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</si>
  <si>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</si>
  <si>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</si>
  <si>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</si>
  <si>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</si>
  <si>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</si>
  <si>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</si>
  <si>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</si>
  <si>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</si>
  <si>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</si>
  <si>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</si>
  <si>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</si>
  <si>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</si>
  <si>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</si>
  <si>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</si>
  <si>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</si>
  <si>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</si>
  <si>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</si>
  <si>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</si>
  <si>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</si>
  <si>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</si>
  <si>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</si>
  <si>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</si>
  <si>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</si>
  <si>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</si>
  <si>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</si>
  <si>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</si>
  <si>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</si>
  <si>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</si>
  <si>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</si>
  <si>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</si>
  <si>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</si>
  <si>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</si>
  <si>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</si>
  <si>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</si>
  <si>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</si>
  <si>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</si>
  <si>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</si>
  <si>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</si>
  <si>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</si>
  <si>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</si>
  <si>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</si>
  <si>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</si>
  <si>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</si>
  <si>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</si>
  <si>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</si>
  <si>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</si>
  <si>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</si>
  <si>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</si>
  <si>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</si>
  <si>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</si>
  <si>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</si>
  <si>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</si>
  <si>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</si>
  <si>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</si>
  <si>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</si>
  <si>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</si>
  <si>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</si>
  <si>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</si>
  <si>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</si>
  <si>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</si>
  <si>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</si>
  <si>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</si>
  <si>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</si>
  <si>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</si>
  <si>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</si>
  <si>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</si>
  <si>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</si>
  <si>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</si>
  <si>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</si>
  <si>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</si>
  <si>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</si>
  <si>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</si>
  <si>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</si>
  <si>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</si>
  <si>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</si>
  <si>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</si>
  <si>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</si>
  <si>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</si>
  <si>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</si>
  <si>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</si>
  <si>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</si>
  <si>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</si>
  <si>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</si>
  <si>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</si>
  <si>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</si>
  <si>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</si>
  <si>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</si>
  <si>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</si>
  <si>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</si>
  <si>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</si>
  <si>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</si>
  <si>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</si>
  <si>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</si>
  <si>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</si>
  <si>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</si>
  <si>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</si>
  <si>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</si>
  <si>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</si>
  <si>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</si>
  <si>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</si>
  <si>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</si>
  <si>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</si>
  <si>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</si>
  <si>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</si>
  <si>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</si>
  <si>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</si>
  <si>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</si>
  <si>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</si>
  <si>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</si>
  <si>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</si>
  <si>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</si>
  <si>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</si>
  <si>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</si>
  <si>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</si>
  <si>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</si>
  <si>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</si>
  <si>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</si>
  <si>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</si>
  <si>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</si>
  <si>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</si>
  <si>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</si>
  <si>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</si>
  <si>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</si>
  <si>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</si>
  <si>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</si>
  <si>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</si>
  <si>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</si>
  <si>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</si>
  <si>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</si>
  <si>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</si>
  <si>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</si>
  <si>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</si>
  <si>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</si>
  <si>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</si>
  <si>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</si>
  <si>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</si>
  <si>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</si>
  <si>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</si>
  <si>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</si>
  <si>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</si>
  <si>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</si>
  <si>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</si>
  <si>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</si>
  <si>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</si>
  <si>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</si>
  <si>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</si>
  <si>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</si>
  <si>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</si>
  <si>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</si>
  <si>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</si>
  <si>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</si>
  <si>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</si>
  <si>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</si>
  <si>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</si>
  <si>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</si>
  <si>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</si>
  <si>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</si>
  <si>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</si>
  <si>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</si>
  <si>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</si>
  <si>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</si>
  <si>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</si>
  <si>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</si>
  <si>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</si>
  <si>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</si>
  <si>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</si>
  <si>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</si>
  <si>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</si>
  <si>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</si>
  <si>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</si>
  <si>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</si>
  <si>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</si>
  <si>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</si>
  <si>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</si>
  <si>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</si>
  <si>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</si>
  <si>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</si>
  <si>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</si>
  <si>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</si>
  <si>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</si>
  <si>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</si>
  <si>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</si>
  <si>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</si>
  <si>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</si>
  <si>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</si>
  <si>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</si>
  <si>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</si>
  <si>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</si>
  <si>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</si>
  <si>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</si>
  <si>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</si>
  <si>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</si>
  <si>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</si>
  <si>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</si>
  <si>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</si>
  <si>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</si>
  <si>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</si>
  <si>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</si>
  <si>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</si>
  <si>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</si>
  <si>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</si>
  <si>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</si>
  <si>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</si>
  <si>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</si>
  <si>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</si>
  <si>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</si>
  <si>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</si>
  <si>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</si>
  <si>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</si>
  <si>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</si>
  <si>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</si>
  <si>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</si>
  <si>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</si>
  <si>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</si>
  <si>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</si>
  <si>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</si>
  <si>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</si>
  <si>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</si>
  <si>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</si>
  <si>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</si>
  <si>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</si>
  <si>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</si>
  <si>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</si>
  <si>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</si>
  <si>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</si>
  <si>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</si>
  <si>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</si>
  <si>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</si>
  <si>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</si>
  <si>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</si>
  <si>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</si>
  <si>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</si>
  <si>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</si>
  <si>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</si>
  <si>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</si>
  <si>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</si>
  <si>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</si>
  <si>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</si>
  <si>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</si>
  <si>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</si>
  <si>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</si>
  <si>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</si>
  <si>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</si>
  <si>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</si>
  <si>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</si>
  <si>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</si>
  <si>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</si>
  <si>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</si>
  <si>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</si>
  <si>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</si>
  <si>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</si>
  <si>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</si>
  <si>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</si>
  <si>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</si>
  <si>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</si>
  <si>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</si>
  <si>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</si>
  <si>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</si>
  <si>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</si>
  <si>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</si>
  <si>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</si>
  <si>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</si>
  <si>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</si>
  <si>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</si>
  <si>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</si>
  <si>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</si>
  <si>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</si>
  <si>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</si>
  <si>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</si>
  <si>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</si>
  <si>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</si>
  <si>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</si>
  <si>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</si>
  <si>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</si>
  <si>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</si>
  <si>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</si>
  <si>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</si>
  <si>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</si>
  <si>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</si>
  <si>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</si>
  <si>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</si>
  <si>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</si>
  <si>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</si>
  <si>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</si>
  <si>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</si>
  <si>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</si>
  <si>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</si>
  <si>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</si>
  <si>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</si>
  <si>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</si>
  <si>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</si>
  <si>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</si>
  <si>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</si>
  <si>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</si>
  <si>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</si>
  <si>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</si>
  <si>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</si>
  <si>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</si>
  <si>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</si>
  <si>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</si>
  <si>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</si>
  <si>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</si>
  <si>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</si>
  <si>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</si>
  <si>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</si>
  <si>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</si>
  <si>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</si>
  <si>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</si>
  <si>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</si>
  <si>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</si>
  <si>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</si>
  <si>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</si>
  <si>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</si>
  <si>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</si>
  <si>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</si>
  <si>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</si>
  <si>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</si>
  <si>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</si>
  <si>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</si>
  <si>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</si>
  <si>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</si>
  <si>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</si>
  <si>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</si>
  <si>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</si>
  <si>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</si>
  <si>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</si>
  <si>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</si>
  <si>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</si>
  <si>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</si>
  <si>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</si>
  <si>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</si>
  <si>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</si>
  <si>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</si>
  <si>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</si>
  <si>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</si>
  <si>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</si>
  <si>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</si>
  <si>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</si>
  <si>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</si>
  <si>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</si>
  <si>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</si>
  <si>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</si>
  <si>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</si>
  <si>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</si>
  <si>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</si>
  <si>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</si>
  <si>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</si>
  <si>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</si>
  <si>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</si>
  <si>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</si>
  <si>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</si>
  <si>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</si>
  <si>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</si>
  <si>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</si>
  <si>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</si>
  <si>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</si>
  <si>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</si>
  <si>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</si>
  <si>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</si>
  <si>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</si>
  <si>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</si>
  <si>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</si>
  <si>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</si>
  <si>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</si>
  <si>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</si>
  <si>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</si>
  <si>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</si>
  <si>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</si>
  <si>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</si>
  <si>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</si>
  <si>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</si>
  <si>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</si>
  <si>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</si>
  <si>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</si>
  <si>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</si>
  <si>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</si>
  <si>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</si>
  <si>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</si>
  <si>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</si>
  <si>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</si>
  <si>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</si>
  <si>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</si>
  <si>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</si>
  <si>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</si>
  <si>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</si>
  <si>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</si>
  <si>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</si>
  <si>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</si>
  <si>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</si>
  <si>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</si>
  <si>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</si>
  <si>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</si>
  <si>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</si>
  <si>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</si>
  <si>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</si>
  <si>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</si>
  <si>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</si>
  <si>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</si>
  <si>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</si>
  <si>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</si>
  <si>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</si>
  <si>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</si>
  <si>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</si>
  <si>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</si>
  <si>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</si>
  <si>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</si>
  <si>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</si>
  <si>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</si>
  <si>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</si>
  <si>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</si>
  <si>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</si>
  <si>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</si>
  <si>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</si>
  <si>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</si>
  <si>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</si>
  <si>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</si>
  <si>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</si>
  <si>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</si>
  <si>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</si>
  <si>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</si>
  <si>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</si>
  <si>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</si>
  <si>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</si>
  <si>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</si>
  <si>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</si>
  <si>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</si>
  <si>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</si>
  <si>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</si>
  <si>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</si>
  <si>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</si>
  <si>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</si>
  <si>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</si>
  <si>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</si>
  <si>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</si>
  <si>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</si>
  <si>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</si>
  <si>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</si>
  <si>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</si>
  <si>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</si>
  <si>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</si>
  <si>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</si>
  <si>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</si>
  <si>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</si>
  <si>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</si>
  <si>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</si>
  <si>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</si>
  <si>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</si>
  <si>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</si>
  <si>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</si>
  <si>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</si>
  <si>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</si>
  <si>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</si>
  <si>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</si>
  <si>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</si>
  <si>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</si>
  <si>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</si>
  <si>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</si>
  <si>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mdi:pulse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</si>
  <si>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</si>
  <si>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</si>
  <si>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</si>
  <si>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</si>
  <si>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</si>
  <si>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</si>
  <si>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</si>
  <si>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service_digitemp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</si>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</sst>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2" totalsRowShown="0" headerRowDxfId="68" dataDxfId="66" headerRowBorderDxfId="67">
  <autoFilter ref="A3:BN492" xr:uid="{00000000-0009-0000-0100-000002000000}">
    <filterColumn colId="3">
      <filters>
        <filter val="switch"/>
      </filters>
    </filterColumn>
  </autoFilter>
  <sortState xmlns:xlrd2="http://schemas.microsoft.com/office/spreadsheetml/2017/richdata2" ref="A4:BN492">
    <sortCondition ref="A3:A49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2"/>
  <sheetViews>
    <sheetView tabSelected="1" topLeftCell="AI1" zoomScale="121" zoomScaleNormal="120" workbookViewId="0">
      <selection activeCell="AL299" sqref="AL29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1227</v>
      </c>
      <c r="AY1" s="6" t="s">
        <v>1227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1384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1228</v>
      </c>
      <c r="AY2" s="16" t="s">
        <v>1224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1225</v>
      </c>
      <c r="AY3" s="27" t="s">
        <v>1226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1429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1268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1268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1343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1344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1344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1268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1253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1254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1268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1254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1255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1256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1268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1256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1345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1346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1346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1347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1348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1348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1268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1229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1452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1349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1350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1229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1246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1245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1432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1351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1252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1251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1352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1353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1229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1354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1355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1383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1356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1383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1357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1383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1358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1383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1359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1383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1383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1361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1383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1362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1383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1363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1383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1250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1249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1395</v>
      </c>
      <c r="F94" s="36" t="str">
        <f>IF(ISBLANK(Table2[[#This Row],[unique_id]]), "", PROPER(SUBSTITUTE(Table2[[#This Row],[unique_id]], "_", " ")))</f>
        <v>Home Started</v>
      </c>
      <c r="G94" s="30" t="s">
        <v>1396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1368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1369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1389</v>
      </c>
      <c r="F103" s="36" t="str">
        <f>IF(ISBLANK(Table2[[#This Row],[unique_id]]), "", PROPER(SUBSTITUTE(Table2[[#This Row],[unique_id]], "_", " ")))</f>
        <v>Edwin Wakeup</v>
      </c>
      <c r="G103" s="30" t="s">
        <v>1387</v>
      </c>
      <c r="H103" s="30" t="s">
        <v>311</v>
      </c>
      <c r="I103" s="30" t="s">
        <v>132</v>
      </c>
      <c r="J103" s="30" t="s">
        <v>1392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1390</v>
      </c>
      <c r="F104" s="36" t="str">
        <f>IF(ISBLANK(Table2[[#This Row],[unique_id]]), "", PROPER(SUBSTITUTE(Table2[[#This Row],[unique_id]], "_", " ")))</f>
        <v>Edwin Playtime</v>
      </c>
      <c r="G104" s="30" t="s">
        <v>1397</v>
      </c>
      <c r="H104" s="30" t="s">
        <v>311</v>
      </c>
      <c r="I104" s="30" t="s">
        <v>132</v>
      </c>
      <c r="J104" s="30" t="s">
        <v>1393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1391</v>
      </c>
      <c r="F105" s="36" t="str">
        <f>IF(ISBLANK(Table2[[#This Row],[unique_id]]), "", PROPER(SUBSTITUTE(Table2[[#This Row],[unique_id]], "_", " ")))</f>
        <v>Edwin Goodnight</v>
      </c>
      <c r="G105" s="30" t="s">
        <v>1388</v>
      </c>
      <c r="H105" s="30" t="s">
        <v>311</v>
      </c>
      <c r="I105" s="30" t="s">
        <v>132</v>
      </c>
      <c r="J105" s="30" t="s">
        <v>1394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1401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1340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1402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1340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1269</v>
      </c>
      <c r="BL107" s="55" t="s">
        <v>346</v>
      </c>
      <c r="BM107" s="55" t="s">
        <v>1310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1269</v>
      </c>
      <c r="BL109" s="30" t="s">
        <v>353</v>
      </c>
      <c r="BM109" s="30" t="s">
        <v>1320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1269</v>
      </c>
      <c r="BL110" s="30" t="s">
        <v>371</v>
      </c>
      <c r="BM110" s="30" t="s">
        <v>1287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1269</v>
      </c>
      <c r="BL111" s="30" t="s">
        <v>372</v>
      </c>
      <c r="BM111" s="30" t="s">
        <v>1288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1269</v>
      </c>
      <c r="BL112" s="30" t="s">
        <v>375</v>
      </c>
      <c r="BM112" s="30" t="s">
        <v>1289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1269</v>
      </c>
      <c r="BL114" s="30" t="s">
        <v>921</v>
      </c>
      <c r="BM114" s="30" t="s">
        <v>1291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1269</v>
      </c>
      <c r="BL117" s="30" t="s">
        <v>376</v>
      </c>
      <c r="BM117" s="30" t="s">
        <v>1292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1269</v>
      </c>
      <c r="BL119" s="30" t="s">
        <v>373</v>
      </c>
      <c r="BM119" s="30" t="s">
        <v>1293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1269</v>
      </c>
      <c r="BL120" s="30" t="s">
        <v>374</v>
      </c>
      <c r="BM120" s="39" t="s">
        <v>1294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1242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1243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1337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1241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1240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1435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1433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1434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1244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1330</v>
      </c>
      <c r="BA131" s="30" t="str">
        <f>IF(ISBLANK(Table2[[#This Row],[device_model]]), "", Table2[[#This Row],[device_suggested_area]])</f>
        <v>Home</v>
      </c>
      <c r="BB131" s="30" t="s">
        <v>1334</v>
      </c>
      <c r="BC131" s="30" t="s">
        <v>1331</v>
      </c>
      <c r="BD131" s="30" t="s">
        <v>1330</v>
      </c>
      <c r="BF131" s="30" t="s">
        <v>1332</v>
      </c>
      <c r="BG131" s="30" t="s">
        <v>165</v>
      </c>
      <c r="BK131" s="30" t="s">
        <v>1268</v>
      </c>
      <c r="BL131" s="46" t="s">
        <v>1333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1223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1525</v>
      </c>
      <c r="BD161" s="30" t="s">
        <v>377</v>
      </c>
      <c r="BE161" s="30" t="s">
        <v>1430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1525</v>
      </c>
      <c r="BD162" s="30" t="s">
        <v>377</v>
      </c>
      <c r="BE162" s="30" t="s">
        <v>1430</v>
      </c>
      <c r="BF162" s="30" t="s">
        <v>488</v>
      </c>
      <c r="BG162" s="30" t="s">
        <v>194</v>
      </c>
      <c r="BI162" s="30" t="s">
        <v>687</v>
      </c>
      <c r="BL162" s="30" t="s">
        <v>1523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1518</v>
      </c>
      <c r="F163" s="36" t="str">
        <f>IF(ISBLANK(Table2[[#This Row],[unique_id]]), "", PROPER(SUBSTITUTE(Table2[[#This Row],[unique_id]], "_", " ")))</f>
        <v>Lounge Reading</v>
      </c>
      <c r="G163" s="30" t="s">
        <v>1531</v>
      </c>
      <c r="H163" s="30" t="s">
        <v>139</v>
      </c>
      <c r="I163" s="30" t="s">
        <v>132</v>
      </c>
      <c r="J163" s="30" t="s">
        <v>1521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1521</v>
      </c>
      <c r="BC163" s="30" t="s">
        <v>1524</v>
      </c>
      <c r="BD163" s="30" t="s">
        <v>377</v>
      </c>
      <c r="BE163" s="30" t="s">
        <v>1430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1519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1522</v>
      </c>
      <c r="BC164" s="30" t="s">
        <v>1524</v>
      </c>
      <c r="BD164" s="30" t="s">
        <v>377</v>
      </c>
      <c r="BE164" s="30" t="s">
        <v>1430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1236</v>
      </c>
      <c r="F180" s="36" t="str">
        <f>IF(ISBLANK(Table2[[#This Row],[unique_id]]), "", PROPER(SUBSTITUTE(Table2[[#This Row],[unique_id]], "_", " ")))</f>
        <v>Kitchen Bench Lights Plug</v>
      </c>
      <c r="G180" s="30" t="s">
        <v>1237</v>
      </c>
      <c r="H180" s="30" t="s">
        <v>139</v>
      </c>
      <c r="I180" s="30" t="s">
        <v>132</v>
      </c>
      <c r="J180" s="30" t="s">
        <v>1239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1238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1269</v>
      </c>
      <c r="BL180" s="30" t="s">
        <v>919</v>
      </c>
      <c r="BM180" s="30" t="s">
        <v>1295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1403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1404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1269</v>
      </c>
      <c r="BL201" s="55" t="s">
        <v>561</v>
      </c>
      <c r="BM201" s="55" t="s">
        <v>1296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1269</v>
      </c>
      <c r="BL203" s="30" t="s">
        <v>1053</v>
      </c>
      <c r="BM203" s="30" t="s">
        <v>1297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1210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1405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1406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1269</v>
      </c>
      <c r="BL206" s="55" t="s">
        <v>560</v>
      </c>
      <c r="BM206" s="55" t="s">
        <v>1298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1269</v>
      </c>
      <c r="BL208" s="30" t="s">
        <v>1052</v>
      </c>
      <c r="BM208" s="30" t="s">
        <v>1299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1430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1430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1430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1430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1430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1269</v>
      </c>
      <c r="BL224" s="30" t="s">
        <v>350</v>
      </c>
      <c r="BM224" s="30" t="s">
        <v>1300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1269</v>
      </c>
      <c r="BL226" s="30" t="s">
        <v>442</v>
      </c>
      <c r="BM226" s="30" t="s">
        <v>1301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1269</v>
      </c>
      <c r="BL230" s="30" t="s">
        <v>1046</v>
      </c>
      <c r="BM230" s="30" t="s">
        <v>1302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1339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1339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1268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1232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1233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1234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1230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1235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1202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1205</v>
      </c>
      <c r="H287" s="30" t="s">
        <v>1201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1204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1203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1206</v>
      </c>
      <c r="H288" s="30" t="s">
        <v>1201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1204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579</v>
      </c>
      <c r="C295" s="30" t="s">
        <v>377</v>
      </c>
      <c r="D295" s="30" t="s">
        <v>27</v>
      </c>
      <c r="E295" s="30" t="s">
        <v>1526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1528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1527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1514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1229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1192</v>
      </c>
      <c r="D299" s="30" t="s">
        <v>134</v>
      </c>
      <c r="E299" s="30" t="s">
        <v>1535</v>
      </c>
      <c r="F299" s="30" t="str">
        <f>IF(ISBLANK(Table2[[#This Row],[unique_id]]), "", PROPER(SUBSTITUTE(Table2[[#This Row],[unique_id]], "_", " ")))</f>
        <v>Service Plex</v>
      </c>
      <c r="G299" s="30" t="s">
        <v>1193</v>
      </c>
      <c r="H299" s="30" t="s">
        <v>1191</v>
      </c>
      <c r="I299" s="30" t="s">
        <v>291</v>
      </c>
      <c r="M299" s="30" t="s">
        <v>257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1534</v>
      </c>
      <c r="AF299" s="30">
        <v>6</v>
      </c>
      <c r="AG299" s="31" t="s">
        <v>34</v>
      </c>
      <c r="AH299" s="31"/>
      <c r="AI299" s="30" t="s">
        <v>1490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homeassistant/switch/supervisor/service_plex/config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9" s="30" t="str">
        <f>IF(ISBLANK(Table2[[#This Row],[index]]),  "", _xlfn.CONCAT("supervisor/", Table2[[#This Row],[unique_id_device]], "/cmd/", SUBSTITUTE(LOWER(Table2[[#This Row],[unique_id]]), "_", "/")))</f>
        <v>supervisor/macmini-mad/cmd/service/plex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1568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1192</v>
      </c>
      <c r="BC299" s="30" t="s">
        <v>1532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1192</v>
      </c>
      <c r="D300" s="30" t="s">
        <v>134</v>
      </c>
      <c r="E300" s="30" t="s">
        <v>1536</v>
      </c>
      <c r="F300" s="30" t="str">
        <f>IF(ISBLANK(Table2[[#This Row],[unique_id]]), "", PROPER(SUBSTITUTE(Table2[[#This Row],[unique_id]], "_", " ")))</f>
        <v>Service Sabnzbd</v>
      </c>
      <c r="G300" s="30" t="s">
        <v>1560</v>
      </c>
      <c r="H300" s="30" t="s">
        <v>1191</v>
      </c>
      <c r="I300" s="30" t="s">
        <v>291</v>
      </c>
      <c r="M300" s="30" t="s">
        <v>257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1534</v>
      </c>
      <c r="AF300" s="30">
        <v>6</v>
      </c>
      <c r="AG300" s="31" t="s">
        <v>34</v>
      </c>
      <c r="AH300" s="31"/>
      <c r="AI300" s="30" t="s">
        <v>1490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homeassistant/switch/supervisor/service_sabnzbd/config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0" s="30" t="str">
        <f>IF(ISBLANK(Table2[[#This Row],[index]]),  "", _xlfn.CONCAT("supervisor/", Table2[[#This Row],[unique_id_device]], "/cmd/", SUBSTITUTE(LOWER(Table2[[#This Row],[unique_id]]), "_", "/")))</f>
        <v>supervisor/macmini-mad/cmd/service/sabnzbd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1568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1192</v>
      </c>
      <c r="BC300" s="30" t="s">
        <v>1532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1192</v>
      </c>
      <c r="D301" s="30" t="s">
        <v>134</v>
      </c>
      <c r="E301" s="30" t="s">
        <v>1537</v>
      </c>
      <c r="F301" s="30" t="str">
        <f>IF(ISBLANK(Table2[[#This Row],[unique_id]]), "", PROPER(SUBSTITUTE(Table2[[#This Row],[unique_id]], "_", " ")))</f>
        <v>Service Influxdb3</v>
      </c>
      <c r="G301" s="30" t="s">
        <v>1559</v>
      </c>
      <c r="H301" s="30" t="s">
        <v>1191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1534</v>
      </c>
      <c r="AF301" s="30">
        <v>6</v>
      </c>
      <c r="AG301" s="31" t="s">
        <v>34</v>
      </c>
      <c r="AH301" s="31"/>
      <c r="AI301" s="30" t="s">
        <v>1491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homeassistant/switch/supervisor/service_influxdb3/config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1" s="30" t="str">
        <f>IF(ISBLANK(Table2[[#This Row],[index]]),  "", _xlfn.CONCAT("supervisor/", Table2[[#This Row],[unique_id_device]], "/cmd/", SUBSTITUTE(LOWER(Table2[[#This Row],[unique_id]]), "_", "/")))</f>
        <v>supervisor/macmini-max/cmd/service/influxdb3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1568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1192</v>
      </c>
      <c r="BC301" s="30" t="s">
        <v>1532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1192</v>
      </c>
      <c r="D302" s="30" t="s">
        <v>134</v>
      </c>
      <c r="E302" s="30" t="s">
        <v>1538</v>
      </c>
      <c r="F302" s="30" t="str">
        <f>IF(ISBLANK(Table2[[#This Row],[unique_id]]), "", PROPER(SUBSTITUTE(Table2[[#This Row],[unique_id]], "_", " ")))</f>
        <v>Service Mlflow</v>
      </c>
      <c r="G302" s="30" t="s">
        <v>1561</v>
      </c>
      <c r="H302" s="30" t="s">
        <v>1191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1534</v>
      </c>
      <c r="AF302" s="30">
        <v>6</v>
      </c>
      <c r="AG302" s="31" t="s">
        <v>34</v>
      </c>
      <c r="AH302" s="31"/>
      <c r="AI302" s="30" t="s">
        <v>1491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homeassistant/switch/supervisor/service_mlflow/config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2" s="30" t="str">
        <f>IF(ISBLANK(Table2[[#This Row],[index]]),  "", _xlfn.CONCAT("supervisor/", Table2[[#This Row],[unique_id_device]], "/cmd/", SUBSTITUTE(LOWER(Table2[[#This Row],[unique_id]]), "_", "/")))</f>
        <v>supervisor/macmini-max/cmd/service/mlflow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1568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1192</v>
      </c>
      <c r="BC302" s="30" t="s">
        <v>1532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1192</v>
      </c>
      <c r="D303" s="30" t="s">
        <v>134</v>
      </c>
      <c r="E303" s="30" t="s">
        <v>1539</v>
      </c>
      <c r="F303" s="30" t="str">
        <f>IF(ISBLANK(Table2[[#This Row],[unique_id]]), "", PROPER(SUBSTITUTE(Table2[[#This Row],[unique_id]], "_", " ")))</f>
        <v>Service Mlserver</v>
      </c>
      <c r="G303" s="30" t="s">
        <v>1562</v>
      </c>
      <c r="H303" s="30" t="s">
        <v>1191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1534</v>
      </c>
      <c r="AF303" s="30">
        <v>6</v>
      </c>
      <c r="AG303" s="31" t="s">
        <v>34</v>
      </c>
      <c r="AH303" s="31"/>
      <c r="AI303" s="30" t="s">
        <v>1491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homeassistant/switch/supervisor/service_mlserver/config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3" s="30" t="str">
        <f>IF(ISBLANK(Table2[[#This Row],[index]]),  "", _xlfn.CONCAT("supervisor/", Table2[[#This Row],[unique_id_device]], "/cmd/", SUBSTITUTE(LOWER(Table2[[#This Row],[unique_id]]), "_", "/")))</f>
        <v>supervisor/macmini-max/cmd/service/mlserver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1568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1192</v>
      </c>
      <c r="BC303" s="30" t="s">
        <v>1532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1192</v>
      </c>
      <c r="D304" s="30" t="s">
        <v>134</v>
      </c>
      <c r="E304" s="30" t="s">
        <v>1540</v>
      </c>
      <c r="F304" s="30" t="str">
        <f>IF(ISBLANK(Table2[[#This Row],[unique_id]]), "", PROPER(SUBSTITUTE(Table2[[#This Row],[unique_id]], "_", " ")))</f>
        <v>Service Openra</v>
      </c>
      <c r="G304" s="30" t="s">
        <v>1563</v>
      </c>
      <c r="H304" s="30" t="s">
        <v>1191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1534</v>
      </c>
      <c r="AF304" s="30">
        <v>6</v>
      </c>
      <c r="AG304" s="31" t="s">
        <v>34</v>
      </c>
      <c r="AH304" s="31"/>
      <c r="AI304" s="30" t="s">
        <v>1491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4" s="30" t="str">
        <f>IF(ISBLANK(Table2[[#This Row],[index]]),  "", _xlfn.CONCAT("supervisor/", Table2[[#This Row],[unique_id_device]], "/cmd/", SUBSTITUTE(LOWER(Table2[[#This Row],[unique_id]]), "_", "/")))</f>
        <v>supervisor/macmini-max/cmd/service/openra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1568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1192</v>
      </c>
      <c r="BC304" s="30" t="s">
        <v>1532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1192</v>
      </c>
      <c r="D305" s="30" t="s">
        <v>134</v>
      </c>
      <c r="E305" s="30" t="s">
        <v>1541</v>
      </c>
      <c r="F305" s="30" t="str">
        <f>IF(ISBLANK(Table2[[#This Row],[unique_id]]), "", PROPER(SUBSTITUTE(Table2[[#This Row],[unique_id]], "_", " ")))</f>
        <v>Service Rhasspy</v>
      </c>
      <c r="G305" s="30" t="s">
        <v>1556</v>
      </c>
      <c r="H305" s="30" t="s">
        <v>1191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1534</v>
      </c>
      <c r="AF305" s="30">
        <v>6</v>
      </c>
      <c r="AG305" s="31" t="s">
        <v>34</v>
      </c>
      <c r="AH305" s="31"/>
      <c r="AI305" s="30" t="s">
        <v>1491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homeassistant/switch/supervisor/service_rhasspy/config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5" s="30" t="str">
        <f>IF(ISBLANK(Table2[[#This Row],[index]]),  "", _xlfn.CONCAT("supervisor/", Table2[[#This Row],[unique_id_device]], "/cmd/", SUBSTITUTE(LOWER(Table2[[#This Row],[unique_id]]), "_", "/")))</f>
        <v>supervisor/macmini-max/cmd/service/rhasspy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1568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1192</v>
      </c>
      <c r="BC305" s="30" t="s">
        <v>1532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1192</v>
      </c>
      <c r="D306" s="30" t="s">
        <v>134</v>
      </c>
      <c r="E306" s="30" t="s">
        <v>1542</v>
      </c>
      <c r="F306" s="30" t="str">
        <f>IF(ISBLANK(Table2[[#This Row],[unique_id]]), "", PROPER(SUBSTITUTE(Table2[[#This Row],[unique_id]], "_", " ")))</f>
        <v>Service Digitemp</v>
      </c>
      <c r="G306" s="30" t="s">
        <v>1115</v>
      </c>
      <c r="H306" s="30" t="s">
        <v>1191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1534</v>
      </c>
      <c r="AF306" s="30">
        <v>6</v>
      </c>
      <c r="AG306" s="31" t="s">
        <v>34</v>
      </c>
      <c r="AH306" s="31"/>
      <c r="AI306" s="30" t="s">
        <v>1452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homeassistant/switch/supervisor/service_digitemp/config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supervisor/macmini-may/data/service/digitemp/health_status</v>
      </c>
      <c r="AL306" s="30" t="str">
        <f>IF(ISBLANK(Table2[[#This Row],[index]]),  "", _xlfn.CONCAT("supervisor/", Table2[[#This Row],[unique_id_device]], "/cmd/", SUBSTITUTE(LOWER(Table2[[#This Row],[unique_id]]), "_", "/")))</f>
        <v>supervisor/macmini-may/cmd/service/digitemp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1568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Digitemp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1192</v>
      </c>
      <c r="BC306" s="30" t="s">
        <v>1532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1192</v>
      </c>
      <c r="D307" s="30" t="s">
        <v>134</v>
      </c>
      <c r="E307" s="30" t="s">
        <v>1543</v>
      </c>
      <c r="F307" s="30" t="str">
        <f>IF(ISBLANK(Table2[[#This Row],[unique_id]]), "", PROPER(SUBSTITUTE(Table2[[#This Row],[unique_id]], "_", " ")))</f>
        <v>Service Grafana</v>
      </c>
      <c r="G307" s="30" t="s">
        <v>1194</v>
      </c>
      <c r="H307" s="30" t="s">
        <v>1191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1534</v>
      </c>
      <c r="AF307" s="30">
        <v>6</v>
      </c>
      <c r="AG307" s="31" t="s">
        <v>34</v>
      </c>
      <c r="AH307" s="31"/>
      <c r="AI307" s="30" t="s">
        <v>1452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homeassistant/switch/supervisor/service_grafana/config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7" s="30" t="str">
        <f>IF(ISBLANK(Table2[[#This Row],[index]]),  "", _xlfn.CONCAT("supervisor/", Table2[[#This Row],[unique_id_device]], "/cmd/", SUBSTITUTE(LOWER(Table2[[#This Row],[unique_id]]), "_", "/")))</f>
        <v>supervisor/macmini-may/cmd/service/grafana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1568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1192</v>
      </c>
      <c r="BC307" s="30" t="s">
        <v>1532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1192</v>
      </c>
      <c r="D308" s="30" t="s">
        <v>134</v>
      </c>
      <c r="E308" s="30" t="s">
        <v>1544</v>
      </c>
      <c r="F308" s="30" t="str">
        <f>IF(ISBLANK(Table2[[#This Row],[unique_id]]), "", PROPER(SUBSTITUTE(Table2[[#This Row],[unique_id]], "_", " ")))</f>
        <v>Service Influxdb</v>
      </c>
      <c r="G308" s="30" t="s">
        <v>1559</v>
      </c>
      <c r="H308" s="30" t="s">
        <v>1191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1534</v>
      </c>
      <c r="AF308" s="30">
        <v>6</v>
      </c>
      <c r="AG308" s="31" t="s">
        <v>34</v>
      </c>
      <c r="AH308" s="31"/>
      <c r="AI308" s="30" t="s">
        <v>1452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homeassistant/switch/supervisor/service_influxdb/config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08" s="30" t="str">
        <f>IF(ISBLANK(Table2[[#This Row],[index]]),  "", _xlfn.CONCAT("supervisor/", Table2[[#This Row],[unique_id_device]], "/cmd/", SUBSTITUTE(LOWER(Table2[[#This Row],[unique_id]]), "_", "/")))</f>
        <v>supervisor/macmini-may/cmd/service/influxdb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1568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1192</v>
      </c>
      <c r="BC308" s="30" t="s">
        <v>1532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1192</v>
      </c>
      <c r="D309" s="30" t="s">
        <v>134</v>
      </c>
      <c r="E309" s="30" t="s">
        <v>1545</v>
      </c>
      <c r="F309" s="30" t="str">
        <f>IF(ISBLANK(Table2[[#This Row],[unique_id]]), "", PROPER(SUBSTITUTE(Table2[[#This Row],[unique_id]], "_", " ")))</f>
        <v>Service Letsencrypt</v>
      </c>
      <c r="G309" s="30" t="s">
        <v>1564</v>
      </c>
      <c r="H309" s="30" t="s">
        <v>1191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1534</v>
      </c>
      <c r="AF309" s="30">
        <v>6</v>
      </c>
      <c r="AG309" s="31" t="s">
        <v>34</v>
      </c>
      <c r="AH309" s="31"/>
      <c r="AI309" s="30" t="s">
        <v>1452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homeassistant/switch/supervisor/service_letsencrypt/config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9" s="30" t="str">
        <f>IF(ISBLANK(Table2[[#This Row],[index]]),  "", _xlfn.CONCAT("supervisor/", Table2[[#This Row],[unique_id_device]], "/cmd/", SUBSTITUTE(LOWER(Table2[[#This Row],[unique_id]]), "_", "/")))</f>
        <v>supervisor/macmini-may/cmd/service/letsencrypt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1568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1192</v>
      </c>
      <c r="BC309" s="30" t="s">
        <v>1532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1192</v>
      </c>
      <c r="D310" s="30" t="s">
        <v>134</v>
      </c>
      <c r="E310" s="30" t="s">
        <v>1546</v>
      </c>
      <c r="F310" s="30" t="str">
        <f>IF(ISBLANK(Table2[[#This Row],[unique_id]]), "", PROPER(SUBSTITUTE(Table2[[#This Row],[unique_id]], "_", " ")))</f>
        <v>Service Sonarr</v>
      </c>
      <c r="G310" s="30" t="s">
        <v>1557</v>
      </c>
      <c r="H310" s="30" t="s">
        <v>1191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1534</v>
      </c>
      <c r="AF310" s="30">
        <v>6</v>
      </c>
      <c r="AG310" s="31" t="s">
        <v>34</v>
      </c>
      <c r="AH310" s="31"/>
      <c r="AI310" s="30" t="s">
        <v>1452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homeassistant/switch/supervisor/service_sonarr/config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0" s="30" t="str">
        <f>IF(ISBLANK(Table2[[#This Row],[index]]),  "", _xlfn.CONCAT("supervisor/", Table2[[#This Row],[unique_id_device]], "/cmd/", SUBSTITUTE(LOWER(Table2[[#This Row],[unique_id]]), "_", "/")))</f>
        <v>supervisor/macmini-may/cmd/service/sonarr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1568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1192</v>
      </c>
      <c r="BC310" s="30" t="s">
        <v>1532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1192</v>
      </c>
      <c r="D311" s="30" t="s">
        <v>134</v>
      </c>
      <c r="E311" s="30" t="s">
        <v>1547</v>
      </c>
      <c r="F311" s="30" t="str">
        <f>IF(ISBLANK(Table2[[#This Row],[unique_id]]), "", PROPER(SUBSTITUTE(Table2[[#This Row],[unique_id]], "_", " ")))</f>
        <v>Service Unpoller</v>
      </c>
      <c r="G311" s="30" t="s">
        <v>1558</v>
      </c>
      <c r="H311" s="30" t="s">
        <v>1191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1534</v>
      </c>
      <c r="AF311" s="30">
        <v>6</v>
      </c>
      <c r="AG311" s="31" t="s">
        <v>34</v>
      </c>
      <c r="AH311" s="31"/>
      <c r="AI311" s="30" t="s">
        <v>1452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homeassistant/switch/supervisor/service_unpoller/config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1" s="30" t="str">
        <f>IF(ISBLANK(Table2[[#This Row],[index]]),  "", _xlfn.CONCAT("supervisor/", Table2[[#This Row],[unique_id_device]], "/cmd/", SUBSTITUTE(LOWER(Table2[[#This Row],[unique_id]]), "_", "/")))</f>
        <v>supervisor/macmini-may/cmd/service/unpoller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1568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1192</v>
      </c>
      <c r="BC311" s="30" t="s">
        <v>1532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1192</v>
      </c>
      <c r="D312" s="30" t="s">
        <v>134</v>
      </c>
      <c r="E312" s="30" t="s">
        <v>1548</v>
      </c>
      <c r="F312" s="30" t="str">
        <f>IF(ISBLANK(Table2[[#This Row],[unique_id]]), "", PROPER(SUBSTITUTE(Table2[[#This Row],[unique_id]], "_", " ")))</f>
        <v>Service Wrangle</v>
      </c>
      <c r="G312" s="30" t="s">
        <v>1195</v>
      </c>
      <c r="H312" s="30" t="s">
        <v>1191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1534</v>
      </c>
      <c r="AF312" s="30">
        <v>6</v>
      </c>
      <c r="AG312" s="31" t="s">
        <v>34</v>
      </c>
      <c r="AH312" s="31"/>
      <c r="AI312" s="30" t="s">
        <v>1452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homeassistant/switch/supervisor/service_wrangle/config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supervisor/macmini-may/data/service/wrangle/health_status</v>
      </c>
      <c r="AL312" s="30" t="str">
        <f>IF(ISBLANK(Table2[[#This Row],[index]]),  "", _xlfn.CONCAT("supervisor/", Table2[[#This Row],[unique_id_device]], "/cmd/", SUBSTITUTE(LOWER(Table2[[#This Row],[unique_id]]), "_", "/")))</f>
        <v>supervisor/macmini-may/cmd/service/wrangle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1568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1192</v>
      </c>
      <c r="BC312" s="30" t="s">
        <v>1532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1192</v>
      </c>
      <c r="D313" s="30" t="s">
        <v>134</v>
      </c>
      <c r="E313" s="30" t="s">
        <v>1533</v>
      </c>
      <c r="F313" s="30" t="str">
        <f>IF(ISBLANK(Table2[[#This Row],[unique_id]]), "", PROPER(SUBSTITUTE(Table2[[#This Row],[unique_id]], "_", " ")))</f>
        <v>Service Homeassistant</v>
      </c>
      <c r="G313" s="30" t="s">
        <v>1199</v>
      </c>
      <c r="H313" s="30" t="s">
        <v>1191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1534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homeassistant/switch/supervisor/service_homeassistant/config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3" s="30" t="str">
        <f>IF(ISBLANK(Table2[[#This Row],[index]]),  "", _xlfn.CONCAT("supervisor/", Table2[[#This Row],[unique_id_device]], "/cmd/", SUBSTITUTE(LOWER(Table2[[#This Row],[unique_id]]), "_", "/")))</f>
        <v>supervisor/macmini-meg/cmd/service/homeassistant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1568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1192</v>
      </c>
      <c r="BC313" s="30" t="s">
        <v>1532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1192</v>
      </c>
      <c r="D314" s="30" t="s">
        <v>134</v>
      </c>
      <c r="E314" s="30" t="s">
        <v>1549</v>
      </c>
      <c r="F314" s="30" t="str">
        <f>IF(ISBLANK(Table2[[#This Row],[unique_id]]), "", PROPER(SUBSTITUTE(Table2[[#This Row],[unique_id]], "_", " ")))</f>
        <v>Service Internet</v>
      </c>
      <c r="G314" s="30" t="s">
        <v>283</v>
      </c>
      <c r="H314" s="30" t="s">
        <v>1191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1534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homeassistant/switch/supervisor/service_internet/config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4" s="30" t="str">
        <f>IF(ISBLANK(Table2[[#This Row],[index]]),  "", _xlfn.CONCAT("supervisor/", Table2[[#This Row],[unique_id_device]], "/cmd/", SUBSTITUTE(LOWER(Table2[[#This Row],[unique_id]]), "_", "/")))</f>
        <v>supervisor/macmini-meg/cmd/service/internet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1568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1192</v>
      </c>
      <c r="BC314" s="30" t="s">
        <v>1532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1192</v>
      </c>
      <c r="D315" s="30" t="s">
        <v>134</v>
      </c>
      <c r="E315" s="30" t="s">
        <v>1550</v>
      </c>
      <c r="F315" s="30" t="str">
        <f>IF(ISBLANK(Table2[[#This Row],[unique_id]]), "", PROPER(SUBSTITUTE(Table2[[#This Row],[unique_id]], "_", " ")))</f>
        <v>Service Mariadb</v>
      </c>
      <c r="G315" s="30" t="s">
        <v>1565</v>
      </c>
      <c r="H315" s="30" t="s">
        <v>1191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1534</v>
      </c>
      <c r="AF315" s="30">
        <v>6</v>
      </c>
      <c r="AG315" s="31" t="s">
        <v>34</v>
      </c>
      <c r="AH315" s="31"/>
      <c r="AI315" s="30" t="s">
        <v>1142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homeassistant/switch/supervisor/service_mariadb/config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5" s="30" t="str">
        <f>IF(ISBLANK(Table2[[#This Row],[index]]),  "", _xlfn.CONCAT("supervisor/", Table2[[#This Row],[unique_id_device]], "/cmd/", SUBSTITUTE(LOWER(Table2[[#This Row],[unique_id]]), "_", "/")))</f>
        <v>supervisor/macmini-meg/cmd/service/mariadb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1568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1192</v>
      </c>
      <c r="BC315" s="30" t="s">
        <v>1532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1192</v>
      </c>
      <c r="D316" s="30" t="s">
        <v>134</v>
      </c>
      <c r="E316" s="30" t="s">
        <v>1551</v>
      </c>
      <c r="F316" s="30" t="str">
        <f>IF(ISBLANK(Table2[[#This Row],[unique_id]]), "", PROPER(SUBSTITUTE(Table2[[#This Row],[unique_id]], "_", " ")))</f>
        <v>Service Nginx</v>
      </c>
      <c r="G316" s="30" t="s">
        <v>1196</v>
      </c>
      <c r="H316" s="30" t="s">
        <v>1191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1534</v>
      </c>
      <c r="AF316" s="30">
        <v>6</v>
      </c>
      <c r="AG316" s="31" t="s">
        <v>34</v>
      </c>
      <c r="AH316" s="31"/>
      <c r="AI316" s="30" t="s">
        <v>1142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homeassistant/switch/supervisor/service_nginx/config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6" s="30" t="str">
        <f>IF(ISBLANK(Table2[[#This Row],[index]]),  "", _xlfn.CONCAT("supervisor/", Table2[[#This Row],[unique_id_device]], "/cmd/", SUBSTITUTE(LOWER(Table2[[#This Row],[unique_id]]), "_", "/")))</f>
        <v>supervisor/macmini-meg/cmd/service/nginx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1568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1192</v>
      </c>
      <c r="BC316" s="30" t="s">
        <v>1532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1192</v>
      </c>
      <c r="D317" s="30" t="s">
        <v>134</v>
      </c>
      <c r="E317" s="30" t="s">
        <v>1552</v>
      </c>
      <c r="F317" s="30" t="str">
        <f>IF(ISBLANK(Table2[[#This Row],[unique_id]]), "", PROPER(SUBSTITUTE(Table2[[#This Row],[unique_id]], "_", " ")))</f>
        <v>Service Postgres</v>
      </c>
      <c r="G317" s="30" t="s">
        <v>1197</v>
      </c>
      <c r="H317" s="30" t="s">
        <v>1191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1534</v>
      </c>
      <c r="AF317" s="30">
        <v>6</v>
      </c>
      <c r="AG317" s="31" t="s">
        <v>34</v>
      </c>
      <c r="AH317" s="31"/>
      <c r="AI317" s="30" t="s">
        <v>1142</v>
      </c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homeassistant/switch/supervisor/service_postgres/config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supervisor/macmini-meg/data/service/postgres/health_status</v>
      </c>
      <c r="AL317" s="30" t="str">
        <f>IF(ISBLANK(Table2[[#This Row],[index]]),  "", _xlfn.CONCAT("supervisor/", Table2[[#This Row],[unique_id_device]], "/cmd/", SUBSTITUTE(LOWER(Table2[[#This Row],[unique_id]]), "_", "/")))</f>
        <v>supervisor/macmini-meg/cmd/service/postgres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1568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1192</v>
      </c>
      <c r="BC317" s="30" t="s">
        <v>1532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1192</v>
      </c>
      <c r="D318" s="30" t="s">
        <v>134</v>
      </c>
      <c r="E318" s="30" t="s">
        <v>1553</v>
      </c>
      <c r="F318" s="30" t="str">
        <f>IF(ISBLANK(Table2[[#This Row],[unique_id]]), "", PROPER(SUBSTITUTE(Table2[[#This Row],[unique_id]], "_", " ")))</f>
        <v>Service Vernemq</v>
      </c>
      <c r="G318" s="30" t="s">
        <v>1566</v>
      </c>
      <c r="H318" s="30" t="s">
        <v>1191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1534</v>
      </c>
      <c r="AF318" s="30">
        <v>6</v>
      </c>
      <c r="AG318" s="31" t="s">
        <v>34</v>
      </c>
      <c r="AH318" s="31"/>
      <c r="AI318" s="30" t="s">
        <v>1142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homeassistant/switch/supervisor/service_vernemq/config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8" s="30" t="str">
        <f>IF(ISBLANK(Table2[[#This Row],[index]]),  "", _xlfn.CONCAT("supervisor/", Table2[[#This Row],[unique_id_device]], "/cmd/", SUBSTITUTE(LOWER(Table2[[#This Row],[unique_id]]), "_", "/")))</f>
        <v>supervisor/macmini-meg/cmd/service/vernemq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1568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1192</v>
      </c>
      <c r="BC318" s="30" t="s">
        <v>1532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1192</v>
      </c>
      <c r="D319" s="30" t="s">
        <v>134</v>
      </c>
      <c r="E319" s="30" t="s">
        <v>1554</v>
      </c>
      <c r="F319" s="30" t="str">
        <f>IF(ISBLANK(Table2[[#This Row],[unique_id]]), "", PROPER(SUBSTITUTE(Table2[[#This Row],[unique_id]], "_", " ")))</f>
        <v>Service Weewx</v>
      </c>
      <c r="G319" s="30" t="s">
        <v>39</v>
      </c>
      <c r="H319" s="30" t="s">
        <v>1191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1534</v>
      </c>
      <c r="AF319" s="30">
        <v>6</v>
      </c>
      <c r="AG319" s="31" t="s">
        <v>34</v>
      </c>
      <c r="AH319" s="31"/>
      <c r="AI319" s="30" t="s">
        <v>1456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homeassistant/switch/supervisor/service_weewx/config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9" s="30" t="str">
        <f>IF(ISBLANK(Table2[[#This Row],[index]]),  "", _xlfn.CONCAT("supervisor/", Table2[[#This Row],[unique_id_device]], "/cmd/", SUBSTITUTE(LOWER(Table2[[#This Row],[unique_id]]), "_", "/")))</f>
        <v>supervisor/raspbpi-jen/cmd/service/weewx</v>
      </c>
      <c r="AM319" s="30" t="str">
        <f>IF(ISBLANK(Table2[[#This Row],[index]]),  "", _xlfn.CONCAT("supervisor/", Table2[[#This Row],[unique_id_device]], "/status"))</f>
        <v>supervisor/raspbpi-jen/status</v>
      </c>
      <c r="AR319" s="30" t="s">
        <v>1568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1192</v>
      </c>
      <c r="BC319" s="30" t="s">
        <v>1532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1192</v>
      </c>
      <c r="D320" s="30" t="s">
        <v>134</v>
      </c>
      <c r="E320" s="30" t="s">
        <v>1555</v>
      </c>
      <c r="F320" s="30" t="str">
        <f>IF(ISBLANK(Table2[[#This Row],[unique_id]]), "", PROPER(SUBSTITUTE(Table2[[#This Row],[unique_id]], "_", " ")))</f>
        <v>Service Zigbee2Mqtt</v>
      </c>
      <c r="G320" s="30" t="s">
        <v>1567</v>
      </c>
      <c r="H320" s="30" t="s">
        <v>1191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1534</v>
      </c>
      <c r="AF320" s="30">
        <v>6</v>
      </c>
      <c r="AG320" s="31" t="s">
        <v>34</v>
      </c>
      <c r="AH320" s="31"/>
      <c r="AI320" s="30" t="s">
        <v>1456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homeassistant/switch/supervisor/service_zigbee2mqtt/config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0" s="30" t="str">
        <f>IF(ISBLANK(Table2[[#This Row],[index]]),  "", _xlfn.CONCAT("supervisor/", Table2[[#This Row],[unique_id_device]], "/cmd/", SUBSTITUTE(LOWER(Table2[[#This Row],[unique_id]]), "_", "/")))</f>
        <v>supervisor/raspbpi-jen/cmd/service/zigbee2mqtt</v>
      </c>
      <c r="AM320" s="30" t="str">
        <f>IF(ISBLANK(Table2[[#This Row],[index]]),  "", _xlfn.CONCAT("supervisor/", Table2[[#This Row],[unique_id_device]], "/status"))</f>
        <v>supervisor/raspbpi-jen/status</v>
      </c>
      <c r="AR320" s="30" t="s">
        <v>1568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1192</v>
      </c>
      <c r="BC320" s="30" t="s">
        <v>1532</v>
      </c>
      <c r="BD320" s="30" t="s">
        <v>1122</v>
      </c>
      <c r="BF320" s="30" t="s">
        <v>990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440</v>
      </c>
      <c r="D321" s="30" t="s">
        <v>333</v>
      </c>
      <c r="F321" s="36" t="str">
        <f>IF(ISBLANK(Table2[[#This Row],[unique_id]]), "", PROPER(SUBSTITUTE(Table2[[#This Row],[unique_id]], "_", " ")))</f>
        <v/>
      </c>
      <c r="H321" s="30" t="s">
        <v>1200</v>
      </c>
      <c r="I321" s="30" t="s">
        <v>291</v>
      </c>
      <c r="M321" s="30" t="s">
        <v>330</v>
      </c>
      <c r="N321" s="30" t="s">
        <v>331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150</v>
      </c>
      <c r="D322" s="30" t="s">
        <v>606</v>
      </c>
      <c r="E322" s="30" t="s">
        <v>1335</v>
      </c>
      <c r="F322" s="36" t="str">
        <f>IF(ISBLANK(Table2[[#This Row],[unique_id]]), "", PROPER(SUBSTITUTE(Table2[[#This Row],[unique_id]], "_", " ")))</f>
        <v>Google Assistant Synchronize Devices</v>
      </c>
      <c r="G322" s="30" t="s">
        <v>1190</v>
      </c>
      <c r="H322" s="30" t="s">
        <v>607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G322" s="31"/>
      <c r="AH322" s="31"/>
      <c r="AR322" s="39"/>
      <c r="AT322" s="32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1214</v>
      </c>
      <c r="D323" s="30" t="s">
        <v>27</v>
      </c>
      <c r="E323" s="30" t="s">
        <v>1220</v>
      </c>
      <c r="F323" s="30" t="str">
        <f>IF(ISBLANK(Table2[[#This Row],[unique_id]]), "", PROPER(SUBSTITUTE(Table2[[#This Row],[unique_id]], "_", " ")))</f>
        <v>Template Utility Temperature Proxy</v>
      </c>
      <c r="G323" s="30" t="s">
        <v>1215</v>
      </c>
      <c r="H323" s="30" t="s">
        <v>1217</v>
      </c>
      <c r="I323" s="30" t="s">
        <v>291</v>
      </c>
      <c r="K323" s="30" t="s">
        <v>1173</v>
      </c>
      <c r="M323" s="30" t="s">
        <v>136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R323" s="39"/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1116</v>
      </c>
      <c r="F324" s="36" t="str">
        <f>IF(ISBLANK(Table2[[#This Row],[unique_id]]), "", PROPER(SUBSTITUTE(Table2[[#This Row],[unique_id]], "_", " ")))</f>
        <v>Rack Top Temperature</v>
      </c>
      <c r="G324" s="30" t="s">
        <v>1118</v>
      </c>
      <c r="H324" s="30" t="s">
        <v>1217</v>
      </c>
      <c r="I324" s="30" t="s">
        <v>291</v>
      </c>
      <c r="K324" s="30" t="s">
        <v>1165</v>
      </c>
      <c r="O324" s="31"/>
      <c r="P324" s="30"/>
      <c r="T324" s="37"/>
      <c r="U324" s="30"/>
      <c r="V324" s="31" t="s">
        <v>1185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300</v>
      </c>
      <c r="AG324" s="31" t="s">
        <v>34</v>
      </c>
      <c r="AH324" s="31"/>
      <c r="AI324" s="30" t="s">
        <v>1452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4" s="30" t="str">
        <f>IF(ISBLANK(Table2[[#This Row],[index]]),  "", _xlfn.CONCAT("telegraf/", Table2[[#This Row],[unique_id_device]], "/", LOWER(Table2[[#This Row],[device_via_device]])))</f>
        <v>telegraf/macmini-may/digitemp</v>
      </c>
      <c r="AR324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87</v>
      </c>
      <c r="BC324" s="30" t="s">
        <v>1119</v>
      </c>
      <c r="BD324" s="30" t="s">
        <v>1115</v>
      </c>
      <c r="BF324" s="30" t="s">
        <v>1120</v>
      </c>
      <c r="BG324" s="30" t="s">
        <v>28</v>
      </c>
      <c r="BL324" s="30" t="s">
        <v>1141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5" spans="1:66" ht="16" hidden="1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1165</v>
      </c>
      <c r="F325" s="30" t="str">
        <f>IF(ISBLANK(Table2[[#This Row],[unique_id]]), "", PROPER(SUBSTITUTE(Table2[[#This Row],[unique_id]], "_", " ")))</f>
        <v>Compensation Sensor Rack Top Temperature</v>
      </c>
      <c r="G325" s="30" t="s">
        <v>1118</v>
      </c>
      <c r="H325" s="30" t="s">
        <v>1217</v>
      </c>
      <c r="I325" s="30" t="s">
        <v>291</v>
      </c>
      <c r="J325" s="30" t="s">
        <v>87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1117</v>
      </c>
      <c r="F326" s="36" t="str">
        <f>IF(ISBLANK(Table2[[#This Row],[unique_id]]), "", PROPER(SUBSTITUTE(Table2[[#This Row],[unique_id]], "_", " ")))</f>
        <v>Rack Bottom Temperature</v>
      </c>
      <c r="G326" s="30" t="s">
        <v>1124</v>
      </c>
      <c r="H326" s="30" t="s">
        <v>1217</v>
      </c>
      <c r="I326" s="30" t="s">
        <v>291</v>
      </c>
      <c r="K326" s="30" t="s">
        <v>1166</v>
      </c>
      <c r="O326" s="31"/>
      <c r="P326" s="30"/>
      <c r="T326" s="37"/>
      <c r="U326" s="30"/>
      <c r="V326" s="31" t="s">
        <v>1185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300</v>
      </c>
      <c r="AG326" s="31" t="s">
        <v>34</v>
      </c>
      <c r="AH326" s="31"/>
      <c r="AI326" s="30" t="s">
        <v>1452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6" s="30" t="str">
        <f>IF(ISBLANK(Table2[[#This Row],[index]]),  "", _xlfn.CONCAT("telegraf/", Table2[[#This Row],[unique_id_device]], "/", LOWER(Table2[[#This Row],[device_via_device]])))</f>
        <v>telegraf/macmini-may/digitemp</v>
      </c>
      <c r="AR3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87</v>
      </c>
      <c r="BC326" s="30" t="s">
        <v>1119</v>
      </c>
      <c r="BD326" s="30" t="s">
        <v>1115</v>
      </c>
      <c r="BF326" s="30" t="s">
        <v>1120</v>
      </c>
      <c r="BG326" s="30" t="s">
        <v>28</v>
      </c>
      <c r="BL326" s="30" t="s">
        <v>1140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7" spans="1:66" ht="16" hidden="1" customHeight="1" x14ac:dyDescent="0.2">
      <c r="A327" s="30">
        <v>2545</v>
      </c>
      <c r="B327" s="30" t="s">
        <v>26</v>
      </c>
      <c r="C327" s="30" t="s">
        <v>1115</v>
      </c>
      <c r="D327" s="30" t="s">
        <v>27</v>
      </c>
      <c r="E327" s="30" t="s">
        <v>1166</v>
      </c>
      <c r="F327" s="30" t="str">
        <f>IF(ISBLANK(Table2[[#This Row],[unique_id]]), "", PROPER(SUBSTITUTE(Table2[[#This Row],[unique_id]], "_", " ")))</f>
        <v>Compensation Sensor Rack Bottom Temperature</v>
      </c>
      <c r="G327" s="30" t="s">
        <v>1124</v>
      </c>
      <c r="H327" s="30" t="s">
        <v>1217</v>
      </c>
      <c r="I327" s="30" t="s">
        <v>291</v>
      </c>
      <c r="J327" s="30" t="s">
        <v>87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2546</v>
      </c>
      <c r="B328" s="30" t="s">
        <v>26</v>
      </c>
      <c r="C328" s="30" t="s">
        <v>1198</v>
      </c>
      <c r="D328" s="30" t="s">
        <v>27</v>
      </c>
      <c r="E328" s="30" t="s">
        <v>1484</v>
      </c>
      <c r="F328" s="30" t="str">
        <f>IF(ISBLANK(Table2[[#This Row],[unique_id]]), "", PROPER(SUBSTITUTE(Table2[[#This Row],[unique_id]], "_", " ")))</f>
        <v>Host Mad Temperature</v>
      </c>
      <c r="G328" s="30" t="s">
        <v>1488</v>
      </c>
      <c r="H328" s="30" t="s">
        <v>1217</v>
      </c>
      <c r="I328" s="30" t="s">
        <v>291</v>
      </c>
      <c r="K328" s="30" t="s">
        <v>1485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1490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8" s="30" t="s">
        <v>1496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1492</v>
      </c>
      <c r="BC328" s="30" t="s">
        <v>1209</v>
      </c>
      <c r="BD328" s="30" t="s">
        <v>1208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1198</v>
      </c>
      <c r="D329" s="30" t="s">
        <v>27</v>
      </c>
      <c r="E329" s="30" t="s">
        <v>1485</v>
      </c>
      <c r="F329" s="30" t="str">
        <f>IF(ISBLANK(Table2[[#This Row],[unique_id]]), "", PROPER(SUBSTITUTE(Table2[[#This Row],[unique_id]], "_", " ")))</f>
        <v>Compensation Sensor Host Mad Temperature</v>
      </c>
      <c r="G329" s="30" t="s">
        <v>1488</v>
      </c>
      <c r="H329" s="30" t="s">
        <v>1217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1198</v>
      </c>
      <c r="D330" s="30" t="s">
        <v>27</v>
      </c>
      <c r="E330" s="30" t="s">
        <v>1486</v>
      </c>
      <c r="F330" s="30" t="str">
        <f>IF(ISBLANK(Table2[[#This Row],[unique_id]]), "", PROPER(SUBSTITUTE(Table2[[#This Row],[unique_id]], "_", " ")))</f>
        <v>Host Max Temperature</v>
      </c>
      <c r="G330" s="30" t="s">
        <v>1489</v>
      </c>
      <c r="H330" s="30" t="s">
        <v>1217</v>
      </c>
      <c r="I330" s="30" t="s">
        <v>291</v>
      </c>
      <c r="K330" s="30" t="s">
        <v>1487</v>
      </c>
      <c r="O330" s="31"/>
      <c r="P330" s="30"/>
      <c r="T330" s="37"/>
      <c r="U330" s="30"/>
      <c r="V330" s="31" t="s">
        <v>315</v>
      </c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F330" s="30">
        <v>5</v>
      </c>
      <c r="AG330" s="31" t="s">
        <v>34</v>
      </c>
      <c r="AH330" s="31"/>
      <c r="AI330" s="30" t="s">
        <v>1491</v>
      </c>
      <c r="AJ33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30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30" s="30" t="s">
        <v>1495</v>
      </c>
      <c r="AS330" s="30">
        <v>1</v>
      </c>
      <c r="AT330" s="32"/>
      <c r="AU330" s="3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>Rack</v>
      </c>
      <c r="BB330" s="30" t="s">
        <v>1493</v>
      </c>
      <c r="BC330" s="30" t="s">
        <v>1209</v>
      </c>
      <c r="BD330" s="30" t="s">
        <v>1208</v>
      </c>
      <c r="BF330" s="30" t="s">
        <v>990</v>
      </c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1198</v>
      </c>
      <c r="D331" s="30" t="s">
        <v>27</v>
      </c>
      <c r="E331" s="30" t="s">
        <v>1487</v>
      </c>
      <c r="F331" s="30" t="str">
        <f>IF(ISBLANK(Table2[[#This Row],[unique_id]]), "", PROPER(SUBSTITUTE(Table2[[#This Row],[unique_id]], "_", " ")))</f>
        <v>Compensation Sensor Host Max Temperature</v>
      </c>
      <c r="G331" s="30" t="s">
        <v>1489</v>
      </c>
      <c r="H331" s="30" t="s">
        <v>1217</v>
      </c>
      <c r="I331" s="30" t="s">
        <v>291</v>
      </c>
      <c r="M331" s="30" t="s">
        <v>136</v>
      </c>
      <c r="O331" s="31"/>
      <c r="P331" s="30"/>
      <c r="T331" s="37"/>
      <c r="U331" s="30" t="s">
        <v>436</v>
      </c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1198</v>
      </c>
      <c r="D332" s="30" t="s">
        <v>27</v>
      </c>
      <c r="E332" s="30" t="s">
        <v>1446</v>
      </c>
      <c r="F332" s="30" t="str">
        <f>IF(ISBLANK(Table2[[#This Row],[unique_id]]), "", PROPER(SUBSTITUTE(Table2[[#This Row],[unique_id]], "_", " ")))</f>
        <v>Host May Temperature</v>
      </c>
      <c r="G332" s="30" t="s">
        <v>1445</v>
      </c>
      <c r="H332" s="30" t="s">
        <v>1217</v>
      </c>
      <c r="I332" s="30" t="s">
        <v>291</v>
      </c>
      <c r="K332" s="30" t="s">
        <v>1447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1452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2" s="30" t="s">
        <v>1494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Rack</v>
      </c>
      <c r="BB332" s="30" t="s">
        <v>1453</v>
      </c>
      <c r="BC332" s="30" t="s">
        <v>1209</v>
      </c>
      <c r="BD332" s="30" t="s">
        <v>1208</v>
      </c>
      <c r="BF332" s="30" t="s">
        <v>990</v>
      </c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1198</v>
      </c>
      <c r="D333" s="30" t="s">
        <v>27</v>
      </c>
      <c r="E333" s="30" t="s">
        <v>1447</v>
      </c>
      <c r="F333" s="30" t="str">
        <f>IF(ISBLANK(Table2[[#This Row],[unique_id]]), "", PROPER(SUBSTITUTE(Table2[[#This Row],[unique_id]], "_", " ")))</f>
        <v>Compensation Sensor Host May Temperature</v>
      </c>
      <c r="G333" s="30" t="s">
        <v>1445</v>
      </c>
      <c r="H333" s="30" t="s">
        <v>1217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1198</v>
      </c>
      <c r="D334" s="30" t="s">
        <v>27</v>
      </c>
      <c r="E334" s="30" t="s">
        <v>1207</v>
      </c>
      <c r="F334" s="30" t="str">
        <f>IF(ISBLANK(Table2[[#This Row],[unique_id]]), "", PROPER(SUBSTITUTE(Table2[[#This Row],[unique_id]], "_", " ")))</f>
        <v>Host Meg Temperature</v>
      </c>
      <c r="G334" s="30" t="s">
        <v>1213</v>
      </c>
      <c r="H334" s="30" t="s">
        <v>1217</v>
      </c>
      <c r="I334" s="30" t="s">
        <v>291</v>
      </c>
      <c r="K334" s="30" t="s">
        <v>1212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1142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4" s="30" t="s">
        <v>1211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Rack</v>
      </c>
      <c r="BB334" s="30" t="s">
        <v>1338</v>
      </c>
      <c r="BC334" s="30" t="s">
        <v>1209</v>
      </c>
      <c r="BD334" s="30" t="s">
        <v>1208</v>
      </c>
      <c r="BF334" s="30" t="s">
        <v>990</v>
      </c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1198</v>
      </c>
      <c r="D335" s="30" t="s">
        <v>27</v>
      </c>
      <c r="E335" s="30" t="s">
        <v>1212</v>
      </c>
      <c r="F335" s="30" t="str">
        <f>IF(ISBLANK(Table2[[#This Row],[unique_id]]), "", PROPER(SUBSTITUTE(Table2[[#This Row],[unique_id]], "_", " ")))</f>
        <v>Compensation Sensor Host Meg Temperature</v>
      </c>
      <c r="G335" s="30" t="s">
        <v>1213</v>
      </c>
      <c r="H335" s="30" t="s">
        <v>1217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1214</v>
      </c>
      <c r="D336" s="30" t="s">
        <v>27</v>
      </c>
      <c r="E336" s="30" t="s">
        <v>1222</v>
      </c>
      <c r="F336" s="30" t="str">
        <f>IF(ISBLANK(Table2[[#This Row],[unique_id]]), "", PROPER(SUBSTITUTE(Table2[[#This Row],[unique_id]], "_", " ")))</f>
        <v>Template Deck Festoons Plug Temperature Proxy</v>
      </c>
      <c r="G336" s="30" t="s">
        <v>1219</v>
      </c>
      <c r="H336" s="30" t="s">
        <v>1218</v>
      </c>
      <c r="I336" s="30" t="s">
        <v>291</v>
      </c>
      <c r="K336" s="30" t="s">
        <v>1164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1214</v>
      </c>
      <c r="D337" s="30" t="s">
        <v>27</v>
      </c>
      <c r="E337" s="30" t="s">
        <v>1221</v>
      </c>
      <c r="F337" s="30" t="str">
        <f>IF(ISBLANK(Table2[[#This Row],[unique_id]]), "", PROPER(SUBSTITUTE(Table2[[#This Row],[unique_id]], "_", " ")))</f>
        <v>Template Wardrobe Temperature Proxy</v>
      </c>
      <c r="G337" s="30" t="s">
        <v>1431</v>
      </c>
      <c r="H337" s="30" t="s">
        <v>1216</v>
      </c>
      <c r="I337" s="30" t="s">
        <v>291</v>
      </c>
      <c r="K337" s="30" t="s">
        <v>1170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1198</v>
      </c>
      <c r="D338" s="30" t="s">
        <v>27</v>
      </c>
      <c r="E338" s="30" t="s">
        <v>1460</v>
      </c>
      <c r="F338" s="30" t="str">
        <f>IF(ISBLANK(Table2[[#This Row],[unique_id]]), "", PROPER(SUBSTITUTE(Table2[[#This Row],[unique_id]], "_", " ")))</f>
        <v>Host Jen Temperature</v>
      </c>
      <c r="G338" s="30" t="s">
        <v>1461</v>
      </c>
      <c r="H338" s="30" t="s">
        <v>1216</v>
      </c>
      <c r="I338" s="30" t="s">
        <v>291</v>
      </c>
      <c r="K338" s="30" t="s">
        <v>1455</v>
      </c>
      <c r="O338" s="31"/>
      <c r="P338" s="30"/>
      <c r="T338" s="37"/>
      <c r="U338" s="30"/>
      <c r="V338" s="31" t="s">
        <v>315</v>
      </c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F338" s="30">
        <v>5</v>
      </c>
      <c r="AG338" s="31" t="s">
        <v>34</v>
      </c>
      <c r="AH338" s="31"/>
      <c r="AI338" s="30" t="s">
        <v>1456</v>
      </c>
      <c r="AJ33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8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8" s="30" t="s">
        <v>1457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1462</v>
      </c>
      <c r="BC338" s="30" t="s">
        <v>1209</v>
      </c>
      <c r="BD338" s="30" t="s">
        <v>1208</v>
      </c>
      <c r="BF338" s="30" t="s">
        <v>990</v>
      </c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1198</v>
      </c>
      <c r="D339" s="30" t="s">
        <v>27</v>
      </c>
      <c r="E339" s="30" t="s">
        <v>1455</v>
      </c>
      <c r="F339" s="30" t="str">
        <f>IF(ISBLANK(Table2[[#This Row],[unique_id]]), "", PROPER(SUBSTITUTE(Table2[[#This Row],[unique_id]], "_", " ")))</f>
        <v>Compensation Sensor Host Jen Temperature</v>
      </c>
      <c r="G339" s="30" t="s">
        <v>1461</v>
      </c>
      <c r="H339" s="30" t="s">
        <v>1216</v>
      </c>
      <c r="I339" s="30" t="s">
        <v>291</v>
      </c>
      <c r="M339" s="30" t="s">
        <v>136</v>
      </c>
      <c r="O339" s="31"/>
      <c r="P339" s="30"/>
      <c r="T339" s="37"/>
      <c r="U339" s="30" t="s">
        <v>436</v>
      </c>
      <c r="V339" s="31"/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G339" s="31"/>
      <c r="AH339" s="31"/>
      <c r="AJ339" s="30" t="str">
        <f>IF(ISBLANK(AI339),  "", _xlfn.CONCAT("haas/entity/sensor/", LOWER(C339), "/", E339, "/config"))</f>
        <v/>
      </c>
      <c r="AK339" s="30" t="str">
        <f>IF(ISBLANK(AI339),  "", _xlfn.CONCAT(LOWER(C339), "/", E339))</f>
        <v/>
      </c>
      <c r="AT339" s="32"/>
      <c r="AU339" s="40"/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660</v>
      </c>
      <c r="F340" s="36" t="str">
        <f>IF(ISBLANK(Table2[[#This Row],[unique_id]]), "", PROPER(SUBSTITUTE(Table2[[#This Row],[unique_id]], "_", " ")))</f>
        <v>Back Door Lock Battery</v>
      </c>
      <c r="G340" s="30" t="s">
        <v>646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622</v>
      </c>
      <c r="D341" s="30" t="s">
        <v>27</v>
      </c>
      <c r="E341" s="30" t="s">
        <v>661</v>
      </c>
      <c r="F341" s="36" t="str">
        <f>IF(ISBLANK(Table2[[#This Row],[unique_id]]), "", PROPER(SUBSTITUTE(Table2[[#This Row],[unique_id]], "_", " ")))</f>
        <v>Front Door Lock Battery</v>
      </c>
      <c r="G341" s="30" t="s">
        <v>645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663</v>
      </c>
      <c r="F342" s="36" t="str">
        <f>IF(ISBLANK(Table2[[#This Row],[unique_id]]), "", PROPER(SUBSTITUTE(Table2[[#This Row],[unique_id]], "_", " ")))</f>
        <v>Template Back Door Sensor Battery Last</v>
      </c>
      <c r="G342" s="30" t="s">
        <v>648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334</v>
      </c>
      <c r="D343" s="30" t="s">
        <v>27</v>
      </c>
      <c r="E343" s="30" t="s">
        <v>662</v>
      </c>
      <c r="F343" s="36" t="str">
        <f>IF(ISBLANK(Table2[[#This Row],[unique_id]]), "", PROPER(SUBSTITUTE(Table2[[#This Row],[unique_id]], "_", " ")))</f>
        <v>Template Front Door Sensor Battery Last</v>
      </c>
      <c r="G343" s="30" t="s">
        <v>647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579</v>
      </c>
      <c r="C344" s="30" t="s">
        <v>457</v>
      </c>
      <c r="D344" s="30" t="s">
        <v>27</v>
      </c>
      <c r="E344" s="30" t="s">
        <v>485</v>
      </c>
      <c r="F344" s="36" t="str">
        <f>IF(ISBLANK(Table2[[#This Row],[unique_id]]), "", PROPER(SUBSTITUTE(Table2[[#This Row],[unique_id]], "_", " ")))</f>
        <v>Home Cube Remote Battery</v>
      </c>
      <c r="G344" s="30" t="s">
        <v>465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hidden="1" customHeight="1" x14ac:dyDescent="0.2">
      <c r="A345" s="30">
        <v>2563</v>
      </c>
      <c r="B345" s="49" t="s">
        <v>26</v>
      </c>
      <c r="C345" s="49" t="s">
        <v>150</v>
      </c>
      <c r="D345" s="49" t="s">
        <v>27</v>
      </c>
      <c r="E345" s="49" t="s">
        <v>657</v>
      </c>
      <c r="F345" s="50" t="str">
        <f>IF(ISBLANK(Table2[[#This Row],[unique_id]]), "", PROPER(SUBSTITUTE(Table2[[#This Row],[unique_id]], "_", " ")))</f>
        <v>Template Weatherstation Console Battery Percent Int</v>
      </c>
      <c r="G345" s="49" t="s">
        <v>655</v>
      </c>
      <c r="H345" s="49" t="s">
        <v>1189</v>
      </c>
      <c r="I345" s="49" t="s">
        <v>291</v>
      </c>
      <c r="M345" s="49" t="s">
        <v>136</v>
      </c>
      <c r="O345" s="51"/>
      <c r="T345" s="52"/>
      <c r="V345" s="51"/>
      <c r="W345" s="51"/>
      <c r="X345" s="51"/>
      <c r="Y345" s="51"/>
      <c r="Z345" s="51"/>
      <c r="AA345" s="51"/>
      <c r="AB345" s="49" t="s">
        <v>31</v>
      </c>
      <c r="AC345" s="49" t="s">
        <v>32</v>
      </c>
      <c r="AD345" s="49" t="s">
        <v>656</v>
      </c>
      <c r="AG345" s="51"/>
      <c r="AH345" s="51"/>
      <c r="AR345" s="53"/>
      <c r="AT345" s="54"/>
      <c r="AU345" s="51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/>
      </c>
      <c r="BF345" s="51"/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s="49" customFormat="1" ht="16" hidden="1" customHeight="1" x14ac:dyDescent="0.2">
      <c r="A346" s="30">
        <v>2564</v>
      </c>
      <c r="B346" s="49" t="s">
        <v>26</v>
      </c>
      <c r="C346" s="49" t="s">
        <v>39</v>
      </c>
      <c r="D346" s="49" t="s">
        <v>27</v>
      </c>
      <c r="E346" s="49" t="s">
        <v>170</v>
      </c>
      <c r="F346" s="50" t="str">
        <f>IF(ISBLANK(Table2[[#This Row],[unique_id]]), "", PROPER(SUBSTITUTE(Table2[[#This Row],[unique_id]], "_", " ")))</f>
        <v>Weatherstation Console Battery Voltage</v>
      </c>
      <c r="G346" s="49" t="s">
        <v>464</v>
      </c>
      <c r="H346" s="49" t="s">
        <v>1189</v>
      </c>
      <c r="I346" s="49" t="s">
        <v>291</v>
      </c>
      <c r="O346" s="51"/>
      <c r="T346" s="52"/>
      <c r="V346" s="51" t="s">
        <v>1231</v>
      </c>
      <c r="W346" s="51"/>
      <c r="X346" s="51"/>
      <c r="Y346" s="51"/>
      <c r="Z346" s="51"/>
      <c r="AA346" s="51"/>
      <c r="AB346" s="49" t="s">
        <v>31</v>
      </c>
      <c r="AC346" s="49" t="s">
        <v>83</v>
      </c>
      <c r="AD346" s="49" t="s">
        <v>84</v>
      </c>
      <c r="AE346" s="49" t="s">
        <v>272</v>
      </c>
      <c r="AF346" s="49">
        <v>300</v>
      </c>
      <c r="AG346" s="51" t="s">
        <v>34</v>
      </c>
      <c r="AH346" s="51"/>
      <c r="AI346" s="49" t="s">
        <v>85</v>
      </c>
      <c r="AJ346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6" s="49" t="str">
        <f>IF(ISBLANK(Table2[[#This Row],[index]]),  "", _xlfn.CONCAT(LOWER(Table2[[#This Row],[device_via_device]]), "/", Table2[[#This Row],[unique_id]]))</f>
        <v>weewx/weatherstation_console_battery_voltage</v>
      </c>
      <c r="AR346" s="53" t="s">
        <v>1187</v>
      </c>
      <c r="AS346" s="49">
        <v>1</v>
      </c>
      <c r="AT346" s="54"/>
      <c r="AV346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6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6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6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49" t="str">
        <f>IF(ISBLANK(Table2[[#This Row],[device_model]]), "", Table2[[#This Row],[device_suggested_area]])</f>
        <v>Wardrobe</v>
      </c>
      <c r="BB346" s="49" t="s">
        <v>1229</v>
      </c>
      <c r="BC346" s="49" t="s">
        <v>36</v>
      </c>
      <c r="BD346" s="49" t="s">
        <v>37</v>
      </c>
      <c r="BF346" s="49" t="s">
        <v>1064</v>
      </c>
      <c r="BG346" s="49" t="s">
        <v>495</v>
      </c>
      <c r="BN346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1364</v>
      </c>
      <c r="F347" s="36" t="str">
        <f>IF(ISBLANK(Table2[[#This Row],[unique_id]]), "", PROPER(SUBSTITUTE(Table2[[#This Row],[unique_id]], "_", " ")))</f>
        <v>Office Pantry Battery</v>
      </c>
      <c r="G347" s="30" t="s">
        <v>458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Pantry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211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1365</v>
      </c>
      <c r="F348" s="36" t="str">
        <f>IF(ISBLANK(Table2[[#This Row],[unique_id]]), "", PROPER(SUBSTITUTE(Table2[[#This Row],[unique_id]], "_", " ")))</f>
        <v>Office Lounge Battery</v>
      </c>
      <c r="G348" s="30" t="s">
        <v>459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194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1366</v>
      </c>
      <c r="F349" s="36" t="str">
        <f>IF(ISBLANK(Table2[[#This Row],[unique_id]]), "", PROPER(SUBSTITUTE(Table2[[#This Row],[unique_id]], "_", " ")))</f>
        <v>Office Dining Battery</v>
      </c>
      <c r="G349" s="30" t="s">
        <v>460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Dining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193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1367</v>
      </c>
      <c r="F350" s="36" t="str">
        <f>IF(ISBLANK(Table2[[#This Row],[unique_id]]), "", PROPER(SUBSTITUTE(Table2[[#This Row],[unique_id]], "_", " ")))</f>
        <v>Office Basement Battery</v>
      </c>
      <c r="G350" s="30" t="s">
        <v>461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Basement</v>
      </c>
      <c r="BB350" s="30" t="s">
        <v>992</v>
      </c>
      <c r="BC350" s="30" t="s">
        <v>994</v>
      </c>
      <c r="BD350" s="30" t="s">
        <v>128</v>
      </c>
      <c r="BF350" s="30" t="s">
        <v>424</v>
      </c>
      <c r="BG350" s="30" t="s">
        <v>210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736</v>
      </c>
      <c r="F351" s="36" t="str">
        <f>IF(ISBLANK(Table2[[#This Row],[unique_id]]), "", PROPER(SUBSTITUTE(Table2[[#This Row],[unique_id]], "_", " ")))</f>
        <v>Parents Move Battery</v>
      </c>
      <c r="G351" s="30" t="s">
        <v>462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182</v>
      </c>
      <c r="D352" s="30" t="s">
        <v>27</v>
      </c>
      <c r="E352" s="30" t="s">
        <v>735</v>
      </c>
      <c r="F352" s="36" t="str">
        <f>IF(ISBLANK(Table2[[#This Row],[unique_id]]), "", PROPER(SUBSTITUTE(Table2[[#This Row],[unique_id]], "_", " ")))</f>
        <v>Kitchen Move Battery</v>
      </c>
      <c r="G352" s="30" t="s">
        <v>463</v>
      </c>
      <c r="H352" s="30" t="s">
        <v>1189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440</v>
      </c>
      <c r="D353" s="30" t="s">
        <v>333</v>
      </c>
      <c r="E353" s="30" t="s">
        <v>332</v>
      </c>
      <c r="F353" s="36" t="str">
        <f>IF(ISBLANK(Table2[[#This Row],[unique_id]]), "", PROPER(SUBSTITUTE(Table2[[#This Row],[unique_id]], "_", " ")))</f>
        <v>Column Break</v>
      </c>
      <c r="G353" s="30" t="s">
        <v>329</v>
      </c>
      <c r="H353" s="30" t="s">
        <v>1189</v>
      </c>
      <c r="I353" s="30" t="s">
        <v>291</v>
      </c>
      <c r="M353" s="30" t="s">
        <v>330</v>
      </c>
      <c r="N353" s="30" t="s">
        <v>331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777</v>
      </c>
      <c r="D354" s="30" t="s">
        <v>27</v>
      </c>
      <c r="E354" s="30" t="s">
        <v>828</v>
      </c>
      <c r="F354" s="36" t="str">
        <f>IF(ISBLANK(Table2[[#This Row],[unique_id]]), "", PROPER(SUBSTITUTE(Table2[[#This Row],[unique_id]], "_", " ")))</f>
        <v>All Standby</v>
      </c>
      <c r="G354" s="30" t="s">
        <v>829</v>
      </c>
      <c r="H354" s="30" t="s">
        <v>526</v>
      </c>
      <c r="I354" s="30" t="s">
        <v>291</v>
      </c>
      <c r="O354" s="31" t="s">
        <v>788</v>
      </c>
      <c r="P354" s="30"/>
      <c r="R354" s="41"/>
      <c r="T354" s="37" t="s">
        <v>827</v>
      </c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1497</v>
      </c>
      <c r="F355" s="36" t="str">
        <f>IF(ISBLANK(Table2[[#This Row],[unique_id]]), "", PROPER(SUBSTITUTE(Table2[[#This Row],[unique_id]], "_", " ")))</f>
        <v>Rack Printer Plug</v>
      </c>
      <c r="G355" s="30" t="s">
        <v>1512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1498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homeassistant/switch/tasmota/rack_printer_plug/config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5" s="30" t="str">
        <f>_xlfn.CONCAT("tasmota/device/",Table2[[#This Row],[unique_id]], "/cmnd/POWER")</f>
        <v>tasmota/device/rack_printer_plug/cmnd/POWER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http://10.0.4.111/?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382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1269</v>
      </c>
      <c r="BL355" s="30" t="s">
        <v>1517</v>
      </c>
      <c r="BM355" s="30" t="s">
        <v>1513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1507</v>
      </c>
      <c r="F356" s="36" t="str">
        <f>IF(ISBLANK(Table2[[#This Row],[unique_id]]), "", PROPER(SUBSTITUTE(Table2[[#This Row],[unique_id]], "_", " ")))</f>
        <v>Rack Screen Plug</v>
      </c>
      <c r="G356" s="30" t="s">
        <v>1500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1501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homeassistant/switch/tasmota/rack_screen_plug/config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6" s="30" t="str">
        <f>_xlfn.CONCAT("tasmota/device/",Table2[[#This Row],[unique_id]], "/cmnd/POWER")</f>
        <v>tasmota/device/rack_screen_plug/cmnd/POWER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http://10.0.4.109/?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1504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1269</v>
      </c>
      <c r="BL356" s="30" t="s">
        <v>1509</v>
      </c>
      <c r="BM356" s="30" t="s">
        <v>1505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1476</v>
      </c>
      <c r="F357" s="36" t="str">
        <f>IF(ISBLANK(Table2[[#This Row],[unique_id]]), "", PROPER(SUBSTITUTE(Table2[[#This Row],[unique_id]], "_", " ")))</f>
        <v>Rack Backup Plug</v>
      </c>
      <c r="G357" s="30" t="s">
        <v>1499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1502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homeassistant/switch/tasmota/rack_backup_plug/config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7" s="30" t="str">
        <f>_xlfn.CONCAT("tasmota/device/",Table2[[#This Row],[unique_id]], "/cmnd/POWER")</f>
        <v>tasmota/device/rack_backup_plug/cmnd/POWER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http://10.0.4.110/?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1503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1269</v>
      </c>
      <c r="BL357" s="30" t="s">
        <v>1508</v>
      </c>
      <c r="BM357" s="30" t="s">
        <v>1506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8" spans="1:66" ht="16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888</v>
      </c>
      <c r="F358" s="36" t="str">
        <f>IF(ISBLANK(Table2[[#This Row],[unique_id]]), "", PROPER(SUBSTITUTE(Table2[[#This Row],[unique_id]], "_", " ")))</f>
        <v>Rack Fans Plug</v>
      </c>
      <c r="G358" s="30" t="s">
        <v>588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1109</v>
      </c>
      <c r="AB358" s="30"/>
      <c r="AC358" s="30"/>
      <c r="AE358" s="30" t="s">
        <v>590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homeassistant/switch/tasmota/rack_fans_plug/config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8" s="30" t="str">
        <f>_xlfn.CONCAT("tasmota/device/",Table2[[#This Row],[unique_id]], "/cmnd/POWER")</f>
        <v>tasmota/device/rack_fans_plug/cmnd/POWER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http://10.0.4.101/?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131</v>
      </c>
      <c r="BC358" s="39" t="s">
        <v>767</v>
      </c>
      <c r="BD358" s="30" t="s">
        <v>1110</v>
      </c>
      <c r="BF358" s="30" t="s">
        <v>887</v>
      </c>
      <c r="BG358" s="30" t="s">
        <v>28</v>
      </c>
      <c r="BK358" s="30" t="s">
        <v>1269</v>
      </c>
      <c r="BL358" s="30" t="s">
        <v>589</v>
      </c>
      <c r="BM358" s="30" t="s">
        <v>1323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808</v>
      </c>
      <c r="D359" s="30" t="s">
        <v>148</v>
      </c>
      <c r="E359" s="37" t="s">
        <v>1071</v>
      </c>
      <c r="F359" s="36" t="str">
        <f>IF(ISBLANK(Table2[[#This Row],[unique_id]]), "", PROPER(SUBSTITUTE(Table2[[#This Row],[unique_id]], "_", " ")))</f>
        <v>Template Lounge Tv Plug Proxy</v>
      </c>
      <c r="G359" s="30" t="s">
        <v>180</v>
      </c>
      <c r="H359" s="30" t="s">
        <v>526</v>
      </c>
      <c r="I359" s="30" t="s">
        <v>291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">
        <v>1068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R359" s="39"/>
      <c r="AT359" s="32"/>
      <c r="AU359" s="30" t="s">
        <v>134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2578</v>
      </c>
      <c r="B360" s="30" t="s">
        <v>26</v>
      </c>
      <c r="C360" s="30" t="s">
        <v>233</v>
      </c>
      <c r="D360" s="30" t="s">
        <v>134</v>
      </c>
      <c r="E360" s="30" t="s">
        <v>1070</v>
      </c>
      <c r="F360" s="36" t="str">
        <f>IF(ISBLANK(Table2[[#This Row],[unique_id]]), "", PROPER(SUBSTITUTE(Table2[[#This Row],[unique_id]], "_", " ")))</f>
        <v>Lounge Tv Plug</v>
      </c>
      <c r="G360" s="30" t="s">
        <v>180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 t="s">
        <v>165</v>
      </c>
      <c r="Q360" s="30" t="s">
        <v>760</v>
      </c>
      <c r="R360" s="41" t="s">
        <v>745</v>
      </c>
      <c r="S360" s="30" t="str">
        <f>Table2[[#This Row],[friendly_name]]</f>
        <v>Lounge TV</v>
      </c>
      <c r="T36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250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Lounge</v>
      </c>
      <c r="BB360" s="30" t="s">
        <v>981</v>
      </c>
      <c r="BC360" s="30" t="s">
        <v>359</v>
      </c>
      <c r="BD360" s="30" t="s">
        <v>233</v>
      </c>
      <c r="BF360" s="30" t="s">
        <v>362</v>
      </c>
      <c r="BG360" s="30" t="s">
        <v>194</v>
      </c>
      <c r="BJ360" s="30" t="s">
        <v>978</v>
      </c>
      <c r="BK360" s="30" t="s">
        <v>1269</v>
      </c>
      <c r="BL360" s="30" t="s">
        <v>349</v>
      </c>
      <c r="BM360" s="30" t="s">
        <v>1303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1" spans="1:66" s="55" customFormat="1" ht="16" hidden="1" customHeight="1" x14ac:dyDescent="0.2">
      <c r="A361" s="30">
        <v>2579</v>
      </c>
      <c r="B361" s="55" t="s">
        <v>579</v>
      </c>
      <c r="C361" s="55" t="s">
        <v>808</v>
      </c>
      <c r="D361" s="55" t="s">
        <v>148</v>
      </c>
      <c r="E361" s="56" t="s">
        <v>1407</v>
      </c>
      <c r="F361" s="57" t="str">
        <f>IF(ISBLANK(Table2[[#This Row],[unique_id]]), "", PROPER(SUBSTITUTE(Table2[[#This Row],[unique_id]], "_", " ")))</f>
        <v>Broken Template Lounge Sub Plug Proxy</v>
      </c>
      <c r="G361" s="55" t="s">
        <v>792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R361" s="60"/>
      <c r="AT361" s="62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233</v>
      </c>
      <c r="D362" s="55" t="s">
        <v>134</v>
      </c>
      <c r="E362" s="55" t="s">
        <v>1408</v>
      </c>
      <c r="F362" s="57" t="str">
        <f>IF(ISBLANK(Table2[[#This Row],[unique_id]]), "", PROPER(SUBSTITUTE(Table2[[#This Row],[unique_id]], "_", " ")))</f>
        <v>Broken Lounge Sub Plug</v>
      </c>
      <c r="G362" s="55" t="s">
        <v>792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760</v>
      </c>
      <c r="R362" s="61" t="s">
        <v>745</v>
      </c>
      <c r="S362" s="55" t="str">
        <f>Table2[[#This Row],[friendly_name]]</f>
        <v>Lounge Sub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793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Lounge</v>
      </c>
      <c r="BB362" s="55" t="s">
        <v>1021</v>
      </c>
      <c r="BC362" s="60" t="s">
        <v>360</v>
      </c>
      <c r="BD362" s="55" t="s">
        <v>233</v>
      </c>
      <c r="BF362" s="55" t="s">
        <v>361</v>
      </c>
      <c r="BG362" s="55" t="s">
        <v>194</v>
      </c>
      <c r="BJ362" s="55" t="s">
        <v>977</v>
      </c>
      <c r="BK362" s="55" t="s">
        <v>1269</v>
      </c>
      <c r="BL362" s="55" t="s">
        <v>340</v>
      </c>
      <c r="BM362" s="55" t="s">
        <v>1304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1409</v>
      </c>
      <c r="F363" s="57" t="str">
        <f>IF(ISBLANK(Table2[[#This Row],[unique_id]]), "", PROPER(SUBSTITUTE(Table2[[#This Row],[unique_id]], "_", " ")))</f>
        <v>Broken Template Study Outlet Plug Proxy</v>
      </c>
      <c r="G363" s="55" t="s">
        <v>226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1410</v>
      </c>
      <c r="F364" s="57" t="str">
        <f>IF(ISBLANK(Table2[[#This Row],[unique_id]]), "", PROPER(SUBSTITUTE(Table2[[#This Row],[unique_id]], "_", " ")))</f>
        <v>Broken Study Outlet Plug</v>
      </c>
      <c r="G364" s="55" t="s">
        <v>226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Study Outlet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251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Study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356</v>
      </c>
      <c r="BJ364" s="55" t="s">
        <v>977</v>
      </c>
      <c r="BK364" s="55" t="s">
        <v>1269</v>
      </c>
      <c r="BL364" s="55" t="s">
        <v>351</v>
      </c>
      <c r="BM364" s="55" t="s">
        <v>1305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1411</v>
      </c>
      <c r="F365" s="57" t="str">
        <f>IF(ISBLANK(Table2[[#This Row],[unique_id]]), "", PROPER(SUBSTITUTE(Table2[[#This Row],[unique_id]], "_", " ")))</f>
        <v>Broken Template Office Outlet Plug Proxy</v>
      </c>
      <c r="G365" s="55" t="s">
        <v>225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1412</v>
      </c>
      <c r="F366" s="57" t="str">
        <f>IF(ISBLANK(Table2[[#This Row],[unique_id]]), "", PROPER(SUBSTITUTE(Table2[[#This Row],[unique_id]], "_", " ")))</f>
        <v>Broken Office Outlet Plug</v>
      </c>
      <c r="G366" s="55" t="s">
        <v>225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Office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Office</v>
      </c>
      <c r="BB366" s="55" t="s">
        <v>1019</v>
      </c>
      <c r="BC366" s="60" t="s">
        <v>360</v>
      </c>
      <c r="BD366" s="55" t="s">
        <v>233</v>
      </c>
      <c r="BF366" s="55" t="s">
        <v>361</v>
      </c>
      <c r="BG366" s="55" t="s">
        <v>212</v>
      </c>
      <c r="BJ366" s="55" t="s">
        <v>978</v>
      </c>
      <c r="BK366" s="55" t="s">
        <v>1269</v>
      </c>
      <c r="BL366" s="55" t="s">
        <v>352</v>
      </c>
      <c r="BM366" s="55" t="s">
        <v>1306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1413</v>
      </c>
      <c r="F367" s="57" t="str">
        <f>IF(ISBLANK(Table2[[#This Row],[unique_id]]), "", PROPER(SUBSTITUTE(Table2[[#This Row],[unique_id]], "_", " ")))</f>
        <v>Broken Template Kitchen Dish Washer Plug Proxy</v>
      </c>
      <c r="G367" s="55" t="s">
        <v>228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1414</v>
      </c>
      <c r="F368" s="57" t="str">
        <f>IF(ISBLANK(Table2[[#This Row],[unique_id]]), "", PROPER(SUBSTITUTE(Table2[[#This Row],[unique_id]], "_", " ")))</f>
        <v>Broken Kitchen Dish Washer Plug</v>
      </c>
      <c r="G368" s="55" t="s">
        <v>228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Dish Washer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244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Kitchen</v>
      </c>
      <c r="BB368" s="55" t="s">
        <v>228</v>
      </c>
      <c r="BC368" s="60" t="s">
        <v>360</v>
      </c>
      <c r="BD368" s="55" t="s">
        <v>233</v>
      </c>
      <c r="BF368" s="55" t="s">
        <v>361</v>
      </c>
      <c r="BG368" s="55" t="s">
        <v>206</v>
      </c>
      <c r="BJ368" s="55" t="s">
        <v>978</v>
      </c>
      <c r="BK368" s="55" t="s">
        <v>1269</v>
      </c>
      <c r="BL368" s="55" t="s">
        <v>343</v>
      </c>
      <c r="BM368" s="55" t="s">
        <v>1307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9" spans="1:66" ht="16" hidden="1" customHeight="1" x14ac:dyDescent="0.2">
      <c r="A369" s="30">
        <v>2587</v>
      </c>
      <c r="B369" s="30" t="s">
        <v>26</v>
      </c>
      <c r="C369" s="30" t="s">
        <v>808</v>
      </c>
      <c r="D369" s="30" t="s">
        <v>148</v>
      </c>
      <c r="E369" s="37" t="s">
        <v>964</v>
      </c>
      <c r="F369" s="36" t="str">
        <f>IF(ISBLANK(Table2[[#This Row],[unique_id]]), "", PROPER(SUBSTITUTE(Table2[[#This Row],[unique_id]], "_", " ")))</f>
        <v>Template Kitchen Dish Washer Plug Proxy</v>
      </c>
      <c r="G369" s="30" t="s">
        <v>228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233</v>
      </c>
      <c r="D370" s="30" t="s">
        <v>134</v>
      </c>
      <c r="E370" s="30" t="s">
        <v>835</v>
      </c>
      <c r="F370" s="36" t="str">
        <f>IF(ISBLANK(Table2[[#This Row],[unique_id]]), "", PROPER(SUBSTITUTE(Table2[[#This Row],[unique_id]], "_", " ")))</f>
        <v>Kitchen Dish Washer Plug</v>
      </c>
      <c r="G370" s="30" t="s">
        <v>228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761</v>
      </c>
      <c r="R370" s="30" t="s">
        <v>771</v>
      </c>
      <c r="S370" s="30" t="str">
        <f>Table2[[#This Row],[friendly_name]]</f>
        <v>Dish Washer</v>
      </c>
      <c r="T37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244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228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30" t="s">
        <v>1269</v>
      </c>
      <c r="BL370" s="30" t="s">
        <v>355</v>
      </c>
      <c r="BM370" s="30" t="s">
        <v>1318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1" spans="1:66" s="55" customFormat="1" ht="16" hidden="1" customHeight="1" x14ac:dyDescent="0.2">
      <c r="A371" s="30">
        <v>2589</v>
      </c>
      <c r="B371" s="55" t="s">
        <v>579</v>
      </c>
      <c r="C371" s="55" t="s">
        <v>808</v>
      </c>
      <c r="D371" s="55" t="s">
        <v>148</v>
      </c>
      <c r="E371" s="56" t="s">
        <v>1415</v>
      </c>
      <c r="F371" s="57" t="str">
        <f>IF(ISBLANK(Table2[[#This Row],[unique_id]]), "", PROPER(SUBSTITUTE(Table2[[#This Row],[unique_id]], "_", " ")))</f>
        <v>Broken Template Laundry Clothes Dryer Plug Proxy</v>
      </c>
      <c r="G371" s="55" t="s">
        <v>229</v>
      </c>
      <c r="H371" s="55" t="s">
        <v>526</v>
      </c>
      <c r="I371" s="55" t="s">
        <v>291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">
        <v>1067</v>
      </c>
      <c r="V371" s="58"/>
      <c r="W371" s="58"/>
      <c r="X371" s="58"/>
      <c r="Y371" s="58"/>
      <c r="Z371" s="58"/>
      <c r="AA371" s="58"/>
      <c r="AG371" s="58"/>
      <c r="AH371" s="58"/>
      <c r="AT371" s="59"/>
      <c r="AU371" s="55" t="s">
        <v>134</v>
      </c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233</v>
      </c>
      <c r="D372" s="55" t="s">
        <v>134</v>
      </c>
      <c r="E372" s="55" t="s">
        <v>1416</v>
      </c>
      <c r="F372" s="57" t="str">
        <f>IF(ISBLANK(Table2[[#This Row],[unique_id]]), "", PROPER(SUBSTITUTE(Table2[[#This Row],[unique_id]], "_", " ")))</f>
        <v>Broken Laundry Clothes Dryer Plug</v>
      </c>
      <c r="G372" s="55" t="s">
        <v>229</v>
      </c>
      <c r="H372" s="55" t="s">
        <v>526</v>
      </c>
      <c r="I372" s="55" t="s">
        <v>291</v>
      </c>
      <c r="M372" s="55" t="s">
        <v>257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Clothes Dryer</v>
      </c>
      <c r="T372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2" s="58"/>
      <c r="W372" s="58"/>
      <c r="X372" s="58"/>
      <c r="Y372" s="58"/>
      <c r="Z372" s="58"/>
      <c r="AA372" s="58"/>
      <c r="AE372" s="55" t="s">
        <v>245</v>
      </c>
      <c r="AG372" s="58"/>
      <c r="AH372" s="58"/>
      <c r="AT372" s="59"/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229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J372" s="55" t="s">
        <v>977</v>
      </c>
      <c r="BK372" s="55" t="s">
        <v>1269</v>
      </c>
      <c r="BL372" s="55" t="s">
        <v>344</v>
      </c>
      <c r="BM372" s="55" t="s">
        <v>1308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1417</v>
      </c>
      <c r="F373" s="57" t="str">
        <f>IF(ISBLANK(Table2[[#This Row],[unique_id]]), "", PROPER(SUBSTITUTE(Table2[[#This Row],[unique_id]], "_", " ")))</f>
        <v>Broken Template Laundry Washing Machine Plug Proxy</v>
      </c>
      <c r="G373" s="55" t="s">
        <v>227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">
        <v>1067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1418</v>
      </c>
      <c r="F374" s="57" t="str">
        <f>IF(ISBLANK(Table2[[#This Row],[unique_id]]), "", PROPER(SUBSTITUTE(Table2[[#This Row],[unique_id]], "_", " ")))</f>
        <v>Broken Laundry Washing Machine Plug</v>
      </c>
      <c r="G374" s="55" t="s">
        <v>227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Washing Machine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246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227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977</v>
      </c>
      <c r="BK374" s="55" t="s">
        <v>1269</v>
      </c>
      <c r="BL374" s="55" t="s">
        <v>345</v>
      </c>
      <c r="BM374" s="55" t="s">
        <v>1309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5" spans="1:66" ht="16" hidden="1" customHeight="1" x14ac:dyDescent="0.2">
      <c r="A375" s="30">
        <v>2593</v>
      </c>
      <c r="B375" s="30" t="s">
        <v>26</v>
      </c>
      <c r="C375" s="30" t="s">
        <v>808</v>
      </c>
      <c r="D375" s="30" t="s">
        <v>148</v>
      </c>
      <c r="E375" s="37" t="s">
        <v>1511</v>
      </c>
      <c r="F375" s="36" t="str">
        <f>IF(ISBLANK(Table2[[#This Row],[unique_id]]), "", PROPER(SUBSTITUTE(Table2[[#This Row],[unique_id]], "_", " ")))</f>
        <v>Template Kitchen Fridge Plug Proxy</v>
      </c>
      <c r="G375" s="30" t="s">
        <v>223</v>
      </c>
      <c r="H375" s="30" t="s">
        <v>526</v>
      </c>
      <c r="I375" s="30" t="s">
        <v>291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">
        <v>1068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2594</v>
      </c>
      <c r="B376" s="30" t="s">
        <v>26</v>
      </c>
      <c r="C376" s="30" t="s">
        <v>233</v>
      </c>
      <c r="D376" s="30" t="s">
        <v>134</v>
      </c>
      <c r="E376" s="30" t="s">
        <v>1510</v>
      </c>
      <c r="F376" s="36" t="str">
        <f>IF(ISBLANK(Table2[[#This Row],[unique_id]]), "", PROPER(SUBSTITUTE(Table2[[#This Row],[unique_id]], "_", " ")))</f>
        <v>Kitchen Fridge Plug</v>
      </c>
      <c r="G376" s="30" t="s">
        <v>223</v>
      </c>
      <c r="H376" s="30" t="s">
        <v>526</v>
      </c>
      <c r="I376" s="30" t="s">
        <v>291</v>
      </c>
      <c r="M376" s="30" t="s">
        <v>257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Kitchen Fridge</v>
      </c>
      <c r="T37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248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Kitchen</v>
      </c>
      <c r="BB376" s="30" t="s">
        <v>1022</v>
      </c>
      <c r="BC376" s="30" t="s">
        <v>359</v>
      </c>
      <c r="BD376" s="30" t="s">
        <v>233</v>
      </c>
      <c r="BF376" s="30" t="s">
        <v>362</v>
      </c>
      <c r="BG376" s="30" t="s">
        <v>206</v>
      </c>
      <c r="BJ376" s="30" t="s">
        <v>978</v>
      </c>
      <c r="BK376" s="63" t="s">
        <v>1269</v>
      </c>
      <c r="BL376" s="63" t="s">
        <v>1477</v>
      </c>
      <c r="BM376" s="63" t="s">
        <v>1478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966</v>
      </c>
      <c r="F377" s="36" t="str">
        <f>IF(ISBLANK(Table2[[#This Row],[unique_id]]), "", PROPER(SUBSTITUTE(Table2[[#This Row],[unique_id]], "_", " ")))</f>
        <v>Template Deck Freezer Plug Proxy</v>
      </c>
      <c r="G377" s="30" t="s">
        <v>224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">
        <v>1068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837</v>
      </c>
      <c r="F378" s="36" t="str">
        <f>IF(ISBLANK(Table2[[#This Row],[unique_id]]), "", PROPER(SUBSTITUTE(Table2[[#This Row],[unique_id]], "_", " ")))</f>
        <v>Deck Freezer Plug</v>
      </c>
      <c r="G378" s="30" t="s">
        <v>224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Deck Freezer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249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Deck</v>
      </c>
      <c r="BB378" s="30" t="s">
        <v>1023</v>
      </c>
      <c r="BC378" s="30" t="s">
        <v>359</v>
      </c>
      <c r="BD378" s="30" t="s">
        <v>233</v>
      </c>
      <c r="BF378" s="30" t="s">
        <v>362</v>
      </c>
      <c r="BG378" s="30" t="s">
        <v>357</v>
      </c>
      <c r="BJ378" s="30" t="s">
        <v>978</v>
      </c>
      <c r="BK378" s="30" t="s">
        <v>1269</v>
      </c>
      <c r="BL378" s="30" t="s">
        <v>347</v>
      </c>
      <c r="BM378" s="30" t="s">
        <v>1311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1399</v>
      </c>
      <c r="F379" s="36" t="str">
        <f>IF(ISBLANK(Table2[[#This Row],[unique_id]]), "", PROPER(SUBSTITUTE(Table2[[#This Row],[unique_id]], "_", " ")))</f>
        <v>Template Garden Sewerage Blower Plug Proxy</v>
      </c>
      <c r="G379" s="30" t="s">
        <v>1400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1400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L379" s="36"/>
      <c r="BM379" s="36"/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1398</v>
      </c>
      <c r="F380" s="36" t="str">
        <f>IF(ISBLANK(Table2[[#This Row],[unique_id]]), "", PROPER(SUBSTITUTE(Table2[[#This Row],[unique_id]], "_", " ")))</f>
        <v>Garden Sewerage Blower Plug</v>
      </c>
      <c r="G380" s="30" t="s">
        <v>1400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526</v>
      </c>
      <c r="S380" s="30" t="str">
        <f>Table2[[#This Row],[friendly_name]]</f>
        <v>Sewerage Blower</v>
      </c>
      <c r="T38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243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">
        <v>576</v>
      </c>
      <c r="BB380" s="30" t="s">
        <v>1400</v>
      </c>
      <c r="BC380" s="30" t="s">
        <v>359</v>
      </c>
      <c r="BD380" s="30" t="s">
        <v>233</v>
      </c>
      <c r="BF380" s="30" t="s">
        <v>362</v>
      </c>
      <c r="BG380" s="30" t="s">
        <v>576</v>
      </c>
      <c r="BJ380" s="30" t="s">
        <v>978</v>
      </c>
      <c r="BK380" s="30" t="s">
        <v>1269</v>
      </c>
      <c r="BL380" s="36" t="s">
        <v>363</v>
      </c>
      <c r="BM380" s="36" t="s">
        <v>1290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1" spans="1:66" s="55" customFormat="1" ht="16" hidden="1" customHeight="1" x14ac:dyDescent="0.2">
      <c r="A381" s="30">
        <v>2599</v>
      </c>
      <c r="B381" s="55" t="s">
        <v>579</v>
      </c>
      <c r="C381" s="55" t="s">
        <v>808</v>
      </c>
      <c r="D381" s="55" t="s">
        <v>148</v>
      </c>
      <c r="E381" s="56" t="s">
        <v>1419</v>
      </c>
      <c r="F381" s="57" t="str">
        <f>IF(ISBLANK(Table2[[#This Row],[unique_id]]), "", PROPER(SUBSTITUTE(Table2[[#This Row],[unique_id]], "_", " ")))</f>
        <v>Broken Template Study Battery Charger Plug Proxy</v>
      </c>
      <c r="G381" s="55" t="s">
        <v>231</v>
      </c>
      <c r="H381" s="55" t="s">
        <v>526</v>
      </c>
      <c r="I381" s="55" t="s">
        <v>291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">
        <v>1067</v>
      </c>
      <c r="V381" s="58"/>
      <c r="W381" s="58"/>
      <c r="X381" s="58"/>
      <c r="Y381" s="58"/>
      <c r="Z381" s="58"/>
      <c r="AA381" s="58"/>
      <c r="AG381" s="58"/>
      <c r="AH381" s="58"/>
      <c r="AT381" s="59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233</v>
      </c>
      <c r="D382" s="55" t="s">
        <v>134</v>
      </c>
      <c r="E382" s="55" t="s">
        <v>1420</v>
      </c>
      <c r="F382" s="57" t="str">
        <f>IF(ISBLANK(Table2[[#This Row],[unique_id]]), "", PROPER(SUBSTITUTE(Table2[[#This Row],[unique_id]], "_", " ")))</f>
        <v>Broken Study Battery Charger Plug</v>
      </c>
      <c r="G382" s="55" t="s">
        <v>231</v>
      </c>
      <c r="H382" s="55" t="s">
        <v>526</v>
      </c>
      <c r="I382" s="55" t="s">
        <v>291</v>
      </c>
      <c r="M382" s="55" t="s">
        <v>257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Battery Charger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255</v>
      </c>
      <c r="AG382" s="58"/>
      <c r="AH382" s="58"/>
      <c r="AT382" s="59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Study</v>
      </c>
      <c r="BB382" s="55" t="s">
        <v>231</v>
      </c>
      <c r="BC382" s="60" t="s">
        <v>360</v>
      </c>
      <c r="BD382" s="55" t="s">
        <v>233</v>
      </c>
      <c r="BF382" s="55" t="s">
        <v>361</v>
      </c>
      <c r="BG382" s="55" t="s">
        <v>356</v>
      </c>
      <c r="BJ382" s="55" t="s">
        <v>977</v>
      </c>
      <c r="BK382" s="55" t="s">
        <v>1269</v>
      </c>
      <c r="BL382" s="55" t="s">
        <v>341</v>
      </c>
      <c r="BM382" s="55" t="s">
        <v>1312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1421</v>
      </c>
      <c r="F383" s="57" t="str">
        <f>IF(ISBLANK(Table2[[#This Row],[unique_id]]), "", PROPER(SUBSTITUTE(Table2[[#This Row],[unique_id]], "_", " ")))</f>
        <v>Broken Template Laundry Vacuum Charger Plug Proxy</v>
      </c>
      <c r="G383" s="55" t="s">
        <v>230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">
        <v>1067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1422</v>
      </c>
      <c r="F384" s="57" t="str">
        <f>IF(ISBLANK(Table2[[#This Row],[unique_id]]), "", PROPER(SUBSTITUTE(Table2[[#This Row],[unique_id]], "_", " ")))</f>
        <v>Broken Laundry Vacuum Charger Plug</v>
      </c>
      <c r="G384" s="55" t="s">
        <v>230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Vacuum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Laundry</v>
      </c>
      <c r="BB384" s="55" t="s">
        <v>230</v>
      </c>
      <c r="BC384" s="60" t="s">
        <v>360</v>
      </c>
      <c r="BD384" s="55" t="s">
        <v>233</v>
      </c>
      <c r="BF384" s="55" t="s">
        <v>361</v>
      </c>
      <c r="BG384" s="55" t="s">
        <v>213</v>
      </c>
      <c r="BJ384" s="55" t="s">
        <v>978</v>
      </c>
      <c r="BK384" s="55" t="s">
        <v>1269</v>
      </c>
      <c r="BL384" s="55" t="s">
        <v>342</v>
      </c>
      <c r="BM384" s="55" t="s">
        <v>1313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1423</v>
      </c>
      <c r="F385" s="57" t="str">
        <f>IF(ISBLANK(Table2[[#This Row],[unique_id]]), "", PROPER(SUBSTITUTE(Table2[[#This Row],[unique_id]], "_", " ")))</f>
        <v>Broken Template Ada Tablet Plug Proxy</v>
      </c>
      <c r="G385" s="55" t="s">
        <v>821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1424</v>
      </c>
      <c r="F386" s="57" t="str">
        <f>IF(ISBLANK(Table2[[#This Row],[unique_id]]), "", PROPER(SUBSTITUTE(Table2[[#This Row],[unique_id]], "_", " ")))</f>
        <v>Broken Ada Tablet Plug</v>
      </c>
      <c r="G386" s="55" t="s">
        <v>821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61" t="s">
        <v>745</v>
      </c>
      <c r="S386" s="55" t="str">
        <f>Table2[[#This Row],[friendly_name]]</f>
        <v>Ada Tablet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822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Lounge</v>
      </c>
      <c r="BB386" s="55" t="s">
        <v>821</v>
      </c>
      <c r="BC386" s="60" t="s">
        <v>360</v>
      </c>
      <c r="BD386" s="55" t="s">
        <v>233</v>
      </c>
      <c r="BF386" s="55" t="s">
        <v>361</v>
      </c>
      <c r="BG386" s="55" t="s">
        <v>194</v>
      </c>
      <c r="BJ386" s="55" t="s">
        <v>977</v>
      </c>
      <c r="BK386" s="55" t="s">
        <v>1269</v>
      </c>
      <c r="BL386" s="55" t="s">
        <v>800</v>
      </c>
      <c r="BM386" s="55" t="s">
        <v>1314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612</v>
      </c>
      <c r="F387" s="36" t="str">
        <f>IF(ISBLANK(Table2[[#This Row],[unique_id]]), "", PROPER(SUBSTITUTE(Table2[[#This Row],[unique_id]], "_", " ")))</f>
        <v>Deck Fans Outlet</v>
      </c>
      <c r="G387" s="30" t="s">
        <v>615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Deck</v>
      </c>
      <c r="BA387" s="30" t="str">
        <f>IF(ISBLANK(Table2[[#This Row],[device_model]]), "", Table2[[#This Row],[device_suggested_area]])</f>
        <v>Deck</v>
      </c>
      <c r="BB387" s="37" t="s">
        <v>1015</v>
      </c>
      <c r="BC387" s="37" t="s">
        <v>617</v>
      </c>
      <c r="BD387" s="30" t="s">
        <v>377</v>
      </c>
      <c r="BF387" s="37" t="s">
        <v>618</v>
      </c>
      <c r="BG387" s="30" t="s">
        <v>357</v>
      </c>
      <c r="BL387" s="30" t="s">
        <v>619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613</v>
      </c>
      <c r="F388" s="36" t="str">
        <f>IF(ISBLANK(Table2[[#This Row],[unique_id]]), "", PROPER(SUBSTITUTE(Table2[[#This Row],[unique_id]], "_", " ")))</f>
        <v>Kitchen Fan Outlet</v>
      </c>
      <c r="G388" s="30" t="s">
        <v>614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31"/>
      <c r="AA388" s="31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Kitchen</v>
      </c>
      <c r="BA388" s="30" t="str">
        <f>IF(ISBLANK(Table2[[#This Row],[device_model]]), "", Table2[[#This Row],[device_suggested_area]])</f>
        <v>Kitchen</v>
      </c>
      <c r="BB388" s="37" t="s">
        <v>1016</v>
      </c>
      <c r="BC388" s="37" t="s">
        <v>617</v>
      </c>
      <c r="BD388" s="30" t="s">
        <v>377</v>
      </c>
      <c r="BF388" s="37" t="s">
        <v>618</v>
      </c>
      <c r="BG388" s="30" t="s">
        <v>206</v>
      </c>
      <c r="BL388" s="30" t="s">
        <v>620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1529</v>
      </c>
      <c r="F389" s="36" t="str">
        <f>IF(ISBLANK(Table2[[#This Row],[unique_id]]), "", PROPER(SUBSTITUTE(Table2[[#This Row],[unique_id]], "_", " ")))</f>
        <v>Ada Desk Outlet</v>
      </c>
      <c r="G389" s="30" t="s">
        <v>1528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Ada</v>
      </c>
      <c r="BA389" s="30" t="str">
        <f>IF(ISBLANK(Table2[[#This Row],[device_model]]), "", Table2[[#This Row],[device_suggested_area]])</f>
        <v>Ada</v>
      </c>
      <c r="BB389" s="37" t="s">
        <v>1516</v>
      </c>
      <c r="BC389" s="37" t="s">
        <v>617</v>
      </c>
      <c r="BD389" s="30" t="s">
        <v>377</v>
      </c>
      <c r="BF389" s="37" t="s">
        <v>618</v>
      </c>
      <c r="BG389" s="30" t="s">
        <v>130</v>
      </c>
      <c r="BL389" s="30" t="s">
        <v>1530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0" spans="1:66" ht="16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1515</v>
      </c>
      <c r="F390" s="36" t="str">
        <f>IF(ISBLANK(Table2[[#This Row],[unique_id]]), "", PROPER(SUBSTITUTE(Table2[[#This Row],[unique_id]], "_", " ")))</f>
        <v>Edwin Desk Outlet</v>
      </c>
      <c r="G390" s="30" t="s">
        <v>1514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42"/>
      <c r="AA390" s="42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Edwin</v>
      </c>
      <c r="BA390" s="30" t="str">
        <f>IF(ISBLANK(Table2[[#This Row],[device_model]]), "", Table2[[#This Row],[device_suggested_area]])</f>
        <v>Edwin</v>
      </c>
      <c r="BB390" s="37" t="s">
        <v>1516</v>
      </c>
      <c r="BC390" s="37" t="s">
        <v>617</v>
      </c>
      <c r="BD390" s="30" t="s">
        <v>377</v>
      </c>
      <c r="BF390" s="37" t="s">
        <v>618</v>
      </c>
      <c r="BG390" s="30" t="s">
        <v>127</v>
      </c>
      <c r="BL390" s="30" t="s">
        <v>616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1" spans="1:66" s="55" customFormat="1" ht="16" hidden="1" customHeight="1" x14ac:dyDescent="0.2">
      <c r="A391" s="30">
        <v>2609</v>
      </c>
      <c r="B391" s="55" t="s">
        <v>579</v>
      </c>
      <c r="C391" s="55" t="s">
        <v>808</v>
      </c>
      <c r="D391" s="55" t="s">
        <v>148</v>
      </c>
      <c r="E391" s="56" t="s">
        <v>1448</v>
      </c>
      <c r="F391" s="57" t="str">
        <f>IF(ISBLANK(Table2[[#This Row],[unique_id]]), "", PROPER(SUBSTITUTE(Table2[[#This Row],[unique_id]], "_", " ")))</f>
        <v>Broken Template Server May Plug Proxy</v>
      </c>
      <c r="G391" s="55" t="s">
        <v>1449</v>
      </c>
      <c r="H391" s="55" t="s">
        <v>526</v>
      </c>
      <c r="I391" s="55" t="s">
        <v>291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">
        <v>1067</v>
      </c>
      <c r="V391" s="58"/>
      <c r="W391" s="58"/>
      <c r="X391" s="58"/>
      <c r="Y391" s="58"/>
      <c r="Z391" s="58"/>
      <c r="AA391" s="58"/>
      <c r="AG391" s="58"/>
      <c r="AH391" s="58"/>
      <c r="AR391" s="60"/>
      <c r="AT391" s="62"/>
      <c r="AU391" s="55" t="s">
        <v>134</v>
      </c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1454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233</v>
      </c>
      <c r="D392" s="55" t="s">
        <v>134</v>
      </c>
      <c r="E392" s="55" t="s">
        <v>1450</v>
      </c>
      <c r="F392" s="57" t="str">
        <f>IF(ISBLANK(Table2[[#This Row],[unique_id]]), "", PROPER(SUBSTITUTE(Table2[[#This Row],[unique_id]], "_", " ")))</f>
        <v>Broken Server May Plug</v>
      </c>
      <c r="G392" s="55" t="s">
        <v>1449</v>
      </c>
      <c r="H392" s="55" t="s">
        <v>526</v>
      </c>
      <c r="I392" s="55" t="s">
        <v>291</v>
      </c>
      <c r="M392" s="55" t="s">
        <v>257</v>
      </c>
      <c r="O392" s="58" t="s">
        <v>788</v>
      </c>
      <c r="R392" s="55" t="s">
        <v>801</v>
      </c>
      <c r="S392" s="55" t="str">
        <f>Table2[[#This Row],[friendly_name]]</f>
        <v>Server May</v>
      </c>
      <c r="T392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2" s="58"/>
      <c r="W392" s="58"/>
      <c r="X392" s="58"/>
      <c r="Y392" s="58"/>
      <c r="Z392" s="58"/>
      <c r="AA392" s="58"/>
      <c r="AE392" s="55" t="s">
        <v>252</v>
      </c>
      <c r="AG392" s="58"/>
      <c r="AH392" s="58"/>
      <c r="AR392" s="60"/>
      <c r="AT392" s="62"/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1454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J392" s="55" t="s">
        <v>978</v>
      </c>
      <c r="BK392" s="55" t="s">
        <v>1269</v>
      </c>
      <c r="BL392" s="55" t="s">
        <v>804</v>
      </c>
      <c r="BM392" s="55" t="s">
        <v>1315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1425</v>
      </c>
      <c r="F393" s="57" t="str">
        <f>IF(ISBLANK(Table2[[#This Row],[unique_id]]), "", PROPER(SUBSTITUTE(Table2[[#This Row],[unique_id]], "_", " ")))</f>
        <v>Broken Template Server Meg Plug Proxy</v>
      </c>
      <c r="G393" s="60" t="s">
        <v>805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">
        <v>1067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1426</v>
      </c>
      <c r="F394" s="57" t="str">
        <f>IF(ISBLANK(Table2[[#This Row],[unique_id]]), "", PROPER(SUBSTITUTE(Table2[[#This Row],[unique_id]], "_", " ")))</f>
        <v>Broken Server Meg Plug</v>
      </c>
      <c r="G394" s="60" t="s">
        <v>805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Meg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1060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978</v>
      </c>
      <c r="BK394" s="55" t="s">
        <v>1269</v>
      </c>
      <c r="BL394" s="55" t="s">
        <v>803</v>
      </c>
      <c r="BM394" s="55" t="s">
        <v>1316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5" spans="1:66" ht="16" hidden="1" customHeight="1" x14ac:dyDescent="0.2">
      <c r="A395" s="30">
        <v>2613</v>
      </c>
      <c r="B395" s="30" t="s">
        <v>26</v>
      </c>
      <c r="C395" s="30" t="s">
        <v>808</v>
      </c>
      <c r="D395" s="30" t="s">
        <v>148</v>
      </c>
      <c r="E395" s="37" t="s">
        <v>1458</v>
      </c>
      <c r="F395" s="36" t="str">
        <f>IF(ISBLANK(Table2[[#This Row],[unique_id]]), "", PROPER(SUBSTITUTE(Table2[[#This Row],[unique_id]], "_", " ")))</f>
        <v>Template Server Jen Plug Proxy</v>
      </c>
      <c r="G395" s="30" t="s">
        <v>1463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1464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233</v>
      </c>
      <c r="D396" s="30" t="s">
        <v>134</v>
      </c>
      <c r="E396" s="30" t="s">
        <v>1459</v>
      </c>
      <c r="F396" s="36" t="str">
        <f>IF(ISBLANK(Table2[[#This Row],[unique_id]]), "", PROPER(SUBSTITUTE(Table2[[#This Row],[unique_id]], "_", " ")))</f>
        <v>Server Jen Plug</v>
      </c>
      <c r="G396" s="30" t="s">
        <v>1463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Jen</v>
      </c>
      <c r="T39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6" s="30"/>
      <c r="V396" s="31"/>
      <c r="W396" s="31"/>
      <c r="X396" s="31"/>
      <c r="Y396" s="31"/>
      <c r="Z396" s="31"/>
      <c r="AA396" s="31"/>
      <c r="AB396" s="30"/>
      <c r="AC396" s="30"/>
      <c r="AE396" s="30" t="s">
        <v>252</v>
      </c>
      <c r="AG396" s="31"/>
      <c r="AH396" s="31"/>
      <c r="AT396" s="40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">
        <v>495</v>
      </c>
      <c r="BB396" s="30" t="s">
        <v>1464</v>
      </c>
      <c r="BC396" s="30" t="s">
        <v>359</v>
      </c>
      <c r="BD396" s="30" t="s">
        <v>233</v>
      </c>
      <c r="BF396" s="30" t="s">
        <v>362</v>
      </c>
      <c r="BG396" s="30" t="s">
        <v>495</v>
      </c>
      <c r="BJ396" s="30" t="s">
        <v>978</v>
      </c>
      <c r="BK396" s="30" t="s">
        <v>1269</v>
      </c>
      <c r="BL396" s="30" t="s">
        <v>348</v>
      </c>
      <c r="BM396" s="30" t="s">
        <v>1317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967</v>
      </c>
      <c r="F397" s="36" t="str">
        <f>IF(ISBLANK(Table2[[#This Row],[unique_id]]), "", PROPER(SUBSTITUTE(Table2[[#This Row],[unique_id]], "_", " ")))</f>
        <v>Template Rack Outlet Plug Proxy</v>
      </c>
      <c r="G397" s="30" t="s">
        <v>222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">
        <v>1069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134</v>
      </c>
      <c r="E398" s="30" t="s">
        <v>838</v>
      </c>
      <c r="F398" s="36" t="str">
        <f>IF(ISBLANK(Table2[[#This Row],[unique_id]]), "", PROPER(SUBSTITUTE(Table2[[#This Row],[unique_id]], "_", " ")))</f>
        <v>Rack Outlet Plug</v>
      </c>
      <c r="G398" s="30" t="s">
        <v>222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Rack</v>
      </c>
      <c r="T39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8" s="30"/>
      <c r="V398" s="31"/>
      <c r="W398" s="31"/>
      <c r="X398" s="31"/>
      <c r="Y398" s="31"/>
      <c r="Z398" s="31"/>
      <c r="AA398" s="42" t="s">
        <v>1108</v>
      </c>
      <c r="AB398" s="30"/>
      <c r="AC398" s="30"/>
      <c r="AE398" s="30" t="s">
        <v>252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homeassistant/switch/tasmota/rack_outlet_plug/config</v>
      </c>
      <c r="AK39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8" s="30" t="str">
        <f>_xlfn.CONCAT("tasmota/device/",Table2[[#This Row],[unique_id]], "/cmnd/POWER")</f>
        <v>tasmota/device/rack_outlet_plug/cmnd/POWER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970</v>
      </c>
      <c r="AS398" s="30">
        <v>1</v>
      </c>
      <c r="AT398" s="34" t="str">
        <f>HYPERLINK(_xlfn.CONCAT("http://", Table2[[#This Row],[connection_ip]], "/?"))</f>
        <v>http://10.0.4.102/?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K398" s="30" t="s">
        <v>1269</v>
      </c>
      <c r="BL398" s="30" t="s">
        <v>914</v>
      </c>
      <c r="BM398" s="30" t="s">
        <v>1319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968</v>
      </c>
      <c r="F399" s="36" t="str">
        <f>IF(ISBLANK(Table2[[#This Row],[unique_id]]), "", PROPER(SUBSTITUTE(Table2[[#This Row],[unique_id]], "_", " ")))</f>
        <v>Rack Outlet Plug Energy Power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31</v>
      </c>
      <c r="AC399" s="30" t="s">
        <v>327</v>
      </c>
      <c r="AD399" s="30" t="s">
        <v>898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homeassistant/sensor/tasmota/rack_outlet_plug_energy_power/config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1104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27</v>
      </c>
      <c r="E400" s="30" t="s">
        <v>969</v>
      </c>
      <c r="F400" s="36" t="str">
        <f>IF(ISBLANK(Table2[[#This Row],[unique_id]]), "", PROPER(SUBSTITUTE(Table2[[#This Row],[unique_id]], "_", " ")))</f>
        <v>Rack Outlet Plug Energy Total</v>
      </c>
      <c r="G400" s="30" t="s">
        <v>222</v>
      </c>
      <c r="H400" s="30" t="s">
        <v>526</v>
      </c>
      <c r="I400" s="30" t="s">
        <v>291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76</v>
      </c>
      <c r="AC400" s="30" t="s">
        <v>328</v>
      </c>
      <c r="AD400" s="30" t="s">
        <v>899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homeassistant/sensor/tasmota/rack_outlet_plug_energy_total/config</v>
      </c>
      <c r="AK40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1105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1019</v>
      </c>
      <c r="BC400" s="30" t="s">
        <v>915</v>
      </c>
      <c r="BD400" s="30" t="s">
        <v>1110</v>
      </c>
      <c r="BF400" s="30" t="s">
        <v>887</v>
      </c>
      <c r="BG400" s="30" t="s">
        <v>28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hidden="1" customHeight="1" x14ac:dyDescent="0.2">
      <c r="A401" s="30">
        <v>2619</v>
      </c>
      <c r="B401" s="30" t="s">
        <v>26</v>
      </c>
      <c r="C401" s="30" t="s">
        <v>808</v>
      </c>
      <c r="D401" s="30" t="s">
        <v>148</v>
      </c>
      <c r="E401" s="37" t="s">
        <v>1094</v>
      </c>
      <c r="F401" s="36" t="str">
        <f>IF(ISBLANK(Table2[[#This Row],[unique_id]]), "", PROPER(SUBSTITUTE(Table2[[#This Row],[unique_id]], "_", " ")))</f>
        <v>Template Ceiling Network Switch Plug Proxy</v>
      </c>
      <c r="G401" s="30" t="s">
        <v>1440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">
        <v>1069</v>
      </c>
      <c r="U401" s="30"/>
      <c r="V401" s="31"/>
      <c r="W401" s="31"/>
      <c r="X401" s="31"/>
      <c r="Y401" s="31"/>
      <c r="Z401" s="31"/>
      <c r="AA401" s="31"/>
      <c r="AB401" s="30"/>
      <c r="AC401" s="30"/>
      <c r="AG401" s="31"/>
      <c r="AH401" s="31"/>
      <c r="AT401" s="40"/>
      <c r="AU401" s="30" t="s">
        <v>134</v>
      </c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134</v>
      </c>
      <c r="E402" s="30" t="s">
        <v>1095</v>
      </c>
      <c r="F402" s="36" t="str">
        <f>IF(ISBLANK(Table2[[#This Row],[unique_id]]), "", PROPER(SUBSTITUTE(Table2[[#This Row],[unique_id]], "_", " ")))</f>
        <v>Ceiling Network Switch Plug</v>
      </c>
      <c r="G402" s="30" t="s">
        <v>1440</v>
      </c>
      <c r="H402" s="30" t="s">
        <v>526</v>
      </c>
      <c r="I402" s="30" t="s">
        <v>291</v>
      </c>
      <c r="M402" s="30" t="s">
        <v>257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tr">
        <f>Table2[[#This Row],[friendly_name]]</f>
        <v>Ceiling Network Devices</v>
      </c>
      <c r="T40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2" s="30"/>
      <c r="V402" s="31"/>
      <c r="W402" s="31"/>
      <c r="X402" s="31"/>
      <c r="Y402" s="31"/>
      <c r="Z402" s="31"/>
      <c r="AA402" s="42" t="s">
        <v>1108</v>
      </c>
      <c r="AB402" s="30"/>
      <c r="AC402" s="30"/>
      <c r="AE402" s="30" t="s">
        <v>253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homeassistant/switch/tasmota/ceiling_network_switch_plug/config</v>
      </c>
      <c r="AK40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2" s="30" t="str">
        <f>_xlfn.CONCAT("tasmota/device/",Table2[[#This Row],[unique_id]], "/cmnd/POWER")</f>
        <v>tasmota/device/ceiling_network_switch_plug/cmnd/POWER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970</v>
      </c>
      <c r="AS402" s="30">
        <v>1</v>
      </c>
      <c r="AT402" s="34" t="str">
        <f>HYPERLINK(_xlfn.CONCAT("http://", Table2[[#This Row],[connection_ip]], "/?"))</f>
        <v>http://10.0.4.105/?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K402" s="30" t="s">
        <v>1269</v>
      </c>
      <c r="BL402" s="41" t="s">
        <v>980</v>
      </c>
      <c r="BM402" s="30" t="s">
        <v>1321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3" spans="1:66" ht="16" hidden="1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1096</v>
      </c>
      <c r="F403" s="36" t="str">
        <f>IF(ISBLANK(Table2[[#This Row],[unique_id]]), "", PROPER(SUBSTITUTE(Table2[[#This Row],[unique_id]], "_", " ")))</f>
        <v>Ceiling Network Switch Plug Energy Power</v>
      </c>
      <c r="G403" s="30" t="s">
        <v>1440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31</v>
      </c>
      <c r="AC403" s="30" t="s">
        <v>327</v>
      </c>
      <c r="AD403" s="30" t="s">
        <v>898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homeassistant/sensor/tasmota/ceiling_network_switch_plug_energy_power/config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1104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27</v>
      </c>
      <c r="E404" s="30" t="s">
        <v>1097</v>
      </c>
      <c r="F404" s="36" t="str">
        <f>IF(ISBLANK(Table2[[#This Row],[unique_id]]), "", PROPER(SUBSTITUTE(Table2[[#This Row],[unique_id]], "_", " ")))</f>
        <v>Ceiling Network Switch Plug Energy Total</v>
      </c>
      <c r="G404" s="30" t="s">
        <v>1440</v>
      </c>
      <c r="H404" s="30" t="s">
        <v>526</v>
      </c>
      <c r="I404" s="30" t="s">
        <v>291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 t="s">
        <v>76</v>
      </c>
      <c r="AC404" s="30" t="s">
        <v>328</v>
      </c>
      <c r="AD404" s="30" t="s">
        <v>899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homeassistant/sensor/tasmota/ceiling_network_switch_plug_energy_total/config</v>
      </c>
      <c r="AK40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1105</v>
      </c>
      <c r="AS404" s="30">
        <v>1</v>
      </c>
      <c r="AT404" s="34"/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1110</v>
      </c>
      <c r="BF404" s="30" t="s">
        <v>887</v>
      </c>
      <c r="BG404" s="30" t="s">
        <v>403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hidden="1" customHeight="1" x14ac:dyDescent="0.2">
      <c r="A405" s="30">
        <v>2623</v>
      </c>
      <c r="B405" s="55" t="s">
        <v>579</v>
      </c>
      <c r="C405" s="55" t="s">
        <v>808</v>
      </c>
      <c r="D405" s="55" t="s">
        <v>148</v>
      </c>
      <c r="E405" s="56" t="s">
        <v>1427</v>
      </c>
      <c r="F405" s="57" t="str">
        <f>IF(ISBLANK(Table2[[#This Row],[unique_id]]), "", PROPER(SUBSTITUTE(Table2[[#This Row],[unique_id]], "_", " ")))</f>
        <v>Broken Template Rack Internet Modem Plug Proxy</v>
      </c>
      <c r="G405" s="55" t="s">
        <v>221</v>
      </c>
      <c r="H405" s="55" t="s">
        <v>526</v>
      </c>
      <c r="I405" s="55" t="s">
        <v>291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">
        <v>1067</v>
      </c>
      <c r="V405" s="58"/>
      <c r="W405" s="58"/>
      <c r="X405" s="58"/>
      <c r="Y405" s="58"/>
      <c r="Z405" s="58"/>
      <c r="AA405" s="58"/>
      <c r="AG405" s="58"/>
      <c r="AH405" s="58"/>
      <c r="AT405" s="59"/>
      <c r="AU405" s="55" t="s">
        <v>134</v>
      </c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s="55" customFormat="1" ht="16" customHeight="1" x14ac:dyDescent="0.2">
      <c r="A406" s="30">
        <v>2624</v>
      </c>
      <c r="B406" s="55" t="s">
        <v>579</v>
      </c>
      <c r="C406" s="55" t="s">
        <v>233</v>
      </c>
      <c r="D406" s="55" t="s">
        <v>134</v>
      </c>
      <c r="E406" s="55" t="s">
        <v>1428</v>
      </c>
      <c r="F406" s="57" t="str">
        <f>IF(ISBLANK(Table2[[#This Row],[unique_id]]), "", PROPER(SUBSTITUTE(Table2[[#This Row],[unique_id]], "_", " ")))</f>
        <v>Broken Rack Internet Modem Plug</v>
      </c>
      <c r="G406" s="55" t="s">
        <v>221</v>
      </c>
      <c r="H406" s="55" t="s">
        <v>526</v>
      </c>
      <c r="I406" s="55" t="s">
        <v>291</v>
      </c>
      <c r="M406" s="55" t="s">
        <v>257</v>
      </c>
      <c r="O406" s="58" t="s">
        <v>788</v>
      </c>
      <c r="R406" s="55" t="s">
        <v>802</v>
      </c>
      <c r="S406" s="55" t="str">
        <f>Table2[[#This Row],[friendly_name]]</f>
        <v>Internet Modem</v>
      </c>
      <c r="T406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6" s="58"/>
      <c r="W406" s="58"/>
      <c r="X406" s="58"/>
      <c r="Y406" s="58"/>
      <c r="Z406" s="58"/>
      <c r="AA406" s="58"/>
      <c r="AE406" s="55" t="s">
        <v>254</v>
      </c>
      <c r="AG406" s="58"/>
      <c r="AH406" s="58"/>
      <c r="AT406" s="59"/>
      <c r="AV4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55" t="str">
        <f>IF(ISBLANK(Table2[[#This Row],[device_model]]), "", Table2[[#This Row],[device_suggested_area]])</f>
        <v>Rack</v>
      </c>
      <c r="BB406" s="55" t="s">
        <v>1024</v>
      </c>
      <c r="BC406" s="60" t="s">
        <v>360</v>
      </c>
      <c r="BD406" s="55" t="s">
        <v>233</v>
      </c>
      <c r="BF406" s="55" t="s">
        <v>361</v>
      </c>
      <c r="BG406" s="55" t="s">
        <v>28</v>
      </c>
      <c r="BJ406" s="55" t="s">
        <v>977</v>
      </c>
      <c r="BK406" s="55" t="s">
        <v>1269</v>
      </c>
      <c r="BL406" s="55" t="s">
        <v>354</v>
      </c>
      <c r="BM406" s="55" t="s">
        <v>1322</v>
      </c>
      <c r="BN4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7" spans="1:66" ht="16" hidden="1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814</v>
      </c>
      <c r="F407" s="36" t="str">
        <f>IF(ISBLANK(Table2[[#This Row],[unique_id]]), "", PROPER(SUBSTITUTE(Table2[[#This Row],[unique_id]], "_", " ")))</f>
        <v>Garden Repeater Linkquality</v>
      </c>
      <c r="G407" s="30" t="s">
        <v>699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Garden</v>
      </c>
      <c r="BA407" s="30" t="str">
        <f>IF(ISBLANK(Table2[[#This Row],[device_model]]), "", Table2[[#This Row],[device_suggested_area]])</f>
        <v>Garden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576</v>
      </c>
      <c r="BL407" s="30" t="s">
        <v>698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8" spans="1:66" ht="16" hidden="1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815</v>
      </c>
      <c r="F408" s="36" t="str">
        <f>IF(ISBLANK(Table2[[#This Row],[unique_id]]), "", PROPER(SUBSTITUTE(Table2[[#This Row],[unique_id]], "_", " ")))</f>
        <v>Landing Repeater Linkquality</v>
      </c>
      <c r="G408" s="30" t="s">
        <v>701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Landing</v>
      </c>
      <c r="BA408" s="30" t="str">
        <f>IF(ISBLANK(Table2[[#This Row],[device_model]]), "", Table2[[#This Row],[device_suggested_area]])</f>
        <v>Landing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559</v>
      </c>
      <c r="BL408" s="30" t="s">
        <v>703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816</v>
      </c>
      <c r="F409" s="36" t="str">
        <f>IF(ISBLANK(Table2[[#This Row],[unique_id]]), "", PROPER(SUBSTITUTE(Table2[[#This Row],[unique_id]], "_", " ")))</f>
        <v>Driveway Repeater Linkquality</v>
      </c>
      <c r="G409" s="30" t="s">
        <v>700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Driveway</v>
      </c>
      <c r="BA409" s="30" t="str">
        <f>IF(ISBLANK(Table2[[#This Row],[device_model]]), "", Table2[[#This Row],[device_suggested_area]])</f>
        <v>Driveway</v>
      </c>
      <c r="BB409" s="30" t="s">
        <v>989</v>
      </c>
      <c r="BC409" s="39" t="s">
        <v>697</v>
      </c>
      <c r="BD409" s="30" t="s">
        <v>450</v>
      </c>
      <c r="BF409" s="30" t="s">
        <v>696</v>
      </c>
      <c r="BG409" s="30" t="s">
        <v>702</v>
      </c>
      <c r="BL409" s="30" t="s">
        <v>704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0" t="s">
        <v>886</v>
      </c>
      <c r="F410" s="36" t="str">
        <f>IF(ISBLANK(Table2[[#This Row],[unique_id]]), "", PROPER(SUBSTITUTE(Table2[[#This Row],[unique_id]], "_", " ")))</f>
        <v>Lighting Reset Adaptive Lighting All</v>
      </c>
      <c r="G410" s="30" t="s">
        <v>790</v>
      </c>
      <c r="H410" s="30" t="s">
        <v>544</v>
      </c>
      <c r="I410" s="30" t="s">
        <v>291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165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531</v>
      </c>
      <c r="F411" s="36" t="str">
        <f>IF(ISBLANK(Table2[[#This Row],[unique_id]]), "", PROPER(SUBSTITUTE(Table2[[#This Row],[unique_id]], "_", " ")))</f>
        <v>Lighting Reset Adaptive Lighting Ada Lamp</v>
      </c>
      <c r="G411" s="36" t="s">
        <v>195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32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130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525</v>
      </c>
      <c r="F412" s="36" t="str">
        <f>IF(ISBLANK(Table2[[#This Row],[unique_id]]), "", PROPER(SUBSTITUTE(Table2[[#This Row],[unique_id]], "_", " ")))</f>
        <v>Lighting Reset Adaptive Lighting Edwin Lamp</v>
      </c>
      <c r="G412" s="36" t="s">
        <v>205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532</v>
      </c>
      <c r="F413" s="36" t="str">
        <f>IF(ISBLANK(Table2[[#This Row],[unique_id]]), "", PROPER(SUBSTITUTE(Table2[[#This Row],[unique_id]], "_", " ")))</f>
        <v>Lighting Reset Adaptive Lighting Edwin Night Light</v>
      </c>
      <c r="G413" s="36" t="s">
        <v>408</v>
      </c>
      <c r="H413" s="30" t="s">
        <v>544</v>
      </c>
      <c r="I413" s="30" t="s">
        <v>291</v>
      </c>
      <c r="J413" s="30" t="s">
        <v>543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127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533</v>
      </c>
      <c r="F414" s="36" t="str">
        <f>IF(ISBLANK(Table2[[#This Row],[unique_id]]), "", PROPER(SUBSTITUTE(Table2[[#This Row],[unique_id]], "_", " ")))</f>
        <v>Lighting Reset Adaptive Lighting Hallway Main</v>
      </c>
      <c r="G414" s="36" t="s">
        <v>200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870</v>
      </c>
      <c r="F415" s="36" t="str">
        <f>IF(ISBLANK(Table2[[#This Row],[unique_id]]), "", PROPER(SUBSTITUTE(Table2[[#This Row],[unique_id]], "_", " ")))</f>
        <v>Lighting Reset Adaptive Lighting Hallway Sconces</v>
      </c>
      <c r="G415" s="36" t="s">
        <v>855</v>
      </c>
      <c r="H415" s="30" t="s">
        <v>544</v>
      </c>
      <c r="I415" s="30" t="s">
        <v>291</v>
      </c>
      <c r="J415" s="30" t="s">
        <v>871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404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Dining Main</v>
      </c>
      <c r="G416" s="36" t="s">
        <v>138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193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535</v>
      </c>
      <c r="F417" s="36" t="str">
        <f>IF(ISBLANK(Table2[[#This Row],[unique_id]]), "", PROPER(SUBSTITUTE(Table2[[#This Row],[unique_id]], "_", " ")))</f>
        <v>Lighting Reset Adaptive Lighting Lounge Main</v>
      </c>
      <c r="G417" s="36" t="s">
        <v>207</v>
      </c>
      <c r="H417" s="30" t="s">
        <v>544</v>
      </c>
      <c r="I417" s="30" t="s">
        <v>291</v>
      </c>
      <c r="J417" s="30" t="s">
        <v>551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586</v>
      </c>
      <c r="F418" s="36" t="str">
        <f>IF(ISBLANK(Table2[[#This Row],[unique_id]]), "", PROPER(SUBSTITUTE(Table2[[#This Row],[unique_id]], "_", " ")))</f>
        <v>Lighting Reset Adaptive Lighting Lounge Lamp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1520</v>
      </c>
      <c r="F419" s="36" t="str">
        <f>IF(ISBLANK(Table2[[#This Row],[unique_id]]), "", PROPER(SUBSTITUTE(Table2[[#This Row],[unique_id]], "_", " ")))</f>
        <v>Lighting Reset Adaptive Lighting Lounge Reading</v>
      </c>
      <c r="G419" s="36" t="s">
        <v>556</v>
      </c>
      <c r="H419" s="30" t="s">
        <v>544</v>
      </c>
      <c r="I419" s="30" t="s">
        <v>291</v>
      </c>
      <c r="J419" s="30" t="s">
        <v>530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165</v>
      </c>
      <c r="BI419" s="30" t="s">
        <v>687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536</v>
      </c>
      <c r="F420" s="36" t="str">
        <f>IF(ISBLANK(Table2[[#This Row],[unique_id]]), "", PROPER(SUBSTITUTE(Table2[[#This Row],[unique_id]], "_", " ")))</f>
        <v>Lighting Reset Adaptive Lighting Parents Main</v>
      </c>
      <c r="G420" s="36" t="s">
        <v>196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872</v>
      </c>
      <c r="F421" s="36" t="str">
        <f>IF(ISBLANK(Table2[[#This Row],[unique_id]]), "", PROPER(SUBSTITUTE(Table2[[#This Row],[unique_id]], "_", " ")))</f>
        <v>Lighting Reset Adaptive Lighting Parents Jane Bedside</v>
      </c>
      <c r="G421" s="36" t="s">
        <v>864</v>
      </c>
      <c r="H421" s="30" t="s">
        <v>544</v>
      </c>
      <c r="I421" s="30" t="s">
        <v>291</v>
      </c>
      <c r="J421" s="30" t="s">
        <v>874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873</v>
      </c>
      <c r="F422" s="36" t="str">
        <f>IF(ISBLANK(Table2[[#This Row],[unique_id]]), "", PROPER(SUBSTITUTE(Table2[[#This Row],[unique_id]], "_", " ")))</f>
        <v>Lighting Reset Adaptive Lighting Parents Graham Bedside</v>
      </c>
      <c r="G422" s="36" t="s">
        <v>865</v>
      </c>
      <c r="H422" s="30" t="s">
        <v>544</v>
      </c>
      <c r="I422" s="30" t="s">
        <v>291</v>
      </c>
      <c r="J422" s="30" t="s">
        <v>875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876</v>
      </c>
      <c r="F423" s="36" t="str">
        <f>IF(ISBLANK(Table2[[#This Row],[unique_id]]), "", PROPER(SUBSTITUTE(Table2[[#This Row],[unique_id]], "_", " ")))</f>
        <v>Lighting Reset Adaptive Lighting Study Lamp</v>
      </c>
      <c r="G423" s="36" t="s">
        <v>742</v>
      </c>
      <c r="H423" s="30" t="s">
        <v>544</v>
      </c>
      <c r="I423" s="30" t="s">
        <v>291</v>
      </c>
      <c r="J423" s="30" t="s">
        <v>530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537</v>
      </c>
      <c r="F424" s="36" t="str">
        <f>IF(ISBLANK(Table2[[#This Row],[unique_id]]), "", PROPER(SUBSTITUTE(Table2[[#This Row],[unique_id]], "_", " ")))</f>
        <v>Lighting Reset Adaptive Lighting Kitchen Main</v>
      </c>
      <c r="G424" s="36" t="s">
        <v>202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206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538</v>
      </c>
      <c r="F425" s="36" t="str">
        <f>IF(ISBLANK(Table2[[#This Row],[unique_id]]), "", PROPER(SUBSTITUTE(Table2[[#This Row],[unique_id]], "_", " ")))</f>
        <v>Lighting Reset Adaptive Lighting Laundry Main</v>
      </c>
      <c r="G425" s="36" t="s">
        <v>204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213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539</v>
      </c>
      <c r="F426" s="36" t="str">
        <f>IF(ISBLANK(Table2[[#This Row],[unique_id]]), "", PROPER(SUBSTITUTE(Table2[[#This Row],[unique_id]], "_", " ")))</f>
        <v>Lighting Reset Adaptive Lighting Pantry Main</v>
      </c>
      <c r="G426" s="36" t="s">
        <v>203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211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552</v>
      </c>
      <c r="F427" s="36" t="str">
        <f>IF(ISBLANK(Table2[[#This Row],[unique_id]]), "", PROPER(SUBSTITUTE(Table2[[#This Row],[unique_id]], "_", " ")))</f>
        <v>Lighting Reset Adaptive Lighting Office Main</v>
      </c>
      <c r="G427" s="36" t="s">
        <v>199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212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540</v>
      </c>
      <c r="F428" s="36" t="str">
        <f>IF(ISBLANK(Table2[[#This Row],[unique_id]]), "", PROPER(SUBSTITUTE(Table2[[#This Row],[unique_id]], "_", " ")))</f>
        <v>Lighting Reset Adaptive Lighting Bathroom Main</v>
      </c>
      <c r="G428" s="36" t="s">
        <v>198</v>
      </c>
      <c r="H428" s="30" t="s">
        <v>544</v>
      </c>
      <c r="I428" s="30" t="s">
        <v>291</v>
      </c>
      <c r="J428" s="30" t="s">
        <v>551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877</v>
      </c>
      <c r="F429" s="36" t="str">
        <f>IF(ISBLANK(Table2[[#This Row],[unique_id]]), "", PROPER(SUBSTITUTE(Table2[[#This Row],[unique_id]], "_", " ")))</f>
        <v>Lighting Reset Adaptive Lighting Bathroom Sconces</v>
      </c>
      <c r="G429" s="36" t="s">
        <v>861</v>
      </c>
      <c r="H429" s="30" t="s">
        <v>544</v>
      </c>
      <c r="I429" s="30" t="s">
        <v>291</v>
      </c>
      <c r="J429" s="30" t="s">
        <v>871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358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541</v>
      </c>
      <c r="F430" s="36" t="str">
        <f>IF(ISBLANK(Table2[[#This Row],[unique_id]]), "", PROPER(SUBSTITUTE(Table2[[#This Row],[unique_id]], "_", " ")))</f>
        <v>Lighting Reset Adaptive Lighting Ensuite Main</v>
      </c>
      <c r="G430" s="36" t="s">
        <v>197</v>
      </c>
      <c r="H430" s="30" t="s">
        <v>544</v>
      </c>
      <c r="I430" s="30" t="s">
        <v>291</v>
      </c>
      <c r="J430" s="30" t="s">
        <v>551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878</v>
      </c>
      <c r="F431" s="36" t="str">
        <f>IF(ISBLANK(Table2[[#This Row],[unique_id]]), "", PROPER(SUBSTITUTE(Table2[[#This Row],[unique_id]], "_", " ")))</f>
        <v>Lighting Reset Adaptive Lighting Ensuite Sconces</v>
      </c>
      <c r="G431" s="36" t="s">
        <v>844</v>
      </c>
      <c r="H431" s="30" t="s">
        <v>544</v>
      </c>
      <c r="I431" s="30" t="s">
        <v>291</v>
      </c>
      <c r="J431" s="30" t="s">
        <v>871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394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542</v>
      </c>
      <c r="F432" s="36" t="str">
        <f>IF(ISBLANK(Table2[[#This Row],[unique_id]]), "", PROPER(SUBSTITUTE(Table2[[#This Row],[unique_id]], "_", " ")))</f>
        <v>Lighting Reset Adaptive Lighting Wardrobe Main</v>
      </c>
      <c r="G432" s="36" t="s">
        <v>201</v>
      </c>
      <c r="H432" s="30" t="s">
        <v>544</v>
      </c>
      <c r="I432" s="30" t="s">
        <v>291</v>
      </c>
      <c r="J432" s="30" t="s">
        <v>551</v>
      </c>
      <c r="M432" s="30" t="s">
        <v>257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495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2670</v>
      </c>
      <c r="B433" s="30" t="s">
        <v>26</v>
      </c>
      <c r="C433" s="30" t="s">
        <v>235</v>
      </c>
      <c r="D433" s="30" t="s">
        <v>145</v>
      </c>
      <c r="E433" s="30" t="s">
        <v>146</v>
      </c>
      <c r="F433" s="36" t="str">
        <f>IF(ISBLANK(Table2[[#This Row],[unique_id]]), "", PROPER(SUBSTITUTE(Table2[[#This Row],[unique_id]], "_", " ")))</f>
        <v>Ada Home</v>
      </c>
      <c r="G433" s="30" t="s">
        <v>185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Ada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Ada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130</v>
      </c>
      <c r="BK433" s="30" t="s">
        <v>1268</v>
      </c>
      <c r="BL433" s="41" t="s">
        <v>420</v>
      </c>
      <c r="BM433" s="39" t="s">
        <v>1270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4" spans="1:66" ht="16" hidden="1" customHeight="1" x14ac:dyDescent="0.2">
      <c r="A434" s="30">
        <v>2671</v>
      </c>
      <c r="B434" s="30" t="s">
        <v>26</v>
      </c>
      <c r="C434" s="30" t="s">
        <v>235</v>
      </c>
      <c r="D434" s="30" t="s">
        <v>145</v>
      </c>
      <c r="E434" s="30" t="s">
        <v>258</v>
      </c>
      <c r="F434" s="36" t="str">
        <f>IF(ISBLANK(Table2[[#This Row],[unique_id]]), "", PROPER(SUBSTITUTE(Table2[[#This Row],[unique_id]], "_", " ")))</f>
        <v>Edwin Home</v>
      </c>
      <c r="G434" s="30" t="s">
        <v>259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Edwin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Edwin</v>
      </c>
      <c r="BB434" s="30" t="s">
        <v>165</v>
      </c>
      <c r="BC434" s="30" t="s">
        <v>391</v>
      </c>
      <c r="BD434" s="30" t="s">
        <v>235</v>
      </c>
      <c r="BF434" s="30" t="s">
        <v>1043</v>
      </c>
      <c r="BG434" s="30" t="s">
        <v>127</v>
      </c>
      <c r="BK434" s="30" t="s">
        <v>1268</v>
      </c>
      <c r="BL434" s="41" t="s">
        <v>419</v>
      </c>
      <c r="BM434" s="39" t="s">
        <v>1271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5" spans="1:66" ht="16" hidden="1" customHeight="1" x14ac:dyDescent="0.2">
      <c r="A435" s="30">
        <v>2672</v>
      </c>
      <c r="B435" s="30" t="s">
        <v>26</v>
      </c>
      <c r="C435" s="30" t="s">
        <v>235</v>
      </c>
      <c r="D435" s="30" t="s">
        <v>145</v>
      </c>
      <c r="E435" s="30" t="s">
        <v>266</v>
      </c>
      <c r="F435" s="36" t="str">
        <f>IF(ISBLANK(Table2[[#This Row],[unique_id]]), "", PROPER(SUBSTITUTE(Table2[[#This Row],[unique_id]], "_", " ")))</f>
        <v>Parents Home</v>
      </c>
      <c r="G435" s="30" t="s">
        <v>260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Parents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Parents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192</v>
      </c>
      <c r="BK435" s="30" t="s">
        <v>1268</v>
      </c>
      <c r="BL435" s="41" t="s">
        <v>637</v>
      </c>
      <c r="BM435" s="39" t="s">
        <v>1272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6" spans="1:66" ht="16" hidden="1" customHeight="1" x14ac:dyDescent="0.2">
      <c r="A436" s="30">
        <v>2673</v>
      </c>
      <c r="B436" s="30" t="s">
        <v>26</v>
      </c>
      <c r="C436" s="30" t="s">
        <v>235</v>
      </c>
      <c r="D436" s="30" t="s">
        <v>145</v>
      </c>
      <c r="E436" s="30" t="s">
        <v>262</v>
      </c>
      <c r="F436" s="36" t="str">
        <f>IF(ISBLANK(Table2[[#This Row],[unique_id]]), "", PROPER(SUBSTITUTE(Table2[[#This Row],[unique_id]], "_", " ")))</f>
        <v>Kitchen Home</v>
      </c>
      <c r="G436" s="30" t="s">
        <v>261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Kitchen Home Devices</v>
      </c>
      <c r="T436" s="37" t="s">
        <v>770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165</v>
      </c>
      <c r="BC436" s="30" t="s">
        <v>1037</v>
      </c>
      <c r="BD436" s="30" t="s">
        <v>235</v>
      </c>
      <c r="BF436" s="30" t="s">
        <v>1044</v>
      </c>
      <c r="BG436" s="30" t="s">
        <v>206</v>
      </c>
      <c r="BK436" s="30" t="s">
        <v>1268</v>
      </c>
      <c r="BL436" s="41" t="s">
        <v>730</v>
      </c>
      <c r="BM436" s="39" t="s">
        <v>1273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7" spans="1:66" ht="16" hidden="1" customHeight="1" x14ac:dyDescent="0.2">
      <c r="A437" s="30">
        <v>2674</v>
      </c>
      <c r="B437" s="30" t="s">
        <v>26</v>
      </c>
      <c r="C437" s="30" t="s">
        <v>235</v>
      </c>
      <c r="D437" s="30" t="s">
        <v>145</v>
      </c>
      <c r="E437" s="30" t="s">
        <v>608</v>
      </c>
      <c r="F437" s="36" t="str">
        <f>IF(ISBLANK(Table2[[#This Row],[unique_id]]), "", PROPER(SUBSTITUTE(Table2[[#This Row],[unique_id]], "_", " ")))</f>
        <v>Office Home</v>
      </c>
      <c r="G437" s="30" t="s">
        <v>609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Office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212</v>
      </c>
      <c r="BK437" s="30" t="s">
        <v>1268</v>
      </c>
      <c r="BL437" s="41" t="s">
        <v>417</v>
      </c>
      <c r="BM437" s="39" t="s">
        <v>1274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8" spans="1:66" ht="16" hidden="1" customHeight="1" x14ac:dyDescent="0.2">
      <c r="A438" s="30">
        <v>2675</v>
      </c>
      <c r="B438" s="30" t="s">
        <v>26</v>
      </c>
      <c r="C438" s="30" t="s">
        <v>235</v>
      </c>
      <c r="D438" s="30" t="s">
        <v>145</v>
      </c>
      <c r="E438" s="30" t="s">
        <v>640</v>
      </c>
      <c r="F438" s="36" t="str">
        <f>IF(ISBLANK(Table2[[#This Row],[unique_id]]), "", PROPER(SUBSTITUTE(Table2[[#This Row],[unique_id]], "_", " ")))</f>
        <v>Lounge Home</v>
      </c>
      <c r="G438" s="30" t="s">
        <v>641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Lounge Home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165</v>
      </c>
      <c r="BC438" s="30" t="s">
        <v>391</v>
      </c>
      <c r="BD438" s="30" t="s">
        <v>235</v>
      </c>
      <c r="BF438" s="30" t="s">
        <v>1043</v>
      </c>
      <c r="BG438" s="30" t="s">
        <v>194</v>
      </c>
      <c r="BK438" s="30" t="s">
        <v>1268</v>
      </c>
      <c r="BL438" s="41" t="s">
        <v>418</v>
      </c>
      <c r="BM438" s="39" t="s">
        <v>1275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9" spans="1:66" ht="16" hidden="1" customHeight="1" x14ac:dyDescent="0.2">
      <c r="A439" s="30">
        <v>2676</v>
      </c>
      <c r="B439" s="30" t="s">
        <v>26</v>
      </c>
      <c r="C439" s="30" t="s">
        <v>235</v>
      </c>
      <c r="D439" s="30" t="s">
        <v>145</v>
      </c>
      <c r="E439" s="30" t="s">
        <v>820</v>
      </c>
      <c r="F439" s="36" t="str">
        <f>IF(ISBLANK(Table2[[#This Row],[unique_id]]), "", PROPER(SUBSTITUTE(Table2[[#This Row],[unique_id]], "_", " ")))</f>
        <v>Ada Tablet</v>
      </c>
      <c r="G439" s="30" t="s">
        <v>821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821</v>
      </c>
      <c r="BC439" s="30" t="s">
        <v>1045</v>
      </c>
      <c r="BD439" s="30" t="s">
        <v>235</v>
      </c>
      <c r="BF439" s="30" t="s">
        <v>823</v>
      </c>
      <c r="BG439" s="30" t="s">
        <v>194</v>
      </c>
      <c r="BK439" s="30" t="s">
        <v>1268</v>
      </c>
      <c r="BL439" s="41" t="s">
        <v>1247</v>
      </c>
      <c r="BM439" s="39" t="s">
        <v>1276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0" spans="1:66" ht="16" hidden="1" customHeight="1" x14ac:dyDescent="0.2">
      <c r="A440" s="30">
        <v>2677</v>
      </c>
      <c r="B440" s="30" t="s">
        <v>26</v>
      </c>
      <c r="C440" s="30" t="s">
        <v>235</v>
      </c>
      <c r="D440" s="30" t="s">
        <v>145</v>
      </c>
      <c r="E440" s="30" t="s">
        <v>824</v>
      </c>
      <c r="F440" s="36" t="str">
        <f>IF(ISBLANK(Table2[[#This Row],[unique_id]]), "", PROPER(SUBSTITUTE(Table2[[#This Row],[unique_id]], "_", " ")))</f>
        <v>Edwin Tablet</v>
      </c>
      <c r="G440" s="30" t="s">
        <v>825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825</v>
      </c>
      <c r="BC440" s="30" t="s">
        <v>1045</v>
      </c>
      <c r="BD440" s="30" t="s">
        <v>235</v>
      </c>
      <c r="BF440" s="30" t="s">
        <v>823</v>
      </c>
      <c r="BG440" s="30" t="s">
        <v>206</v>
      </c>
      <c r="BK440" s="30" t="s">
        <v>1268</v>
      </c>
      <c r="BL440" s="41" t="s">
        <v>1248</v>
      </c>
      <c r="BM440" s="39" t="s">
        <v>1279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1" spans="1:66" ht="16" hidden="1" customHeight="1" x14ac:dyDescent="0.2">
      <c r="A441" s="30">
        <v>2678</v>
      </c>
      <c r="B441" s="30" t="s">
        <v>26</v>
      </c>
      <c r="C441" s="30" t="s">
        <v>580</v>
      </c>
      <c r="D441" s="30" t="s">
        <v>145</v>
      </c>
      <c r="E441" s="30" t="s">
        <v>605</v>
      </c>
      <c r="F441" s="36" t="str">
        <f>IF(ISBLANK(Table2[[#This Row],[unique_id]]), "", PROPER(SUBSTITUTE(Table2[[#This Row],[unique_id]], "_", " ")))</f>
        <v>Lg Webos Smart Tv</v>
      </c>
      <c r="G441" s="30" t="s">
        <v>180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981</v>
      </c>
      <c r="BC441" s="30" t="s">
        <v>583</v>
      </c>
      <c r="BD441" s="30" t="s">
        <v>580</v>
      </c>
      <c r="BF441" s="30" t="s">
        <v>582</v>
      </c>
      <c r="BG441" s="30" t="s">
        <v>194</v>
      </c>
      <c r="BK441" s="30" t="s">
        <v>1268</v>
      </c>
      <c r="BL441" s="41" t="s">
        <v>581</v>
      </c>
      <c r="BM441" s="39" t="s">
        <v>1277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2" spans="1:66" ht="16" hidden="1" customHeight="1" x14ac:dyDescent="0.2">
      <c r="A442" s="30">
        <v>2679</v>
      </c>
      <c r="B442" s="30" t="s">
        <v>579</v>
      </c>
      <c r="C442" s="30" t="s">
        <v>264</v>
      </c>
      <c r="D442" s="30" t="s">
        <v>145</v>
      </c>
      <c r="E442" s="30" t="s">
        <v>265</v>
      </c>
      <c r="F442" s="36" t="str">
        <f>IF(ISBLANK(Table2[[#This Row],[unique_id]]), "", PROPER(SUBSTITUTE(Table2[[#This Row],[unique_id]], "_", " ")))</f>
        <v>Parents Tv</v>
      </c>
      <c r="G442" s="30" t="s">
        <v>263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981</v>
      </c>
      <c r="BC442" s="30" t="s">
        <v>1038</v>
      </c>
      <c r="BD442" s="30" t="s">
        <v>264</v>
      </c>
      <c r="BF442" s="30" t="s">
        <v>397</v>
      </c>
      <c r="BG442" s="30" t="s">
        <v>192</v>
      </c>
      <c r="BK442" s="30" t="s">
        <v>1268</v>
      </c>
      <c r="BL442" s="41" t="s">
        <v>399</v>
      </c>
      <c r="BM442" s="39" t="s">
        <v>1278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3" spans="1:66" ht="16" hidden="1" customHeight="1" x14ac:dyDescent="0.2">
      <c r="A443" s="30">
        <v>2680</v>
      </c>
      <c r="B443" s="30" t="s">
        <v>579</v>
      </c>
      <c r="C443" s="30" t="s">
        <v>235</v>
      </c>
      <c r="D443" s="30" t="s">
        <v>145</v>
      </c>
      <c r="E443" s="30" t="s">
        <v>685</v>
      </c>
      <c r="F443" s="36" t="str">
        <f>IF(ISBLANK(Table2[[#This Row],[unique_id]]), "", PROPER(SUBSTITUTE(Table2[[#This Row],[unique_id]], "_", " ")))</f>
        <v>Office Tv</v>
      </c>
      <c r="G443" s="30" t="s">
        <v>686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Office</v>
      </c>
      <c r="BB443" s="30" t="s">
        <v>981</v>
      </c>
      <c r="BC443" s="30" t="s">
        <v>392</v>
      </c>
      <c r="BD443" s="30" t="s">
        <v>235</v>
      </c>
      <c r="BF443" s="30" t="s">
        <v>393</v>
      </c>
      <c r="BG443" s="30" t="s">
        <v>212</v>
      </c>
      <c r="BK443" s="30" t="s">
        <v>1268</v>
      </c>
      <c r="BL443" s="41" t="s">
        <v>421</v>
      </c>
      <c r="BM443" s="39" t="s">
        <v>1280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4" spans="1:66" ht="16" hidden="1" customHeight="1" x14ac:dyDescent="0.2">
      <c r="A444" s="30">
        <v>2681</v>
      </c>
      <c r="B444" s="30" t="s">
        <v>26</v>
      </c>
      <c r="C444" s="30" t="s">
        <v>440</v>
      </c>
      <c r="D444" s="30" t="s">
        <v>333</v>
      </c>
      <c r="E444" s="30" t="s">
        <v>332</v>
      </c>
      <c r="F444" s="36" t="str">
        <f>IF(ISBLANK(Table2[[#This Row],[unique_id]]), "", PROPER(SUBSTITUTE(Table2[[#This Row],[unique_id]], "_", " ")))</f>
        <v>Column Break</v>
      </c>
      <c r="G444" s="30" t="s">
        <v>329</v>
      </c>
      <c r="H444" s="30" t="s">
        <v>745</v>
      </c>
      <c r="I444" s="30" t="s">
        <v>144</v>
      </c>
      <c r="M444" s="30" t="s">
        <v>330</v>
      </c>
      <c r="N444" s="30" t="s">
        <v>331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hidden="1" customHeight="1" x14ac:dyDescent="0.2">
      <c r="A445" s="30">
        <v>2682</v>
      </c>
      <c r="B445" s="30" t="s">
        <v>26</v>
      </c>
      <c r="C445" s="30" t="s">
        <v>182</v>
      </c>
      <c r="D445" s="30" t="s">
        <v>145</v>
      </c>
      <c r="E445" s="30" t="s">
        <v>734</v>
      </c>
      <c r="F445" s="36" t="str">
        <f>IF(ISBLANK(Table2[[#This Row],[unique_id]]), "", PROPER(SUBSTITUTE(Table2[[#This Row],[unique_id]], "_", " ")))</f>
        <v>Lounge Arc</v>
      </c>
      <c r="G445" s="30" t="s">
        <v>737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 t="s">
        <v>788</v>
      </c>
      <c r="P445" s="30"/>
      <c r="R445" s="41"/>
      <c r="T445" s="37" t="str">
        <f>_xlfn.CONCAT("name: ", Table2[[#This Row],[friendly_name]])</f>
        <v>name: Lounge Arc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Lounge</v>
      </c>
      <c r="BB445" s="30" t="s">
        <v>584</v>
      </c>
      <c r="BC445" s="30" t="s">
        <v>1041</v>
      </c>
      <c r="BD445" s="30" t="s">
        <v>182</v>
      </c>
      <c r="BF445" s="30">
        <v>15.4</v>
      </c>
      <c r="BG445" s="30" t="s">
        <v>194</v>
      </c>
      <c r="BK445" s="30" t="s">
        <v>1268</v>
      </c>
      <c r="BL445" s="30" t="s">
        <v>585</v>
      </c>
      <c r="BM445" s="39" t="s">
        <v>1281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6" spans="1:66" ht="16" hidden="1" customHeight="1" x14ac:dyDescent="0.2">
      <c r="A446" s="30">
        <v>2683</v>
      </c>
      <c r="B446" s="30" t="s">
        <v>579</v>
      </c>
      <c r="C446" s="30" t="s">
        <v>808</v>
      </c>
      <c r="D446" s="30" t="s">
        <v>148</v>
      </c>
      <c r="E446" s="30" t="s">
        <v>810</v>
      </c>
      <c r="F446" s="36" t="str">
        <f>IF(ISBLANK(Table2[[#This Row],[unique_id]]), "", PROPER(SUBSTITUTE(Table2[[#This Row],[unique_id]], "_", " ")))</f>
        <v>Template Kitchen Move Proxy</v>
      </c>
      <c r="G446" s="30" t="s">
        <v>738</v>
      </c>
      <c r="H446" s="30" t="s">
        <v>745</v>
      </c>
      <c r="I446" s="30" t="s">
        <v>144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 t="s">
        <v>813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145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2684</v>
      </c>
      <c r="B447" s="30" t="s">
        <v>26</v>
      </c>
      <c r="C447" s="30" t="s">
        <v>182</v>
      </c>
      <c r="D447" s="30" t="s">
        <v>145</v>
      </c>
      <c r="E447" s="30" t="s">
        <v>733</v>
      </c>
      <c r="F447" s="36" t="str">
        <f>IF(ISBLANK(Table2[[#This Row],[unique_id]]), "", PROPER(SUBSTITUTE(Table2[[#This Row],[unique_id]], "_", " ")))</f>
        <v>Kitchen Move</v>
      </c>
      <c r="G447" s="30" t="s">
        <v>738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365</v>
      </c>
      <c r="BC447" s="30" t="s">
        <v>1039</v>
      </c>
      <c r="BD447" s="30" t="s">
        <v>182</v>
      </c>
      <c r="BF447" s="30">
        <v>15.4</v>
      </c>
      <c r="BG447" s="30" t="s">
        <v>206</v>
      </c>
      <c r="BK447" s="30" t="s">
        <v>1268</v>
      </c>
      <c r="BL447" s="30" t="s">
        <v>368</v>
      </c>
      <c r="BM447" s="39" t="s">
        <v>1282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8" spans="1:66" ht="16" hidden="1" customHeight="1" x14ac:dyDescent="0.2">
      <c r="A448" s="30">
        <v>2685</v>
      </c>
      <c r="B448" s="30" t="s">
        <v>26</v>
      </c>
      <c r="C448" s="30" t="s">
        <v>182</v>
      </c>
      <c r="D448" s="30" t="s">
        <v>145</v>
      </c>
      <c r="E448" s="30" t="s">
        <v>732</v>
      </c>
      <c r="F448" s="36" t="str">
        <f>IF(ISBLANK(Table2[[#This Row],[unique_id]]), "", PROPER(SUBSTITUTE(Table2[[#This Row],[unique_id]], "_", " ")))</f>
        <v>Kitchen Five</v>
      </c>
      <c r="G448" s="30" t="s">
        <v>739</v>
      </c>
      <c r="H448" s="30" t="s">
        <v>745</v>
      </c>
      <c r="I448" s="30" t="s">
        <v>144</v>
      </c>
      <c r="M448" s="30" t="s">
        <v>136</v>
      </c>
      <c r="N448" s="30" t="s">
        <v>270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Five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812</v>
      </c>
      <c r="BC448" s="30" t="s">
        <v>1040</v>
      </c>
      <c r="BD448" s="30" t="s">
        <v>182</v>
      </c>
      <c r="BF448" s="30">
        <v>15.4</v>
      </c>
      <c r="BG448" s="30" t="s">
        <v>206</v>
      </c>
      <c r="BK448" s="30" t="s">
        <v>1268</v>
      </c>
      <c r="BL448" s="37" t="s">
        <v>367</v>
      </c>
      <c r="BM448" s="39" t="s">
        <v>1283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9" spans="1:66" ht="16" hidden="1" customHeight="1" x14ac:dyDescent="0.2">
      <c r="A449" s="30">
        <v>2686</v>
      </c>
      <c r="B449" s="30" t="s">
        <v>579</v>
      </c>
      <c r="C449" s="30" t="s">
        <v>808</v>
      </c>
      <c r="D449" s="30" t="s">
        <v>148</v>
      </c>
      <c r="E449" s="30" t="s">
        <v>811</v>
      </c>
      <c r="F449" s="36" t="str">
        <f>IF(ISBLANK(Table2[[#This Row],[unique_id]]), "", PROPER(SUBSTITUTE(Table2[[#This Row],[unique_id]], "_", " ")))</f>
        <v>Template Parents Move Proxy</v>
      </c>
      <c r="G449" s="30" t="s">
        <v>740</v>
      </c>
      <c r="H449" s="30" t="s">
        <v>745</v>
      </c>
      <c r="I449" s="30" t="s">
        <v>144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 t="s">
        <v>813</v>
      </c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 t="s">
        <v>145</v>
      </c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hidden="1" customHeight="1" x14ac:dyDescent="0.2">
      <c r="A450" s="30">
        <v>2687</v>
      </c>
      <c r="B450" s="30" t="s">
        <v>26</v>
      </c>
      <c r="C450" s="30" t="s">
        <v>182</v>
      </c>
      <c r="D450" s="30" t="s">
        <v>145</v>
      </c>
      <c r="E450" s="30" t="s">
        <v>731</v>
      </c>
      <c r="F450" s="36" t="str">
        <f>IF(ISBLANK(Table2[[#This Row],[unique_id]]), "", PROPER(SUBSTITUTE(Table2[[#This Row],[unique_id]], "_", " ")))</f>
        <v>Parents Move</v>
      </c>
      <c r="G450" s="30" t="s">
        <v>740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Parents Move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365</v>
      </c>
      <c r="BC450" s="30" t="s">
        <v>1039</v>
      </c>
      <c r="BD450" s="30" t="s">
        <v>182</v>
      </c>
      <c r="BF450" s="30">
        <v>15.4</v>
      </c>
      <c r="BG450" s="30" t="s">
        <v>192</v>
      </c>
      <c r="BK450" s="30" t="s">
        <v>1268</v>
      </c>
      <c r="BL450" s="30" t="s">
        <v>366</v>
      </c>
      <c r="BM450" s="39" t="s">
        <v>1284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1" spans="1:66" ht="16" hidden="1" customHeight="1" x14ac:dyDescent="0.2">
      <c r="A451" s="30">
        <v>2688</v>
      </c>
      <c r="B451" s="30" t="s">
        <v>26</v>
      </c>
      <c r="C451" s="30" t="s">
        <v>264</v>
      </c>
      <c r="D451" s="30" t="s">
        <v>145</v>
      </c>
      <c r="E451" s="30" t="s">
        <v>1327</v>
      </c>
      <c r="F451" s="36" t="str">
        <f>IF(ISBLANK(Table2[[#This Row],[unique_id]]), "", PROPER(SUBSTITUTE(Table2[[#This Row],[unique_id]], "_", " ")))</f>
        <v>Parents Homepod</v>
      </c>
      <c r="G451" s="30" t="s">
        <v>1328</v>
      </c>
      <c r="H451" s="30" t="s">
        <v>745</v>
      </c>
      <c r="I451" s="30" t="s">
        <v>144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1329</v>
      </c>
      <c r="BC451" s="30" t="s">
        <v>1042</v>
      </c>
      <c r="BD451" s="30" t="s">
        <v>264</v>
      </c>
      <c r="BF451" s="30" t="s">
        <v>397</v>
      </c>
      <c r="BG451" s="30" t="s">
        <v>192</v>
      </c>
      <c r="BK451" s="30" t="s">
        <v>1268</v>
      </c>
      <c r="BL451" s="41" t="s">
        <v>400</v>
      </c>
      <c r="BM451" s="39" t="s">
        <v>1285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2" spans="1:66" ht="16" hidden="1" customHeight="1" x14ac:dyDescent="0.2">
      <c r="A452" s="30">
        <v>2700</v>
      </c>
      <c r="B452" s="30" t="s">
        <v>26</v>
      </c>
      <c r="C452" s="30" t="s">
        <v>150</v>
      </c>
      <c r="D452" s="30" t="s">
        <v>310</v>
      </c>
      <c r="E452" s="30" t="s">
        <v>653</v>
      </c>
      <c r="F452" s="36" t="str">
        <f>IF(ISBLANK(Table2[[#This Row],[unique_id]]), "", PROPER(SUBSTITUTE(Table2[[#This Row],[unique_id]], "_", " ")))</f>
        <v>Back Door Lock Security</v>
      </c>
      <c r="G452" s="30" t="s">
        <v>649</v>
      </c>
      <c r="H452" s="30" t="s">
        <v>631</v>
      </c>
      <c r="I452" s="30" t="s">
        <v>209</v>
      </c>
      <c r="M452" s="30" t="s">
        <v>136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E452" s="30" t="s">
        <v>664</v>
      </c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2701</v>
      </c>
      <c r="B453" s="30" t="s">
        <v>26</v>
      </c>
      <c r="C453" s="30" t="s">
        <v>150</v>
      </c>
      <c r="D453" s="30" t="s">
        <v>148</v>
      </c>
      <c r="E453" s="30" t="s">
        <v>666</v>
      </c>
      <c r="F453" s="36" t="str">
        <f>IF(ISBLANK(Table2[[#This Row],[unique_id]]), "", PROPER(SUBSTITUTE(Table2[[#This Row],[unique_id]], "_", " ")))</f>
        <v>Template Back Door State</v>
      </c>
      <c r="G453" s="30" t="s">
        <v>285</v>
      </c>
      <c r="H453" s="30" t="s">
        <v>631</v>
      </c>
      <c r="I453" s="30" t="s">
        <v>209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L453" s="41"/>
      <c r="BM453" s="39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hidden="1" customHeight="1" x14ac:dyDescent="0.2">
      <c r="A454" s="30">
        <v>2702</v>
      </c>
      <c r="B454" s="30" t="s">
        <v>26</v>
      </c>
      <c r="C454" s="30" t="s">
        <v>622</v>
      </c>
      <c r="D454" s="30" t="s">
        <v>625</v>
      </c>
      <c r="E454" s="30" t="s">
        <v>626</v>
      </c>
      <c r="F454" s="36" t="str">
        <f>IF(ISBLANK(Table2[[#This Row],[unique_id]]), "", PROPER(SUBSTITUTE(Table2[[#This Row],[unique_id]], "_", " ")))</f>
        <v>Back Door Lock</v>
      </c>
      <c r="G454" s="30" t="s">
        <v>668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0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0" t="s">
        <v>1032</v>
      </c>
      <c r="BC454" s="30" t="s">
        <v>623</v>
      </c>
      <c r="BD454" s="30" t="s">
        <v>622</v>
      </c>
      <c r="BF454" s="30" t="s">
        <v>624</v>
      </c>
      <c r="BG454" s="30" t="s">
        <v>631</v>
      </c>
      <c r="BL454" s="30" t="s">
        <v>621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5" spans="1:66" ht="16" hidden="1" customHeight="1" x14ac:dyDescent="0.2">
      <c r="A455" s="30">
        <v>2703</v>
      </c>
      <c r="B455" s="30" t="s">
        <v>26</v>
      </c>
      <c r="C455" s="30" t="s">
        <v>334</v>
      </c>
      <c r="D455" s="30" t="s">
        <v>148</v>
      </c>
      <c r="E455" s="30" t="s">
        <v>659</v>
      </c>
      <c r="F455" s="36" t="str">
        <f>IF(ISBLANK(Table2[[#This Row],[unique_id]]), "", PROPER(SUBSTITUTE(Table2[[#This Row],[unique_id]], "_", " ")))</f>
        <v>Template Back Door Sensor Contact Last</v>
      </c>
      <c r="G455" s="30" t="s">
        <v>667</v>
      </c>
      <c r="H455" s="30" t="s">
        <v>631</v>
      </c>
      <c r="I455" s="30" t="s">
        <v>209</v>
      </c>
      <c r="M455" s="30" t="s">
        <v>136</v>
      </c>
      <c r="O455" s="31"/>
      <c r="P455" s="30"/>
      <c r="T455" s="37"/>
      <c r="U455" s="30"/>
      <c r="V455" s="31"/>
      <c r="W455" s="31" t="s">
        <v>489</v>
      </c>
      <c r="X455" s="31"/>
      <c r="Y455" s="42" t="s">
        <v>756</v>
      </c>
      <c r="Z455" s="31"/>
      <c r="AA455" s="31"/>
      <c r="AB455" s="30"/>
      <c r="AC455" s="30"/>
      <c r="AG455" s="31"/>
      <c r="AH455" s="31"/>
      <c r="AT455" s="40"/>
      <c r="AU455" s="3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5" s="37" t="str">
        <f>Table2[[#This Row],[device_suggested_area]]</f>
        <v>Back Door</v>
      </c>
      <c r="BA455" s="30" t="str">
        <f>IF(ISBLANK(Table2[[#This Row],[device_model]]), "", Table2[[#This Row],[device_suggested_area]])</f>
        <v>Back Door</v>
      </c>
      <c r="BB455" s="37" t="s">
        <v>1036</v>
      </c>
      <c r="BC455" s="37" t="s">
        <v>642</v>
      </c>
      <c r="BD455" s="30" t="s">
        <v>1110</v>
      </c>
      <c r="BF455" s="30" t="s">
        <v>624</v>
      </c>
      <c r="BG455" s="30" t="s">
        <v>631</v>
      </c>
      <c r="BL455" s="30" t="s">
        <v>644</v>
      </c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6" spans="1:66" ht="16" hidden="1" customHeight="1" x14ac:dyDescent="0.2">
      <c r="A456" s="30">
        <v>2704</v>
      </c>
      <c r="B456" s="30" t="s">
        <v>579</v>
      </c>
      <c r="C456" s="30" t="s">
        <v>234</v>
      </c>
      <c r="D456" s="30" t="s">
        <v>147</v>
      </c>
      <c r="F456" s="36" t="str">
        <f>IF(ISBLANK(Table2[[#This Row],[unique_id]]), "", PROPER(SUBSTITUTE(Table2[[#This Row],[unique_id]], "_", " ")))</f>
        <v/>
      </c>
      <c r="G456" s="30" t="s">
        <v>631</v>
      </c>
      <c r="H456" s="30" t="s">
        <v>639</v>
      </c>
      <c r="I456" s="30" t="s">
        <v>209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C456" s="37"/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2705</v>
      </c>
      <c r="B457" s="30" t="s">
        <v>26</v>
      </c>
      <c r="C457" s="30" t="s">
        <v>150</v>
      </c>
      <c r="D457" s="30" t="s">
        <v>310</v>
      </c>
      <c r="E457" s="30" t="s">
        <v>654</v>
      </c>
      <c r="F457" s="36" t="str">
        <f>IF(ISBLANK(Table2[[#This Row],[unique_id]]), "", PROPER(SUBSTITUTE(Table2[[#This Row],[unique_id]], "_", " ")))</f>
        <v>Front Door Lock Security</v>
      </c>
      <c r="G457" s="30" t="s">
        <v>649</v>
      </c>
      <c r="H457" s="30" t="s">
        <v>630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E457" s="30" t="s">
        <v>664</v>
      </c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2706</v>
      </c>
      <c r="B458" s="30" t="s">
        <v>26</v>
      </c>
      <c r="C458" s="30" t="s">
        <v>150</v>
      </c>
      <c r="D458" s="30" t="s">
        <v>148</v>
      </c>
      <c r="E458" s="30" t="s">
        <v>665</v>
      </c>
      <c r="F458" s="36" t="str">
        <f>IF(ISBLANK(Table2[[#This Row],[unique_id]]), "", PROPER(SUBSTITUTE(Table2[[#This Row],[unique_id]], "_", " ")))</f>
        <v>Template Front Door State</v>
      </c>
      <c r="G458" s="30" t="s">
        <v>285</v>
      </c>
      <c r="H458" s="30" t="s">
        <v>630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L458" s="41"/>
      <c r="BM458" s="39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2707</v>
      </c>
      <c r="B459" s="30" t="s">
        <v>26</v>
      </c>
      <c r="C459" s="30" t="s">
        <v>622</v>
      </c>
      <c r="D459" s="30" t="s">
        <v>625</v>
      </c>
      <c r="E459" s="30" t="s">
        <v>627</v>
      </c>
      <c r="F459" s="36" t="str">
        <f>IF(ISBLANK(Table2[[#This Row],[unique_id]]), "", PROPER(SUBSTITUTE(Table2[[#This Row],[unique_id]], "_", " ")))</f>
        <v>Front Door Lock</v>
      </c>
      <c r="G459" s="30" t="s">
        <v>668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0" t="s">
        <v>1032</v>
      </c>
      <c r="BC459" s="30" t="s">
        <v>623</v>
      </c>
      <c r="BD459" s="30" t="s">
        <v>622</v>
      </c>
      <c r="BF459" s="30" t="s">
        <v>624</v>
      </c>
      <c r="BG459" s="30" t="s">
        <v>630</v>
      </c>
      <c r="BL459" s="30" t="s">
        <v>628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0" spans="1:66" ht="16" hidden="1" customHeight="1" x14ac:dyDescent="0.2">
      <c r="A460" s="30">
        <v>2708</v>
      </c>
      <c r="B460" s="30" t="s">
        <v>26</v>
      </c>
      <c r="C460" s="30" t="s">
        <v>334</v>
      </c>
      <c r="D460" s="30" t="s">
        <v>148</v>
      </c>
      <c r="E460" s="30" t="s">
        <v>658</v>
      </c>
      <c r="F460" s="36" t="str">
        <f>IF(ISBLANK(Table2[[#This Row],[unique_id]]), "", PROPER(SUBSTITUTE(Table2[[#This Row],[unique_id]], "_", " ")))</f>
        <v>Template Front Door Sensor Contact Last</v>
      </c>
      <c r="G460" s="30" t="s">
        <v>667</v>
      </c>
      <c r="H460" s="30" t="s">
        <v>630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 t="s">
        <v>489</v>
      </c>
      <c r="X460" s="31"/>
      <c r="Y460" s="42" t="s">
        <v>756</v>
      </c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7" t="str">
        <f>Table2[[#This Row],[device_suggested_area]]</f>
        <v>Front Door</v>
      </c>
      <c r="BA460" s="30" t="str">
        <f>IF(ISBLANK(Table2[[#This Row],[device_model]]), "", Table2[[#This Row],[device_suggested_area]])</f>
        <v>Front Door</v>
      </c>
      <c r="BB460" s="37" t="s">
        <v>1036</v>
      </c>
      <c r="BC460" s="37" t="s">
        <v>642</v>
      </c>
      <c r="BD460" s="30" t="s">
        <v>1110</v>
      </c>
      <c r="BF460" s="30" t="s">
        <v>624</v>
      </c>
      <c r="BG460" s="30" t="s">
        <v>630</v>
      </c>
      <c r="BL460" s="30" t="s">
        <v>643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1" spans="1:66" ht="16" hidden="1" customHeight="1" x14ac:dyDescent="0.2">
      <c r="A461" s="30">
        <v>2709</v>
      </c>
      <c r="B461" s="30" t="s">
        <v>579</v>
      </c>
      <c r="C461" s="30" t="s">
        <v>234</v>
      </c>
      <c r="D461" s="30" t="s">
        <v>147</v>
      </c>
      <c r="F461" s="36" t="str">
        <f>IF(ISBLANK(Table2[[#This Row],[unique_id]]), "", PROPER(SUBSTITUTE(Table2[[#This Row],[unique_id]], "_", " ")))</f>
        <v/>
      </c>
      <c r="G461" s="30" t="s">
        <v>630</v>
      </c>
      <c r="H461" s="30" t="s">
        <v>638</v>
      </c>
      <c r="I461" s="30" t="s">
        <v>209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C461" s="37"/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2710</v>
      </c>
      <c r="B462" s="30" t="s">
        <v>26</v>
      </c>
      <c r="C462" s="30" t="s">
        <v>133</v>
      </c>
      <c r="D462" s="30" t="s">
        <v>148</v>
      </c>
      <c r="E462" s="30" t="s">
        <v>600</v>
      </c>
      <c r="F462" s="36" t="str">
        <f>IF(ISBLANK(Table2[[#This Row],[unique_id]]), "", PROPER(SUBSTITUTE(Table2[[#This Row],[unique_id]], "_", " ")))</f>
        <v>Ada Fan Occupancy</v>
      </c>
      <c r="G462" s="30" t="s">
        <v>130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2711</v>
      </c>
      <c r="B463" s="30" t="s">
        <v>26</v>
      </c>
      <c r="C463" s="30" t="s">
        <v>133</v>
      </c>
      <c r="D463" s="30" t="s">
        <v>148</v>
      </c>
      <c r="E463" s="30" t="s">
        <v>599</v>
      </c>
      <c r="F463" s="36" t="str">
        <f>IF(ISBLANK(Table2[[#This Row],[unique_id]]), "", PROPER(SUBSTITUTE(Table2[[#This Row],[unique_id]], "_", " ")))</f>
        <v>Edwin Fan Occupancy</v>
      </c>
      <c r="G463" s="30" t="s">
        <v>127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2712</v>
      </c>
      <c r="B464" s="30" t="s">
        <v>26</v>
      </c>
      <c r="C464" s="30" t="s">
        <v>133</v>
      </c>
      <c r="D464" s="30" t="s">
        <v>148</v>
      </c>
      <c r="E464" s="30" t="s">
        <v>601</v>
      </c>
      <c r="F464" s="36" t="str">
        <f>IF(ISBLANK(Table2[[#This Row],[unique_id]]), "", PROPER(SUBSTITUTE(Table2[[#This Row],[unique_id]], "_", " ")))</f>
        <v>Parents Fan Occupancy</v>
      </c>
      <c r="G464" s="30" t="s">
        <v>192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2713</v>
      </c>
      <c r="B465" s="30" t="s">
        <v>26</v>
      </c>
      <c r="C465" s="30" t="s">
        <v>133</v>
      </c>
      <c r="D465" s="30" t="s">
        <v>148</v>
      </c>
      <c r="E465" s="30" t="s">
        <v>602</v>
      </c>
      <c r="F465" s="36" t="str">
        <f>IF(ISBLANK(Table2[[#This Row],[unique_id]]), "", PROPER(SUBSTITUTE(Table2[[#This Row],[unique_id]], "_", " ")))</f>
        <v>Lounge Fan Occupancy</v>
      </c>
      <c r="G465" s="30" t="s">
        <v>194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2714</v>
      </c>
      <c r="B466" s="30" t="s">
        <v>26</v>
      </c>
      <c r="C466" s="30" t="s">
        <v>133</v>
      </c>
      <c r="D466" s="30" t="s">
        <v>148</v>
      </c>
      <c r="E466" s="30" t="s">
        <v>603</v>
      </c>
      <c r="F466" s="36" t="str">
        <f>IF(ISBLANK(Table2[[#This Row],[unique_id]]), "", PROPER(SUBSTITUTE(Table2[[#This Row],[unique_id]], "_", " ")))</f>
        <v>Deck East Fan Occupancy</v>
      </c>
      <c r="G466" s="30" t="s">
        <v>215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2715</v>
      </c>
      <c r="B467" s="30" t="s">
        <v>26</v>
      </c>
      <c r="C467" s="30" t="s">
        <v>133</v>
      </c>
      <c r="D467" s="30" t="s">
        <v>148</v>
      </c>
      <c r="E467" s="30" t="s">
        <v>604</v>
      </c>
      <c r="F467" s="36" t="str">
        <f>IF(ISBLANK(Table2[[#This Row],[unique_id]]), "", PROPER(SUBSTITUTE(Table2[[#This Row],[unique_id]], "_", " ")))</f>
        <v>Deck West Fan Occupancy</v>
      </c>
      <c r="G467" s="30" t="s">
        <v>214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2716</v>
      </c>
      <c r="B468" s="30" t="s">
        <v>26</v>
      </c>
      <c r="C468" s="30" t="s">
        <v>440</v>
      </c>
      <c r="D468" s="30" t="s">
        <v>333</v>
      </c>
      <c r="E468" s="30" t="s">
        <v>332</v>
      </c>
      <c r="F468" s="36" t="str">
        <f>IF(ISBLANK(Table2[[#This Row],[unique_id]]), "", PROPER(SUBSTITUTE(Table2[[#This Row],[unique_id]], "_", " ")))</f>
        <v>Column Break</v>
      </c>
      <c r="G468" s="30" t="s">
        <v>329</v>
      </c>
      <c r="H468" s="30" t="s">
        <v>633</v>
      </c>
      <c r="I468" s="30" t="s">
        <v>209</v>
      </c>
      <c r="M468" s="30" t="s">
        <v>330</v>
      </c>
      <c r="N468" s="30" t="s">
        <v>331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2717</v>
      </c>
      <c r="B469" s="30" t="s">
        <v>26</v>
      </c>
      <c r="C469" s="30" t="s">
        <v>234</v>
      </c>
      <c r="D469" s="30" t="s">
        <v>148</v>
      </c>
      <c r="E469" s="30" t="s">
        <v>149</v>
      </c>
      <c r="F469" s="36" t="str">
        <f>IF(ISBLANK(Table2[[#This Row],[unique_id]]), "", PROPER(SUBSTITUTE(Table2[[#This Row],[unique_id]], "_", " ")))</f>
        <v>Uvc Ada Motion</v>
      </c>
      <c r="G469" s="30" t="s">
        <v>629</v>
      </c>
      <c r="H469" s="30" t="s">
        <v>633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2718</v>
      </c>
      <c r="B470" s="30" t="s">
        <v>26</v>
      </c>
      <c r="C470" s="30" t="s">
        <v>234</v>
      </c>
      <c r="D470" s="30" t="s">
        <v>147</v>
      </c>
      <c r="E470" s="30" t="s">
        <v>1341</v>
      </c>
      <c r="F470" s="36" t="str">
        <f>IF(ISBLANK(Table2[[#This Row],[unique_id]]), "", PROPER(SUBSTITUTE(Table2[[#This Row],[unique_id]], "_", " ")))</f>
        <v>Uvc Ada Medium Resolution Channel</v>
      </c>
      <c r="G470" s="30" t="s">
        <v>130</v>
      </c>
      <c r="H470" s="30" t="s">
        <v>635</v>
      </c>
      <c r="I470" s="30" t="s">
        <v>209</v>
      </c>
      <c r="M470" s="30" t="s">
        <v>136</v>
      </c>
      <c r="N470" s="30" t="s">
        <v>271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1441</v>
      </c>
      <c r="BA470" s="30" t="str">
        <f>IF(ISBLANK(Table2[[#This Row],[device_model]]), "", Table2[[#This Row],[device_suggested_area]])</f>
        <v>Ada</v>
      </c>
      <c r="BB470" s="30" t="str">
        <f>Table2[[#This Row],[device_suggested_area]]</f>
        <v>Ada</v>
      </c>
      <c r="BC470" s="30" t="s">
        <v>385</v>
      </c>
      <c r="BD470" s="30" t="s">
        <v>234</v>
      </c>
      <c r="BF470" s="30" t="s">
        <v>386</v>
      </c>
      <c r="BG470" s="30" t="s">
        <v>130</v>
      </c>
      <c r="BK470" s="30" t="s">
        <v>1269</v>
      </c>
      <c r="BL470" s="30" t="s">
        <v>383</v>
      </c>
      <c r="BM470" s="30" t="s">
        <v>1324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1" spans="1:66" ht="16" hidden="1" customHeight="1" x14ac:dyDescent="0.2">
      <c r="A471" s="30">
        <v>2719</v>
      </c>
      <c r="B471" s="30" t="s">
        <v>26</v>
      </c>
      <c r="C471" s="30" t="s">
        <v>234</v>
      </c>
      <c r="D471" s="30" t="s">
        <v>148</v>
      </c>
      <c r="E471" s="30" t="s">
        <v>208</v>
      </c>
      <c r="F471" s="36" t="str">
        <f>IF(ISBLANK(Table2[[#This Row],[unique_id]]), "", PROPER(SUBSTITUTE(Table2[[#This Row],[unique_id]], "_", " ")))</f>
        <v>Uvc Edwin Motion</v>
      </c>
      <c r="G471" s="30" t="s">
        <v>629</v>
      </c>
      <c r="H471" s="30" t="s">
        <v>632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2720</v>
      </c>
      <c r="B472" s="30" t="s">
        <v>26</v>
      </c>
      <c r="C472" s="30" t="s">
        <v>234</v>
      </c>
      <c r="D472" s="30" t="s">
        <v>147</v>
      </c>
      <c r="E472" s="30" t="s">
        <v>1342</v>
      </c>
      <c r="F472" s="36" t="str">
        <f>IF(ISBLANK(Table2[[#This Row],[unique_id]]), "", PROPER(SUBSTITUTE(Table2[[#This Row],[unique_id]], "_", " ")))</f>
        <v>Uvc Edwin Medium Resolution Channel</v>
      </c>
      <c r="G472" s="30" t="s">
        <v>127</v>
      </c>
      <c r="H472" s="30" t="s">
        <v>634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1441</v>
      </c>
      <c r="BA472" s="30" t="str">
        <f>IF(ISBLANK(Table2[[#This Row],[device_model]]), "", Table2[[#This Row],[device_suggested_area]])</f>
        <v>Edwin</v>
      </c>
      <c r="BB472" s="30" t="str">
        <f>Table2[[#This Row],[device_suggested_area]]</f>
        <v>Edwin</v>
      </c>
      <c r="BC472" s="30" t="s">
        <v>385</v>
      </c>
      <c r="BD472" s="30" t="s">
        <v>234</v>
      </c>
      <c r="BF472" s="30" t="s">
        <v>386</v>
      </c>
      <c r="BG472" s="30" t="s">
        <v>127</v>
      </c>
      <c r="BK472" s="30" t="s">
        <v>1269</v>
      </c>
      <c r="BL472" s="30" t="s">
        <v>384</v>
      </c>
      <c r="BM472" s="30" t="s">
        <v>1325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3" spans="1:66" ht="16" hidden="1" customHeight="1" x14ac:dyDescent="0.2">
      <c r="A473" s="30">
        <v>2721</v>
      </c>
      <c r="B473" s="30" t="s">
        <v>26</v>
      </c>
      <c r="C473" s="30" t="s">
        <v>440</v>
      </c>
      <c r="D473" s="30" t="s">
        <v>333</v>
      </c>
      <c r="E473" s="30" t="s">
        <v>332</v>
      </c>
      <c r="F473" s="36" t="str">
        <f>IF(ISBLANK(Table2[[#This Row],[unique_id]]), "", PROPER(SUBSTITUTE(Table2[[#This Row],[unique_id]], "_", " ")))</f>
        <v>Column Break</v>
      </c>
      <c r="G473" s="30" t="s">
        <v>329</v>
      </c>
      <c r="H473" s="30" t="s">
        <v>634</v>
      </c>
      <c r="I473" s="30" t="s">
        <v>209</v>
      </c>
      <c r="M473" s="30" t="s">
        <v>330</v>
      </c>
      <c r="N473" s="30" t="s">
        <v>331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5000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1442</v>
      </c>
      <c r="BA474" s="30" t="str">
        <f>IF(ISBLANK(Table2[[#This Row],[device_model]]), "", Table2[[#This Row],[device_suggested_area]])</f>
        <v>Rack</v>
      </c>
      <c r="BC474" s="30" t="s">
        <v>1028</v>
      </c>
      <c r="BD474" s="30" t="s">
        <v>234</v>
      </c>
      <c r="BF474" s="30" t="s">
        <v>402</v>
      </c>
      <c r="BG474" s="30" t="s">
        <v>28</v>
      </c>
      <c r="BK474" s="30" t="s">
        <v>1262</v>
      </c>
      <c r="BL474" s="30" t="s">
        <v>405</v>
      </c>
      <c r="BM474" s="30" t="s">
        <v>1263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5" spans="1:66" ht="16" hidden="1" customHeight="1" x14ac:dyDescent="0.2">
      <c r="A475" s="30">
        <v>5001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1443</v>
      </c>
      <c r="BA475" s="30" t="str">
        <f>IF(ISBLANK(Table2[[#This Row],[device_model]]), "", Table2[[#This Row],[device_suggested_area]])</f>
        <v>Rack</v>
      </c>
      <c r="BB475" s="30" t="str">
        <f>Table2[[#This Row],[device_suggested_area]]</f>
        <v>Rack</v>
      </c>
      <c r="BC475" s="30" t="s">
        <v>1025</v>
      </c>
      <c r="BD475" s="30" t="s">
        <v>234</v>
      </c>
      <c r="BF475" s="30" t="s">
        <v>610</v>
      </c>
      <c r="BG475" s="30" t="s">
        <v>28</v>
      </c>
      <c r="BK475" s="30" t="s">
        <v>1262</v>
      </c>
      <c r="BL475" s="30" t="s">
        <v>611</v>
      </c>
      <c r="BM475" s="30" t="s">
        <v>1264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6" spans="1:66" ht="16" hidden="1" customHeight="1" x14ac:dyDescent="0.2">
      <c r="A476" s="30">
        <v>5002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1443</v>
      </c>
      <c r="BA476" s="30" t="str">
        <f>IF(ISBLANK(Table2[[#This Row],[device_model]]), "", Table2[[#This Row],[device_suggested_area]])</f>
        <v>Office</v>
      </c>
      <c r="BB476" s="30" t="str">
        <f>Table2[[#This Row],[device_suggested_area]]</f>
        <v>Office</v>
      </c>
      <c r="BC476" s="30" t="s">
        <v>1026</v>
      </c>
      <c r="BD476" s="30" t="s">
        <v>234</v>
      </c>
      <c r="BF476" s="30" t="s">
        <v>1066</v>
      </c>
      <c r="BG476" s="30" t="s">
        <v>212</v>
      </c>
      <c r="BK476" s="30" t="s">
        <v>1262</v>
      </c>
      <c r="BL476" s="30" t="s">
        <v>406</v>
      </c>
      <c r="BM476" s="30" t="s">
        <v>1482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7" spans="1:66" ht="16" hidden="1" customHeight="1" x14ac:dyDescent="0.2">
      <c r="A477" s="30">
        <v>5003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1443</v>
      </c>
      <c r="BA477" s="30" t="str">
        <f>IF(ISBLANK(Table2[[#This Row],[device_model]]), "", Table2[[#This Row],[device_suggested_area]])</f>
        <v>Ceiling</v>
      </c>
      <c r="BB477" s="30" t="str">
        <f>Table2[[#This Row],[device_suggested_area]]</f>
        <v>Ceiling</v>
      </c>
      <c r="BC477" s="30" t="s">
        <v>1481</v>
      </c>
      <c r="BD477" s="30" t="s">
        <v>234</v>
      </c>
      <c r="BF477" s="30" t="s">
        <v>1066</v>
      </c>
      <c r="BG477" s="30" t="s">
        <v>403</v>
      </c>
      <c r="BK477" s="30" t="s">
        <v>1262</v>
      </c>
      <c r="BL477" s="30" t="s">
        <v>1483</v>
      </c>
      <c r="BM477" s="30" t="s">
        <v>1265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8" spans="1:66" ht="16" hidden="1" customHeight="1" x14ac:dyDescent="0.2">
      <c r="A478" s="30">
        <v>5004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1444</v>
      </c>
      <c r="BA478" s="30" t="str">
        <f>IF(ISBLANK(Table2[[#This Row],[device_model]]), "", Table2[[#This Row],[device_suggested_area]])</f>
        <v>Hallway</v>
      </c>
      <c r="BB478" s="30" t="str">
        <f>Table2[[#This Row],[device_suggested_area]]</f>
        <v>Hallway</v>
      </c>
      <c r="BC478" s="30" t="s">
        <v>1386</v>
      </c>
      <c r="BD478" s="30" t="s">
        <v>234</v>
      </c>
      <c r="BF478" s="30" t="s">
        <v>1065</v>
      </c>
      <c r="BG478" s="30" t="s">
        <v>404</v>
      </c>
      <c r="BK478" s="30" t="s">
        <v>1262</v>
      </c>
      <c r="BL478" s="30" t="s">
        <v>1385</v>
      </c>
      <c r="BM478" s="30" t="s">
        <v>1266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9" spans="1:66" ht="16" hidden="1" customHeight="1" x14ac:dyDescent="0.2">
      <c r="A479" s="30">
        <v>5005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1444</v>
      </c>
      <c r="BA479" s="30" t="str">
        <f>IF(ISBLANK(Table2[[#This Row],[device_model]]), "", Table2[[#This Row],[device_suggested_area]])</f>
        <v>Deck North</v>
      </c>
      <c r="BB479" s="30" t="str">
        <f>Table2[[#This Row],[device_suggested_area]]</f>
        <v>Deck North</v>
      </c>
      <c r="BC479" s="30" t="s">
        <v>1027</v>
      </c>
      <c r="BD479" s="30" t="s">
        <v>234</v>
      </c>
      <c r="BF479" s="30" t="s">
        <v>1065</v>
      </c>
      <c r="BG479" s="30" t="s">
        <v>1437</v>
      </c>
      <c r="BK479" s="30" t="s">
        <v>1262</v>
      </c>
      <c r="BL479" s="30" t="s">
        <v>1439</v>
      </c>
      <c r="BM479" s="30" t="s">
        <v>1267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0" spans="1:66" ht="16" hidden="1" customHeight="1" x14ac:dyDescent="0.2">
      <c r="A480" s="30">
        <v>5006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1444</v>
      </c>
      <c r="BA480" s="30" t="str">
        <f>IF(ISBLANK(Table2[[#This Row],[device_model]]), "", Table2[[#This Row],[device_suggested_area]])</f>
        <v>Deck South</v>
      </c>
      <c r="BB480" s="30" t="str">
        <f>Table2[[#This Row],[device_suggested_area]]</f>
        <v>Deck South</v>
      </c>
      <c r="BC480" s="30" t="s">
        <v>1027</v>
      </c>
      <c r="BD480" s="30" t="s">
        <v>234</v>
      </c>
      <c r="BF480" s="30" t="s">
        <v>1065</v>
      </c>
      <c r="BG480" s="30" t="s">
        <v>1436</v>
      </c>
      <c r="BK480" s="30" t="s">
        <v>1262</v>
      </c>
      <c r="BL480" s="30" t="s">
        <v>407</v>
      </c>
      <c r="BM480" s="30" t="s">
        <v>1438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1" spans="1:66" ht="16" hidden="1" customHeight="1" x14ac:dyDescent="0.2">
      <c r="A481" s="30">
        <v>5007</v>
      </c>
      <c r="B481" s="39" t="s">
        <v>579</v>
      </c>
      <c r="C481" s="39" t="s">
        <v>234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1371</v>
      </c>
      <c r="BA481" s="30" t="str">
        <f>IF(ISBLANK(Table2[[#This Row],[device_model]]), "", Table2[[#This Row],[device_suggested_area]])</f>
        <v>Rack</v>
      </c>
      <c r="BB481" s="30" t="s">
        <v>1382</v>
      </c>
      <c r="BC481" s="30" t="s">
        <v>1373</v>
      </c>
      <c r="BD481" s="30" t="s">
        <v>1371</v>
      </c>
      <c r="BF481" s="30" t="s">
        <v>1379</v>
      </c>
      <c r="BG481" s="30" t="s">
        <v>28</v>
      </c>
      <c r="BL481" s="41"/>
      <c r="BM481" s="30" t="s">
        <v>1381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2" spans="1:66" ht="16" hidden="1" customHeight="1" x14ac:dyDescent="0.2">
      <c r="A482" s="30">
        <v>5008</v>
      </c>
      <c r="B482" s="39" t="s">
        <v>579</v>
      </c>
      <c r="C482" s="39" t="s">
        <v>1371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1372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1371</v>
      </c>
      <c r="BA482" s="30" t="str">
        <f>IF(ISBLANK(Table2[[#This Row],[device_model]]), "", Table2[[#This Row],[device_suggested_area]])</f>
        <v>Rack</v>
      </c>
      <c r="BB482" s="30" t="s">
        <v>1024</v>
      </c>
      <c r="BC482" s="30" t="s">
        <v>1373</v>
      </c>
      <c r="BD482" s="30" t="s">
        <v>1371</v>
      </c>
      <c r="BF482" s="30" t="s">
        <v>1379</v>
      </c>
      <c r="BG482" s="30" t="s">
        <v>28</v>
      </c>
      <c r="BL482" s="41"/>
      <c r="BM482" s="30" t="s">
        <v>1374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3" spans="1:66" ht="16" hidden="1" customHeight="1" x14ac:dyDescent="0.2">
      <c r="A483" s="30">
        <v>5009</v>
      </c>
      <c r="B483" s="39" t="s">
        <v>579</v>
      </c>
      <c r="C483" s="39" t="s">
        <v>1375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">
        <v>1376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1375</v>
      </c>
      <c r="BA483" s="30" t="str">
        <f>IF(ISBLANK(Table2[[#This Row],[device_model]]), "", Table2[[#This Row],[device_suggested_area]])</f>
        <v>Rack</v>
      </c>
      <c r="BB483" s="30" t="s">
        <v>1377</v>
      </c>
      <c r="BC483" s="30" t="s">
        <v>1378</v>
      </c>
      <c r="BD483" s="30" t="s">
        <v>1375</v>
      </c>
      <c r="BF483" s="30" t="s">
        <v>1379</v>
      </c>
      <c r="BG483" s="30" t="s">
        <v>28</v>
      </c>
      <c r="BL483" s="41"/>
      <c r="BM483" s="30" t="s">
        <v>1380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4" spans="1:66" ht="16" hidden="1" customHeight="1" x14ac:dyDescent="0.2">
      <c r="A484" s="30">
        <v>5010</v>
      </c>
      <c r="B484" s="39" t="s">
        <v>579</v>
      </c>
      <c r="C484" s="39" t="s">
        <v>387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1029</v>
      </c>
      <c r="BA484" s="30" t="str">
        <f>IF(ISBLANK(Table2[[#This Row],[device_model]]), "", Table2[[#This Row],[device_suggested_area]])</f>
        <v>Rack</v>
      </c>
      <c r="BB484" s="30" t="s">
        <v>387</v>
      </c>
      <c r="BC484" s="30" t="s">
        <v>388</v>
      </c>
      <c r="BD484" s="30" t="s">
        <v>390</v>
      </c>
      <c r="BF484" s="30" t="s">
        <v>389</v>
      </c>
      <c r="BG484" s="30" t="s">
        <v>28</v>
      </c>
      <c r="BK484" s="30" t="s">
        <v>1268</v>
      </c>
      <c r="BL484" s="41" t="s">
        <v>432</v>
      </c>
      <c r="BM484" s="30" t="s">
        <v>1286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5" spans="1:66" ht="16" hidden="1" customHeight="1" x14ac:dyDescent="0.2">
      <c r="A485" s="30">
        <v>5011</v>
      </c>
      <c r="B485" s="39" t="s">
        <v>26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ref="AJ485:AJ490" si="0">IF(ISBLANK(AI485),  "", _xlfn.CONCAT("haas/entity/sensor/", LOWER(C485), "/", E485, "/config"))</f>
        <v/>
      </c>
      <c r="AK485" s="30" t="str">
        <f t="shared" ref="AK485:AK490" si="1"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Wardrobe</v>
      </c>
      <c r="BB485" s="30" t="s">
        <v>1465</v>
      </c>
      <c r="BC485" s="30" t="s">
        <v>1035</v>
      </c>
      <c r="BD485" s="30" t="s">
        <v>554</v>
      </c>
      <c r="BF485" s="63" t="s">
        <v>1469</v>
      </c>
      <c r="BG485" s="30" t="s">
        <v>495</v>
      </c>
      <c r="BK485" s="30" t="s">
        <v>401</v>
      </c>
      <c r="BL485" s="30" t="s">
        <v>553</v>
      </c>
      <c r="BM485" s="30" t="s">
        <v>1261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6" spans="1:66" ht="16" hidden="1" customHeight="1" x14ac:dyDescent="0.2">
      <c r="A486" s="30">
        <v>5012</v>
      </c>
      <c r="B486" s="39" t="s">
        <v>579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1056</v>
      </c>
      <c r="BA486" s="30" t="str">
        <f>IF(ISBLANK(Table2[[#This Row],[device_model]]), "", Table2[[#This Row],[device_suggested_area]])</f>
        <v>Guildford</v>
      </c>
      <c r="BB486" s="30" t="s">
        <v>1467</v>
      </c>
      <c r="BC486" s="30" t="s">
        <v>1468</v>
      </c>
      <c r="BD486" s="30" t="s">
        <v>554</v>
      </c>
      <c r="BF486" s="63" t="s">
        <v>1469</v>
      </c>
      <c r="BG486" s="30" t="s">
        <v>1466</v>
      </c>
      <c r="BL486" s="30" t="s">
        <v>1473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7" spans="1:66" ht="16" hidden="1" customHeight="1" x14ac:dyDescent="0.2">
      <c r="A487" s="30">
        <v>5013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1470</v>
      </c>
      <c r="BC487" s="30" t="s">
        <v>1471</v>
      </c>
      <c r="BD487" s="30" t="s">
        <v>264</v>
      </c>
      <c r="BF487" s="63" t="s">
        <v>1475</v>
      </c>
      <c r="BG487" s="30" t="s">
        <v>28</v>
      </c>
      <c r="BK487" s="30" t="s">
        <v>401</v>
      </c>
      <c r="BL487" s="41" t="s">
        <v>1474</v>
      </c>
      <c r="BM487" s="30" t="s">
        <v>1257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8" spans="1:66" ht="16" hidden="1" customHeight="1" x14ac:dyDescent="0.2">
      <c r="A488" s="30">
        <v>5014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1472</v>
      </c>
      <c r="BC488" s="30" t="s">
        <v>1033</v>
      </c>
      <c r="BD488" s="30" t="s">
        <v>264</v>
      </c>
      <c r="BF488" s="63" t="s">
        <v>1479</v>
      </c>
      <c r="BG488" s="30" t="s">
        <v>28</v>
      </c>
      <c r="BK488" s="30" t="s">
        <v>401</v>
      </c>
      <c r="BL488" s="46" t="s">
        <v>1480</v>
      </c>
      <c r="BM488" s="30" t="s">
        <v>1258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9" spans="1:66" ht="16" hidden="1" customHeight="1" x14ac:dyDescent="0.2">
      <c r="A489" s="30">
        <v>5015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1451</v>
      </c>
      <c r="BC489" s="30" t="s">
        <v>1033</v>
      </c>
      <c r="BD489" s="30" t="s">
        <v>264</v>
      </c>
      <c r="BF489" s="63" t="s">
        <v>1469</v>
      </c>
      <c r="BG489" s="30" t="s">
        <v>28</v>
      </c>
      <c r="BK489" s="30" t="s">
        <v>401</v>
      </c>
      <c r="BL489" s="46" t="s">
        <v>1336</v>
      </c>
      <c r="BM489" s="30" t="s">
        <v>1259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0" spans="1:66" ht="16" hidden="1" customHeight="1" x14ac:dyDescent="0.2">
      <c r="A490" s="30">
        <v>5016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1055</v>
      </c>
      <c r="BA490" s="30" t="str">
        <f>IF(ISBLANK(Table2[[#This Row],[device_model]]), "", Table2[[#This Row],[device_suggested_area]])</f>
        <v>Rack</v>
      </c>
      <c r="BB490" s="30" t="s">
        <v>1034</v>
      </c>
      <c r="BC490" s="30" t="s">
        <v>1033</v>
      </c>
      <c r="BD490" s="30" t="s">
        <v>264</v>
      </c>
      <c r="BF490" s="63" t="s">
        <v>1469</v>
      </c>
      <c r="BG490" s="30" t="s">
        <v>28</v>
      </c>
      <c r="BK490" s="30" t="s">
        <v>401</v>
      </c>
      <c r="BL490" s="30" t="s">
        <v>587</v>
      </c>
      <c r="BM490" s="30" t="s">
        <v>1260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1" spans="1:66" ht="16" hidden="1" customHeight="1" x14ac:dyDescent="0.2">
      <c r="A491" s="30">
        <v>5017</v>
      </c>
      <c r="B491" s="30" t="s">
        <v>26</v>
      </c>
      <c r="C491" s="30" t="s">
        <v>382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T491" s="40"/>
      <c r="AU491" s="3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380</v>
      </c>
      <c r="BA491" s="30" t="str">
        <f>IF(ISBLANK(Table2[[#This Row],[device_model]]), "", Table2[[#This Row],[device_suggested_area]])</f>
        <v>Rack</v>
      </c>
      <c r="BB491" s="30" t="s">
        <v>382</v>
      </c>
      <c r="BC491" s="30" t="s">
        <v>381</v>
      </c>
      <c r="BD491" s="30" t="s">
        <v>380</v>
      </c>
      <c r="BF491" s="30" t="s">
        <v>776</v>
      </c>
      <c r="BG491" s="30" t="s">
        <v>28</v>
      </c>
      <c r="BK491" s="30" t="s">
        <v>1269</v>
      </c>
      <c r="BL491" s="30" t="s">
        <v>379</v>
      </c>
      <c r="BM491" s="30" t="s">
        <v>1326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2" spans="1:66" ht="16" hidden="1" customHeight="1" x14ac:dyDescent="0.2">
      <c r="A492" s="30">
        <v>5018</v>
      </c>
      <c r="B492" s="30" t="s">
        <v>26</v>
      </c>
      <c r="C492" s="30" t="s">
        <v>457</v>
      </c>
      <c r="E492" s="39"/>
      <c r="F492" s="36" t="str">
        <f>IF(ISBLANK(Table2[[#This Row],[unique_id]]), "", PROPER(SUBSTITUTE(Table2[[#This Row],[unique_id]], "_", " ")))</f>
        <v/>
      </c>
      <c r="I492" s="39"/>
      <c r="O492" s="31"/>
      <c r="P492" s="30"/>
      <c r="T492" s="37"/>
      <c r="U492" s="30"/>
      <c r="V492" s="31"/>
      <c r="W492" s="31" t="s">
        <v>489</v>
      </c>
      <c r="X492" s="31"/>
      <c r="Y492" s="42" t="s">
        <v>756</v>
      </c>
      <c r="Z492" s="42"/>
      <c r="AA492" s="42"/>
      <c r="AB492" s="30"/>
      <c r="AC492" s="30"/>
      <c r="AG492" s="31"/>
      <c r="AH492" s="31"/>
      <c r="AT4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2" s="37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7" t="str">
        <f>Table2[[#This Row],[device_suggested_area]]</f>
        <v>Home</v>
      </c>
      <c r="BA492" s="30" t="str">
        <f>IF(ISBLANK(Table2[[#This Row],[device_model]]), "", Table2[[#This Row],[device_suggested_area]])</f>
        <v>Home</v>
      </c>
      <c r="BB492" s="37" t="s">
        <v>1031</v>
      </c>
      <c r="BC492" s="37" t="s">
        <v>481</v>
      </c>
      <c r="BD492" s="30" t="s">
        <v>457</v>
      </c>
      <c r="BF492" s="37" t="s">
        <v>482</v>
      </c>
      <c r="BG492" s="30" t="s">
        <v>165</v>
      </c>
      <c r="BL492" s="30" t="s">
        <v>480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2026-03-18T04:29:14Z</dcterms:modified>
</cp:coreProperties>
</file>