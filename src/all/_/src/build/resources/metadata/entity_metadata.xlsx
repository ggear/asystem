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ham/Code/asystem/src/all/_/src/build/resources/"/>
    </mc:Choice>
  </mc:AlternateContent>
  <xr:revisionPtr revIDLastSave="0" documentId="13_ncr:1_{99AD6B80-A4D3-E742-98A1-C62C079DB3A4}" xr6:coauthVersionLast="47" xr6:coauthVersionMax="47" xr10:uidLastSave="{00000000-0000-0000-0000-000000000000}"/>
  <bookViews>
    <workbookView xWindow="11540" yWindow="1420" windowWidth="3720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289" i="1" l="1"/>
  <c r="AS289" i="1"/>
  <c r="BV289" i="1"/>
  <c r="BI289" i="1"/>
  <c r="BE289" i="1"/>
  <c r="BD289" i="1"/>
  <c r="AR289" i="1"/>
  <c r="F289" i="1"/>
  <c r="BV294" i="1"/>
  <c r="BI294" i="1"/>
  <c r="BE294" i="1"/>
  <c r="BD294" i="1" s="1"/>
  <c r="AU294" i="1"/>
  <c r="AT294" i="1"/>
  <c r="AS294" i="1"/>
  <c r="AR294" i="1"/>
  <c r="F294" i="1"/>
  <c r="G294" i="1" s="1"/>
  <c r="BV293" i="1"/>
  <c r="BI293" i="1"/>
  <c r="BE293" i="1"/>
  <c r="BD293" i="1" s="1"/>
  <c r="AU293" i="1"/>
  <c r="AT293" i="1"/>
  <c r="AS293" i="1"/>
  <c r="AR293" i="1"/>
  <c r="F293" i="1"/>
  <c r="G293" i="1" s="1"/>
  <c r="BV292" i="1"/>
  <c r="BI292" i="1"/>
  <c r="BE292" i="1" s="1"/>
  <c r="BD292" i="1" s="1"/>
  <c r="AU292" i="1"/>
  <c r="AT292" i="1"/>
  <c r="AS292" i="1"/>
  <c r="AR292" i="1"/>
  <c r="F292" i="1"/>
  <c r="G292" i="1" s="1"/>
  <c r="BV291" i="1"/>
  <c r="BI291" i="1"/>
  <c r="BE291" i="1" s="1"/>
  <c r="BD291" i="1" s="1"/>
  <c r="AU291" i="1"/>
  <c r="AT291" i="1"/>
  <c r="AS291" i="1"/>
  <c r="AR291" i="1"/>
  <c r="F291" i="1"/>
  <c r="G291" i="1" s="1"/>
  <c r="AS290" i="1"/>
  <c r="BV290" i="1"/>
  <c r="BI290" i="1"/>
  <c r="BE290" i="1" s="1"/>
  <c r="BD290" i="1" s="1"/>
  <c r="AU290" i="1"/>
  <c r="AT290" i="1"/>
  <c r="AR290" i="1"/>
  <c r="F290" i="1"/>
  <c r="G290" i="1" s="1"/>
  <c r="AS333" i="1"/>
  <c r="AS329" i="1"/>
  <c r="AS327" i="1"/>
  <c r="AS325" i="1"/>
  <c r="AS323" i="1"/>
  <c r="AS401" i="1"/>
  <c r="AS400" i="1"/>
  <c r="AS399" i="1"/>
  <c r="AS397" i="1"/>
  <c r="AS396" i="1"/>
  <c r="AS395" i="1"/>
  <c r="AS355" i="1"/>
  <c r="AS354" i="1"/>
  <c r="AS353" i="1"/>
  <c r="AS352" i="1"/>
  <c r="AS233" i="1"/>
  <c r="AS232" i="1"/>
  <c r="AS231" i="1"/>
  <c r="AS230" i="1"/>
  <c r="AS228" i="1"/>
  <c r="AS227" i="1"/>
  <c r="AS226" i="1"/>
  <c r="AS208" i="1"/>
  <c r="AS204" i="1"/>
  <c r="AS203" i="1"/>
  <c r="AS180" i="1"/>
  <c r="AS116" i="1"/>
  <c r="AS115" i="1"/>
  <c r="AS114" i="1"/>
  <c r="AS28" i="1"/>
  <c r="BV313" i="1"/>
  <c r="BI313" i="1"/>
  <c r="BE313" i="1" s="1"/>
  <c r="BD313" i="1" s="1"/>
  <c r="AU313" i="1"/>
  <c r="AT313" i="1"/>
  <c r="AS313" i="1"/>
  <c r="AR313" i="1"/>
  <c r="F313" i="1"/>
  <c r="BV302" i="1"/>
  <c r="BI302" i="1"/>
  <c r="BE302" i="1" s="1"/>
  <c r="BD302" i="1" s="1"/>
  <c r="AU302" i="1"/>
  <c r="AT302" i="1"/>
  <c r="AS302" i="1"/>
  <c r="AR302" i="1"/>
  <c r="F302" i="1"/>
  <c r="BV343" i="1"/>
  <c r="BI343" i="1"/>
  <c r="BE343" i="1" s="1"/>
  <c r="BD343" i="1" s="1"/>
  <c r="AS343" i="1"/>
  <c r="AR343" i="1"/>
  <c r="F343" i="1"/>
  <c r="BI288" i="1"/>
  <c r="BE288" i="1" s="1"/>
  <c r="BV288" i="1"/>
  <c r="AU288" i="1"/>
  <c r="AT288" i="1"/>
  <c r="AS288" i="1"/>
  <c r="AR288" i="1"/>
  <c r="AN288" i="1"/>
  <c r="F288" i="1"/>
  <c r="G288" i="1" s="1"/>
  <c r="BV287" i="1"/>
  <c r="BI287" i="1"/>
  <c r="BE287" i="1" s="1"/>
  <c r="BD287" i="1" s="1"/>
  <c r="AU287" i="1"/>
  <c r="AT287" i="1"/>
  <c r="AS287" i="1"/>
  <c r="AR287" i="1"/>
  <c r="AN287" i="1"/>
  <c r="F287" i="1"/>
  <c r="BV285" i="1"/>
  <c r="BI285" i="1"/>
  <c r="BE285" i="1" s="1"/>
  <c r="BD285" i="1" s="1"/>
  <c r="AU285" i="1"/>
  <c r="AT285" i="1"/>
  <c r="AS285" i="1"/>
  <c r="AR285" i="1"/>
  <c r="AN285" i="1"/>
  <c r="F285" i="1"/>
  <c r="BV286" i="1"/>
  <c r="BI286" i="1"/>
  <c r="BE286" i="1" s="1"/>
  <c r="BD286" i="1" s="1"/>
  <c r="AU286" i="1"/>
  <c r="AT286" i="1"/>
  <c r="AS286" i="1"/>
  <c r="AR286" i="1"/>
  <c r="AN286" i="1"/>
  <c r="F286" i="1"/>
  <c r="G286" i="1" s="1"/>
  <c r="BV284" i="1"/>
  <c r="BI284" i="1"/>
  <c r="BE284" i="1" s="1"/>
  <c r="BD284" i="1" s="1"/>
  <c r="AU284" i="1"/>
  <c r="AT284" i="1"/>
  <c r="AS284" i="1"/>
  <c r="AR284" i="1"/>
  <c r="AN284" i="1"/>
  <c r="F284" i="1"/>
  <c r="G284" i="1" s="1"/>
  <c r="BV283" i="1"/>
  <c r="BI283" i="1"/>
  <c r="BE283" i="1" s="1"/>
  <c r="BD283" i="1" s="1"/>
  <c r="AU283" i="1"/>
  <c r="AT283" i="1"/>
  <c r="AS283" i="1"/>
  <c r="AR283" i="1"/>
  <c r="AN283" i="1"/>
  <c r="F283" i="1"/>
  <c r="AS282" i="1"/>
  <c r="AT282" i="1"/>
  <c r="AU282" i="1"/>
  <c r="AR282" i="1"/>
  <c r="AN282" i="1"/>
  <c r="BV430" i="1"/>
  <c r="BI430" i="1"/>
  <c r="BE430" i="1"/>
  <c r="BF430" i="1" s="1"/>
  <c r="BD430" i="1"/>
  <c r="F430" i="1"/>
  <c r="BV282" i="1"/>
  <c r="BI282" i="1"/>
  <c r="BE282" i="1" s="1"/>
  <c r="BD282" i="1" s="1"/>
  <c r="F282" i="1"/>
  <c r="AU321" i="1"/>
  <c r="AU319" i="1"/>
  <c r="AU26" i="1"/>
  <c r="AS26" i="1"/>
  <c r="AS319" i="1"/>
  <c r="AS321" i="1"/>
  <c r="AT321" i="1"/>
  <c r="AT319" i="1"/>
  <c r="AT26" i="1"/>
  <c r="AZ321" i="1"/>
  <c r="AZ319" i="1"/>
  <c r="AZ26" i="1"/>
  <c r="AU333" i="1"/>
  <c r="AU329" i="1"/>
  <c r="AU327" i="1"/>
  <c r="AU325" i="1"/>
  <c r="AU323" i="1"/>
  <c r="AR333" i="1"/>
  <c r="AR329" i="1"/>
  <c r="AR327" i="1"/>
  <c r="AR325" i="1"/>
  <c r="AR323" i="1"/>
  <c r="AR316" i="1"/>
  <c r="AR315" i="1"/>
  <c r="AR314" i="1"/>
  <c r="AR298" i="1"/>
  <c r="AR312" i="1"/>
  <c r="AR311" i="1"/>
  <c r="AR296" i="1"/>
  <c r="AR310" i="1"/>
  <c r="AR300" i="1"/>
  <c r="AR308" i="1"/>
  <c r="AR303" i="1"/>
  <c r="AR301" i="1"/>
  <c r="AR309" i="1"/>
  <c r="AR304" i="1"/>
  <c r="AR307" i="1"/>
  <c r="AR306" i="1"/>
  <c r="AR305" i="1"/>
  <c r="AR299" i="1"/>
  <c r="AR297" i="1"/>
  <c r="AT316" i="1"/>
  <c r="AT315" i="1"/>
  <c r="AT314" i="1"/>
  <c r="AT298" i="1"/>
  <c r="AT312" i="1"/>
  <c r="AT311" i="1"/>
  <c r="AT296" i="1"/>
  <c r="AT310" i="1"/>
  <c r="AT300" i="1"/>
  <c r="AT308" i="1"/>
  <c r="AT303" i="1"/>
  <c r="AT301" i="1"/>
  <c r="AT309" i="1"/>
  <c r="AT304" i="1"/>
  <c r="AT307" i="1"/>
  <c r="AT306" i="1"/>
  <c r="AT305" i="1"/>
  <c r="AT299" i="1"/>
  <c r="AT297" i="1"/>
  <c r="BV335" i="1"/>
  <c r="BI335" i="1"/>
  <c r="BE335" i="1"/>
  <c r="BF335" i="1" s="1"/>
  <c r="BD335" i="1"/>
  <c r="F335" i="1"/>
  <c r="BV295" i="1"/>
  <c r="BI295" i="1"/>
  <c r="BE295" i="1"/>
  <c r="BD295" i="1"/>
  <c r="F295" i="1"/>
  <c r="BV317" i="1"/>
  <c r="BI317" i="1"/>
  <c r="BE317" i="1"/>
  <c r="BF317" i="1" s="1"/>
  <c r="BD317" i="1"/>
  <c r="F317" i="1"/>
  <c r="BV316" i="1"/>
  <c r="BI316" i="1"/>
  <c r="BE316" i="1" s="1"/>
  <c r="AU316" i="1"/>
  <c r="AS316" i="1"/>
  <c r="F316" i="1"/>
  <c r="BV315" i="1"/>
  <c r="BI315" i="1"/>
  <c r="BE315" i="1" s="1"/>
  <c r="AU315" i="1"/>
  <c r="AS315" i="1"/>
  <c r="F315" i="1"/>
  <c r="BV314" i="1"/>
  <c r="BI314" i="1"/>
  <c r="BE314" i="1" s="1"/>
  <c r="AU314" i="1"/>
  <c r="AS314" i="1"/>
  <c r="F314" i="1"/>
  <c r="BV298" i="1"/>
  <c r="BI298" i="1"/>
  <c r="BE298" i="1" s="1"/>
  <c r="AU298" i="1"/>
  <c r="AS298" i="1"/>
  <c r="F298" i="1"/>
  <c r="BV312" i="1"/>
  <c r="BI312" i="1"/>
  <c r="BE312" i="1" s="1"/>
  <c r="AU312" i="1"/>
  <c r="AS312" i="1"/>
  <c r="F312" i="1"/>
  <c r="BV311" i="1"/>
  <c r="BI311" i="1"/>
  <c r="BE311" i="1" s="1"/>
  <c r="AU311" i="1"/>
  <c r="AS311" i="1"/>
  <c r="F311" i="1"/>
  <c r="BV296" i="1"/>
  <c r="BI296" i="1"/>
  <c r="BE296" i="1" s="1"/>
  <c r="AU296" i="1"/>
  <c r="AS296" i="1"/>
  <c r="F296" i="1"/>
  <c r="BV310" i="1"/>
  <c r="BI310" i="1"/>
  <c r="BE310" i="1" s="1"/>
  <c r="AU310" i="1"/>
  <c r="AS310" i="1"/>
  <c r="F310" i="1"/>
  <c r="BV300" i="1"/>
  <c r="BI300" i="1"/>
  <c r="BE300" i="1" s="1"/>
  <c r="AU300" i="1"/>
  <c r="AS300" i="1"/>
  <c r="F300" i="1"/>
  <c r="BV308" i="1"/>
  <c r="BI308" i="1"/>
  <c r="BE308" i="1" s="1"/>
  <c r="AU308" i="1"/>
  <c r="AS308" i="1"/>
  <c r="F308" i="1"/>
  <c r="BV303" i="1"/>
  <c r="BI303" i="1"/>
  <c r="BE303" i="1" s="1"/>
  <c r="AU303" i="1"/>
  <c r="AS303" i="1"/>
  <c r="F303" i="1"/>
  <c r="BV301" i="1"/>
  <c r="BI301" i="1"/>
  <c r="BE301" i="1" s="1"/>
  <c r="AU301" i="1"/>
  <c r="AS301" i="1"/>
  <c r="F301" i="1"/>
  <c r="BV309" i="1"/>
  <c r="BI309" i="1"/>
  <c r="BE309" i="1" s="1"/>
  <c r="AU309" i="1"/>
  <c r="AS309" i="1"/>
  <c r="F309" i="1"/>
  <c r="BV304" i="1"/>
  <c r="BI304" i="1"/>
  <c r="BE304" i="1" s="1"/>
  <c r="AU304" i="1"/>
  <c r="AS304" i="1"/>
  <c r="F304" i="1"/>
  <c r="BV307" i="1"/>
  <c r="BI307" i="1"/>
  <c r="BE307" i="1" s="1"/>
  <c r="BD307" i="1" s="1"/>
  <c r="AU307" i="1"/>
  <c r="AS307" i="1"/>
  <c r="F307" i="1"/>
  <c r="BV306" i="1"/>
  <c r="BI306" i="1"/>
  <c r="BE306" i="1" s="1"/>
  <c r="AU306" i="1"/>
  <c r="AS306" i="1"/>
  <c r="F306" i="1"/>
  <c r="BV305" i="1"/>
  <c r="BI305" i="1"/>
  <c r="BE305" i="1" s="1"/>
  <c r="BD305" i="1" s="1"/>
  <c r="AU305" i="1"/>
  <c r="AS305" i="1"/>
  <c r="F305" i="1"/>
  <c r="BV299" i="1"/>
  <c r="BI299" i="1"/>
  <c r="BE299" i="1" s="1"/>
  <c r="BD299" i="1" s="1"/>
  <c r="AU299" i="1"/>
  <c r="AS299" i="1"/>
  <c r="F299" i="1"/>
  <c r="AS297" i="1"/>
  <c r="BI297" i="1"/>
  <c r="BE297" i="1" s="1"/>
  <c r="BD297" i="1" s="1"/>
  <c r="AU297" i="1"/>
  <c r="G161" i="1"/>
  <c r="BV386" i="1"/>
  <c r="BI386" i="1"/>
  <c r="BH386" i="1"/>
  <c r="BE386" i="1" s="1"/>
  <c r="BF386" i="1" s="1"/>
  <c r="BB386" i="1"/>
  <c r="F386" i="1"/>
  <c r="BV415" i="1"/>
  <c r="BI415" i="1"/>
  <c r="BE415" i="1"/>
  <c r="BF415" i="1" s="1"/>
  <c r="BD415" i="1"/>
  <c r="F415" i="1"/>
  <c r="BV162" i="1"/>
  <c r="BI162" i="1"/>
  <c r="BH162" i="1"/>
  <c r="BE162" i="1" s="1"/>
  <c r="BB162" i="1"/>
  <c r="S162" i="1"/>
  <c r="T162" i="1" s="1"/>
  <c r="F162" i="1"/>
  <c r="BV161" i="1"/>
  <c r="BI161" i="1"/>
  <c r="BH161" i="1"/>
  <c r="BE161" i="1" s="1"/>
  <c r="BF161" i="1" s="1"/>
  <c r="BB161" i="1"/>
  <c r="F161" i="1"/>
  <c r="BV377" i="1"/>
  <c r="BE377" i="1"/>
  <c r="BD377" i="1" s="1"/>
  <c r="U377" i="1"/>
  <c r="T377" i="1"/>
  <c r="F377" i="1"/>
  <c r="BV376" i="1"/>
  <c r="BE376" i="1"/>
  <c r="BF376" i="1" s="1"/>
  <c r="U376" i="1"/>
  <c r="T376" i="1"/>
  <c r="F376" i="1"/>
  <c r="BV403" i="1"/>
  <c r="BI403" i="1"/>
  <c r="BE403" i="1" s="1"/>
  <c r="BF403" i="1" s="1"/>
  <c r="U403" i="1"/>
  <c r="T403" i="1"/>
  <c r="F403" i="1"/>
  <c r="BV402" i="1"/>
  <c r="BI402" i="1"/>
  <c r="BE402" i="1" s="1"/>
  <c r="BF402" i="1" s="1"/>
  <c r="T402" i="1"/>
  <c r="F402" i="1"/>
  <c r="BV401" i="1"/>
  <c r="BI401" i="1"/>
  <c r="BE401" i="1" s="1"/>
  <c r="AU401" i="1"/>
  <c r="AR401" i="1"/>
  <c r="F401" i="1"/>
  <c r="BV400" i="1"/>
  <c r="BI400" i="1"/>
  <c r="BE400" i="1" s="1"/>
  <c r="AU400" i="1"/>
  <c r="AR400" i="1"/>
  <c r="F400" i="1"/>
  <c r="BV399" i="1"/>
  <c r="BI399" i="1"/>
  <c r="BE399" i="1" s="1"/>
  <c r="BB399" i="1"/>
  <c r="AU399" i="1"/>
  <c r="AT399" i="1"/>
  <c r="AR399" i="1"/>
  <c r="U399" i="1"/>
  <c r="T399" i="1"/>
  <c r="F399" i="1"/>
  <c r="BV398" i="1"/>
  <c r="BI398" i="1"/>
  <c r="BE398" i="1" s="1"/>
  <c r="T398" i="1"/>
  <c r="F398" i="1"/>
  <c r="BV397" i="1"/>
  <c r="BI397" i="1"/>
  <c r="BE397" i="1" s="1"/>
  <c r="AU397" i="1"/>
  <c r="AR397" i="1"/>
  <c r="F397" i="1"/>
  <c r="BV396" i="1"/>
  <c r="BI396" i="1"/>
  <c r="BE396" i="1" s="1"/>
  <c r="AU396" i="1"/>
  <c r="AR396" i="1"/>
  <c r="F396" i="1"/>
  <c r="BV395" i="1"/>
  <c r="BI395" i="1"/>
  <c r="BE395" i="1" s="1"/>
  <c r="BB395" i="1"/>
  <c r="AU395" i="1"/>
  <c r="AT395" i="1"/>
  <c r="AR395" i="1"/>
  <c r="U395" i="1"/>
  <c r="T395" i="1"/>
  <c r="F395" i="1"/>
  <c r="BV394" i="1"/>
  <c r="BI394" i="1"/>
  <c r="BE394" i="1" s="1"/>
  <c r="T394" i="1"/>
  <c r="F394" i="1"/>
  <c r="BV393" i="1"/>
  <c r="BE393" i="1"/>
  <c r="BF393" i="1" s="1"/>
  <c r="U393" i="1"/>
  <c r="T393" i="1"/>
  <c r="F393" i="1"/>
  <c r="BV392" i="1"/>
  <c r="BE392" i="1"/>
  <c r="BF392" i="1" s="1"/>
  <c r="U392" i="1"/>
  <c r="T392" i="1"/>
  <c r="F392" i="1"/>
  <c r="BV391" i="1"/>
  <c r="BI391" i="1"/>
  <c r="BE391" i="1" s="1"/>
  <c r="U391" i="1"/>
  <c r="T391" i="1"/>
  <c r="F391" i="1"/>
  <c r="BV390" i="1"/>
  <c r="BI390" i="1"/>
  <c r="BE390" i="1" s="1"/>
  <c r="T390" i="1"/>
  <c r="F390" i="1"/>
  <c r="BV389" i="1"/>
  <c r="BI389" i="1"/>
  <c r="BE389" i="1" s="1"/>
  <c r="U389" i="1"/>
  <c r="T389" i="1"/>
  <c r="F389" i="1"/>
  <c r="BV388" i="1"/>
  <c r="BI388" i="1"/>
  <c r="BE388" i="1" s="1"/>
  <c r="BF388" i="1" s="1"/>
  <c r="T388" i="1"/>
  <c r="F388" i="1"/>
  <c r="BV355" i="1"/>
  <c r="BI355" i="1"/>
  <c r="BE355" i="1" s="1"/>
  <c r="BD355" i="1" s="1"/>
  <c r="BB355" i="1"/>
  <c r="AU355" i="1"/>
  <c r="AT355" i="1"/>
  <c r="AR355" i="1"/>
  <c r="F355" i="1"/>
  <c r="BV354" i="1"/>
  <c r="BI354" i="1"/>
  <c r="BE354" i="1" s="1"/>
  <c r="BD354" i="1" s="1"/>
  <c r="BB354" i="1"/>
  <c r="AU354" i="1"/>
  <c r="AT354" i="1"/>
  <c r="AR354" i="1"/>
  <c r="F354" i="1"/>
  <c r="BV353" i="1"/>
  <c r="BI353" i="1"/>
  <c r="BE353" i="1" s="1"/>
  <c r="BB353" i="1"/>
  <c r="AU353" i="1"/>
  <c r="AT353" i="1"/>
  <c r="AR353" i="1"/>
  <c r="F353" i="1"/>
  <c r="BV352" i="1"/>
  <c r="BI352" i="1"/>
  <c r="BE352" i="1" s="1"/>
  <c r="BB352" i="1"/>
  <c r="AU352" i="1"/>
  <c r="AT352" i="1"/>
  <c r="AR352" i="1"/>
  <c r="F352" i="1"/>
  <c r="BV326" i="1"/>
  <c r="BI326" i="1"/>
  <c r="BF326" i="1"/>
  <c r="AS326" i="1"/>
  <c r="AR326" i="1"/>
  <c r="F326" i="1"/>
  <c r="BG326" i="1" s="1"/>
  <c r="BV325" i="1"/>
  <c r="BI325" i="1"/>
  <c r="BE325" i="1" s="1"/>
  <c r="BD325" i="1" s="1"/>
  <c r="F325" i="1"/>
  <c r="BV324" i="1"/>
  <c r="BI324" i="1"/>
  <c r="BF324" i="1"/>
  <c r="AS324" i="1"/>
  <c r="AR324" i="1"/>
  <c r="F324" i="1"/>
  <c r="BG324" i="1" s="1"/>
  <c r="BV323" i="1"/>
  <c r="BI323" i="1"/>
  <c r="BE323" i="1" s="1"/>
  <c r="BD323" i="1" s="1"/>
  <c r="F323" i="1"/>
  <c r="BI474" i="1"/>
  <c r="BV475" i="1"/>
  <c r="BJ475" i="1"/>
  <c r="BE475" i="1" s="1"/>
  <c r="BI475" i="1"/>
  <c r="F475" i="1"/>
  <c r="BV476" i="1"/>
  <c r="BJ476" i="1"/>
  <c r="BE476" i="1" s="1"/>
  <c r="BI476" i="1"/>
  <c r="F476" i="1"/>
  <c r="BV488" i="1"/>
  <c r="BI488" i="1"/>
  <c r="BE488" i="1"/>
  <c r="BF488" i="1" s="1"/>
  <c r="AS488" i="1"/>
  <c r="AR488" i="1"/>
  <c r="F488" i="1"/>
  <c r="BV487" i="1"/>
  <c r="BI487" i="1"/>
  <c r="BE487" i="1"/>
  <c r="BF487" i="1" s="1"/>
  <c r="AS487" i="1"/>
  <c r="AR487" i="1"/>
  <c r="F487" i="1"/>
  <c r="BI485" i="1"/>
  <c r="BI484" i="1"/>
  <c r="BV484" i="1"/>
  <c r="BE484" i="1"/>
  <c r="BF484" i="1" s="1"/>
  <c r="AS484" i="1"/>
  <c r="AR484" i="1"/>
  <c r="F484" i="1"/>
  <c r="BV483" i="1"/>
  <c r="BI483" i="1"/>
  <c r="BE483" i="1"/>
  <c r="BF483" i="1" s="1"/>
  <c r="AS483" i="1"/>
  <c r="AR483" i="1"/>
  <c r="F483" i="1"/>
  <c r="BD469" i="1"/>
  <c r="BD454" i="1"/>
  <c r="BD459" i="1"/>
  <c r="BD467" i="1"/>
  <c r="BJ477" i="1"/>
  <c r="BE477" i="1" s="1"/>
  <c r="BD477" i="1" s="1"/>
  <c r="BV477" i="1"/>
  <c r="BI477" i="1"/>
  <c r="F477" i="1"/>
  <c r="BV128" i="1"/>
  <c r="BI128" i="1"/>
  <c r="BH128" i="1"/>
  <c r="BE128" i="1" s="1"/>
  <c r="BF128" i="1" s="1"/>
  <c r="BB128" i="1"/>
  <c r="F128" i="1"/>
  <c r="BV127" i="1"/>
  <c r="BI127" i="1"/>
  <c r="BH127" i="1"/>
  <c r="BE127" i="1" s="1"/>
  <c r="BF127" i="1" s="1"/>
  <c r="T127" i="1"/>
  <c r="F127" i="1"/>
  <c r="BV42" i="1"/>
  <c r="BI42" i="1"/>
  <c r="BE42" i="1"/>
  <c r="BF42" i="1" s="1"/>
  <c r="BD42" i="1"/>
  <c r="F42" i="1"/>
  <c r="BI109" i="1"/>
  <c r="BE109" i="1" s="1"/>
  <c r="BF109" i="1" s="1"/>
  <c r="BI108" i="1"/>
  <c r="BE108" i="1" s="1"/>
  <c r="T109" i="1"/>
  <c r="T108" i="1"/>
  <c r="BV109" i="1"/>
  <c r="U109" i="1"/>
  <c r="F109" i="1"/>
  <c r="BV108" i="1"/>
  <c r="U108" i="1"/>
  <c r="F108" i="1"/>
  <c r="BI366" i="1"/>
  <c r="BE366" i="1" s="1"/>
  <c r="BI367" i="1"/>
  <c r="BE367" i="1" s="1"/>
  <c r="T367" i="1"/>
  <c r="T366" i="1"/>
  <c r="BV367" i="1"/>
  <c r="U367" i="1"/>
  <c r="F367" i="1"/>
  <c r="BV366" i="1"/>
  <c r="U366" i="1"/>
  <c r="F366" i="1"/>
  <c r="F105" i="1"/>
  <c r="BG105" i="1" s="1"/>
  <c r="F104" i="1"/>
  <c r="BG104" i="1" s="1"/>
  <c r="F103" i="1"/>
  <c r="BG103" i="1" s="1"/>
  <c r="F94" i="1"/>
  <c r="BG94" i="1" s="1"/>
  <c r="BV94" i="1"/>
  <c r="BI94" i="1"/>
  <c r="BF94" i="1"/>
  <c r="AS94" i="1"/>
  <c r="AR94" i="1"/>
  <c r="AR103" i="1"/>
  <c r="AS103" i="1"/>
  <c r="BF103" i="1"/>
  <c r="BI103" i="1"/>
  <c r="BV103" i="1"/>
  <c r="AR104" i="1"/>
  <c r="AS104" i="1"/>
  <c r="BF104" i="1"/>
  <c r="BI104" i="1"/>
  <c r="BV104" i="1"/>
  <c r="AR105" i="1"/>
  <c r="AS105" i="1"/>
  <c r="BF105" i="1"/>
  <c r="BI105" i="1"/>
  <c r="BV105" i="1"/>
  <c r="BV479" i="1"/>
  <c r="BI479" i="1"/>
  <c r="BE479" i="1"/>
  <c r="BF479" i="1" s="1"/>
  <c r="F479" i="1"/>
  <c r="BV481" i="1"/>
  <c r="BI481" i="1"/>
  <c r="BE481" i="1"/>
  <c r="BF481" i="1" s="1"/>
  <c r="F481" i="1"/>
  <c r="BE480" i="1"/>
  <c r="BF480" i="1" s="1"/>
  <c r="BV480" i="1"/>
  <c r="BI480" i="1"/>
  <c r="F480" i="1"/>
  <c r="BV107" i="1"/>
  <c r="BI107" i="1"/>
  <c r="BE107" i="1" s="1"/>
  <c r="U107" i="1"/>
  <c r="T107" i="1"/>
  <c r="F107" i="1"/>
  <c r="BV106" i="1"/>
  <c r="BI106" i="1"/>
  <c r="BE106" i="1" s="1"/>
  <c r="T106" i="1"/>
  <c r="F106" i="1"/>
  <c r="BV56" i="1"/>
  <c r="BI56" i="1"/>
  <c r="BE56" i="1"/>
  <c r="BF56" i="1" s="1"/>
  <c r="BD56" i="1"/>
  <c r="F56" i="1"/>
  <c r="BV465" i="1"/>
  <c r="BI465" i="1"/>
  <c r="BE465" i="1"/>
  <c r="BF465" i="1" s="1"/>
  <c r="BD465" i="1"/>
  <c r="F465" i="1"/>
  <c r="BV464" i="1"/>
  <c r="BI464" i="1"/>
  <c r="BE464" i="1"/>
  <c r="BF464" i="1" s="1"/>
  <c r="BD464" i="1"/>
  <c r="F464" i="1"/>
  <c r="BV463" i="1"/>
  <c r="BI463" i="1"/>
  <c r="BE463" i="1"/>
  <c r="BF463" i="1" s="1"/>
  <c r="BD463" i="1"/>
  <c r="F463" i="1"/>
  <c r="BV462" i="1"/>
  <c r="BI462" i="1"/>
  <c r="BE462" i="1"/>
  <c r="BF462" i="1" s="1"/>
  <c r="BD462" i="1"/>
  <c r="F462" i="1"/>
  <c r="BV461" i="1"/>
  <c r="BI461" i="1"/>
  <c r="BE461" i="1"/>
  <c r="BF461" i="1" s="1"/>
  <c r="BD461" i="1"/>
  <c r="F461" i="1"/>
  <c r="BV460" i="1"/>
  <c r="BI460" i="1"/>
  <c r="BE460" i="1"/>
  <c r="BF460" i="1" s="1"/>
  <c r="BD460" i="1"/>
  <c r="F460" i="1"/>
  <c r="BV438" i="1"/>
  <c r="BI438" i="1"/>
  <c r="BE438" i="1" s="1"/>
  <c r="BF438" i="1" s="1"/>
  <c r="F438" i="1"/>
  <c r="F132" i="1"/>
  <c r="BD132" i="1"/>
  <c r="BE132" i="1"/>
  <c r="BF132" i="1" s="1"/>
  <c r="BI132" i="1"/>
  <c r="BV132" i="1"/>
  <c r="BV131" i="1"/>
  <c r="BI131" i="1"/>
  <c r="BE131" i="1"/>
  <c r="BF131" i="1" s="1"/>
  <c r="AS131" i="1"/>
  <c r="AR131" i="1"/>
  <c r="F131" i="1"/>
  <c r="BV130" i="1"/>
  <c r="BI130" i="1"/>
  <c r="BH130" i="1"/>
  <c r="BE130" i="1" s="1"/>
  <c r="BB130" i="1"/>
  <c r="F130" i="1"/>
  <c r="BV129" i="1"/>
  <c r="BI129" i="1"/>
  <c r="BH129" i="1"/>
  <c r="BE129" i="1" s="1"/>
  <c r="T129" i="1"/>
  <c r="F129" i="1"/>
  <c r="BV126" i="1"/>
  <c r="BI126" i="1"/>
  <c r="BH126" i="1"/>
  <c r="BE126" i="1" s="1"/>
  <c r="BF126" i="1" s="1"/>
  <c r="BB126" i="1"/>
  <c r="F126" i="1"/>
  <c r="BV125" i="1"/>
  <c r="BI125" i="1"/>
  <c r="BH125" i="1"/>
  <c r="BE125" i="1" s="1"/>
  <c r="BF125" i="1" s="1"/>
  <c r="T125" i="1"/>
  <c r="F125" i="1"/>
  <c r="BV124" i="1"/>
  <c r="BI124" i="1"/>
  <c r="BH124" i="1"/>
  <c r="BE124" i="1" s="1"/>
  <c r="BB124" i="1"/>
  <c r="F124" i="1"/>
  <c r="BV123" i="1"/>
  <c r="BI123" i="1"/>
  <c r="BH123" i="1"/>
  <c r="BE123" i="1" s="1"/>
  <c r="BF123" i="1" s="1"/>
  <c r="T123" i="1"/>
  <c r="F123" i="1"/>
  <c r="BV122" i="1"/>
  <c r="BI122" i="1"/>
  <c r="BH122" i="1"/>
  <c r="BE122" i="1" s="1"/>
  <c r="BF122" i="1" s="1"/>
  <c r="BB122" i="1"/>
  <c r="F122" i="1"/>
  <c r="BV121" i="1"/>
  <c r="BI121" i="1"/>
  <c r="BH121" i="1"/>
  <c r="BE121" i="1" s="1"/>
  <c r="BF121" i="1" s="1"/>
  <c r="T121" i="1"/>
  <c r="F121" i="1"/>
  <c r="BV222" i="1"/>
  <c r="BI222" i="1"/>
  <c r="BE222" i="1"/>
  <c r="BF222" i="1" s="1"/>
  <c r="BD222" i="1"/>
  <c r="F222" i="1"/>
  <c r="AZ92" i="1"/>
  <c r="AZ91" i="1"/>
  <c r="AZ90" i="1"/>
  <c r="AZ89" i="1"/>
  <c r="AZ87" i="1"/>
  <c r="AZ86" i="1"/>
  <c r="AZ83" i="1"/>
  <c r="AZ84" i="1"/>
  <c r="BV328" i="1"/>
  <c r="BI328" i="1"/>
  <c r="BF328" i="1"/>
  <c r="AS328" i="1"/>
  <c r="AR328" i="1"/>
  <c r="F328" i="1"/>
  <c r="BG328" i="1" s="1"/>
  <c r="BV327" i="1"/>
  <c r="BI327" i="1"/>
  <c r="BE327" i="1" s="1"/>
  <c r="BD327" i="1" s="1"/>
  <c r="F327" i="1"/>
  <c r="BI486" i="1"/>
  <c r="BE485" i="1"/>
  <c r="BF485" i="1" s="1"/>
  <c r="BE486" i="1"/>
  <c r="BF486" i="1" s="1"/>
  <c r="F485" i="1"/>
  <c r="AR485" i="1"/>
  <c r="AS485" i="1"/>
  <c r="BV485" i="1"/>
  <c r="F486" i="1"/>
  <c r="AR486" i="1"/>
  <c r="AS486" i="1"/>
  <c r="BV486" i="1"/>
  <c r="F17" i="1"/>
  <c r="BV41" i="1"/>
  <c r="BI41" i="1"/>
  <c r="BE41" i="1"/>
  <c r="BF41" i="1" s="1"/>
  <c r="BD41" i="1"/>
  <c r="F41" i="1"/>
  <c r="BV43" i="1"/>
  <c r="BI43" i="1"/>
  <c r="BE43" i="1"/>
  <c r="BF43" i="1" s="1"/>
  <c r="BD43" i="1"/>
  <c r="F43" i="1"/>
  <c r="BF5" i="1"/>
  <c r="BF7" i="1"/>
  <c r="BF9" i="1"/>
  <c r="BF11" i="1"/>
  <c r="BF13" i="1"/>
  <c r="BF15" i="1"/>
  <c r="BF17" i="1"/>
  <c r="BF19" i="1"/>
  <c r="BF21" i="1"/>
  <c r="BF23" i="1"/>
  <c r="BF25" i="1"/>
  <c r="BF27" i="1"/>
  <c r="BF29" i="1"/>
  <c r="BF31" i="1"/>
  <c r="BF234" i="1"/>
  <c r="BF318" i="1"/>
  <c r="BF320" i="1"/>
  <c r="BF322" i="1"/>
  <c r="BF330" i="1"/>
  <c r="BF331" i="1"/>
  <c r="BF332" i="1"/>
  <c r="BF33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BG29" i="1" s="1"/>
  <c r="F30" i="1"/>
  <c r="F31" i="1"/>
  <c r="F32" i="1"/>
  <c r="F33" i="1"/>
  <c r="F34" i="1"/>
  <c r="F35" i="1"/>
  <c r="F36" i="1"/>
  <c r="F37" i="1"/>
  <c r="F38" i="1"/>
  <c r="F40" i="1"/>
  <c r="F39" i="1"/>
  <c r="F44" i="1"/>
  <c r="F45" i="1"/>
  <c r="F46" i="1"/>
  <c r="F47" i="1"/>
  <c r="F48" i="1"/>
  <c r="F49" i="1"/>
  <c r="F50" i="1"/>
  <c r="F51" i="1"/>
  <c r="F52" i="1"/>
  <c r="F53" i="1"/>
  <c r="F54" i="1"/>
  <c r="F55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33" i="1"/>
  <c r="F234" i="1"/>
  <c r="F95" i="1"/>
  <c r="F96" i="1"/>
  <c r="F97" i="1"/>
  <c r="F98" i="1"/>
  <c r="F99" i="1"/>
  <c r="F100" i="1"/>
  <c r="F101" i="1"/>
  <c r="F102" i="1"/>
  <c r="F110" i="1"/>
  <c r="F111" i="1"/>
  <c r="F112" i="1"/>
  <c r="F113" i="1"/>
  <c r="F114" i="1"/>
  <c r="F115" i="1"/>
  <c r="F116" i="1"/>
  <c r="F117" i="1"/>
  <c r="F118" i="1"/>
  <c r="F119" i="1"/>
  <c r="F120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3" i="1"/>
  <c r="F224" i="1"/>
  <c r="F225" i="1"/>
  <c r="F226" i="1"/>
  <c r="F227" i="1"/>
  <c r="F228" i="1"/>
  <c r="F229" i="1"/>
  <c r="F230" i="1"/>
  <c r="F231" i="1"/>
  <c r="F232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97" i="1"/>
  <c r="F318" i="1"/>
  <c r="F319" i="1"/>
  <c r="F320" i="1"/>
  <c r="F321" i="1"/>
  <c r="F322" i="1"/>
  <c r="F329" i="1"/>
  <c r="F330" i="1"/>
  <c r="BG330" i="1" s="1"/>
  <c r="F331" i="1"/>
  <c r="BG331" i="1" s="1"/>
  <c r="F332" i="1"/>
  <c r="F333" i="1"/>
  <c r="F334" i="1"/>
  <c r="F336" i="1"/>
  <c r="F337" i="1"/>
  <c r="F338" i="1"/>
  <c r="F339" i="1"/>
  <c r="F340" i="1"/>
  <c r="F341" i="1"/>
  <c r="F342" i="1"/>
  <c r="F344" i="1"/>
  <c r="F345" i="1"/>
  <c r="F346" i="1"/>
  <c r="F347" i="1"/>
  <c r="F348" i="1"/>
  <c r="F349" i="1"/>
  <c r="F350" i="1"/>
  <c r="F351" i="1"/>
  <c r="F356" i="1"/>
  <c r="F357" i="1"/>
  <c r="F358" i="1"/>
  <c r="F359" i="1"/>
  <c r="F360" i="1"/>
  <c r="F361" i="1"/>
  <c r="F362" i="1"/>
  <c r="F363" i="1"/>
  <c r="F364" i="1"/>
  <c r="F365" i="1"/>
  <c r="F368" i="1"/>
  <c r="F369" i="1"/>
  <c r="F370" i="1"/>
  <c r="F371" i="1"/>
  <c r="F372" i="1"/>
  <c r="F373" i="1"/>
  <c r="F374" i="1"/>
  <c r="F375" i="1"/>
  <c r="F378" i="1"/>
  <c r="F379" i="1"/>
  <c r="F380" i="1"/>
  <c r="F381" i="1"/>
  <c r="F382" i="1"/>
  <c r="F383" i="1"/>
  <c r="F384" i="1"/>
  <c r="F385" i="1"/>
  <c r="F387" i="1"/>
  <c r="F404" i="1"/>
  <c r="F405" i="1"/>
  <c r="F406" i="1"/>
  <c r="F407" i="1"/>
  <c r="F408" i="1"/>
  <c r="F409" i="1"/>
  <c r="F410" i="1"/>
  <c r="F411" i="1"/>
  <c r="F412" i="1"/>
  <c r="F413" i="1"/>
  <c r="F414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1" i="1"/>
  <c r="F432" i="1"/>
  <c r="F433" i="1"/>
  <c r="F434" i="1"/>
  <c r="F435" i="1"/>
  <c r="F436" i="1"/>
  <c r="F437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6" i="1"/>
  <c r="F467" i="1"/>
  <c r="F468" i="1"/>
  <c r="F469" i="1"/>
  <c r="F470" i="1"/>
  <c r="F471" i="1"/>
  <c r="F472" i="1"/>
  <c r="F473" i="1"/>
  <c r="F474" i="1"/>
  <c r="F478" i="1"/>
  <c r="F482" i="1"/>
  <c r="F489" i="1"/>
  <c r="F490" i="1"/>
  <c r="AR342" i="1"/>
  <c r="AR54" i="1"/>
  <c r="AR36" i="1"/>
  <c r="AR24" i="1"/>
  <c r="AR92" i="1"/>
  <c r="AR91" i="1"/>
  <c r="AR90" i="1"/>
  <c r="AR89" i="1"/>
  <c r="AR87" i="1"/>
  <c r="AR86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44" i="1"/>
  <c r="AR37" i="1"/>
  <c r="AR35" i="1"/>
  <c r="AR34" i="1"/>
  <c r="AR33" i="1"/>
  <c r="AR32" i="1"/>
  <c r="AR4" i="1"/>
  <c r="AR321" i="1"/>
  <c r="AR319" i="1"/>
  <c r="AR26" i="1"/>
  <c r="AR208" i="1"/>
  <c r="AR233" i="1"/>
  <c r="AR116" i="1"/>
  <c r="AR115" i="1"/>
  <c r="AR114" i="1"/>
  <c r="AR180" i="1"/>
  <c r="AR232" i="1"/>
  <c r="AR231" i="1"/>
  <c r="AR230" i="1"/>
  <c r="AR204" i="1"/>
  <c r="AR203" i="1"/>
  <c r="AR28" i="1"/>
  <c r="AR228" i="1"/>
  <c r="AR227" i="1"/>
  <c r="AR226" i="1"/>
  <c r="BI36" i="1"/>
  <c r="BI26" i="1"/>
  <c r="BV331" i="1"/>
  <c r="BI331" i="1"/>
  <c r="AS331" i="1"/>
  <c r="AR331" i="1"/>
  <c r="AR332" i="1"/>
  <c r="AS332" i="1"/>
  <c r="BI332" i="1"/>
  <c r="BV332" i="1"/>
  <c r="AR318" i="1"/>
  <c r="AS318" i="1"/>
  <c r="BI318" i="1"/>
  <c r="BV318" i="1"/>
  <c r="BV322" i="1"/>
  <c r="BI322" i="1"/>
  <c r="AS322" i="1"/>
  <c r="AR322" i="1"/>
  <c r="BV321" i="1"/>
  <c r="BI321" i="1"/>
  <c r="BE321" i="1" s="1"/>
  <c r="BD321" i="1" s="1"/>
  <c r="BV320" i="1"/>
  <c r="BI320" i="1"/>
  <c r="AS320" i="1"/>
  <c r="AR320" i="1"/>
  <c r="BV319" i="1"/>
  <c r="BI319" i="1"/>
  <c r="BE319" i="1" s="1"/>
  <c r="BD319" i="1" s="1"/>
  <c r="AR330" i="1"/>
  <c r="AS330" i="1"/>
  <c r="BI330" i="1"/>
  <c r="BV330" i="1"/>
  <c r="AR334" i="1"/>
  <c r="AS334" i="1"/>
  <c r="BI334" i="1"/>
  <c r="BV334" i="1"/>
  <c r="AZ54" i="1"/>
  <c r="AZ44" i="1"/>
  <c r="BV329" i="1"/>
  <c r="BI329" i="1"/>
  <c r="BE329" i="1" s="1"/>
  <c r="BD329" i="1" s="1"/>
  <c r="BI333" i="1"/>
  <c r="BE333" i="1" s="1"/>
  <c r="BD333" i="1" s="1"/>
  <c r="BV333" i="1"/>
  <c r="BV297" i="1"/>
  <c r="AZ77" i="1"/>
  <c r="AZ76" i="1"/>
  <c r="AZ75" i="1"/>
  <c r="AZ74" i="1"/>
  <c r="AZ73" i="1"/>
  <c r="AZ72" i="1"/>
  <c r="BF289" i="1" l="1"/>
  <c r="BG289" i="1"/>
  <c r="G289" i="1"/>
  <c r="BG293" i="1"/>
  <c r="BG294" i="1"/>
  <c r="BG290" i="1"/>
  <c r="BG291" i="1"/>
  <c r="BG292" i="1"/>
  <c r="BF291" i="1"/>
  <c r="BF293" i="1"/>
  <c r="BF292" i="1"/>
  <c r="BF294" i="1"/>
  <c r="BF290" i="1"/>
  <c r="BG313" i="1"/>
  <c r="BF313" i="1"/>
  <c r="BG302" i="1"/>
  <c r="BF302" i="1"/>
  <c r="BF343" i="1"/>
  <c r="BG343" i="1"/>
  <c r="BD288" i="1"/>
  <c r="BF288" i="1"/>
  <c r="BG288" i="1"/>
  <c r="BG283" i="1"/>
  <c r="BF284" i="1"/>
  <c r="BG287" i="1"/>
  <c r="BF287" i="1"/>
  <c r="BF285" i="1"/>
  <c r="BG285" i="1"/>
  <c r="BF286" i="1"/>
  <c r="BF283" i="1"/>
  <c r="BG286" i="1"/>
  <c r="BG284" i="1"/>
  <c r="G283" i="1"/>
  <c r="BG430" i="1"/>
  <c r="BG282" i="1"/>
  <c r="G282" i="1"/>
  <c r="BF282" i="1"/>
  <c r="BF325" i="1"/>
  <c r="BF323" i="1"/>
  <c r="BG335" i="1"/>
  <c r="BG317" i="1"/>
  <c r="BG295" i="1"/>
  <c r="BF295" i="1"/>
  <c r="BF300" i="1"/>
  <c r="BF311" i="1"/>
  <c r="BF304" i="1"/>
  <c r="BF303" i="1"/>
  <c r="BF315" i="1"/>
  <c r="BF306" i="1"/>
  <c r="BF296" i="1"/>
  <c r="BG304" i="1"/>
  <c r="BG296" i="1"/>
  <c r="BG306" i="1"/>
  <c r="BG309" i="1"/>
  <c r="BG312" i="1"/>
  <c r="BF301" i="1"/>
  <c r="BG303" i="1"/>
  <c r="BF298" i="1"/>
  <c r="BG315" i="1"/>
  <c r="BG305" i="1"/>
  <c r="BG300" i="1"/>
  <c r="BD306" i="1"/>
  <c r="BF305" i="1"/>
  <c r="BG301" i="1"/>
  <c r="BG298" i="1"/>
  <c r="BG307" i="1"/>
  <c r="BG308" i="1"/>
  <c r="BF314" i="1"/>
  <c r="BG316" i="1"/>
  <c r="BF299" i="1"/>
  <c r="BG310" i="1"/>
  <c r="BF308" i="1"/>
  <c r="BF316" i="1"/>
  <c r="BF307" i="1"/>
  <c r="BF310" i="1"/>
  <c r="BG311" i="1"/>
  <c r="BG299" i="1"/>
  <c r="BF309" i="1"/>
  <c r="BF312" i="1"/>
  <c r="BG314" i="1"/>
  <c r="BD304" i="1"/>
  <c r="BD309" i="1"/>
  <c r="BD301" i="1"/>
  <c r="BD303" i="1"/>
  <c r="BD308" i="1"/>
  <c r="BD300" i="1"/>
  <c r="BD310" i="1"/>
  <c r="BD296" i="1"/>
  <c r="BD311" i="1"/>
  <c r="BD312" i="1"/>
  <c r="BD298" i="1"/>
  <c r="BD314" i="1"/>
  <c r="BD315" i="1"/>
  <c r="BD316" i="1"/>
  <c r="BG386" i="1"/>
  <c r="BD386" i="1"/>
  <c r="BG162" i="1"/>
  <c r="BG415" i="1"/>
  <c r="BD161" i="1"/>
  <c r="BG377" i="1"/>
  <c r="BG161" i="1"/>
  <c r="BD162" i="1"/>
  <c r="BF162" i="1"/>
  <c r="BD376" i="1"/>
  <c r="BG376" i="1"/>
  <c r="BG394" i="1"/>
  <c r="BF377" i="1"/>
  <c r="BG398" i="1"/>
  <c r="BD402" i="1"/>
  <c r="BG392" i="1"/>
  <c r="BG402" i="1"/>
  <c r="BF397" i="1"/>
  <c r="BD397" i="1"/>
  <c r="BF396" i="1"/>
  <c r="BD396" i="1"/>
  <c r="BF398" i="1"/>
  <c r="BD398" i="1"/>
  <c r="BF395" i="1"/>
  <c r="BD395" i="1"/>
  <c r="BG393" i="1"/>
  <c r="BG395" i="1"/>
  <c r="BG397" i="1"/>
  <c r="BG396" i="1"/>
  <c r="BG401" i="1"/>
  <c r="BG403" i="1"/>
  <c r="BD392" i="1"/>
  <c r="BF400" i="1"/>
  <c r="BD400" i="1"/>
  <c r="BF391" i="1"/>
  <c r="BD391" i="1"/>
  <c r="BG391" i="1"/>
  <c r="BG389" i="1"/>
  <c r="BF389" i="1"/>
  <c r="BD389" i="1"/>
  <c r="BF399" i="1"/>
  <c r="BD399" i="1"/>
  <c r="BG399" i="1"/>
  <c r="BG390" i="1"/>
  <c r="BG400" i="1"/>
  <c r="BF401" i="1"/>
  <c r="BD401" i="1"/>
  <c r="BD390" i="1"/>
  <c r="BF390" i="1"/>
  <c r="BF394" i="1"/>
  <c r="BD388" i="1"/>
  <c r="BD394" i="1"/>
  <c r="BG388" i="1"/>
  <c r="BD393" i="1"/>
  <c r="BD403" i="1"/>
  <c r="BG352" i="1"/>
  <c r="BF354" i="1"/>
  <c r="BG355" i="1"/>
  <c r="BF352" i="1"/>
  <c r="BG353" i="1"/>
  <c r="BF353" i="1"/>
  <c r="BD353" i="1"/>
  <c r="BG354" i="1"/>
  <c r="BF355" i="1"/>
  <c r="BD352" i="1"/>
  <c r="BG325" i="1"/>
  <c r="BG323" i="1"/>
  <c r="BG475" i="1"/>
  <c r="BD475" i="1"/>
  <c r="BF475" i="1"/>
  <c r="BF476" i="1"/>
  <c r="BD476" i="1"/>
  <c r="BG476" i="1"/>
  <c r="BG488" i="1"/>
  <c r="BD488" i="1"/>
  <c r="BG483" i="1"/>
  <c r="BD483" i="1"/>
  <c r="BG487" i="1"/>
  <c r="BD487" i="1"/>
  <c r="BG484" i="1"/>
  <c r="BD484" i="1"/>
  <c r="BD479" i="1"/>
  <c r="BG127" i="1"/>
  <c r="BG477" i="1"/>
  <c r="BF477" i="1"/>
  <c r="BD127" i="1"/>
  <c r="BG128" i="1"/>
  <c r="BD128" i="1"/>
  <c r="BG42" i="1"/>
  <c r="BG109" i="1"/>
  <c r="BG108" i="1"/>
  <c r="BD108" i="1"/>
  <c r="BF108" i="1"/>
  <c r="BD109" i="1"/>
  <c r="BG366" i="1"/>
  <c r="BF367" i="1"/>
  <c r="BD367" i="1"/>
  <c r="BG367" i="1"/>
  <c r="BF366" i="1"/>
  <c r="BD366" i="1"/>
  <c r="BG479" i="1"/>
  <c r="BG481" i="1"/>
  <c r="BG480" i="1"/>
  <c r="BG465" i="1"/>
  <c r="BF107" i="1"/>
  <c r="BD107" i="1"/>
  <c r="BG107" i="1"/>
  <c r="BF106" i="1"/>
  <c r="BD106" i="1"/>
  <c r="BG106" i="1"/>
  <c r="BG56" i="1"/>
  <c r="BG463" i="1"/>
  <c r="BG462" i="1"/>
  <c r="BG460" i="1"/>
  <c r="BG461" i="1"/>
  <c r="BG464" i="1"/>
  <c r="BG438" i="1"/>
  <c r="BD438" i="1"/>
  <c r="BD126" i="1"/>
  <c r="BG132" i="1"/>
  <c r="BG121" i="1"/>
  <c r="BD131" i="1"/>
  <c r="BG125" i="1"/>
  <c r="BG129" i="1"/>
  <c r="BD121" i="1"/>
  <c r="BD123" i="1"/>
  <c r="BD125" i="1"/>
  <c r="BD129" i="1"/>
  <c r="BG122" i="1"/>
  <c r="BD122" i="1"/>
  <c r="BG126" i="1"/>
  <c r="BF130" i="1"/>
  <c r="BG130" i="1"/>
  <c r="BF124" i="1"/>
  <c r="BG124" i="1"/>
  <c r="BG123" i="1"/>
  <c r="BF129" i="1"/>
  <c r="BD130" i="1"/>
  <c r="BD124" i="1"/>
  <c r="BG222" i="1"/>
  <c r="BF327" i="1"/>
  <c r="BG327" i="1"/>
  <c r="BG486" i="1"/>
  <c r="BD486" i="1"/>
  <c r="BD485" i="1"/>
  <c r="BG485" i="1"/>
  <c r="BG41" i="1"/>
  <c r="BG43" i="1"/>
  <c r="BF333" i="1"/>
  <c r="BF329" i="1"/>
  <c r="BF319" i="1"/>
  <c r="BF297" i="1"/>
  <c r="BF321" i="1"/>
  <c r="BG15" i="1"/>
  <c r="BG329" i="1"/>
  <c r="BG333" i="1"/>
  <c r="BG319" i="1"/>
  <c r="BG17" i="1"/>
  <c r="BG5" i="1"/>
  <c r="BG25" i="1"/>
  <c r="BG13" i="1"/>
  <c r="BG27" i="1"/>
  <c r="BG31" i="1"/>
  <c r="BG19" i="1"/>
  <c r="BG7" i="1"/>
  <c r="BG322" i="1"/>
  <c r="BG321" i="1"/>
  <c r="BG297" i="1"/>
  <c r="BG234" i="1"/>
  <c r="BG23" i="1"/>
  <c r="BG11" i="1"/>
  <c r="BG320" i="1"/>
  <c r="BG21" i="1"/>
  <c r="BG9" i="1"/>
  <c r="BG334" i="1"/>
  <c r="BG318" i="1"/>
  <c r="BG332" i="1"/>
  <c r="BV30" i="1"/>
  <c r="BI30" i="1"/>
  <c r="BE30" i="1" s="1"/>
  <c r="BF30" i="1" s="1"/>
  <c r="BV27" i="1"/>
  <c r="BI27" i="1"/>
  <c r="AS27" i="1"/>
  <c r="AR27" i="1"/>
  <c r="BV26" i="1"/>
  <c r="BE26" i="1"/>
  <c r="BF26" i="1" s="1"/>
  <c r="BV24" i="1"/>
  <c r="BI24" i="1"/>
  <c r="BE24" i="1" s="1"/>
  <c r="BF24" i="1" s="1"/>
  <c r="AS24" i="1"/>
  <c r="BV29" i="1"/>
  <c r="BI29" i="1"/>
  <c r="AS29" i="1"/>
  <c r="AR29" i="1"/>
  <c r="BV28" i="1"/>
  <c r="BI28" i="1"/>
  <c r="BE28" i="1" s="1"/>
  <c r="BF28" i="1" s="1"/>
  <c r="AU28" i="1"/>
  <c r="BV93" i="1"/>
  <c r="BI93" i="1"/>
  <c r="BE93" i="1"/>
  <c r="BF93" i="1" s="1"/>
  <c r="BD93" i="1"/>
  <c r="BV234" i="1"/>
  <c r="BI234" i="1"/>
  <c r="AS234" i="1"/>
  <c r="AR234" i="1"/>
  <c r="BV233" i="1"/>
  <c r="BI233" i="1"/>
  <c r="BE233" i="1" s="1"/>
  <c r="BF233" i="1" s="1"/>
  <c r="AU233" i="1"/>
  <c r="BV22" i="1"/>
  <c r="BV16" i="1"/>
  <c r="BV14" i="1"/>
  <c r="BV12" i="1"/>
  <c r="BV8" i="1"/>
  <c r="BV6" i="1"/>
  <c r="BV4" i="1"/>
  <c r="BI4" i="1"/>
  <c r="BE4" i="1" s="1"/>
  <c r="BF4" i="1" s="1"/>
  <c r="AS4" i="1"/>
  <c r="AU114" i="1"/>
  <c r="AS342" i="1"/>
  <c r="AS92" i="1"/>
  <c r="AS91" i="1"/>
  <c r="AS90" i="1"/>
  <c r="AS89" i="1"/>
  <c r="AS87" i="1"/>
  <c r="AS86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54" i="1"/>
  <c r="AS44" i="1"/>
  <c r="AS37" i="1"/>
  <c r="AS36" i="1"/>
  <c r="AS35" i="1"/>
  <c r="AS34" i="1"/>
  <c r="AS33" i="1"/>
  <c r="AS32" i="1"/>
  <c r="AU232" i="1"/>
  <c r="AU231" i="1"/>
  <c r="AU230" i="1"/>
  <c r="AU228" i="1"/>
  <c r="AU227" i="1"/>
  <c r="AU226" i="1"/>
  <c r="AU208" i="1"/>
  <c r="AU204" i="1"/>
  <c r="AU203" i="1"/>
  <c r="AU180" i="1"/>
  <c r="AU116" i="1"/>
  <c r="AU115" i="1"/>
  <c r="BE471" i="1"/>
  <c r="BF471" i="1" s="1"/>
  <c r="BE469" i="1"/>
  <c r="BF469" i="1" s="1"/>
  <c r="BE467" i="1"/>
  <c r="BF467" i="1" s="1"/>
  <c r="BE466" i="1"/>
  <c r="BF466" i="1" s="1"/>
  <c r="BD466" i="1"/>
  <c r="BE459" i="1"/>
  <c r="BF459" i="1" s="1"/>
  <c r="BE456" i="1"/>
  <c r="BF456" i="1" s="1"/>
  <c r="BD456" i="1"/>
  <c r="BE455" i="1"/>
  <c r="BF455" i="1" s="1"/>
  <c r="BD455" i="1"/>
  <c r="BE454" i="1"/>
  <c r="BF454" i="1" s="1"/>
  <c r="BE451" i="1"/>
  <c r="BF451" i="1" s="1"/>
  <c r="BD451" i="1"/>
  <c r="BE450" i="1"/>
  <c r="BF450" i="1" s="1"/>
  <c r="BD450" i="1"/>
  <c r="BE442" i="1"/>
  <c r="BF442" i="1" s="1"/>
  <c r="BD442" i="1"/>
  <c r="BE429" i="1"/>
  <c r="BF429" i="1" s="1"/>
  <c r="BD429" i="1"/>
  <c r="BE428" i="1"/>
  <c r="BF428" i="1" s="1"/>
  <c r="BD428" i="1"/>
  <c r="BE427" i="1"/>
  <c r="BF427" i="1" s="1"/>
  <c r="BD427" i="1"/>
  <c r="BE426" i="1"/>
  <c r="BF426" i="1" s="1"/>
  <c r="BD426" i="1"/>
  <c r="BE425" i="1"/>
  <c r="BF425" i="1" s="1"/>
  <c r="BD425" i="1"/>
  <c r="BE424" i="1"/>
  <c r="BF424" i="1" s="1"/>
  <c r="BD424" i="1"/>
  <c r="BE423" i="1"/>
  <c r="BF423" i="1" s="1"/>
  <c r="BD423" i="1"/>
  <c r="BE422" i="1"/>
  <c r="BF422" i="1" s="1"/>
  <c r="BD422" i="1"/>
  <c r="BE421" i="1"/>
  <c r="BF421" i="1" s="1"/>
  <c r="BD421" i="1"/>
  <c r="BE420" i="1"/>
  <c r="BF420" i="1" s="1"/>
  <c r="BD420" i="1"/>
  <c r="BE419" i="1"/>
  <c r="BF419" i="1" s="1"/>
  <c r="BD419" i="1"/>
  <c r="BE418" i="1"/>
  <c r="BF418" i="1" s="1"/>
  <c r="BD418" i="1"/>
  <c r="BE417" i="1"/>
  <c r="BF417" i="1" s="1"/>
  <c r="BD417" i="1"/>
  <c r="BE416" i="1"/>
  <c r="BF416" i="1" s="1"/>
  <c r="BD416" i="1"/>
  <c r="BE414" i="1"/>
  <c r="BF414" i="1" s="1"/>
  <c r="BD414" i="1"/>
  <c r="BE413" i="1"/>
  <c r="BF413" i="1" s="1"/>
  <c r="BD413" i="1"/>
  <c r="BE412" i="1"/>
  <c r="BF412" i="1" s="1"/>
  <c r="BD412" i="1"/>
  <c r="BE411" i="1"/>
  <c r="BF411" i="1" s="1"/>
  <c r="BD411" i="1"/>
  <c r="BE410" i="1"/>
  <c r="BF410" i="1" s="1"/>
  <c r="BD410" i="1"/>
  <c r="BE409" i="1"/>
  <c r="BF409" i="1" s="1"/>
  <c r="BD409" i="1"/>
  <c r="BE408" i="1"/>
  <c r="BF408" i="1" s="1"/>
  <c r="BD408" i="1"/>
  <c r="BE407" i="1"/>
  <c r="BF407" i="1" s="1"/>
  <c r="BD407" i="1"/>
  <c r="BE351" i="1"/>
  <c r="BF351" i="1" s="1"/>
  <c r="BD351" i="1"/>
  <c r="BE350" i="1"/>
  <c r="BF350" i="1" s="1"/>
  <c r="BD350" i="1"/>
  <c r="BE349" i="1"/>
  <c r="BF349" i="1" s="1"/>
  <c r="BD349" i="1"/>
  <c r="BE348" i="1"/>
  <c r="BF348" i="1" s="1"/>
  <c r="BD348" i="1"/>
  <c r="BE341" i="1"/>
  <c r="BF341" i="1" s="1"/>
  <c r="BD341" i="1"/>
  <c r="BE340" i="1"/>
  <c r="BF340" i="1" s="1"/>
  <c r="BD340" i="1"/>
  <c r="BE339" i="1"/>
  <c r="BF339" i="1" s="1"/>
  <c r="BD339" i="1"/>
  <c r="BE338" i="1"/>
  <c r="BF338" i="1" s="1"/>
  <c r="BD338" i="1"/>
  <c r="BE337" i="1"/>
  <c r="BF337" i="1" s="1"/>
  <c r="BD337" i="1"/>
  <c r="BE336" i="1"/>
  <c r="BF336" i="1" s="1"/>
  <c r="BD336" i="1"/>
  <c r="BE280" i="1"/>
  <c r="BF280" i="1" s="1"/>
  <c r="BD280" i="1"/>
  <c r="BE279" i="1"/>
  <c r="BF279" i="1" s="1"/>
  <c r="BD279" i="1"/>
  <c r="BE278" i="1"/>
  <c r="BF278" i="1" s="1"/>
  <c r="BD278" i="1"/>
  <c r="BE277" i="1"/>
  <c r="BF277" i="1" s="1"/>
  <c r="BD277" i="1"/>
  <c r="BE276" i="1"/>
  <c r="BF276" i="1" s="1"/>
  <c r="BD276" i="1"/>
  <c r="BE275" i="1"/>
  <c r="BF275" i="1" s="1"/>
  <c r="BD275" i="1"/>
  <c r="BE274" i="1"/>
  <c r="BF274" i="1" s="1"/>
  <c r="BD274" i="1"/>
  <c r="BE273" i="1"/>
  <c r="BF273" i="1" s="1"/>
  <c r="BD273" i="1"/>
  <c r="BE272" i="1"/>
  <c r="BF272" i="1" s="1"/>
  <c r="BD272" i="1"/>
  <c r="BE271" i="1"/>
  <c r="BF271" i="1" s="1"/>
  <c r="BD271" i="1"/>
  <c r="BE270" i="1"/>
  <c r="BF270" i="1" s="1"/>
  <c r="BD270" i="1"/>
  <c r="BE269" i="1"/>
  <c r="BF269" i="1" s="1"/>
  <c r="BD269" i="1"/>
  <c r="BE268" i="1"/>
  <c r="BF268" i="1" s="1"/>
  <c r="BD268" i="1"/>
  <c r="BE267" i="1"/>
  <c r="BF267" i="1" s="1"/>
  <c r="BD267" i="1"/>
  <c r="BE266" i="1"/>
  <c r="BF266" i="1" s="1"/>
  <c r="BD266" i="1"/>
  <c r="BE265" i="1"/>
  <c r="BF265" i="1" s="1"/>
  <c r="BD265" i="1"/>
  <c r="BE264" i="1"/>
  <c r="BF264" i="1" s="1"/>
  <c r="BD264" i="1"/>
  <c r="BE263" i="1"/>
  <c r="BF263" i="1" s="1"/>
  <c r="BD263" i="1"/>
  <c r="BE262" i="1"/>
  <c r="BF262" i="1" s="1"/>
  <c r="BD262" i="1"/>
  <c r="BE261" i="1"/>
  <c r="BF261" i="1" s="1"/>
  <c r="BD261" i="1"/>
  <c r="BE260" i="1"/>
  <c r="BF260" i="1" s="1"/>
  <c r="BD260" i="1"/>
  <c r="BE259" i="1"/>
  <c r="BF259" i="1" s="1"/>
  <c r="BD259" i="1"/>
  <c r="BE258" i="1"/>
  <c r="BF258" i="1" s="1"/>
  <c r="BD258" i="1"/>
  <c r="BE257" i="1"/>
  <c r="BF257" i="1" s="1"/>
  <c r="BD257" i="1"/>
  <c r="BE256" i="1"/>
  <c r="BF256" i="1" s="1"/>
  <c r="BD256" i="1"/>
  <c r="BE255" i="1"/>
  <c r="BF255" i="1" s="1"/>
  <c r="BD255" i="1"/>
  <c r="BE254" i="1"/>
  <c r="BF254" i="1" s="1"/>
  <c r="BD254" i="1"/>
  <c r="BE253" i="1"/>
  <c r="BF253" i="1" s="1"/>
  <c r="BD253" i="1"/>
  <c r="BE252" i="1"/>
  <c r="BF252" i="1" s="1"/>
  <c r="BD252" i="1"/>
  <c r="BE251" i="1"/>
  <c r="BF251" i="1" s="1"/>
  <c r="BD251" i="1"/>
  <c r="BE250" i="1"/>
  <c r="BF250" i="1" s="1"/>
  <c r="BD250" i="1"/>
  <c r="BE249" i="1"/>
  <c r="BF249" i="1" s="1"/>
  <c r="BD249" i="1"/>
  <c r="BE248" i="1"/>
  <c r="BF248" i="1" s="1"/>
  <c r="BD248" i="1"/>
  <c r="BE247" i="1"/>
  <c r="BF247" i="1" s="1"/>
  <c r="BD247" i="1"/>
  <c r="BE246" i="1"/>
  <c r="BF246" i="1" s="1"/>
  <c r="BD246" i="1"/>
  <c r="BE245" i="1"/>
  <c r="BF245" i="1" s="1"/>
  <c r="BD245" i="1"/>
  <c r="BE244" i="1"/>
  <c r="BF244" i="1" s="1"/>
  <c r="BD244" i="1"/>
  <c r="BE243" i="1"/>
  <c r="BF243" i="1" s="1"/>
  <c r="BD243" i="1"/>
  <c r="BE242" i="1"/>
  <c r="BF242" i="1" s="1"/>
  <c r="BD242" i="1"/>
  <c r="BE241" i="1"/>
  <c r="BF241" i="1" s="1"/>
  <c r="BD241" i="1"/>
  <c r="BE240" i="1"/>
  <c r="BF240" i="1" s="1"/>
  <c r="BD240" i="1"/>
  <c r="BE239" i="1"/>
  <c r="BF239" i="1" s="1"/>
  <c r="BD239" i="1"/>
  <c r="BE238" i="1"/>
  <c r="BF238" i="1" s="1"/>
  <c r="BD238" i="1"/>
  <c r="BE237" i="1"/>
  <c r="BF237" i="1" s="1"/>
  <c r="BD237" i="1"/>
  <c r="BE236" i="1"/>
  <c r="BF236" i="1" s="1"/>
  <c r="BD236" i="1"/>
  <c r="BE235" i="1"/>
  <c r="BF235" i="1" s="1"/>
  <c r="BD235" i="1"/>
  <c r="BE160" i="1"/>
  <c r="BF160" i="1" s="1"/>
  <c r="BD160" i="1"/>
  <c r="BE138" i="1"/>
  <c r="BF138" i="1" s="1"/>
  <c r="BD138" i="1"/>
  <c r="BE133" i="1"/>
  <c r="BF133" i="1" s="1"/>
  <c r="BD133" i="1"/>
  <c r="BE118" i="1"/>
  <c r="BF118" i="1" s="1"/>
  <c r="BD118" i="1"/>
  <c r="BE102" i="1"/>
  <c r="BF102" i="1" s="1"/>
  <c r="BD102" i="1"/>
  <c r="BE101" i="1"/>
  <c r="BF101" i="1" s="1"/>
  <c r="BD101" i="1"/>
  <c r="BE100" i="1"/>
  <c r="BF100" i="1" s="1"/>
  <c r="BD100" i="1"/>
  <c r="BE99" i="1"/>
  <c r="BF99" i="1" s="1"/>
  <c r="BD99" i="1"/>
  <c r="BE98" i="1"/>
  <c r="BF98" i="1" s="1"/>
  <c r="BD98" i="1"/>
  <c r="BE97" i="1"/>
  <c r="BF97" i="1" s="1"/>
  <c r="BD97" i="1"/>
  <c r="BE96" i="1"/>
  <c r="BF96" i="1" s="1"/>
  <c r="BD96" i="1"/>
  <c r="BE95" i="1"/>
  <c r="BF95" i="1" s="1"/>
  <c r="BD95" i="1"/>
  <c r="BE88" i="1"/>
  <c r="BF88" i="1" s="1"/>
  <c r="BD88" i="1"/>
  <c r="BE85" i="1"/>
  <c r="BF85" i="1" s="1"/>
  <c r="BD85" i="1"/>
  <c r="BE39" i="1"/>
  <c r="BF39" i="1" s="1"/>
  <c r="BD39" i="1"/>
  <c r="BE40" i="1"/>
  <c r="BF40" i="1" s="1"/>
  <c r="BD40" i="1"/>
  <c r="BE38" i="1"/>
  <c r="BF38" i="1" s="1"/>
  <c r="BD38" i="1"/>
  <c r="BE472" i="1"/>
  <c r="BD472" i="1" s="1"/>
  <c r="BE482" i="1"/>
  <c r="BE489" i="1"/>
  <c r="BF489" i="1" s="1"/>
  <c r="BI471" i="1"/>
  <c r="BI469" i="1"/>
  <c r="BI467" i="1"/>
  <c r="BI466" i="1"/>
  <c r="BI459" i="1"/>
  <c r="BI456" i="1"/>
  <c r="BI455" i="1"/>
  <c r="BI454" i="1"/>
  <c r="BI451" i="1"/>
  <c r="BI450" i="1"/>
  <c r="BI442" i="1"/>
  <c r="BI429" i="1"/>
  <c r="BI428" i="1"/>
  <c r="BI427" i="1"/>
  <c r="BI426" i="1"/>
  <c r="BI425" i="1"/>
  <c r="BI424" i="1"/>
  <c r="BI423" i="1"/>
  <c r="BI422" i="1"/>
  <c r="BI421" i="1"/>
  <c r="BI420" i="1"/>
  <c r="BI419" i="1"/>
  <c r="BI418" i="1"/>
  <c r="BI417" i="1"/>
  <c r="BI416" i="1"/>
  <c r="BI414" i="1"/>
  <c r="BI413" i="1"/>
  <c r="BI412" i="1"/>
  <c r="BI411" i="1"/>
  <c r="BI410" i="1"/>
  <c r="BI409" i="1"/>
  <c r="BI408" i="1"/>
  <c r="BI407" i="1"/>
  <c r="BI351" i="1"/>
  <c r="BI350" i="1"/>
  <c r="BI349" i="1"/>
  <c r="BI348" i="1"/>
  <c r="BI341" i="1"/>
  <c r="BI340" i="1"/>
  <c r="BI339" i="1"/>
  <c r="BI338" i="1"/>
  <c r="BI337" i="1"/>
  <c r="BI336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160" i="1"/>
  <c r="BI138" i="1"/>
  <c r="BI133" i="1"/>
  <c r="BI118" i="1"/>
  <c r="BI102" i="1"/>
  <c r="BI101" i="1"/>
  <c r="BI100" i="1"/>
  <c r="BI99" i="1"/>
  <c r="BI98" i="1"/>
  <c r="BI97" i="1"/>
  <c r="BI96" i="1"/>
  <c r="BI95" i="1"/>
  <c r="BI88" i="1"/>
  <c r="BI85" i="1"/>
  <c r="BI39" i="1"/>
  <c r="BI40" i="1"/>
  <c r="BI38" i="1"/>
  <c r="BI457" i="1"/>
  <c r="BI452" i="1"/>
  <c r="BI490" i="1"/>
  <c r="BI281" i="1"/>
  <c r="BE281" i="1" s="1"/>
  <c r="BF281" i="1" s="1"/>
  <c r="BI478" i="1"/>
  <c r="BI473" i="1"/>
  <c r="BI472" i="1"/>
  <c r="BI470" i="1"/>
  <c r="BI468" i="1"/>
  <c r="BI383" i="1"/>
  <c r="BE383" i="1" s="1"/>
  <c r="BF383" i="1" s="1"/>
  <c r="BI382" i="1"/>
  <c r="BE382" i="1" s="1"/>
  <c r="BF382" i="1" s="1"/>
  <c r="BI381" i="1"/>
  <c r="BE381" i="1" s="1"/>
  <c r="BF381" i="1" s="1"/>
  <c r="BI380" i="1"/>
  <c r="BE380" i="1" s="1"/>
  <c r="BF380" i="1" s="1"/>
  <c r="BI379" i="1"/>
  <c r="BE379" i="1" s="1"/>
  <c r="BF379" i="1" s="1"/>
  <c r="BI378" i="1"/>
  <c r="BE378" i="1" s="1"/>
  <c r="BF378" i="1" s="1"/>
  <c r="BI375" i="1"/>
  <c r="BE375" i="1" s="1"/>
  <c r="BF375" i="1" s="1"/>
  <c r="BI374" i="1"/>
  <c r="BE374" i="1" s="1"/>
  <c r="BF374" i="1" s="1"/>
  <c r="BI373" i="1"/>
  <c r="BE373" i="1" s="1"/>
  <c r="BF373" i="1" s="1"/>
  <c r="BI372" i="1"/>
  <c r="BE372" i="1" s="1"/>
  <c r="BF372" i="1" s="1"/>
  <c r="BI371" i="1"/>
  <c r="BE371" i="1" s="1"/>
  <c r="BF371" i="1" s="1"/>
  <c r="BI370" i="1"/>
  <c r="BE370" i="1" s="1"/>
  <c r="BF370" i="1" s="1"/>
  <c r="BI369" i="1"/>
  <c r="BE369" i="1" s="1"/>
  <c r="BF369" i="1" s="1"/>
  <c r="BI368" i="1"/>
  <c r="BE368" i="1" s="1"/>
  <c r="BF368" i="1" s="1"/>
  <c r="BI365" i="1"/>
  <c r="BE365" i="1" s="1"/>
  <c r="BF365" i="1" s="1"/>
  <c r="BI364" i="1"/>
  <c r="BE364" i="1" s="1"/>
  <c r="BF364" i="1" s="1"/>
  <c r="BI363" i="1"/>
  <c r="BE363" i="1" s="1"/>
  <c r="BF363" i="1" s="1"/>
  <c r="BI362" i="1"/>
  <c r="BE362" i="1" s="1"/>
  <c r="BF362" i="1" s="1"/>
  <c r="BI361" i="1"/>
  <c r="BE361" i="1" s="1"/>
  <c r="BF361" i="1" s="1"/>
  <c r="BI360" i="1"/>
  <c r="BE360" i="1" s="1"/>
  <c r="BF360" i="1" s="1"/>
  <c r="BI359" i="1"/>
  <c r="BE359" i="1" s="1"/>
  <c r="BF359" i="1" s="1"/>
  <c r="BI358" i="1"/>
  <c r="BE358" i="1" s="1"/>
  <c r="BF358" i="1" s="1"/>
  <c r="BI357" i="1"/>
  <c r="BE357" i="1" s="1"/>
  <c r="BF357" i="1" s="1"/>
  <c r="BI356" i="1"/>
  <c r="BE356" i="1" s="1"/>
  <c r="BF356" i="1" s="1"/>
  <c r="BI224" i="1"/>
  <c r="BE224" i="1" s="1"/>
  <c r="BF224" i="1" s="1"/>
  <c r="BI223" i="1"/>
  <c r="BE223" i="1" s="1"/>
  <c r="BF223" i="1" s="1"/>
  <c r="BI206" i="1"/>
  <c r="BE206" i="1" s="1"/>
  <c r="BF206" i="1" s="1"/>
  <c r="BI205" i="1"/>
  <c r="BE205" i="1" s="1"/>
  <c r="BF205" i="1" s="1"/>
  <c r="BI201" i="1"/>
  <c r="BE201" i="1" s="1"/>
  <c r="BF201" i="1" s="1"/>
  <c r="BI200" i="1"/>
  <c r="BE200" i="1" s="1"/>
  <c r="BF200" i="1" s="1"/>
  <c r="BI448" i="1"/>
  <c r="BE448" i="1" s="1"/>
  <c r="BF448" i="1" s="1"/>
  <c r="BI447" i="1"/>
  <c r="BE447" i="1" s="1"/>
  <c r="BF447" i="1" s="1"/>
  <c r="BI446" i="1"/>
  <c r="BE446" i="1" s="1"/>
  <c r="BF446" i="1" s="1"/>
  <c r="BI445" i="1"/>
  <c r="BE445" i="1" s="1"/>
  <c r="BF445" i="1" s="1"/>
  <c r="BI444" i="1"/>
  <c r="BE444" i="1" s="1"/>
  <c r="BF444" i="1" s="1"/>
  <c r="BI443" i="1"/>
  <c r="BE443" i="1" s="1"/>
  <c r="BF443" i="1" s="1"/>
  <c r="BI458" i="1"/>
  <c r="BI453" i="1"/>
  <c r="BI232" i="1"/>
  <c r="BE232" i="1" s="1"/>
  <c r="BF232" i="1" s="1"/>
  <c r="BI231" i="1"/>
  <c r="BE231" i="1" s="1"/>
  <c r="BF231" i="1" s="1"/>
  <c r="BI230" i="1"/>
  <c r="BE230" i="1" s="1"/>
  <c r="BF230" i="1" s="1"/>
  <c r="BI229" i="1"/>
  <c r="BE229" i="1" s="1"/>
  <c r="BF229" i="1" s="1"/>
  <c r="BI228" i="1"/>
  <c r="BE228" i="1" s="1"/>
  <c r="BF228" i="1" s="1"/>
  <c r="BI227" i="1"/>
  <c r="BE227" i="1" s="1"/>
  <c r="BF227" i="1" s="1"/>
  <c r="BI226" i="1"/>
  <c r="BE226" i="1" s="1"/>
  <c r="BF226" i="1" s="1"/>
  <c r="BI225" i="1"/>
  <c r="BE225" i="1" s="1"/>
  <c r="BF225" i="1" s="1"/>
  <c r="BI208" i="1"/>
  <c r="BE208" i="1" s="1"/>
  <c r="BF208" i="1" s="1"/>
  <c r="BI207" i="1"/>
  <c r="BE207" i="1" s="1"/>
  <c r="BF207" i="1" s="1"/>
  <c r="BI204" i="1"/>
  <c r="BE204" i="1" s="1"/>
  <c r="BF204" i="1" s="1"/>
  <c r="BI203" i="1"/>
  <c r="BE203" i="1" s="1"/>
  <c r="BF203" i="1" s="1"/>
  <c r="BI202" i="1"/>
  <c r="BE202" i="1" s="1"/>
  <c r="BF202" i="1" s="1"/>
  <c r="BI180" i="1"/>
  <c r="BI116" i="1"/>
  <c r="BE116" i="1" s="1"/>
  <c r="BF116" i="1" s="1"/>
  <c r="BI115" i="1"/>
  <c r="BE115" i="1" s="1"/>
  <c r="BF115" i="1" s="1"/>
  <c r="BI114" i="1"/>
  <c r="BE114" i="1" s="1"/>
  <c r="BF114" i="1" s="1"/>
  <c r="BI113" i="1"/>
  <c r="BE113" i="1" s="1"/>
  <c r="BF113" i="1" s="1"/>
  <c r="BI120" i="1"/>
  <c r="BE120" i="1" s="1"/>
  <c r="BF120" i="1" s="1"/>
  <c r="BI119" i="1"/>
  <c r="BE119" i="1" s="1"/>
  <c r="BF119" i="1" s="1"/>
  <c r="BI117" i="1"/>
  <c r="BE117" i="1" s="1"/>
  <c r="BF117" i="1" s="1"/>
  <c r="BI112" i="1"/>
  <c r="BE112" i="1" s="1"/>
  <c r="BF112" i="1" s="1"/>
  <c r="BI111" i="1"/>
  <c r="BE111" i="1" s="1"/>
  <c r="BF111" i="1" s="1"/>
  <c r="BI110" i="1"/>
  <c r="BE110" i="1" s="1"/>
  <c r="BF110" i="1" s="1"/>
  <c r="BI387" i="1"/>
  <c r="BI385" i="1"/>
  <c r="BI384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199" i="1"/>
  <c r="BI198" i="1"/>
  <c r="BI193" i="1"/>
  <c r="BI192" i="1"/>
  <c r="BI188" i="1"/>
  <c r="BI187" i="1"/>
  <c r="BI186" i="1"/>
  <c r="BI185" i="1"/>
  <c r="BI184" i="1"/>
  <c r="BI183" i="1"/>
  <c r="BI182" i="1"/>
  <c r="BI181" i="1"/>
  <c r="BI179" i="1"/>
  <c r="BI178" i="1"/>
  <c r="BI177" i="1"/>
  <c r="BI176" i="1"/>
  <c r="BI175" i="1"/>
  <c r="BI174" i="1"/>
  <c r="BI173" i="1"/>
  <c r="BI168" i="1"/>
  <c r="BI167" i="1"/>
  <c r="BI166" i="1"/>
  <c r="BI165" i="1"/>
  <c r="BI164" i="1"/>
  <c r="BI163" i="1"/>
  <c r="BI159" i="1"/>
  <c r="BI158" i="1"/>
  <c r="BI157" i="1"/>
  <c r="BI156" i="1"/>
  <c r="BI155" i="1"/>
  <c r="BI154" i="1"/>
  <c r="BI153" i="1"/>
  <c r="BI152" i="1"/>
  <c r="BI151" i="1"/>
  <c r="BI150" i="1"/>
  <c r="BI149" i="1"/>
  <c r="BI145" i="1"/>
  <c r="BI144" i="1"/>
  <c r="BI143" i="1"/>
  <c r="BI142" i="1"/>
  <c r="BI141" i="1"/>
  <c r="BI140" i="1"/>
  <c r="BI139" i="1"/>
  <c r="BI137" i="1"/>
  <c r="BI136" i="1"/>
  <c r="BI135" i="1"/>
  <c r="BI134" i="1"/>
  <c r="BI482" i="1"/>
  <c r="BI347" i="1"/>
  <c r="BE347" i="1" s="1"/>
  <c r="BF347" i="1" s="1"/>
  <c r="BI346" i="1"/>
  <c r="BE346" i="1" s="1"/>
  <c r="BF346" i="1" s="1"/>
  <c r="BI345" i="1"/>
  <c r="BE345" i="1" s="1"/>
  <c r="BF345" i="1" s="1"/>
  <c r="BI344" i="1"/>
  <c r="BE344" i="1" s="1"/>
  <c r="BF344" i="1" s="1"/>
  <c r="BI71" i="1"/>
  <c r="BE71" i="1" s="1"/>
  <c r="BF71" i="1" s="1"/>
  <c r="BI70" i="1"/>
  <c r="BE70" i="1" s="1"/>
  <c r="BF70" i="1" s="1"/>
  <c r="BI69" i="1"/>
  <c r="BE69" i="1" s="1"/>
  <c r="BF69" i="1" s="1"/>
  <c r="BI68" i="1"/>
  <c r="BE68" i="1" s="1"/>
  <c r="BF68" i="1" s="1"/>
  <c r="BI67" i="1"/>
  <c r="BE67" i="1" s="1"/>
  <c r="BF67" i="1" s="1"/>
  <c r="BI66" i="1"/>
  <c r="BE66" i="1" s="1"/>
  <c r="BF66" i="1" s="1"/>
  <c r="BI65" i="1"/>
  <c r="BE65" i="1" s="1"/>
  <c r="BF65" i="1" s="1"/>
  <c r="BI64" i="1"/>
  <c r="BE64" i="1" s="1"/>
  <c r="BF64" i="1" s="1"/>
  <c r="BI63" i="1"/>
  <c r="BE63" i="1" s="1"/>
  <c r="BF63" i="1" s="1"/>
  <c r="BI62" i="1"/>
  <c r="BE62" i="1" s="1"/>
  <c r="BF62" i="1" s="1"/>
  <c r="BI61" i="1"/>
  <c r="BE61" i="1" s="1"/>
  <c r="BF61" i="1" s="1"/>
  <c r="BI60" i="1"/>
  <c r="BE60" i="1" s="1"/>
  <c r="BF60" i="1" s="1"/>
  <c r="BI59" i="1"/>
  <c r="BE59" i="1" s="1"/>
  <c r="BF59" i="1" s="1"/>
  <c r="BI58" i="1"/>
  <c r="BE58" i="1" s="1"/>
  <c r="BF58" i="1" s="1"/>
  <c r="BI57" i="1"/>
  <c r="BE57" i="1" s="1"/>
  <c r="BF57" i="1" s="1"/>
  <c r="BI55" i="1"/>
  <c r="BE55" i="1" s="1"/>
  <c r="BF55" i="1" s="1"/>
  <c r="BI53" i="1"/>
  <c r="BE53" i="1" s="1"/>
  <c r="BF53" i="1" s="1"/>
  <c r="BI52" i="1"/>
  <c r="BE52" i="1" s="1"/>
  <c r="BF52" i="1" s="1"/>
  <c r="BI51" i="1"/>
  <c r="BE51" i="1" s="1"/>
  <c r="BF51" i="1" s="1"/>
  <c r="BI50" i="1"/>
  <c r="BE50" i="1" s="1"/>
  <c r="BF50" i="1" s="1"/>
  <c r="BI49" i="1"/>
  <c r="BE49" i="1" s="1"/>
  <c r="BF49" i="1" s="1"/>
  <c r="BI48" i="1"/>
  <c r="BE48" i="1" s="1"/>
  <c r="BF48" i="1" s="1"/>
  <c r="BI47" i="1"/>
  <c r="BE47" i="1" s="1"/>
  <c r="BF47" i="1" s="1"/>
  <c r="BI46" i="1"/>
  <c r="BE46" i="1" s="1"/>
  <c r="BF46" i="1" s="1"/>
  <c r="BI45" i="1"/>
  <c r="BE45" i="1" s="1"/>
  <c r="BF45" i="1" s="1"/>
  <c r="BI22" i="1"/>
  <c r="BE22" i="1" s="1"/>
  <c r="BF22" i="1" s="1"/>
  <c r="BI20" i="1"/>
  <c r="BE20" i="1" s="1"/>
  <c r="BF20" i="1" s="1"/>
  <c r="BI18" i="1"/>
  <c r="BE18" i="1" s="1"/>
  <c r="BF18" i="1" s="1"/>
  <c r="BI16" i="1"/>
  <c r="BE16" i="1" s="1"/>
  <c r="BF16" i="1" s="1"/>
  <c r="BI14" i="1"/>
  <c r="BE14" i="1" s="1"/>
  <c r="BF14" i="1" s="1"/>
  <c r="BI12" i="1"/>
  <c r="BE12" i="1" s="1"/>
  <c r="BF12" i="1" s="1"/>
  <c r="BI10" i="1"/>
  <c r="BE10" i="1" s="1"/>
  <c r="BF10" i="1" s="1"/>
  <c r="BI8" i="1"/>
  <c r="BE8" i="1" s="1"/>
  <c r="BF8" i="1" s="1"/>
  <c r="BI6" i="1"/>
  <c r="BE6" i="1" s="1"/>
  <c r="BF6" i="1" s="1"/>
  <c r="BI439" i="1"/>
  <c r="BE439" i="1" s="1"/>
  <c r="BF439" i="1" s="1"/>
  <c r="BI406" i="1"/>
  <c r="BI405" i="1"/>
  <c r="BI404" i="1"/>
  <c r="BI197" i="1"/>
  <c r="BI196" i="1"/>
  <c r="BI195" i="1"/>
  <c r="BI194" i="1"/>
  <c r="BI191" i="1"/>
  <c r="BI190" i="1"/>
  <c r="BI189" i="1"/>
  <c r="BI172" i="1"/>
  <c r="BI171" i="1"/>
  <c r="BI170" i="1"/>
  <c r="BI169" i="1"/>
  <c r="BI148" i="1"/>
  <c r="BI147" i="1"/>
  <c r="BI146" i="1"/>
  <c r="BI441" i="1"/>
  <c r="BE441" i="1" s="1"/>
  <c r="BF441" i="1" s="1"/>
  <c r="BI437" i="1"/>
  <c r="BE437" i="1" s="1"/>
  <c r="BF437" i="1" s="1"/>
  <c r="BI436" i="1"/>
  <c r="BE436" i="1" s="1"/>
  <c r="BF436" i="1" s="1"/>
  <c r="BI435" i="1"/>
  <c r="BE435" i="1" s="1"/>
  <c r="BF435" i="1" s="1"/>
  <c r="BI434" i="1"/>
  <c r="BE434" i="1" s="1"/>
  <c r="BF434" i="1" s="1"/>
  <c r="BI433" i="1"/>
  <c r="BE433" i="1" s="1"/>
  <c r="BF433" i="1" s="1"/>
  <c r="BI432" i="1"/>
  <c r="BE432" i="1" s="1"/>
  <c r="BF432" i="1" s="1"/>
  <c r="BI431" i="1"/>
  <c r="BE431" i="1" s="1"/>
  <c r="BF431" i="1" s="1"/>
  <c r="BI342" i="1"/>
  <c r="BE342" i="1" s="1"/>
  <c r="BF342" i="1" s="1"/>
  <c r="BI92" i="1"/>
  <c r="BE92" i="1" s="1"/>
  <c r="BF92" i="1" s="1"/>
  <c r="BI91" i="1"/>
  <c r="BE91" i="1" s="1"/>
  <c r="BF91" i="1" s="1"/>
  <c r="BI90" i="1"/>
  <c r="BE90" i="1" s="1"/>
  <c r="BF90" i="1" s="1"/>
  <c r="BI89" i="1"/>
  <c r="BE89" i="1" s="1"/>
  <c r="BF89" i="1" s="1"/>
  <c r="BI87" i="1"/>
  <c r="BE87" i="1" s="1"/>
  <c r="BF87" i="1" s="1"/>
  <c r="BI86" i="1"/>
  <c r="BE86" i="1" s="1"/>
  <c r="BF86" i="1" s="1"/>
  <c r="BI84" i="1"/>
  <c r="BE84" i="1" s="1"/>
  <c r="BF84" i="1" s="1"/>
  <c r="BI83" i="1"/>
  <c r="BE83" i="1" s="1"/>
  <c r="BF83" i="1" s="1"/>
  <c r="BI82" i="1"/>
  <c r="BE82" i="1" s="1"/>
  <c r="BF82" i="1" s="1"/>
  <c r="BI81" i="1"/>
  <c r="BE81" i="1" s="1"/>
  <c r="BF81" i="1" s="1"/>
  <c r="BI80" i="1"/>
  <c r="BE80" i="1" s="1"/>
  <c r="BF80" i="1" s="1"/>
  <c r="BI79" i="1"/>
  <c r="BE79" i="1" s="1"/>
  <c r="BF79" i="1" s="1"/>
  <c r="BI78" i="1"/>
  <c r="BE78" i="1" s="1"/>
  <c r="BF78" i="1" s="1"/>
  <c r="BI77" i="1"/>
  <c r="BE77" i="1" s="1"/>
  <c r="BF77" i="1" s="1"/>
  <c r="BI76" i="1"/>
  <c r="BE76" i="1" s="1"/>
  <c r="BF76" i="1" s="1"/>
  <c r="BI75" i="1"/>
  <c r="BE75" i="1" s="1"/>
  <c r="BF75" i="1" s="1"/>
  <c r="BI74" i="1"/>
  <c r="BE74" i="1" s="1"/>
  <c r="BF74" i="1" s="1"/>
  <c r="BI73" i="1"/>
  <c r="BE73" i="1" s="1"/>
  <c r="BF73" i="1" s="1"/>
  <c r="BI72" i="1"/>
  <c r="BE72" i="1" s="1"/>
  <c r="BF72" i="1" s="1"/>
  <c r="BI54" i="1"/>
  <c r="BE54" i="1" s="1"/>
  <c r="BF54" i="1" s="1"/>
  <c r="BI44" i="1"/>
  <c r="BE44" i="1" s="1"/>
  <c r="BF44" i="1" s="1"/>
  <c r="BI37" i="1"/>
  <c r="BE37" i="1" s="1"/>
  <c r="BF37" i="1" s="1"/>
  <c r="BE36" i="1"/>
  <c r="BF36" i="1" s="1"/>
  <c r="BI35" i="1"/>
  <c r="BE35" i="1" s="1"/>
  <c r="BF35" i="1" s="1"/>
  <c r="BI34" i="1"/>
  <c r="BE34" i="1" s="1"/>
  <c r="BF34" i="1" s="1"/>
  <c r="BI33" i="1"/>
  <c r="BE33" i="1" s="1"/>
  <c r="BF33" i="1" s="1"/>
  <c r="BI32" i="1"/>
  <c r="BE32" i="1" s="1"/>
  <c r="BF32" i="1" s="1"/>
  <c r="BI489" i="1"/>
  <c r="BI449" i="1"/>
  <c r="BI440" i="1"/>
  <c r="BE440" i="1" s="1"/>
  <c r="BF440" i="1" s="1"/>
  <c r="T371" i="1"/>
  <c r="T370" i="1"/>
  <c r="T369" i="1"/>
  <c r="T365" i="1"/>
  <c r="T381" i="1"/>
  <c r="T380" i="1"/>
  <c r="T379" i="1"/>
  <c r="T363" i="1"/>
  <c r="T361" i="1"/>
  <c r="U230" i="1"/>
  <c r="U226" i="1"/>
  <c r="U114" i="1"/>
  <c r="T444" i="1"/>
  <c r="T445" i="1"/>
  <c r="T448" i="1"/>
  <c r="T447" i="1"/>
  <c r="T357" i="1"/>
  <c r="T356" i="1"/>
  <c r="T359" i="1"/>
  <c r="T358" i="1"/>
  <c r="T383" i="1"/>
  <c r="T382" i="1"/>
  <c r="U373" i="1"/>
  <c r="U375" i="1"/>
  <c r="U224" i="1"/>
  <c r="U357" i="1"/>
  <c r="U371" i="1"/>
  <c r="U369" i="1"/>
  <c r="U365" i="1"/>
  <c r="U361" i="1"/>
  <c r="U379" i="1"/>
  <c r="U363" i="1"/>
  <c r="U381" i="1"/>
  <c r="U359" i="1"/>
  <c r="U383" i="1"/>
  <c r="T433" i="1"/>
  <c r="T435" i="1"/>
  <c r="T436" i="1"/>
  <c r="T446" i="1"/>
  <c r="T434" i="1"/>
  <c r="T432" i="1"/>
  <c r="T431" i="1"/>
  <c r="T378" i="1"/>
  <c r="T360" i="1"/>
  <c r="T362" i="1"/>
  <c r="T364" i="1"/>
  <c r="T368" i="1"/>
  <c r="BJ478" i="1"/>
  <c r="BE478" i="1" s="1"/>
  <c r="BJ474" i="1"/>
  <c r="BE474" i="1" s="1"/>
  <c r="BJ473" i="1"/>
  <c r="BE473" i="1" s="1"/>
  <c r="BJ470" i="1"/>
  <c r="BE470" i="1" s="1"/>
  <c r="BJ468" i="1"/>
  <c r="BE468" i="1" s="1"/>
  <c r="BH490" i="1"/>
  <c r="BE490" i="1" s="1"/>
  <c r="BF490" i="1" s="1"/>
  <c r="BH457" i="1"/>
  <c r="BE457" i="1" s="1"/>
  <c r="BF457" i="1" s="1"/>
  <c r="BH452" i="1"/>
  <c r="BE452" i="1" s="1"/>
  <c r="BF452" i="1" s="1"/>
  <c r="BH458" i="1"/>
  <c r="BE458" i="1" s="1"/>
  <c r="BF458" i="1" s="1"/>
  <c r="BH453" i="1"/>
  <c r="BE453" i="1" s="1"/>
  <c r="BF453" i="1" s="1"/>
  <c r="BH387" i="1"/>
  <c r="BE387" i="1" s="1"/>
  <c r="BF387" i="1" s="1"/>
  <c r="BH385" i="1"/>
  <c r="BE385" i="1" s="1"/>
  <c r="BF385" i="1" s="1"/>
  <c r="BH384" i="1"/>
  <c r="BE384" i="1" s="1"/>
  <c r="BF384" i="1" s="1"/>
  <c r="BH221" i="1"/>
  <c r="BE221" i="1" s="1"/>
  <c r="BF221" i="1" s="1"/>
  <c r="BH220" i="1"/>
  <c r="BE220" i="1" s="1"/>
  <c r="BF220" i="1" s="1"/>
  <c r="BH219" i="1"/>
  <c r="BE219" i="1" s="1"/>
  <c r="BF219" i="1" s="1"/>
  <c r="BH218" i="1"/>
  <c r="BE218" i="1" s="1"/>
  <c r="BF218" i="1" s="1"/>
  <c r="BH217" i="1"/>
  <c r="BE217" i="1" s="1"/>
  <c r="BF217" i="1" s="1"/>
  <c r="BH216" i="1"/>
  <c r="BE216" i="1" s="1"/>
  <c r="BF216" i="1" s="1"/>
  <c r="BH215" i="1"/>
  <c r="BE215" i="1" s="1"/>
  <c r="BF215" i="1" s="1"/>
  <c r="BH214" i="1"/>
  <c r="BE214" i="1" s="1"/>
  <c r="BF214" i="1" s="1"/>
  <c r="BH213" i="1"/>
  <c r="BE213" i="1" s="1"/>
  <c r="BF213" i="1" s="1"/>
  <c r="BH212" i="1"/>
  <c r="BE212" i="1" s="1"/>
  <c r="BF212" i="1" s="1"/>
  <c r="BH211" i="1"/>
  <c r="BE211" i="1" s="1"/>
  <c r="BF211" i="1" s="1"/>
  <c r="BH210" i="1"/>
  <c r="BE210" i="1" s="1"/>
  <c r="BF210" i="1" s="1"/>
  <c r="BH209" i="1"/>
  <c r="BE209" i="1" s="1"/>
  <c r="BF209" i="1" s="1"/>
  <c r="BH199" i="1"/>
  <c r="BE199" i="1" s="1"/>
  <c r="BF199" i="1" s="1"/>
  <c r="BH198" i="1"/>
  <c r="BE198" i="1" s="1"/>
  <c r="BF198" i="1" s="1"/>
  <c r="BH193" i="1"/>
  <c r="BE193" i="1" s="1"/>
  <c r="BF193" i="1" s="1"/>
  <c r="BH192" i="1"/>
  <c r="BE192" i="1" s="1"/>
  <c r="BF192" i="1" s="1"/>
  <c r="BH188" i="1"/>
  <c r="BE188" i="1" s="1"/>
  <c r="BF188" i="1" s="1"/>
  <c r="BH187" i="1"/>
  <c r="BH186" i="1"/>
  <c r="BE186" i="1" s="1"/>
  <c r="BF186" i="1" s="1"/>
  <c r="BH185" i="1"/>
  <c r="BE185" i="1" s="1"/>
  <c r="BF185" i="1" s="1"/>
  <c r="BH184" i="1"/>
  <c r="BE184" i="1" s="1"/>
  <c r="BF184" i="1" s="1"/>
  <c r="BH183" i="1"/>
  <c r="BE183" i="1" s="1"/>
  <c r="BF183" i="1" s="1"/>
  <c r="BH182" i="1"/>
  <c r="BE182" i="1" s="1"/>
  <c r="BF182" i="1" s="1"/>
  <c r="BH181" i="1"/>
  <c r="BE181" i="1" s="1"/>
  <c r="BF181" i="1" s="1"/>
  <c r="BH179" i="1"/>
  <c r="BE179" i="1" s="1"/>
  <c r="BF179" i="1" s="1"/>
  <c r="BH178" i="1"/>
  <c r="BE178" i="1" s="1"/>
  <c r="BF178" i="1" s="1"/>
  <c r="BH177" i="1"/>
  <c r="BE177" i="1" s="1"/>
  <c r="BF177" i="1" s="1"/>
  <c r="BH176" i="1"/>
  <c r="BE176" i="1" s="1"/>
  <c r="BF176" i="1" s="1"/>
  <c r="BH175" i="1"/>
  <c r="BE175" i="1" s="1"/>
  <c r="BF175" i="1" s="1"/>
  <c r="BH174" i="1"/>
  <c r="BE174" i="1" s="1"/>
  <c r="BF174" i="1" s="1"/>
  <c r="BH173" i="1"/>
  <c r="BE173" i="1" s="1"/>
  <c r="BF173" i="1" s="1"/>
  <c r="BH168" i="1"/>
  <c r="BE168" i="1" s="1"/>
  <c r="BF168" i="1" s="1"/>
  <c r="BH167" i="1"/>
  <c r="BE167" i="1" s="1"/>
  <c r="BF167" i="1" s="1"/>
  <c r="BH166" i="1"/>
  <c r="BE166" i="1" s="1"/>
  <c r="BF166" i="1" s="1"/>
  <c r="BH165" i="1"/>
  <c r="BE165" i="1" s="1"/>
  <c r="BF165" i="1" s="1"/>
  <c r="BH164" i="1"/>
  <c r="BE164" i="1" s="1"/>
  <c r="BF164" i="1" s="1"/>
  <c r="BH163" i="1"/>
  <c r="BE163" i="1" s="1"/>
  <c r="BF163" i="1" s="1"/>
  <c r="BH159" i="1"/>
  <c r="BE159" i="1" s="1"/>
  <c r="BF159" i="1" s="1"/>
  <c r="BH158" i="1"/>
  <c r="BE158" i="1" s="1"/>
  <c r="BF158" i="1" s="1"/>
  <c r="BH157" i="1"/>
  <c r="BE157" i="1" s="1"/>
  <c r="BF157" i="1" s="1"/>
  <c r="BH156" i="1"/>
  <c r="BE156" i="1" s="1"/>
  <c r="BF156" i="1" s="1"/>
  <c r="BH155" i="1"/>
  <c r="BE155" i="1" s="1"/>
  <c r="BF155" i="1" s="1"/>
  <c r="BH154" i="1"/>
  <c r="BE154" i="1" s="1"/>
  <c r="BF154" i="1" s="1"/>
  <c r="BH153" i="1"/>
  <c r="BE153" i="1" s="1"/>
  <c r="BF153" i="1" s="1"/>
  <c r="BH152" i="1"/>
  <c r="BE152" i="1" s="1"/>
  <c r="BF152" i="1" s="1"/>
  <c r="BH151" i="1"/>
  <c r="BE151" i="1" s="1"/>
  <c r="BF151" i="1" s="1"/>
  <c r="BH150" i="1"/>
  <c r="BE150" i="1" s="1"/>
  <c r="BF150" i="1" s="1"/>
  <c r="BH149" i="1"/>
  <c r="BE149" i="1" s="1"/>
  <c r="BF149" i="1" s="1"/>
  <c r="BH145" i="1"/>
  <c r="BE145" i="1" s="1"/>
  <c r="BF145" i="1" s="1"/>
  <c r="BH144" i="1"/>
  <c r="BE144" i="1" s="1"/>
  <c r="BF144" i="1" s="1"/>
  <c r="BH143" i="1"/>
  <c r="BE143" i="1" s="1"/>
  <c r="BF143" i="1" s="1"/>
  <c r="BH142" i="1"/>
  <c r="BE142" i="1" s="1"/>
  <c r="BF142" i="1" s="1"/>
  <c r="BH141" i="1"/>
  <c r="BE141" i="1" s="1"/>
  <c r="BF141" i="1" s="1"/>
  <c r="BH140" i="1"/>
  <c r="BE140" i="1" s="1"/>
  <c r="BF140" i="1" s="1"/>
  <c r="BH139" i="1"/>
  <c r="BE139" i="1" s="1"/>
  <c r="BF139" i="1" s="1"/>
  <c r="BH137" i="1"/>
  <c r="BE137" i="1" s="1"/>
  <c r="BF137" i="1" s="1"/>
  <c r="BH136" i="1"/>
  <c r="BE136" i="1" s="1"/>
  <c r="BF136" i="1" s="1"/>
  <c r="BH135" i="1"/>
  <c r="BE135" i="1" s="1"/>
  <c r="BF135" i="1" s="1"/>
  <c r="BH134" i="1"/>
  <c r="BE134" i="1" s="1"/>
  <c r="BF134" i="1" s="1"/>
  <c r="BH406" i="1"/>
  <c r="BE406" i="1" s="1"/>
  <c r="BF406" i="1" s="1"/>
  <c r="BH405" i="1"/>
  <c r="BE405" i="1" s="1"/>
  <c r="BF405" i="1" s="1"/>
  <c r="BH404" i="1"/>
  <c r="BE404" i="1" s="1"/>
  <c r="BF404" i="1" s="1"/>
  <c r="BH197" i="1"/>
  <c r="BE197" i="1" s="1"/>
  <c r="BF197" i="1" s="1"/>
  <c r="BH196" i="1"/>
  <c r="BE196" i="1" s="1"/>
  <c r="BF196" i="1" s="1"/>
  <c r="BH195" i="1"/>
  <c r="BE195" i="1" s="1"/>
  <c r="BF195" i="1" s="1"/>
  <c r="BH194" i="1"/>
  <c r="BE194" i="1" s="1"/>
  <c r="BF194" i="1" s="1"/>
  <c r="BH191" i="1"/>
  <c r="BE191" i="1" s="1"/>
  <c r="BF191" i="1" s="1"/>
  <c r="BH190" i="1"/>
  <c r="BE190" i="1" s="1"/>
  <c r="BF190" i="1" s="1"/>
  <c r="BH189" i="1"/>
  <c r="BE189" i="1" s="1"/>
  <c r="BF189" i="1" s="1"/>
  <c r="BH172" i="1"/>
  <c r="BE172" i="1" s="1"/>
  <c r="BF172" i="1" s="1"/>
  <c r="BH171" i="1"/>
  <c r="BE171" i="1" s="1"/>
  <c r="BF171" i="1" s="1"/>
  <c r="BH170" i="1"/>
  <c r="BE170" i="1" s="1"/>
  <c r="BF170" i="1" s="1"/>
  <c r="BH169" i="1"/>
  <c r="BE169" i="1" s="1"/>
  <c r="BF169" i="1" s="1"/>
  <c r="BH148" i="1"/>
  <c r="BE148" i="1" s="1"/>
  <c r="BF148" i="1" s="1"/>
  <c r="BH147" i="1"/>
  <c r="BE147" i="1" s="1"/>
  <c r="BF147" i="1" s="1"/>
  <c r="BH146" i="1"/>
  <c r="BE146" i="1" s="1"/>
  <c r="BF146" i="1" s="1"/>
  <c r="S202" i="1"/>
  <c r="T202" i="1" s="1"/>
  <c r="BV208" i="1"/>
  <c r="BB208" i="1"/>
  <c r="AT208" i="1"/>
  <c r="S208" i="1"/>
  <c r="T208" i="1" s="1"/>
  <c r="BV207" i="1"/>
  <c r="S207" i="1"/>
  <c r="T207" i="1" s="1"/>
  <c r="BV204" i="1"/>
  <c r="BV203" i="1"/>
  <c r="BB203" i="1"/>
  <c r="AT203" i="1"/>
  <c r="S203" i="1"/>
  <c r="T203" i="1" s="1"/>
  <c r="BV202" i="1"/>
  <c r="BV232" i="1"/>
  <c r="BV231" i="1"/>
  <c r="BV230" i="1"/>
  <c r="BB230" i="1"/>
  <c r="AT230" i="1"/>
  <c r="S230" i="1"/>
  <c r="J230" i="1"/>
  <c r="BV229" i="1"/>
  <c r="S229" i="1"/>
  <c r="T374" i="1"/>
  <c r="T372" i="1"/>
  <c r="S180" i="1"/>
  <c r="T180" i="1" s="1"/>
  <c r="BV10" i="1"/>
  <c r="BV18" i="1"/>
  <c r="BV20" i="1"/>
  <c r="BV32" i="1"/>
  <c r="BV33" i="1"/>
  <c r="BV34" i="1"/>
  <c r="BV35" i="1"/>
  <c r="BV36" i="1"/>
  <c r="BV37" i="1"/>
  <c r="BV38" i="1"/>
  <c r="BV40" i="1"/>
  <c r="BV39" i="1"/>
  <c r="BV44" i="1"/>
  <c r="BV45" i="1"/>
  <c r="BV46" i="1"/>
  <c r="BV47" i="1"/>
  <c r="BV48" i="1"/>
  <c r="BV49" i="1"/>
  <c r="BV50" i="1"/>
  <c r="BV51" i="1"/>
  <c r="BV52" i="1"/>
  <c r="BV53" i="1"/>
  <c r="BV55" i="1"/>
  <c r="BV54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5" i="1"/>
  <c r="BV96" i="1"/>
  <c r="BV97" i="1"/>
  <c r="BV98" i="1"/>
  <c r="BV99" i="1"/>
  <c r="BV100" i="1"/>
  <c r="BV101" i="1"/>
  <c r="BV102" i="1"/>
  <c r="BV110" i="1"/>
  <c r="BV111" i="1"/>
  <c r="BV112" i="1"/>
  <c r="BV113" i="1"/>
  <c r="BV114" i="1"/>
  <c r="BV115" i="1"/>
  <c r="BV116" i="1"/>
  <c r="BV117" i="1"/>
  <c r="BV118" i="1"/>
  <c r="BV119" i="1"/>
  <c r="BV120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5" i="1"/>
  <c r="BV206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3" i="1"/>
  <c r="BV224" i="1"/>
  <c r="BV225" i="1"/>
  <c r="BV226" i="1"/>
  <c r="BV227" i="1"/>
  <c r="BV228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336" i="1"/>
  <c r="BV337" i="1"/>
  <c r="BV338" i="1"/>
  <c r="BV339" i="1"/>
  <c r="BV340" i="1"/>
  <c r="BV341" i="1"/>
  <c r="BV342" i="1"/>
  <c r="BV344" i="1"/>
  <c r="BV345" i="1"/>
  <c r="BV346" i="1"/>
  <c r="BV347" i="1"/>
  <c r="BV348" i="1"/>
  <c r="BV349" i="1"/>
  <c r="BV350" i="1"/>
  <c r="BV351" i="1"/>
  <c r="BV356" i="1"/>
  <c r="BV357" i="1"/>
  <c r="BV358" i="1"/>
  <c r="BV359" i="1"/>
  <c r="BV360" i="1"/>
  <c r="BV361" i="1"/>
  <c r="BV362" i="1"/>
  <c r="BV363" i="1"/>
  <c r="BV364" i="1"/>
  <c r="BV365" i="1"/>
  <c r="BV368" i="1"/>
  <c r="BV369" i="1"/>
  <c r="BV370" i="1"/>
  <c r="BV371" i="1"/>
  <c r="BV372" i="1"/>
  <c r="BV373" i="1"/>
  <c r="BV374" i="1"/>
  <c r="BV375" i="1"/>
  <c r="BV378" i="1"/>
  <c r="BV379" i="1"/>
  <c r="BV380" i="1"/>
  <c r="BV381" i="1"/>
  <c r="BV382" i="1"/>
  <c r="BV383" i="1"/>
  <c r="BV384" i="1"/>
  <c r="BV385" i="1"/>
  <c r="BV387" i="1"/>
  <c r="BV404" i="1"/>
  <c r="BV405" i="1"/>
  <c r="BV406" i="1"/>
  <c r="BV407" i="1"/>
  <c r="BV408" i="1"/>
  <c r="BV409" i="1"/>
  <c r="BV410" i="1"/>
  <c r="BV411" i="1"/>
  <c r="BV412" i="1"/>
  <c r="BV413" i="1"/>
  <c r="BV414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1" i="1"/>
  <c r="BV432" i="1"/>
  <c r="BV433" i="1"/>
  <c r="BV434" i="1"/>
  <c r="BV435" i="1"/>
  <c r="BV436" i="1"/>
  <c r="BV437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6" i="1"/>
  <c r="BV467" i="1"/>
  <c r="BV468" i="1"/>
  <c r="BV469" i="1"/>
  <c r="BV470" i="1"/>
  <c r="BV471" i="1"/>
  <c r="BV472" i="1"/>
  <c r="BV473" i="1"/>
  <c r="BV474" i="1"/>
  <c r="BV478" i="1"/>
  <c r="BV482" i="1"/>
  <c r="BV489" i="1"/>
  <c r="BV490" i="1"/>
  <c r="S114" i="1"/>
  <c r="T114" i="1" s="1"/>
  <c r="S113" i="1"/>
  <c r="T113" i="1" s="1"/>
  <c r="BB114" i="1"/>
  <c r="AT114" i="1"/>
  <c r="BB180" i="1"/>
  <c r="AT180" i="1"/>
  <c r="AT226" i="1"/>
  <c r="BB226" i="1"/>
  <c r="S226" i="1"/>
  <c r="J226" i="1"/>
  <c r="S225" i="1"/>
  <c r="S191" i="1"/>
  <c r="T191" i="1" s="1"/>
  <c r="S190" i="1"/>
  <c r="T190" i="1" s="1"/>
  <c r="S148" i="1"/>
  <c r="T148" i="1" s="1"/>
  <c r="S147" i="1"/>
  <c r="T147" i="1" s="1"/>
  <c r="S172" i="1"/>
  <c r="T172" i="1" s="1"/>
  <c r="S170" i="1"/>
  <c r="T170" i="1" s="1"/>
  <c r="S197" i="1"/>
  <c r="T197" i="1" s="1"/>
  <c r="S196" i="1"/>
  <c r="T196" i="1" s="1"/>
  <c r="S195" i="1"/>
  <c r="T195" i="1" s="1"/>
  <c r="U206" i="1"/>
  <c r="U201" i="1"/>
  <c r="U443" i="1"/>
  <c r="U205" i="1"/>
  <c r="U200" i="1"/>
  <c r="T375" i="1"/>
  <c r="T373" i="1"/>
  <c r="S223" i="1"/>
  <c r="S224" i="1"/>
  <c r="S220" i="1"/>
  <c r="T220" i="1" s="1"/>
  <c r="S219" i="1"/>
  <c r="T219" i="1" s="1"/>
  <c r="S213" i="1"/>
  <c r="T213" i="1" s="1"/>
  <c r="S212" i="1"/>
  <c r="T212" i="1" s="1"/>
  <c r="S211" i="1"/>
  <c r="T211" i="1" s="1"/>
  <c r="S210" i="1"/>
  <c r="T210" i="1" s="1"/>
  <c r="S199" i="1"/>
  <c r="T199" i="1" s="1"/>
  <c r="S193" i="1"/>
  <c r="T193" i="1" s="1"/>
  <c r="S188" i="1"/>
  <c r="T188" i="1" s="1"/>
  <c r="S186" i="1"/>
  <c r="T186" i="1" s="1"/>
  <c r="S184" i="1"/>
  <c r="T184" i="1" s="1"/>
  <c r="S182" i="1"/>
  <c r="T182" i="1" s="1"/>
  <c r="S179" i="1"/>
  <c r="T179" i="1" s="1"/>
  <c r="S178" i="1"/>
  <c r="T178" i="1" s="1"/>
  <c r="S177" i="1"/>
  <c r="T177" i="1" s="1"/>
  <c r="S176" i="1"/>
  <c r="T176" i="1" s="1"/>
  <c r="S174" i="1"/>
  <c r="T174" i="1" s="1"/>
  <c r="S168" i="1"/>
  <c r="T168" i="1" s="1"/>
  <c r="S167" i="1"/>
  <c r="T167" i="1" s="1"/>
  <c r="S166" i="1"/>
  <c r="T166" i="1" s="1"/>
  <c r="S164" i="1"/>
  <c r="T164" i="1" s="1"/>
  <c r="S160" i="1"/>
  <c r="T160" i="1" s="1"/>
  <c r="S159" i="1"/>
  <c r="T159" i="1" s="1"/>
  <c r="S158" i="1"/>
  <c r="T158" i="1" s="1"/>
  <c r="S157" i="1"/>
  <c r="T157" i="1" s="1"/>
  <c r="S155" i="1"/>
  <c r="T155" i="1" s="1"/>
  <c r="S154" i="1"/>
  <c r="T154" i="1" s="1"/>
  <c r="S153" i="1"/>
  <c r="T153" i="1" s="1"/>
  <c r="S152" i="1"/>
  <c r="T152" i="1" s="1"/>
  <c r="S151" i="1"/>
  <c r="T151" i="1" s="1"/>
  <c r="S150" i="1"/>
  <c r="T150" i="1" s="1"/>
  <c r="S145" i="1"/>
  <c r="T145" i="1" s="1"/>
  <c r="S144" i="1"/>
  <c r="T144" i="1" s="1"/>
  <c r="S143" i="1"/>
  <c r="T143" i="1" s="1"/>
  <c r="S142" i="1"/>
  <c r="T142" i="1" s="1"/>
  <c r="S140" i="1"/>
  <c r="T140" i="1" s="1"/>
  <c r="S138" i="1"/>
  <c r="T138" i="1" s="1"/>
  <c r="S137" i="1"/>
  <c r="T137" i="1" s="1"/>
  <c r="S135" i="1"/>
  <c r="T135" i="1" s="1"/>
  <c r="S133" i="1"/>
  <c r="T133" i="1" s="1"/>
  <c r="S120" i="1"/>
  <c r="T120" i="1" s="1"/>
  <c r="S119" i="1"/>
  <c r="T119" i="1" s="1"/>
  <c r="S117" i="1"/>
  <c r="T117" i="1" s="1"/>
  <c r="S112" i="1"/>
  <c r="T112" i="1" s="1"/>
  <c r="S111" i="1"/>
  <c r="T111" i="1" s="1"/>
  <c r="S110" i="1"/>
  <c r="T110" i="1" s="1"/>
  <c r="BB174" i="1"/>
  <c r="BB173" i="1"/>
  <c r="BB406" i="1"/>
  <c r="BB405" i="1"/>
  <c r="BB490" i="1"/>
  <c r="BB404" i="1"/>
  <c r="BB387" i="1"/>
  <c r="BB385" i="1"/>
  <c r="BB384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199" i="1"/>
  <c r="BB198" i="1"/>
  <c r="BB193" i="1"/>
  <c r="BB192" i="1"/>
  <c r="BB188" i="1"/>
  <c r="BB187" i="1"/>
  <c r="BB186" i="1"/>
  <c r="BB185" i="1"/>
  <c r="BB184" i="1"/>
  <c r="BB183" i="1"/>
  <c r="BB182" i="1"/>
  <c r="BB181" i="1"/>
  <c r="BB179" i="1"/>
  <c r="BB178" i="1"/>
  <c r="BB177" i="1"/>
  <c r="BB176" i="1"/>
  <c r="BB175" i="1"/>
  <c r="BB168" i="1"/>
  <c r="BB167" i="1"/>
  <c r="BB166" i="1"/>
  <c r="BB165" i="1"/>
  <c r="BB164" i="1"/>
  <c r="BB163" i="1"/>
  <c r="BB159" i="1"/>
  <c r="BB158" i="1"/>
  <c r="BB157" i="1"/>
  <c r="BB156" i="1"/>
  <c r="BB155" i="1"/>
  <c r="BB154" i="1"/>
  <c r="BB153" i="1"/>
  <c r="BB152" i="1"/>
  <c r="BB151" i="1"/>
  <c r="BB150" i="1"/>
  <c r="BB149" i="1"/>
  <c r="BB145" i="1"/>
  <c r="BB144" i="1"/>
  <c r="BB143" i="1"/>
  <c r="BB142" i="1"/>
  <c r="BB141" i="1"/>
  <c r="BB140" i="1"/>
  <c r="BB139" i="1"/>
  <c r="BB137" i="1"/>
  <c r="BB136" i="1"/>
  <c r="BB135" i="1"/>
  <c r="BB134" i="1"/>
  <c r="BF473" i="1" l="1"/>
  <c r="BD473" i="1"/>
  <c r="BF474" i="1"/>
  <c r="BD474" i="1"/>
  <c r="BF482" i="1"/>
  <c r="BD482" i="1"/>
  <c r="BF468" i="1"/>
  <c r="BD468" i="1"/>
  <c r="BF478" i="1"/>
  <c r="BD478" i="1"/>
  <c r="BF470" i="1"/>
  <c r="BD470" i="1"/>
  <c r="BF472" i="1"/>
  <c r="BE449" i="1"/>
  <c r="BF449" i="1" s="1"/>
  <c r="BG342" i="1"/>
  <c r="BG226" i="1"/>
  <c r="BD387" i="1"/>
  <c r="BD168" i="1"/>
  <c r="BG47" i="1"/>
  <c r="BD120" i="1"/>
  <c r="BG337" i="1"/>
  <c r="BG215" i="1"/>
  <c r="BG216" i="1"/>
  <c r="BG95" i="1"/>
  <c r="BG101" i="1"/>
  <c r="BG338" i="1"/>
  <c r="BG350" i="1"/>
  <c r="BD81" i="1"/>
  <c r="BG8" i="1"/>
  <c r="BG360" i="1"/>
  <c r="BD142" i="1"/>
  <c r="BD192" i="1"/>
  <c r="BG230" i="1"/>
  <c r="BG200" i="1"/>
  <c r="BG233" i="1"/>
  <c r="BG152" i="1"/>
  <c r="BD448" i="1"/>
  <c r="BG451" i="1"/>
  <c r="BG140" i="1"/>
  <c r="BG73" i="1"/>
  <c r="BD435" i="1"/>
  <c r="BG435" i="1"/>
  <c r="BG231" i="1"/>
  <c r="BG489" i="1"/>
  <c r="BG96" i="1"/>
  <c r="BG351" i="1"/>
  <c r="BG411" i="1"/>
  <c r="BG424" i="1"/>
  <c r="BG4" i="1"/>
  <c r="BG28" i="1"/>
  <c r="BG26" i="1"/>
  <c r="BD167" i="1"/>
  <c r="BG167" i="1"/>
  <c r="BG371" i="1"/>
  <c r="BG468" i="1"/>
  <c r="BG86" i="1"/>
  <c r="BG178" i="1"/>
  <c r="BG219" i="1"/>
  <c r="BG74" i="1"/>
  <c r="BG87" i="1"/>
  <c r="BD436" i="1"/>
  <c r="BG436" i="1"/>
  <c r="BD202" i="1"/>
  <c r="BG202" i="1"/>
  <c r="BG205" i="1"/>
  <c r="BG357" i="1"/>
  <c r="BG427" i="1"/>
  <c r="BG457" i="1"/>
  <c r="BG89" i="1"/>
  <c r="BD437" i="1"/>
  <c r="BG437" i="1"/>
  <c r="BG68" i="1"/>
  <c r="BD203" i="1"/>
  <c r="BG203" i="1"/>
  <c r="BG206" i="1"/>
  <c r="BG365" i="1"/>
  <c r="BD379" i="1"/>
  <c r="BG240" i="1"/>
  <c r="BG246" i="1"/>
  <c r="BG252" i="1"/>
  <c r="BG264" i="1"/>
  <c r="BG276" i="1"/>
  <c r="BG340" i="1"/>
  <c r="BG412" i="1"/>
  <c r="BG425" i="1"/>
  <c r="BD458" i="1"/>
  <c r="BG372" i="1"/>
  <c r="BG188" i="1"/>
  <c r="BD190" i="1"/>
  <c r="BG190" i="1"/>
  <c r="BG474" i="1"/>
  <c r="BG440" i="1"/>
  <c r="BD32" i="1"/>
  <c r="BD69" i="1"/>
  <c r="BG69" i="1"/>
  <c r="BG204" i="1"/>
  <c r="BG368" i="1"/>
  <c r="BG380" i="1"/>
  <c r="BD154" i="1"/>
  <c r="BD191" i="1"/>
  <c r="BG191" i="1"/>
  <c r="BG150" i="1"/>
  <c r="BD384" i="1"/>
  <c r="BG384" i="1"/>
  <c r="BG70" i="1"/>
  <c r="BD112" i="1"/>
  <c r="BG112" i="1"/>
  <c r="BG207" i="1"/>
  <c r="BG241" i="1"/>
  <c r="BG253" i="1"/>
  <c r="BG265" i="1"/>
  <c r="BG277" i="1"/>
  <c r="BG426" i="1"/>
  <c r="BG466" i="1"/>
  <c r="BG383" i="1"/>
  <c r="BD169" i="1"/>
  <c r="BG169" i="1"/>
  <c r="BG75" i="1"/>
  <c r="BG166" i="1"/>
  <c r="BD92" i="1"/>
  <c r="BG92" i="1"/>
  <c r="BG71" i="1"/>
  <c r="BG117" i="1"/>
  <c r="BG208" i="1"/>
  <c r="BD447" i="1"/>
  <c r="BG447" i="1"/>
  <c r="BG370" i="1"/>
  <c r="BG382" i="1"/>
  <c r="BG62" i="1"/>
  <c r="BG404" i="1"/>
  <c r="BG470" i="1"/>
  <c r="BG482" i="1"/>
  <c r="BG405" i="1"/>
  <c r="BD145" i="1"/>
  <c r="BG199" i="1"/>
  <c r="BG18" i="1"/>
  <c r="BG55" i="1"/>
  <c r="BD110" i="1"/>
  <c r="BG346" i="1"/>
  <c r="BD181" i="1"/>
  <c r="BG441" i="1"/>
  <c r="BG85" i="1"/>
  <c r="BG183" i="1"/>
  <c r="BG195" i="1"/>
  <c r="BG453" i="1"/>
  <c r="BG133" i="1"/>
  <c r="BG237" i="1"/>
  <c r="BG273" i="1"/>
  <c r="BG416" i="1"/>
  <c r="BG454" i="1"/>
  <c r="BG49" i="1"/>
  <c r="BG63" i="1"/>
  <c r="BD347" i="1"/>
  <c r="BG48" i="1"/>
  <c r="BG249" i="1"/>
  <c r="BD156" i="1"/>
  <c r="BG50" i="1"/>
  <c r="BG361" i="1"/>
  <c r="BG373" i="1"/>
  <c r="BG238" i="1"/>
  <c r="BG417" i="1"/>
  <c r="BG429" i="1"/>
  <c r="BG6" i="1"/>
  <c r="BG428" i="1"/>
  <c r="BG170" i="1"/>
  <c r="BD157" i="1"/>
  <c r="BG12" i="1"/>
  <c r="BG362" i="1"/>
  <c r="BD171" i="1"/>
  <c r="BD193" i="1"/>
  <c r="BG471" i="1"/>
  <c r="BG239" i="1"/>
  <c r="BG251" i="1"/>
  <c r="BG263" i="1"/>
  <c r="BG159" i="1"/>
  <c r="BD111" i="1"/>
  <c r="BG223" i="1"/>
  <c r="BG51" i="1"/>
  <c r="BG135" i="1"/>
  <c r="BG211" i="1"/>
  <c r="BD364" i="1"/>
  <c r="BG348" i="1"/>
  <c r="BG30" i="1"/>
  <c r="BG275" i="1"/>
  <c r="BD378" i="1"/>
  <c r="BG147" i="1"/>
  <c r="BG173" i="1"/>
  <c r="BG37" i="1"/>
  <c r="BG44" i="1"/>
  <c r="BG54" i="1"/>
  <c r="BG83" i="1"/>
  <c r="BG84" i="1"/>
  <c r="BG35" i="1"/>
  <c r="BG36" i="1"/>
  <c r="BG115" i="1"/>
  <c r="BE180" i="1"/>
  <c r="BF180" i="1" s="1"/>
  <c r="BG90" i="1"/>
  <c r="BG33" i="1"/>
  <c r="BG78" i="1"/>
  <c r="BG227" i="1"/>
  <c r="BG385" i="1"/>
  <c r="BG259" i="1"/>
  <c r="BG235" i="1"/>
  <c r="BG452" i="1"/>
  <c r="BG212" i="1"/>
  <c r="BG61" i="1"/>
  <c r="BG469" i="1"/>
  <c r="BG143" i="1"/>
  <c r="BG409" i="1"/>
  <c r="BG20" i="1"/>
  <c r="BG250" i="1"/>
  <c r="BG369" i="1"/>
  <c r="BD176" i="1"/>
  <c r="BD434" i="1"/>
  <c r="BD158" i="1"/>
  <c r="BG158" i="1"/>
  <c r="BD177" i="1"/>
  <c r="BD218" i="1"/>
  <c r="BG218" i="1"/>
  <c r="BG14" i="1"/>
  <c r="BG52" i="1"/>
  <c r="BD66" i="1"/>
  <c r="BD281" i="1"/>
  <c r="BG160" i="1"/>
  <c r="BG418" i="1"/>
  <c r="BD4" i="1"/>
  <c r="BD28" i="1"/>
  <c r="BG67" i="1"/>
  <c r="BG224" i="1"/>
  <c r="BG374" i="1"/>
  <c r="BG32" i="1"/>
  <c r="BG155" i="1"/>
  <c r="BG111" i="1"/>
  <c r="BG262" i="1"/>
  <c r="BG413" i="1"/>
  <c r="BG72" i="1"/>
  <c r="BG229" i="1"/>
  <c r="BG381" i="1"/>
  <c r="BG138" i="1"/>
  <c r="BG99" i="1"/>
  <c r="BG80" i="1"/>
  <c r="BG410" i="1"/>
  <c r="BG65" i="1"/>
  <c r="BD172" i="1"/>
  <c r="BG172" i="1"/>
  <c r="BD198" i="1"/>
  <c r="BD16" i="1"/>
  <c r="BG53" i="1"/>
  <c r="BG232" i="1"/>
  <c r="BG443" i="1"/>
  <c r="BG79" i="1"/>
  <c r="BG46" i="1"/>
  <c r="BG467" i="1"/>
  <c r="BG274" i="1"/>
  <c r="BG478" i="1"/>
  <c r="BG363" i="1"/>
  <c r="BG444" i="1"/>
  <c r="BG459" i="1"/>
  <c r="BG186" i="1"/>
  <c r="BG179" i="1"/>
  <c r="BG375" i="1"/>
  <c r="BG163" i="1"/>
  <c r="BD199" i="1"/>
  <c r="BG220" i="1"/>
  <c r="BD55" i="1"/>
  <c r="BG97" i="1"/>
  <c r="BG419" i="1"/>
  <c r="BG442" i="1"/>
  <c r="BG58" i="1"/>
  <c r="BG214" i="1"/>
  <c r="BG364" i="1"/>
  <c r="BG472" i="1"/>
  <c r="BG144" i="1"/>
  <c r="BG439" i="1"/>
  <c r="BG387" i="1"/>
  <c r="BG339" i="1"/>
  <c r="BG490" i="1"/>
  <c r="BG281" i="1"/>
  <c r="BG201" i="1"/>
  <c r="BG66" i="1"/>
  <c r="BG91" i="1"/>
  <c r="BG406" i="1"/>
  <c r="BG149" i="1"/>
  <c r="BG209" i="1"/>
  <c r="BG221" i="1"/>
  <c r="BG76" i="1"/>
  <c r="BD445" i="1"/>
  <c r="BD223" i="1"/>
  <c r="BG258" i="1"/>
  <c r="BG378" i="1"/>
  <c r="BG336" i="1"/>
  <c r="BG156" i="1"/>
  <c r="BG450" i="1"/>
  <c r="BG414" i="1"/>
  <c r="BG356" i="1"/>
  <c r="BG213" i="1"/>
  <c r="BG153" i="1"/>
  <c r="BG244" i="1"/>
  <c r="BG164" i="1"/>
  <c r="BD134" i="1"/>
  <c r="BG134" i="1"/>
  <c r="BD150" i="1"/>
  <c r="BD165" i="1"/>
  <c r="BD182" i="1"/>
  <c r="BG182" i="1"/>
  <c r="BD210" i="1"/>
  <c r="BG38" i="1"/>
  <c r="BG98" i="1"/>
  <c r="BG341" i="1"/>
  <c r="BG270" i="1"/>
  <c r="BG422" i="1"/>
  <c r="BG81" i="1"/>
  <c r="BG236" i="1"/>
  <c r="BG349" i="1"/>
  <c r="BG10" i="1"/>
  <c r="BG268" i="1"/>
  <c r="BG176" i="1"/>
  <c r="BG245" i="1"/>
  <c r="BG102" i="1"/>
  <c r="BD116" i="1"/>
  <c r="BD194" i="1"/>
  <c r="BG194" i="1"/>
  <c r="BD151" i="1"/>
  <c r="BD211" i="1"/>
  <c r="BD78" i="1"/>
  <c r="BG248" i="1"/>
  <c r="BG59" i="1"/>
  <c r="BG22" i="1"/>
  <c r="BG473" i="1"/>
  <c r="BG145" i="1"/>
  <c r="BG445" i="1"/>
  <c r="BG271" i="1"/>
  <c r="BG247" i="1"/>
  <c r="BG16" i="1"/>
  <c r="BG198" i="1"/>
  <c r="BG100" i="1"/>
  <c r="BG257" i="1"/>
  <c r="BG136" i="1"/>
  <c r="BG184" i="1"/>
  <c r="BD344" i="1"/>
  <c r="BG40" i="1"/>
  <c r="BG88" i="1"/>
  <c r="BG242" i="1"/>
  <c r="BG254" i="1"/>
  <c r="BG266" i="1"/>
  <c r="BG278" i="1"/>
  <c r="BG446" i="1"/>
  <c r="BG260" i="1"/>
  <c r="BG379" i="1"/>
  <c r="BG34" i="1"/>
  <c r="BG192" i="1"/>
  <c r="BG157" i="1"/>
  <c r="BG407" i="1"/>
  <c r="BG420" i="1"/>
  <c r="BG116" i="1"/>
  <c r="BG45" i="1"/>
  <c r="BG118" i="1"/>
  <c r="BD146" i="1"/>
  <c r="BG146" i="1"/>
  <c r="BG196" i="1"/>
  <c r="BG137" i="1"/>
  <c r="BG185" i="1"/>
  <c r="BD345" i="1"/>
  <c r="BG358" i="1"/>
  <c r="BG458" i="1"/>
  <c r="BG119" i="1"/>
  <c r="BG272" i="1"/>
  <c r="BG82" i="1"/>
  <c r="BG171" i="1"/>
  <c r="BG456" i="1"/>
  <c r="BG347" i="1"/>
  <c r="BG39" i="1"/>
  <c r="BG256" i="1"/>
  <c r="BG139" i="1"/>
  <c r="BG345" i="1"/>
  <c r="BG217" i="1"/>
  <c r="BG197" i="1"/>
  <c r="BG431" i="1"/>
  <c r="BG113" i="1"/>
  <c r="BG359" i="1"/>
  <c r="BG243" i="1"/>
  <c r="BG255" i="1"/>
  <c r="BG267" i="1"/>
  <c r="BG279" i="1"/>
  <c r="BG24" i="1"/>
  <c r="BG142" i="1"/>
  <c r="BG93" i="1"/>
  <c r="BG60" i="1"/>
  <c r="BG181" i="1"/>
  <c r="BG269" i="1"/>
  <c r="BG210" i="1"/>
  <c r="BG141" i="1"/>
  <c r="BG280" i="1"/>
  <c r="BG151" i="1"/>
  <c r="BG57" i="1"/>
  <c r="BG225" i="1"/>
  <c r="BG148" i="1"/>
  <c r="BG174" i="1"/>
  <c r="BG432" i="1"/>
  <c r="BG114" i="1"/>
  <c r="BD360" i="1"/>
  <c r="BD372" i="1"/>
  <c r="BG154" i="1"/>
  <c r="BG448" i="1"/>
  <c r="BG110" i="1"/>
  <c r="BG261" i="1"/>
  <c r="BG228" i="1"/>
  <c r="BG193" i="1"/>
  <c r="BG189" i="1"/>
  <c r="BG423" i="1"/>
  <c r="BG165" i="1"/>
  <c r="BG421" i="1"/>
  <c r="BG175" i="1"/>
  <c r="BD457" i="1"/>
  <c r="BD54" i="1"/>
  <c r="BD433" i="1"/>
  <c r="BG64" i="1"/>
  <c r="BD115" i="1"/>
  <c r="BD361" i="1"/>
  <c r="BD373" i="1"/>
  <c r="BG455" i="1"/>
  <c r="BG168" i="1"/>
  <c r="BG120" i="1"/>
  <c r="BG434" i="1"/>
  <c r="BG408" i="1"/>
  <c r="BG344" i="1"/>
  <c r="BG77" i="1"/>
  <c r="BG433" i="1"/>
  <c r="BG177" i="1"/>
  <c r="BD65" i="1"/>
  <c r="BD159" i="1"/>
  <c r="BD219" i="1"/>
  <c r="BD53" i="1"/>
  <c r="BD443" i="1"/>
  <c r="BD220" i="1"/>
  <c r="BD76" i="1"/>
  <c r="BD441" i="1"/>
  <c r="BD135" i="1"/>
  <c r="BD183" i="1"/>
  <c r="BD195" i="1"/>
  <c r="BD136" i="1"/>
  <c r="BD184" i="1"/>
  <c r="BD137" i="1"/>
  <c r="BD185" i="1"/>
  <c r="BD147" i="1"/>
  <c r="BD173" i="1"/>
  <c r="BD50" i="1"/>
  <c r="BD84" i="1"/>
  <c r="BD52" i="1"/>
  <c r="BD232" i="1"/>
  <c r="BD406" i="1"/>
  <c r="BD204" i="1"/>
  <c r="BD217" i="1"/>
  <c r="BD12" i="1"/>
  <c r="BD205" i="1"/>
  <c r="BD75" i="1"/>
  <c r="BD33" i="1"/>
  <c r="BD22" i="1"/>
  <c r="BD207" i="1"/>
  <c r="BD369" i="1"/>
  <c r="BD381" i="1"/>
  <c r="BD216" i="1"/>
  <c r="BD64" i="1"/>
  <c r="BD34" i="1"/>
  <c r="BD59" i="1"/>
  <c r="BD208" i="1"/>
  <c r="BD356" i="1"/>
  <c r="BD370" i="1"/>
  <c r="BD382" i="1"/>
  <c r="BD233" i="1"/>
  <c r="BD74" i="1"/>
  <c r="BD60" i="1"/>
  <c r="BD357" i="1"/>
  <c r="BD371" i="1"/>
  <c r="BD383" i="1"/>
  <c r="BD10" i="1"/>
  <c r="BD86" i="1"/>
  <c r="BD231" i="1"/>
  <c r="BD404" i="1"/>
  <c r="BD87" i="1"/>
  <c r="BD405" i="1"/>
  <c r="BD453" i="1"/>
  <c r="BD36" i="1"/>
  <c r="BD342" i="1"/>
  <c r="BD439" i="1"/>
  <c r="BD358" i="1"/>
  <c r="BD48" i="1"/>
  <c r="BD62" i="1"/>
  <c r="BD346" i="1"/>
  <c r="BD113" i="1"/>
  <c r="BD359" i="1"/>
  <c r="BD490" i="1"/>
  <c r="BD230" i="1"/>
  <c r="BD14" i="1"/>
  <c r="BD489" i="1"/>
  <c r="BD26" i="1"/>
  <c r="BD82" i="1"/>
  <c r="BD114" i="1"/>
  <c r="BD228" i="1"/>
  <c r="BD51" i="1"/>
  <c r="BD6" i="1"/>
  <c r="BD143" i="1"/>
  <c r="BD57" i="1"/>
  <c r="BD58" i="1"/>
  <c r="BD70" i="1"/>
  <c r="BD214" i="1"/>
  <c r="BD166" i="1"/>
  <c r="BD385" i="1"/>
  <c r="BD45" i="1"/>
  <c r="BD71" i="1"/>
  <c r="BD117" i="1"/>
  <c r="BD432" i="1"/>
  <c r="BD46" i="1"/>
  <c r="BD119" i="1"/>
  <c r="BD431" i="1"/>
  <c r="BD196" i="1"/>
  <c r="BD47" i="1"/>
  <c r="BD226" i="1"/>
  <c r="BD83" i="1"/>
  <c r="BD197" i="1"/>
  <c r="BD227" i="1"/>
  <c r="BD144" i="1"/>
  <c r="BD444" i="1"/>
  <c r="BD365" i="1"/>
  <c r="BD440" i="1"/>
  <c r="BD368" i="1"/>
  <c r="BD141" i="1"/>
  <c r="BD175" i="1"/>
  <c r="BD188" i="1"/>
  <c r="BD229" i="1"/>
  <c r="BD72" i="1"/>
  <c r="BD200" i="1"/>
  <c r="BD362" i="1"/>
  <c r="BD374" i="1"/>
  <c r="BD73" i="1"/>
  <c r="BD201" i="1"/>
  <c r="BD363" i="1"/>
  <c r="BD375" i="1"/>
  <c r="BD178" i="1"/>
  <c r="BD67" i="1"/>
  <c r="BD189" i="1"/>
  <c r="BD163" i="1"/>
  <c r="BD179" i="1"/>
  <c r="BD89" i="1"/>
  <c r="BD18" i="1"/>
  <c r="BD68" i="1"/>
  <c r="BD206" i="1"/>
  <c r="BD90" i="1"/>
  <c r="BD20" i="1"/>
  <c r="BD380" i="1"/>
  <c r="BD77" i="1"/>
  <c r="BD91" i="1"/>
  <c r="BD446" i="1"/>
  <c r="BD224" i="1"/>
  <c r="BD152" i="1"/>
  <c r="BD212" i="1"/>
  <c r="BD35" i="1"/>
  <c r="BD79" i="1"/>
  <c r="BD225" i="1"/>
  <c r="BD30" i="1"/>
  <c r="BD153" i="1"/>
  <c r="BD213" i="1"/>
  <c r="BD80" i="1"/>
  <c r="BD61" i="1"/>
  <c r="BD139" i="1"/>
  <c r="BD186" i="1"/>
  <c r="BD37" i="1"/>
  <c r="BD24" i="1"/>
  <c r="BD148" i="1"/>
  <c r="BD44" i="1"/>
  <c r="BD8" i="1"/>
  <c r="BD49" i="1"/>
  <c r="BD63" i="1"/>
  <c r="BD149" i="1"/>
  <c r="BD164" i="1"/>
  <c r="BE187" i="1"/>
  <c r="BF187" i="1" s="1"/>
  <c r="BD215" i="1"/>
  <c r="BD140" i="1"/>
  <c r="BD209" i="1"/>
  <c r="BD155" i="1"/>
  <c r="BD452" i="1"/>
  <c r="BD221" i="1"/>
  <c r="BD174" i="1"/>
  <c r="BD170" i="1"/>
  <c r="BG449" i="1" l="1"/>
  <c r="BD449" i="1"/>
  <c r="BG180" i="1"/>
  <c r="BD180" i="1"/>
  <c r="BG187" i="1"/>
  <c r="BD187" i="1"/>
</calcChain>
</file>

<file path=xl/sharedStrings.xml><?xml version="1.0" encoding="utf-8"?>
<sst xmlns="http://schemas.openxmlformats.org/spreadsheetml/2006/main" count="7950" uniqueCount="1579">
  <si>
    <t>index</t>
  </si>
  <si>
    <t>entity_status</t>
  </si>
  <si>
    <t>entity_namespace</t>
  </si>
  <si>
    <t>unique_id</t>
  </si>
  <si>
    <t>name</t>
  </si>
  <si>
    <t>entity_domain</t>
  </si>
  <si>
    <t>entity_group</t>
  </si>
  <si>
    <t>state_class</t>
  </si>
  <si>
    <t>unit_of_measurement</t>
  </si>
  <si>
    <t>device_class</t>
  </si>
  <si>
    <t>icon</t>
  </si>
  <si>
    <t>sample_period</t>
  </si>
  <si>
    <t>force_update</t>
  </si>
  <si>
    <t>unique_id_device</t>
  </si>
  <si>
    <t>discovery_topic</t>
  </si>
  <si>
    <t>state_topic</t>
  </si>
  <si>
    <t>value_template</t>
  </si>
  <si>
    <t>qos</t>
  </si>
  <si>
    <t>device_name</t>
  </si>
  <si>
    <t>device_sw_version</t>
  </si>
  <si>
    <t>device_identifiers</t>
  </si>
  <si>
    <t>device_model</t>
  </si>
  <si>
    <t>device_manufacturer</t>
  </si>
  <si>
    <t>device_suggested_area</t>
  </si>
  <si>
    <t>device_configuration_url</t>
  </si>
  <si>
    <t>device_via_device</t>
  </si>
  <si>
    <t>Enabled</t>
  </si>
  <si>
    <t>sensor</t>
  </si>
  <si>
    <t>Rack</t>
  </si>
  <si>
    <t>Humidity</t>
  </si>
  <si>
    <t>Conditions</t>
  </si>
  <si>
    <t>measurement</t>
  </si>
  <si>
    <t>%</t>
  </si>
  <si>
    <t>humidity</t>
  </si>
  <si>
    <t>false</t>
  </si>
  <si>
    <t>inHumidity</t>
  </si>
  <si>
    <t>Vantage Pro2</t>
  </si>
  <si>
    <t>Davis</t>
  </si>
  <si>
    <t>Roof</t>
  </si>
  <si>
    <t>WeeWX</t>
  </si>
  <si>
    <t>outHumidity</t>
  </si>
  <si>
    <t>roof_cloud_base</t>
  </si>
  <si>
    <t>Roof Cloud Base</t>
  </si>
  <si>
    <t>Irradiance</t>
  </si>
  <si>
    <t>m</t>
  </si>
  <si>
    <t>cloudbase</t>
  </si>
  <si>
    <t>roof_max_solar_radiation</t>
  </si>
  <si>
    <t>Roof Max Solar Radiation</t>
  </si>
  <si>
    <t>wpm²</t>
  </si>
  <si>
    <t>maxSolarRad</t>
  </si>
  <si>
    <t>Pressure</t>
  </si>
  <si>
    <t>mbar</t>
  </si>
  <si>
    <t>pressure</t>
  </si>
  <si>
    <t>roof_barometer_pressure</t>
  </si>
  <si>
    <t>Roof Barometer</t>
  </si>
  <si>
    <t>barometer</t>
  </si>
  <si>
    <t>roof_pressure</t>
  </si>
  <si>
    <t>roof_daily_rain</t>
  </si>
  <si>
    <t>Rain</t>
  </si>
  <si>
    <t>total</t>
  </si>
  <si>
    <t>cm</t>
  </si>
  <si>
    <t>dayRain</t>
  </si>
  <si>
    <t>roof_hourly_rain</t>
  </si>
  <si>
    <t>hourRain</t>
  </si>
  <si>
    <t>roof_monthly_rain</t>
  </si>
  <si>
    <t>monthRain</t>
  </si>
  <si>
    <t>rain24</t>
  </si>
  <si>
    <t>roof_rain_rate</t>
  </si>
  <si>
    <t>rainRate</t>
  </si>
  <si>
    <t>roof_rain</t>
  </si>
  <si>
    <t>total_increasing</t>
  </si>
  <si>
    <t>rain</t>
  </si>
  <si>
    <t>roof_storm_rain</t>
  </si>
  <si>
    <t>stormRain</t>
  </si>
  <si>
    <t>roof_yearly_rain</t>
  </si>
  <si>
    <t>V</t>
  </si>
  <si>
    <t>voltage</t>
  </si>
  <si>
    <t>consBatteryVoltage</t>
  </si>
  <si>
    <t>Temperature</t>
  </si>
  <si>
    <t>°C</t>
  </si>
  <si>
    <t>temperature</t>
  </si>
  <si>
    <t>Graph</t>
  </si>
  <si>
    <t>outTemp</t>
  </si>
  <si>
    <t>Roof Apparent</t>
  </si>
  <si>
    <t>appTemp</t>
  </si>
  <si>
    <t>Roof Dew Point</t>
  </si>
  <si>
    <t>dewpoint</t>
  </si>
  <si>
    <t>Roof Heat Index</t>
  </si>
  <si>
    <t>heatindex</t>
  </si>
  <si>
    <t>Roof Humidity Index</t>
  </si>
  <si>
    <t>humidex</t>
  </si>
  <si>
    <t>Rack Dew Point</t>
  </si>
  <si>
    <t>inDewpoint</t>
  </si>
  <si>
    <t>Wind Chill</t>
  </si>
  <si>
    <t>windchill</t>
  </si>
  <si>
    <t>roof_wind_speed</t>
  </si>
  <si>
    <t>Speed</t>
  </si>
  <si>
    <t>windSpeed</t>
  </si>
  <si>
    <t>roof_wind_direction</t>
  </si>
  <si>
    <t>Direction</t>
  </si>
  <si>
    <t>Wind</t>
  </si>
  <si>
    <t>windDir</t>
  </si>
  <si>
    <t>roof_wind_gust_direction</t>
  </si>
  <si>
    <t>Gust Direction</t>
  </si>
  <si>
    <t>windGustDir</t>
  </si>
  <si>
    <t>roof_wind_gust_speed</t>
  </si>
  <si>
    <t>Gust Speed</t>
  </si>
  <si>
    <t>windGust</t>
  </si>
  <si>
    <t>roof_wind_speed_10min</t>
  </si>
  <si>
    <t>Speed over 10m</t>
  </si>
  <si>
    <t>windSpeed10</t>
  </si>
  <si>
    <t>roof_wind_samples</t>
  </si>
  <si>
    <t>Samples</t>
  </si>
  <si>
    <t>wind_samples</t>
  </si>
  <si>
    <t>roof_wind_run</t>
  </si>
  <si>
    <t>Run</t>
  </si>
  <si>
    <t>km</t>
  </si>
  <si>
    <t>windrun</t>
  </si>
  <si>
    <t>Edwin</t>
  </si>
  <si>
    <t>Netatmo</t>
  </si>
  <si>
    <t>fan</t>
  </si>
  <si>
    <t>Ada</t>
  </si>
  <si>
    <t>Fans</t>
  </si>
  <si>
    <t>Control</t>
  </si>
  <si>
    <t>SenseMe</t>
  </si>
  <si>
    <t>switch</t>
  </si>
  <si>
    <t>Coffee Machine</t>
  </si>
  <si>
    <t>Table</t>
  </si>
  <si>
    <t>light</t>
  </si>
  <si>
    <t>Dining Main</t>
  </si>
  <si>
    <t>Lights</t>
  </si>
  <si>
    <t>Ada Main</t>
  </si>
  <si>
    <t>Electricity</t>
  </si>
  <si>
    <t>withings_weight_kg_graham</t>
  </si>
  <si>
    <t>Health</t>
  </si>
  <si>
    <t>Media</t>
  </si>
  <si>
    <t>media_player</t>
  </si>
  <si>
    <t>ada_home</t>
  </si>
  <si>
    <t>camera</t>
  </si>
  <si>
    <t>binary_sensor</t>
  </si>
  <si>
    <t>uvc_ada_motion</t>
  </si>
  <si>
    <t>Automation</t>
  </si>
  <si>
    <t>Nicely named entity low level domain</t>
  </si>
  <si>
    <t>Nicely named entity high level group</t>
  </si>
  <si>
    <t>State class from here</t>
  </si>
  <si>
    <t>Units from here</t>
  </si>
  <si>
    <t>Seconds between samples</t>
  </si>
  <si>
    <t>Uniquely defines entity within device namespace</t>
  </si>
  <si>
    <t>Template as defined here</t>
  </si>
  <si>
    <t>String to define device version</t>
  </si>
  <si>
    <t>String to uniquely define source device</t>
  </si>
  <si>
    <t>String to define device model</t>
  </si>
  <si>
    <t>String to define device manufacturer</t>
  </si>
  <si>
    <t>URL that permits device management</t>
  </si>
  <si>
    <t>String to uniquely define intermediatry device</t>
  </si>
  <si>
    <t>Home</t>
  </si>
  <si>
    <t>Define natural order of entities</t>
  </si>
  <si>
    <t>°</t>
  </si>
  <si>
    <t>km/h</t>
  </si>
  <si>
    <t>inTemp</t>
  </si>
  <si>
    <t>weatherstation_console_battery_voltage</t>
  </si>
  <si>
    <t>roof_24hour_rain</t>
  </si>
  <si>
    <t>mdi:cloud-outline</t>
  </si>
  <si>
    <t>mdi:solar-power</t>
  </si>
  <si>
    <t>mdi:weather-pouring</t>
  </si>
  <si>
    <t>mdi:weather-windy</t>
  </si>
  <si>
    <t>Device class from here, required if icon is NULL</t>
  </si>
  <si>
    <t>Carbon Dioxide</t>
  </si>
  <si>
    <t>Noise</t>
  </si>
  <si>
    <t>Lounge TV</t>
  </si>
  <si>
    <t>Withings</t>
  </si>
  <si>
    <t>Sonos</t>
  </si>
  <si>
    <t>Nice name for the entity</t>
  </si>
  <si>
    <t>friendly_name</t>
  </si>
  <si>
    <t>Ada Home</t>
  </si>
  <si>
    <t>REQUIRED for MQTT</t>
  </si>
  <si>
    <t>REQUIRED for MQTT (Empty ⇒ None)</t>
  </si>
  <si>
    <t>AT LEAST ONE REQUIRED for MQTT (Empty ⇒ None)</t>
  </si>
  <si>
    <t>yearRain</t>
  </si>
  <si>
    <t>Edwin Main</t>
  </si>
  <si>
    <t>Lounge Fan</t>
  </si>
  <si>
    <t>Parents</t>
  </si>
  <si>
    <t>Dining</t>
  </si>
  <si>
    <t>Lounge</t>
  </si>
  <si>
    <t>Ada Lamp</t>
  </si>
  <si>
    <t>Parents Main</t>
  </si>
  <si>
    <t>Ensuite Main</t>
  </si>
  <si>
    <t>Bathroom Main</t>
  </si>
  <si>
    <t>Office Main</t>
  </si>
  <si>
    <t>Hallway Main</t>
  </si>
  <si>
    <t>Wardrobe Main</t>
  </si>
  <si>
    <t>Kitchen Main</t>
  </si>
  <si>
    <t>Pantry Main</t>
  </si>
  <si>
    <t>Laundry Main</t>
  </si>
  <si>
    <t>Edwin Lamp</t>
  </si>
  <si>
    <t>Kitchen</t>
  </si>
  <si>
    <t>Lounge Main</t>
  </si>
  <si>
    <t>uvc_edwin_motion</t>
  </si>
  <si>
    <t>Security</t>
  </si>
  <si>
    <t>Basement</t>
  </si>
  <si>
    <t>Pantry</t>
  </si>
  <si>
    <t>Office</t>
  </si>
  <si>
    <t>Laundry</t>
  </si>
  <si>
    <t>Deck West</t>
  </si>
  <si>
    <t>Deck East</t>
  </si>
  <si>
    <t>mm/h</t>
  </si>
  <si>
    <t>Todo</t>
  </si>
  <si>
    <t>Daily Energy Consumption</t>
  </si>
  <si>
    <t>Network Switch</t>
  </si>
  <si>
    <t>Internet Modem</t>
  </si>
  <si>
    <t>Server Rack</t>
  </si>
  <si>
    <t>Kitchen Fridge</t>
  </si>
  <si>
    <t>Deck Freezer</t>
  </si>
  <si>
    <t>Office Outlet</t>
  </si>
  <si>
    <t>Study Outlet</t>
  </si>
  <si>
    <t>Washing Machine</t>
  </si>
  <si>
    <t>Dish Washer</t>
  </si>
  <si>
    <t>Clothes Dryer</t>
  </si>
  <si>
    <t>Vacuum Charger</t>
  </si>
  <si>
    <t>Battery Charger</t>
  </si>
  <si>
    <t>home_power</t>
  </si>
  <si>
    <t>TPLink</t>
  </si>
  <si>
    <t>UniFi</t>
  </si>
  <si>
    <t>Google</t>
  </si>
  <si>
    <t>mm</t>
  </si>
  <si>
    <t>roof_weekly_rain</t>
  </si>
  <si>
    <t>home_energy_daily</t>
  </si>
  <si>
    <t>Current Power Consumption</t>
  </si>
  <si>
    <t>mdi:home-lightning-bolt</t>
  </si>
  <si>
    <t>mdi:battery-charging</t>
  </si>
  <si>
    <t>mdi:fan</t>
  </si>
  <si>
    <t>mdi:dishwasher</t>
  </si>
  <si>
    <t>mdi:tumble-dryer</t>
  </si>
  <si>
    <t>mdi:washing-machine</t>
  </si>
  <si>
    <t>mdi:coffee-maker</t>
  </si>
  <si>
    <t>mdi:fridge-outline</t>
  </si>
  <si>
    <t>mdi:fridge-top</t>
  </si>
  <si>
    <t>mdi:television</t>
  </si>
  <si>
    <t>mdi:power-plug-outline</t>
  </si>
  <si>
    <t>mdi:server</t>
  </si>
  <si>
    <t>mdi:server-network</t>
  </si>
  <si>
    <t>mdi:router-wireless</t>
  </si>
  <si>
    <t>mdi:battery-charging-30</t>
  </si>
  <si>
    <t>mdi:radiator</t>
  </si>
  <si>
    <t>Table_NoToggle</t>
  </si>
  <si>
    <t>edwin_home</t>
  </si>
  <si>
    <t>Edwin Home</t>
  </si>
  <si>
    <t>Parents Home</t>
  </si>
  <si>
    <t>Kitchen Home</t>
  </si>
  <si>
    <t>kitchen_home</t>
  </si>
  <si>
    <t>Parents TV</t>
  </si>
  <si>
    <t>Apple</t>
  </si>
  <si>
    <t>parents_tv</t>
  </si>
  <si>
    <t>parents_home</t>
  </si>
  <si>
    <t>REQUIRED ∀</t>
  </si>
  <si>
    <t>REQUIRED ∀ (Empty ⇒ None)</t>
  </si>
  <si>
    <t>REQUIRED ∀ (Empty ⇒ entities)</t>
  </si>
  <si>
    <t>media-control</t>
  </si>
  <si>
    <t>picture-entity</t>
  </si>
  <si>
    <t>mdi:battery-30</t>
  </si>
  <si>
    <t>Sleep</t>
  </si>
  <si>
    <t>Status</t>
  </si>
  <si>
    <t>Diagnostics</t>
  </si>
  <si>
    <t>mdi:lightbulb-group</t>
  </si>
  <si>
    <t>Weight</t>
  </si>
  <si>
    <t>Graham</t>
  </si>
  <si>
    <t>Deck Festoons</t>
  </si>
  <si>
    <t>hallway_main</t>
  </si>
  <si>
    <t>dining_main</t>
  </si>
  <si>
    <t>lounge_main</t>
  </si>
  <si>
    <t>parents_main</t>
  </si>
  <si>
    <t>kitchen_main</t>
  </si>
  <si>
    <t>laundry_main</t>
  </si>
  <si>
    <t>pantry_main</t>
  </si>
  <si>
    <t>office_main</t>
  </si>
  <si>
    <t>bathroom_main</t>
  </si>
  <si>
    <t>ensuite_main</t>
  </si>
  <si>
    <t>wardrobe_main</t>
  </si>
  <si>
    <t>ada_lamp</t>
  </si>
  <si>
    <t>edwin_lamp</t>
  </si>
  <si>
    <t>home_sleep</t>
  </si>
  <si>
    <t>input_boolean</t>
  </si>
  <si>
    <t>Routines</t>
  </si>
  <si>
    <t>mdi:chat-sleep</t>
  </si>
  <si>
    <t>compensation_curve</t>
  </si>
  <si>
    <t>compensation_sensor_roof_temperature</t>
  </si>
  <si>
    <t>[ 1, 1 ],[ 2, 2 ]</t>
  </si>
  <si>
    <t>mdi:thermometer</t>
  </si>
  <si>
    <t>mdi:volume-high</t>
  </si>
  <si>
    <t>mdi:water-percent</t>
  </si>
  <si>
    <t>Pool Filter</t>
  </si>
  <si>
    <t>home_peak_power</t>
  </si>
  <si>
    <t>home_base_power</t>
  </si>
  <si>
    <t>Base Load</t>
  </si>
  <si>
    <t>Peak Load</t>
  </si>
  <si>
    <t>Home Load</t>
  </si>
  <si>
    <t>home_peak_energy_daily</t>
  </si>
  <si>
    <t>home_base_energy_daily</t>
  </si>
  <si>
    <t>W</t>
  </si>
  <si>
    <t>kWh</t>
  </si>
  <si>
    <t>Column Break</t>
  </si>
  <si>
    <t>Break</t>
  </si>
  <si>
    <t>custom:layout-break</t>
  </si>
  <si>
    <t>column_break</t>
  </si>
  <si>
    <t>user_interface</t>
  </si>
  <si>
    <t>Sonoff</t>
  </si>
  <si>
    <t>CALCULATED ∀</t>
  </si>
  <si>
    <t>connection_mac</t>
  </si>
  <si>
    <t>connection_ip</t>
  </si>
  <si>
    <t>IP address of source device</t>
  </si>
  <si>
    <t>String to nicely name source device</t>
  </si>
  <si>
    <t>10:27:f5:31:f2:2b</t>
  </si>
  <si>
    <t>5c:a6:e6:25:64:e9</t>
  </si>
  <si>
    <t>5c:a6:e6:25:57:fd</t>
  </si>
  <si>
    <t>5c:a6:e6:25:55:f7</t>
  </si>
  <si>
    <t>5c:a6:e6:25:55:f0</t>
  </si>
  <si>
    <t>5c:a6:e6:25:5a:a3</t>
  </si>
  <si>
    <t>60:a4:b7:1f:71:0a</t>
  </si>
  <si>
    <t>ac:84:c6:54:9e:cf</t>
  </si>
  <si>
    <t>ac:84:c6:54:a3:96</t>
  </si>
  <si>
    <t>ac:84:c6:54:a3:a2</t>
  </si>
  <si>
    <t>ac:84:c6:54:9d:98</t>
  </si>
  <si>
    <t>60:a4:b7:1f:72:0a</t>
  </si>
  <si>
    <t>10:27:f5:31:ec:58</t>
  </si>
  <si>
    <t>ac:84:c6:0d:20:9e</t>
  </si>
  <si>
    <t>10:27:f5:31:f6:7e</t>
  </si>
  <si>
    <t>ac:84:c6:54:95:8b</t>
  </si>
  <si>
    <t>Study</t>
  </si>
  <si>
    <t>Deck</t>
  </si>
  <si>
    <t>Bathroom</t>
  </si>
  <si>
    <t>HS110</t>
  </si>
  <si>
    <t>KP115</t>
  </si>
  <si>
    <t>1.0.17</t>
  </si>
  <si>
    <t>1.5.7</t>
  </si>
  <si>
    <t>ac:84:c6:0d:1b:9c</t>
  </si>
  <si>
    <t>device_connections</t>
  </si>
  <si>
    <t>Move</t>
  </si>
  <si>
    <t>5c:aa:fd:d1:23:be</t>
  </si>
  <si>
    <t>5c:aa:fd:f1:a3:d4</t>
  </si>
  <si>
    <t>48:a6:b8:e2:50:40</t>
  </si>
  <si>
    <t>2.7.3</t>
  </si>
  <si>
    <t>I-Series</t>
  </si>
  <si>
    <t>20:f8:5e:d7:19:e0</t>
  </si>
  <si>
    <t>20:f8:5e:d7:26:1c</t>
  </si>
  <si>
    <t>20:f8:5e:1e:ea:a0</t>
  </si>
  <si>
    <t>20:f8:5e:1e:da:35</t>
  </si>
  <si>
    <t>20:f8:5e:d8:a5:6b</t>
  </si>
  <si>
    <t>20:f8:5e:d9:11:77</t>
  </si>
  <si>
    <t>Phillips</t>
  </si>
  <si>
    <t>Server</t>
  </si>
  <si>
    <t>30:05:5c:8a:ff:10</t>
  </si>
  <si>
    <t>Brother</t>
  </si>
  <si>
    <t>MFC-L2700DW</t>
  </si>
  <si>
    <t>Printer</t>
  </si>
  <si>
    <t>74:83:c2:3f:6c:4c</t>
  </si>
  <si>
    <t>74:83:c2:3f:6e:5c</t>
  </si>
  <si>
    <t>G3 Flex</t>
  </si>
  <si>
    <t>4.48.44</t>
  </si>
  <si>
    <t>PiHole</t>
  </si>
  <si>
    <t>Pi-Hole</t>
  </si>
  <si>
    <t>5.9</t>
  </si>
  <si>
    <t>OSS EUPL</t>
  </si>
  <si>
    <t>Nest Mini</t>
  </si>
  <si>
    <t>Chromecast</t>
  </si>
  <si>
    <t>1.54.279716</t>
  </si>
  <si>
    <t>Ensuite</t>
  </si>
  <si>
    <t>Body+</t>
  </si>
  <si>
    <t>1651</t>
  </si>
  <si>
    <t>15.3</t>
  </si>
  <si>
    <t>connection_vlan</t>
  </si>
  <si>
    <t>90:dd:5d:ce:1e:96</t>
  </si>
  <si>
    <t>d4:a3:3d:5c:8c:28</t>
  </si>
  <si>
    <t>net_Unfettered_br2_10-0-2-0-24</t>
  </si>
  <si>
    <t>1.11.0</t>
  </si>
  <si>
    <t>Ceiling</t>
  </si>
  <si>
    <t>Hallway</t>
  </si>
  <si>
    <t>74:ac:b9:1c:15:f1</t>
  </si>
  <si>
    <t>b4:fb:e4:e3:83:32</t>
  </si>
  <si>
    <t>78:8a:20:70:d3:79</t>
  </si>
  <si>
    <t>Edwin Night Light</t>
  </si>
  <si>
    <t>edwin_night_light</t>
  </si>
  <si>
    <t>ada_fan</t>
  </si>
  <si>
    <t>edwin_fan</t>
  </si>
  <si>
    <t>parents_fan</t>
  </si>
  <si>
    <t>lounge_fan</t>
  </si>
  <si>
    <t>deck_fan</t>
  </si>
  <si>
    <t>deck_east_fan</t>
  </si>
  <si>
    <t>deck_west_fan</t>
  </si>
  <si>
    <t>d4:f5:47:32:df:7b</t>
  </si>
  <si>
    <t>d4:f5:47:8c:d1:7e</t>
  </si>
  <si>
    <t>d4:f5:47:25:92:d5</t>
  </si>
  <si>
    <t>d4:f5:47:1c:cc:2d</t>
  </si>
  <si>
    <t>48:d6:d5:33:7c:28</t>
  </si>
  <si>
    <t>Weather Station</t>
  </si>
  <si>
    <t>51</t>
  </si>
  <si>
    <t>181</t>
  </si>
  <si>
    <t>70:ee:50:25:9c:68</t>
  </si>
  <si>
    <t>70:ee:50:2b:6a:2c</t>
  </si>
  <si>
    <t>70:ee:50:25:9d:90</t>
  </si>
  <si>
    <t>70:ee:50:2c:8d:28</t>
  </si>
  <si>
    <t>70:ee:50:25:93:90</t>
  </si>
  <si>
    <t>70:ee:50:25:7f:50</t>
  </si>
  <si>
    <t>00:24:e4:af:5a:e6</t>
  </si>
  <si>
    <t>4a:9a:06:5d:53:66</t>
  </si>
  <si>
    <t>home_reset</t>
  </si>
  <si>
    <t>mdi:youtube-tv</t>
  </si>
  <si>
    <t>mdi:refresh-circle</t>
  </si>
  <si>
    <t>graph_break</t>
  </si>
  <si>
    <t>Graph Break</t>
  </si>
  <si>
    <t>_</t>
  </si>
  <si>
    <t>home_movie</t>
  </si>
  <si>
    <t>ec:fa:bc:50:3e:02</t>
  </si>
  <si>
    <t>POWR3</t>
  </si>
  <si>
    <t>mdi:thermometer-water</t>
  </si>
  <si>
    <t>Water Booster</t>
  </si>
  <si>
    <t>Movie</t>
  </si>
  <si>
    <t>Reset</t>
  </si>
  <si>
    <t>Towel Rails</t>
  </si>
  <si>
    <t>REQUIRED for Network</t>
  </si>
  <si>
    <t>IKEA</t>
  </si>
  <si>
    <t>Air Purifiers</t>
  </si>
  <si>
    <t>mdi:air-purifier</t>
  </si>
  <si>
    <t>Air Quality</t>
  </si>
  <si>
    <t>lounge_air_purifier</t>
  </si>
  <si>
    <t>mdi:virus-outline</t>
  </si>
  <si>
    <t>Xiaomi</t>
  </si>
  <si>
    <t>Netatmo Pantry</t>
  </si>
  <si>
    <t>Netatmo Lounge</t>
  </si>
  <si>
    <t>Netatmo Dining</t>
  </si>
  <si>
    <t>Netatmo Basement</t>
  </si>
  <si>
    <t>Sonos Parents</t>
  </si>
  <si>
    <t>Sonos Kitchen</t>
  </si>
  <si>
    <t>Davis Console Voltage</t>
  </si>
  <si>
    <t>Xiaomi Cube Remote</t>
  </si>
  <si>
    <t>1.0.033</t>
  </si>
  <si>
    <t>STARKVIND</t>
  </si>
  <si>
    <t>grafana_display_type</t>
  </si>
  <si>
    <t>REQUIRED ∀ (Empty ⇒ FALSE)</t>
  </si>
  <si>
    <t>google_aliases</t>
  </si>
  <si>
    <t>Air Purifier</t>
  </si>
  <si>
    <t>Fan</t>
  </si>
  <si>
    <t>Movie,Movie Mode</t>
  </si>
  <si>
    <t>Reset,Reset Mode</t>
  </si>
  <si>
    <t>Sleep,Sleep Mode</t>
  </si>
  <si>
    <t>roof_temperature</t>
  </si>
  <si>
    <t>0x9035eafffe404425</t>
  </si>
  <si>
    <t>0x00158d0005d9d088</t>
  </si>
  <si>
    <t>MFKZQ01LM</t>
  </si>
  <si>
    <t>3000-0001</t>
  </si>
  <si>
    <t>REQUIRED for Zigbee</t>
  </si>
  <si>
    <t>Zigbee2mqtt configuration</t>
  </si>
  <si>
    <t>home_cube_remote_battery</t>
  </si>
  <si>
    <t>0x00178801039f585a</t>
  </si>
  <si>
    <t>LCT012</t>
  </si>
  <si>
    <t>1.88.1</t>
  </si>
  <si>
    <t>Device</t>
  </si>
  <si>
    <t>Group</t>
  </si>
  <si>
    <t>The Zigbee group numeric ID</t>
  </si>
  <si>
    <t>0x00178801039f69d1</t>
  </si>
  <si>
    <t>0x001788010432a064</t>
  </si>
  <si>
    <t>Wardrobe</t>
  </si>
  <si>
    <t>0x0017880103433075</t>
  </si>
  <si>
    <t>0x001788010343c36f</t>
  </si>
  <si>
    <t>0x00178801043283b0</t>
  </si>
  <si>
    <t>0x0017880104329975</t>
  </si>
  <si>
    <t>0x001788010432996f</t>
  </si>
  <si>
    <t>0x001788010444db4e</t>
  </si>
  <si>
    <t>0x00178801039f69d5</t>
  </si>
  <si>
    <t>0x00178801039f56c4</t>
  </si>
  <si>
    <t>0x00178801039f584a</t>
  </si>
  <si>
    <t>0x00178801039f69d4</t>
  </si>
  <si>
    <t>0x00178801039f574e</t>
  </si>
  <si>
    <t>0x00178801039f4eed</t>
  </si>
  <si>
    <t>0x00178801039f6b78</t>
  </si>
  <si>
    <t>0x001788010444ef85</t>
  </si>
  <si>
    <t>0x00178801039f6b4a</t>
  </si>
  <si>
    <t>0x00178801040f8db2</t>
  </si>
  <si>
    <t>0x001788010343c34f</t>
  </si>
  <si>
    <t>0x001788010343c147</t>
  </si>
  <si>
    <t>0x001788010343b9d8</t>
  </si>
  <si>
    <t>0x0017880104eaa288</t>
  </si>
  <si>
    <t>0x0017880104eaa272</t>
  </si>
  <si>
    <t>0x00178801040edfae</t>
  </si>
  <si>
    <t>0x00178801040edcad</t>
  </si>
  <si>
    <t>0x00178801040eddb2</t>
  </si>
  <si>
    <t>0x00178801040ede93</t>
  </si>
  <si>
    <t>0x0017880102b8fd87</t>
  </si>
  <si>
    <t>MQTT Quality of Service</t>
  </si>
  <si>
    <t>Lamp</t>
  </si>
  <si>
    <t>Night Light</t>
  </si>
  <si>
    <t>lighting_reset_adaptive_lighting_edwin_lamp</t>
  </si>
  <si>
    <t>Power Plugs</t>
  </si>
  <si>
    <t>dining_air_purifier</t>
  </si>
  <si>
    <t>0x9035eafffe82fef8</t>
  </si>
  <si>
    <t>Lamp Reset</t>
  </si>
  <si>
    <t>lighting_reset_adaptive_lighting_ada_lamp</t>
  </si>
  <si>
    <t>lighting_reset_adaptive_lighting_edwin_night_light</t>
  </si>
  <si>
    <t>lighting_reset_adaptive_lighting_hallway_main</t>
  </si>
  <si>
    <t>lighting_reset_adaptive_lighting_dining_main</t>
  </si>
  <si>
    <t>lighting_reset_adaptive_lighting_lounge_main</t>
  </si>
  <si>
    <t>lighting_reset_adaptive_lighting_parents_main</t>
  </si>
  <si>
    <t>lighting_reset_adaptive_lighting_kitchen_main</t>
  </si>
  <si>
    <t>lighting_reset_adaptive_lighting_laundry_main</t>
  </si>
  <si>
    <t>lighting_reset_adaptive_lighting_pantry_main</t>
  </si>
  <si>
    <t>lighting_reset_adaptive_lighting_bathroom_main</t>
  </si>
  <si>
    <t>lighting_reset_adaptive_lighting_ensuite_main</t>
  </si>
  <si>
    <t>lighting_reset_adaptive_lighting_wardrobe_main</t>
  </si>
  <si>
    <t>Night Light Reset</t>
  </si>
  <si>
    <t>Reset Adaptive Lighting</t>
  </si>
  <si>
    <t>zigbee_type</t>
  </si>
  <si>
    <t>zigbee_group</t>
  </si>
  <si>
    <t>zigbee_config</t>
  </si>
  <si>
    <t>zigbee_device_config</t>
  </si>
  <si>
    <t>OPTIONAL for Zigbee</t>
  </si>
  <si>
    <t>The Zigbee device config</t>
  </si>
  <si>
    <t>Main Reset</t>
  </si>
  <si>
    <t>lighting_reset_adaptive_lighting_office_main</t>
  </si>
  <si>
    <t>b8:27:eb:78:74:0e</t>
  </si>
  <si>
    <t>Broardcom</t>
  </si>
  <si>
    <t>lounge_lamp</t>
  </si>
  <si>
    <t>Lounge Lamp</t>
  </si>
  <si>
    <t>0x0017880106bc4f2d</t>
  </si>
  <si>
    <t>Landing Festoons</t>
  </si>
  <si>
    <t>Landing</t>
  </si>
  <si>
    <t>5c:a6:e6:25:5a:0c</t>
  </si>
  <si>
    <t>5c:a6:e6:25:58:f1</t>
  </si>
  <si>
    <t>67.88.1</t>
  </si>
  <si>
    <t>0x001788010c692175</t>
  </si>
  <si>
    <t>1.93.11</t>
  </si>
  <si>
    <t>LTW001</t>
  </si>
  <si>
    <t>1743730P7</t>
  </si>
  <si>
    <t>0x001788010c69214a</t>
  </si>
  <si>
    <t>0x001788010c5c4266</t>
  </si>
  <si>
    <t>0x001788010c692144</t>
  </si>
  <si>
    <t>0x00178801097ed42c</t>
  </si>
  <si>
    <t>Tree</t>
  </si>
  <si>
    <t>1746230P7</t>
  </si>
  <si>
    <t>Tree Spotlights</t>
  </si>
  <si>
    <t>garden_pedestals</t>
  </si>
  <si>
    <t>Garden Pedestals</t>
  </si>
  <si>
    <t>Garden</t>
  </si>
  <si>
    <t>tree_spotlights</t>
  </si>
  <si>
    <t>0x0017880109c40c33</t>
  </si>
  <si>
    <t>Disabled</t>
  </si>
  <si>
    <t>LG</t>
  </si>
  <si>
    <t>4c:ba:d7:bf:94:d0</t>
  </si>
  <si>
    <t>7.2.0-44</t>
  </si>
  <si>
    <t>OLED77CSPSA</t>
  </si>
  <si>
    <t>Arc</t>
  </si>
  <si>
    <t>38:42:0b:47:73:dc</t>
  </si>
  <si>
    <t>lighting_reset_adaptive_lighting_lounge_lamp</t>
  </si>
  <si>
    <t>0c:4d:e9:d2:86:6c</t>
  </si>
  <si>
    <t>Rack Fans</t>
  </si>
  <si>
    <t>4c:eb:d6:b5:a5:28</t>
  </si>
  <si>
    <t>laundry_temperature</t>
  </si>
  <si>
    <t>compensation_sensor_laundry_temperature</t>
  </si>
  <si>
    <t>ada_temperature</t>
  </si>
  <si>
    <t>compensation_sensor_ada_temperature</t>
  </si>
  <si>
    <t>edwin_temperature</t>
  </si>
  <si>
    <t>compensation_sensor_edwin_temperature</t>
  </si>
  <si>
    <t>parents_temperature</t>
  </si>
  <si>
    <t>compensation_sensor_parents_temperature</t>
  </si>
  <si>
    <t>edwin_fan_occupancy</t>
  </si>
  <si>
    <t>ada_fan_occupancy</t>
  </si>
  <si>
    <t>parents_fan_occupancy</t>
  </si>
  <si>
    <t>lounge_fan_occupancy</t>
  </si>
  <si>
    <t>deck_east_fan_occupancy</t>
  </si>
  <si>
    <t>deck_west_fan_occupancy</t>
  </si>
  <si>
    <t>lg_webos_smart_tv</t>
  </si>
  <si>
    <t>button</t>
  </si>
  <si>
    <t>Device Maintenance</t>
  </si>
  <si>
    <t>office_home</t>
  </si>
  <si>
    <t>Office Home</t>
  </si>
  <si>
    <t>6.3.13</t>
  </si>
  <si>
    <t>78:45:58:cb:14:b5</t>
  </si>
  <si>
    <t>deck_fans_outlet</t>
  </si>
  <si>
    <t>kitchen_fan_outlet</t>
  </si>
  <si>
    <t>Kitchen Fan Outlet</t>
  </si>
  <si>
    <t>Deck Fans Outlet</t>
  </si>
  <si>
    <t>0x0017880108fd8633</t>
  </si>
  <si>
    <t>LOM005</t>
  </si>
  <si>
    <t>1.93.6</t>
  </si>
  <si>
    <t>0x00178801086168ac</t>
  </si>
  <si>
    <t>0x0017880109d4659c</t>
  </si>
  <si>
    <t>0x000d6f0011274420</t>
  </si>
  <si>
    <t>Yale</t>
  </si>
  <si>
    <t>YRD256 TSDB</t>
  </si>
  <si>
    <t>N/A</t>
  </si>
  <si>
    <t>lock</t>
  </si>
  <si>
    <t>back_door_lock</t>
  </si>
  <si>
    <t>front_door_lock</t>
  </si>
  <si>
    <t>0x000d6f001127f08c</t>
  </si>
  <si>
    <t>Motion</t>
  </si>
  <si>
    <t>Front Door</t>
  </si>
  <si>
    <t>Back Door</t>
  </si>
  <si>
    <t>Edwin's Room</t>
  </si>
  <si>
    <t>Ada's Room</t>
  </si>
  <si>
    <t>Edwin's Camera</t>
  </si>
  <si>
    <t>Ada's Camera</t>
  </si>
  <si>
    <t>House Occupancy</t>
  </si>
  <si>
    <t>dc:e5:5b:a5:a3:0d</t>
  </si>
  <si>
    <t>Front Door Camera</t>
  </si>
  <si>
    <t>Back Door Camera</t>
  </si>
  <si>
    <t>lounge_home</t>
  </si>
  <si>
    <t>Lounge Home</t>
  </si>
  <si>
    <t>SNZB-04</t>
  </si>
  <si>
    <t>0x00124b0029113713</t>
  </si>
  <si>
    <t>0x00124b0029119f9a</t>
  </si>
  <si>
    <t>Yale Front Door Lock</t>
  </si>
  <si>
    <t>Yale Back Door Lock</t>
  </si>
  <si>
    <t>Sonoff Front Door Sensor</t>
  </si>
  <si>
    <t>Sonoff Back Door Sensor</t>
  </si>
  <si>
    <t>Secure</t>
  </si>
  <si>
    <t>Secure,Secure Mode</t>
  </si>
  <si>
    <t>home_security</t>
  </si>
  <si>
    <t>Heating &amp; Cooling</t>
  </si>
  <si>
    <t>back_door_lock_security</t>
  </si>
  <si>
    <t>front_door_lock_security</t>
  </si>
  <si>
    <t>Davis Console</t>
  </si>
  <si>
    <t>battery</t>
  </si>
  <si>
    <t>template_weatherstation_console_battery_percent_int</t>
  </si>
  <si>
    <t>template_front_door_sensor_contact_last</t>
  </si>
  <si>
    <t>template_back_door_sensor_contact_last</t>
  </si>
  <si>
    <t>back_door_lock_battery</t>
  </si>
  <si>
    <t>front_door_lock_battery</t>
  </si>
  <si>
    <t>template_front_door_sensor_battery_last</t>
  </si>
  <si>
    <t>template_back_door_sensor_battery_last</t>
  </si>
  <si>
    <t>mdi:shield-home</t>
  </si>
  <si>
    <t>template_front_door_state</t>
  </si>
  <si>
    <t>template_back_door_state</t>
  </si>
  <si>
    <t>Door</t>
  </si>
  <si>
    <t>Action</t>
  </si>
  <si>
    <t>action</t>
  </si>
  <si>
    <t>home_secure_back_door_off</t>
  </si>
  <si>
    <t>Unlock back door</t>
  </si>
  <si>
    <t>input_boolean.back_door_lock_security</t>
  </si>
  <si>
    <t>linked_entity</t>
  </si>
  <si>
    <t>linked_service</t>
  </si>
  <si>
    <t>input_boolean.turn_off</t>
  </si>
  <si>
    <t>mdi:lock-open</t>
  </si>
  <si>
    <t>home_secure_front_door_off</t>
  </si>
  <si>
    <t>Unlock front door</t>
  </si>
  <si>
    <t>input_boolean.front_door_lock_security</t>
  </si>
  <si>
    <t>home_sleep_on</t>
  </si>
  <si>
    <t>home_sleep_off</t>
  </si>
  <si>
    <t>input_boolean.home_sleep</t>
  </si>
  <si>
    <t>input_boolean.turn_on</t>
  </si>
  <si>
    <t>mdi:chat-sleep-outline</t>
  </si>
  <si>
    <t>office_tv</t>
  </si>
  <si>
    <t>Office TV</t>
  </si>
  <si>
    <t>Zombie</t>
  </si>
  <si>
    <t>MAC /Zigbee address of source device</t>
  </si>
  <si>
    <t>REQUIRED for Network/Zigbee</t>
  </si>
  <si>
    <t>CALCULATED for Network/Zigbee</t>
  </si>
  <si>
    <t>VLAN for sourcedevice</t>
  </si>
  <si>
    <t>List of tupples defining MAC/Zigbee and IP of source device</t>
  </si>
  <si>
    <t>OPTIONAL for Google Home</t>
  </si>
  <si>
    <t>Abode</t>
  </si>
  <si>
    <t>Tasmota</t>
  </si>
  <si>
    <t>2.3.086</t>
  </si>
  <si>
    <t>E1746</t>
  </si>
  <si>
    <t>0x2c1165fffec5a3f6</t>
  </si>
  <si>
    <t>Garden Repeater</t>
  </si>
  <si>
    <t>Driveway Repeater</t>
  </si>
  <si>
    <t>Landing Repeater</t>
  </si>
  <si>
    <t>Driveway</t>
  </si>
  <si>
    <t>0x2c1165fffebaa93c</t>
  </si>
  <si>
    <t>0x50325ffffe47b8fa</t>
  </si>
  <si>
    <t>Fan,s Fan</t>
  </si>
  <si>
    <t>Fans,Fan</t>
  </si>
  <si>
    <t>Main Light,s Main Light</t>
  </si>
  <si>
    <t>Main Light</t>
  </si>
  <si>
    <t>Main Lights,Main Light</t>
  </si>
  <si>
    <t>Fan Light</t>
  </si>
  <si>
    <t>Pedestals</t>
  </si>
  <si>
    <t>Festoons</t>
  </si>
  <si>
    <t>Spotlights</t>
  </si>
  <si>
    <t>Temperature,s Temperature</t>
  </si>
  <si>
    <t>dc:e5:5b:4c:e9:69</t>
  </si>
  <si>
    <t>parents_move</t>
  </si>
  <si>
    <t>kitchen_five</t>
  </si>
  <si>
    <t>kitchen_move</t>
  </si>
  <si>
    <t>lounge_arc</t>
  </si>
  <si>
    <t>kitchen_move_battery</t>
  </si>
  <si>
    <t>parents_move_battery</t>
  </si>
  <si>
    <t>Lounge Arc</t>
  </si>
  <si>
    <t>Kitchen Move</t>
  </si>
  <si>
    <t>Kitchen Five</t>
  </si>
  <si>
    <t>Parents Move</t>
  </si>
  <si>
    <t>study_lamp</t>
  </si>
  <si>
    <t>Study Lamp</t>
  </si>
  <si>
    <t>0x00178801040e2034</t>
  </si>
  <si>
    <t>powercalc_config</t>
  </si>
  <si>
    <t>Audio Visual Devices</t>
  </si>
  <si>
    <t>REQUIRED for Powercalc</t>
  </si>
  <si>
    <t>OPTIONAL for Powercalc</t>
  </si>
  <si>
    <t>MIddle level powercalc group</t>
  </si>
  <si>
    <t>Bottom level powercalc group</t>
  </si>
  <si>
    <t>Powercalc config</t>
  </si>
  <si>
    <t>powercalc_group_1</t>
  </si>
  <si>
    <t>powercalc_group_2</t>
  </si>
  <si>
    <t>powercalc_group_3</t>
  </si>
  <si>
    <t>powercalc_group_4</t>
  </si>
  <si>
    <t>standby_power: 1.3
linear:
  min_power: 2.5
  max_power: 31.1</t>
  </si>
  <si>
    <t>homeassistant:
  expire_after: 3600</t>
  </si>
  <si>
    <t>homeassistant:
  expire_after: 3600
  linkquality:
    enabled_by_default: true
  last_seen:
    enabled_by_default: true</t>
  </si>
  <si>
    <t>transition: 1
optimistic: true
off_state: 'all_members_off'</t>
  </si>
  <si>
    <t>transition: 4
optimistic: true
off_state: 'all_members_off'</t>
  </si>
  <si>
    <t>Home Base</t>
  </si>
  <si>
    <t>Home Peak</t>
  </si>
  <si>
    <t>Servers &amp; Network</t>
  </si>
  <si>
    <t>lights_power</t>
  </si>
  <si>
    <t>fans_power</t>
  </si>
  <si>
    <t>lights_energy_daily</t>
  </si>
  <si>
    <t>fans_energy_daily</t>
  </si>
  <si>
    <t>BASICR2</t>
  </si>
  <si>
    <t>servers_network_power</t>
  </si>
  <si>
    <t>servers_network_energy_daily</t>
  </si>
  <si>
    <t>model: Nest Hub 2gen</t>
  </si>
  <si>
    <t>Whitegoods Discretionary</t>
  </si>
  <si>
    <t>Whitegoods Continuous</t>
  </si>
  <si>
    <t>name: Ada Main Fan Light
unique_id: ada_main_light_fan
linear:
  min_power: 0.5
  max_power: 16.3</t>
  </si>
  <si>
    <t>name: Edwin Main Fan Light
unique_id: edwin_main_light_fan
linear:
  min_power: 0.5
  max_power: 16.3</t>
  </si>
  <si>
    <t>name: Lounge Fan Light
unique_id: lounge_light_fan
linear:
  min_power: 0.5
  max_power: 16.3</t>
  </si>
  <si>
    <t>10.5.2</t>
  </si>
  <si>
    <t>Powercalc</t>
  </si>
  <si>
    <t>kitchen_fridge_power</t>
  </si>
  <si>
    <t>deck_freezer_power</t>
  </si>
  <si>
    <t>study_outlet_power</t>
  </si>
  <si>
    <t>office_outlet_power</t>
  </si>
  <si>
    <t>kitchen_fridge_energy_daily</t>
  </si>
  <si>
    <t>deck_freezer_energy_daily</t>
  </si>
  <si>
    <t>study_outlet_energy_daily</t>
  </si>
  <si>
    <t>office_outlet_energy_daily</t>
  </si>
  <si>
    <t>powercalc_enable</t>
  </si>
  <si>
    <t>Enable powercalc to track this entity</t>
  </si>
  <si>
    <t>True</t>
  </si>
  <si>
    <t>All Fans</t>
  </si>
  <si>
    <t>All Lights</t>
  </si>
  <si>
    <t>Top level powercalc group</t>
  </si>
  <si>
    <t>Lounge Sub</t>
  </si>
  <si>
    <t>mdi:speaker</t>
  </si>
  <si>
    <t>audio_visual_devices_power</t>
  </si>
  <si>
    <t>Audio/Visual Devices</t>
  </si>
  <si>
    <t>audio_visual_devices_energy_daily</t>
  </si>
  <si>
    <t>custom_config</t>
  </si>
  <si>
    <t>OPTIONAL for Network</t>
  </si>
  <si>
    <t>Provide a custom config datum</t>
  </si>
  <si>
    <t>5c:a6:e6:25:59:03</t>
  </si>
  <si>
    <t>Servers</t>
  </si>
  <si>
    <t>Network</t>
  </si>
  <si>
    <t>5c:a6:e6:25:59:c0</t>
  </si>
  <si>
    <t>5c:a6:e6:25:56:a7</t>
  </si>
  <si>
    <t>Server Meg</t>
  </si>
  <si>
    <t>template_lounge_air_purifier_proxy</t>
  </si>
  <si>
    <t>template_dining_air_purifier_proxy</t>
  </si>
  <si>
    <t>Powercalc Proxy</t>
  </si>
  <si>
    <t>standby_power: 0.5
linear:
  attribute: fan_speed
  calibrate:
    - 0 -&gt; 0
    - 1 -&gt; 1.7
    - 2 -&gt; 3.6
    - 3 -&gt; 8.1
    - 4 -&gt; 16.6
    - 5 -&gt; 21.9</t>
  </si>
  <si>
    <t>template_kitchen_move_proxy</t>
  </si>
  <si>
    <t>template_parents_move_proxy</t>
  </si>
  <si>
    <t>Five</t>
  </si>
  <si>
    <t>standby_power: 0
linear:
  attribute: charging_state
  calibrate:
    - 0 -&gt; 0
    - 1 -&gt; 5
    - 5 -&gt; 15
    - 100 -&gt; 45</t>
  </si>
  <si>
    <t>garden_repeater_linkquality</t>
  </si>
  <si>
    <t>landing_repeater_linkquality</t>
  </si>
  <si>
    <t>driveway_repeater_linkquality</t>
  </si>
  <si>
    <t>standby_power: 0
fixed:
  power: 0.4</t>
  </si>
  <si>
    <t>standby_power: 0.2
fixed:
  power: 0.5</t>
  </si>
  <si>
    <t>Zigbee Repeaters</t>
  </si>
  <si>
    <t>ada_tablet</t>
  </si>
  <si>
    <t>Ada Tablet</t>
  </si>
  <si>
    <t>mdi:tablet</t>
  </si>
  <si>
    <t>13</t>
  </si>
  <si>
    <t>edwin_tablet</t>
  </si>
  <si>
    <t>Edwin Tablet</t>
  </si>
  <si>
    <t>all_standby_power</t>
  </si>
  <si>
    <t>power_sensor_id: sensor.all_standby_power
energy_sensor_id: sensor.all_standby_energy</t>
  </si>
  <si>
    <t>all_standby</t>
  </si>
  <si>
    <t>Standby Power</t>
  </si>
  <si>
    <t>all_standby_energy_daily</t>
  </si>
  <si>
    <t>kitchen_fan_plug</t>
  </si>
  <si>
    <t>deck_festoons_plug</t>
  </si>
  <si>
    <t>landing_festoons_plug</t>
  </si>
  <si>
    <t>bathroom_rails_plug</t>
  </si>
  <si>
    <t>kitchen_dish_washer_plug</t>
  </si>
  <si>
    <t>kitchen_coffee_machine_plug</t>
  </si>
  <si>
    <t>deck_freezer_plug</t>
  </si>
  <si>
    <t>rack_outlet_plug</t>
  </si>
  <si>
    <t>All Standby</t>
  </si>
  <si>
    <t>ensuite_sconces</t>
  </si>
  <si>
    <t>ensuite_sconces_bulb_1</t>
  </si>
  <si>
    <t>ensuite_sconces_bulb_2</t>
  </si>
  <si>
    <t>ensuite_sconces_bulb_3</t>
  </si>
  <si>
    <t>Ensuite Sconces</t>
  </si>
  <si>
    <t>Sconces</t>
  </si>
  <si>
    <t>1.0.012</t>
  </si>
  <si>
    <t>0x2c1165fffe168c7e</t>
  </si>
  <si>
    <t>TRADFRI 470 lm</t>
  </si>
  <si>
    <t>0x2c1165fffea5cd4b</t>
  </si>
  <si>
    <t>0x2c1165fffea89f5f</t>
  </si>
  <si>
    <t>0x2c1165fffea8c4d8</t>
  </si>
  <si>
    <t>0x2c1165fffeb07271</t>
  </si>
  <si>
    <t>hallway_sconces</t>
  </si>
  <si>
    <t>hallway_sconces_bulb_1</t>
  </si>
  <si>
    <t>Hallway Sconces</t>
  </si>
  <si>
    <t>0x2c1165fffe12d5c4</t>
  </si>
  <si>
    <t>0x2c1165fffe109407</t>
  </si>
  <si>
    <t>bathroom_sconces</t>
  </si>
  <si>
    <t>bathroom_sconces_bulb_1</t>
  </si>
  <si>
    <t>bathroom_sconces_bulb_2</t>
  </si>
  <si>
    <t>Bathroom Sconces</t>
  </si>
  <si>
    <t>0x2c1165fffe2787f0</t>
  </si>
  <si>
    <t>0x2c1165fffe18e424</t>
  </si>
  <si>
    <t>Jane Bedside</t>
  </si>
  <si>
    <t>Graham Bedside</t>
  </si>
  <si>
    <t>parents_jane_bedside</t>
  </si>
  <si>
    <t>parents_jane_bedside_bulb_1</t>
  </si>
  <si>
    <t>parents_graham_bedside</t>
  </si>
  <si>
    <t>parents_graham_bedside_bulb_1</t>
  </si>
  <si>
    <t>lighting_reset_adaptive_lighting_hallway_sconces</t>
  </si>
  <si>
    <t>Sconces Reset</t>
  </si>
  <si>
    <t>lighting_reset_adaptive_lighting_parents_jane_bedside</t>
  </si>
  <si>
    <t>lighting_reset_adaptive_lighting_parents_graham_bedside</t>
  </si>
  <si>
    <t>Jane Bedside Reset</t>
  </si>
  <si>
    <t>Graham Bedside Reset</t>
  </si>
  <si>
    <t>lighting_reset_adaptive_lighting_study_lamp</t>
  </si>
  <si>
    <t>lighting_reset_adaptive_lighting_bathroom_sconces</t>
  </si>
  <si>
    <t>lighting_reset_adaptive_lighting_ensuite_sconces</t>
  </si>
  <si>
    <t>Sconces,Bedside,Jane,Jane Bedside</t>
  </si>
  <si>
    <t>Sconces,Bedside,Graham,Graham Bedside</t>
  </si>
  <si>
    <t>switch.adaptive_lighting_ambient</t>
  </si>
  <si>
    <t>switch.adaptive_lighting_night</t>
  </si>
  <si>
    <t>switch.adaptive_lighting_task_narrowband</t>
  </si>
  <si>
    <t>switch.adaptive_lighting_ambient_dimming</t>
  </si>
  <si>
    <t>switch.adaptive_lighting_task</t>
  </si>
  <si>
    <t>lighting_reset_adaptive_lighting_all</t>
  </si>
  <si>
    <t>13.0.0</t>
  </si>
  <si>
    <t>rack_fans_plug</t>
  </si>
  <si>
    <t>tasmota_device_config</t>
  </si>
  <si>
    <t>The Tasmota device config</t>
  </si>
  <si>
    <t>OPTIONAL for Tasmota</t>
  </si>
  <si>
    <t>OPTIONAL for MQTT</t>
  </si>
  <si>
    <t>Topic to publish commands to be sent to the device</t>
  </si>
  <si>
    <t>command_topic</t>
  </si>
  <si>
    <t>optimistic</t>
  </si>
  <si>
    <t>true</t>
  </si>
  <si>
    <t>power</t>
  </si>
  <si>
    <t>energy</t>
  </si>
  <si>
    <t>Current Power</t>
  </si>
  <si>
    <t>Total Energy</t>
  </si>
  <si>
    <t>availability_topic</t>
  </si>
  <si>
    <t>Topic to publish availibility status messages</t>
  </si>
  <si>
    <t>payload_available</t>
  </si>
  <si>
    <t>payload_not_available</t>
  </si>
  <si>
    <t>Online</t>
  </si>
  <si>
    <t>Offline</t>
  </si>
  <si>
    <t>Payload when available</t>
  </si>
  <si>
    <t>Payload when unavailable</t>
  </si>
  <si>
    <t>payload_on</t>
  </si>
  <si>
    <t>payload_off</t>
  </si>
  <si>
    <t>Payload when switch is on</t>
  </si>
  <si>
    <t>Payload when switch is off</t>
  </si>
  <si>
    <t>c0:49:ef:cc:55:84</t>
  </si>
  <si>
    <t>POWR316D</t>
  </si>
  <si>
    <t>ON</t>
  </si>
  <si>
    <t>OFF</t>
  </si>
  <si>
    <t>switch.adaptive_lighting_ambient_narrowband_dimming</t>
  </si>
  <si>
    <t>4c:eb:d6:b5:f4:6c</t>
  </si>
  <si>
    <t>template_kitchen_fan_plug_proxy</t>
  </si>
  <si>
    <t>c0:49:ef:d1:bc:60</t>
  </si>
  <si>
    <t>kitchen_fan_plug_energy_power</t>
  </si>
  <si>
    <t>kitchen_fan_plug_energy_total</t>
  </si>
  <si>
    <t>ada_lamp_bulb_1</t>
  </si>
  <si>
    <t>edwin_lamp_bulb_1</t>
  </si>
  <si>
    <t>edwin_night_light_bulb_1</t>
  </si>
  <si>
    <t>hallway_main_bulb_1</t>
  </si>
  <si>
    <t>hallway_main_bulb_2</t>
  </si>
  <si>
    <t>hallway_main_bulb_3</t>
  </si>
  <si>
    <t>hallway_main_bulb_4</t>
  </si>
  <si>
    <t>dining_main_bulb_1</t>
  </si>
  <si>
    <t>dining_main_bulb_2</t>
  </si>
  <si>
    <t>dining_main_bulb_3</t>
  </si>
  <si>
    <t>dining_main_bulb_4</t>
  </si>
  <si>
    <t>dining_main_bulb_5</t>
  </si>
  <si>
    <t>dining_main_bulb_6</t>
  </si>
  <si>
    <t>lounge_main_bulb_1</t>
  </si>
  <si>
    <t>lounge_main_bulb_2</t>
  </si>
  <si>
    <t>lounge_main_bulb_3</t>
  </si>
  <si>
    <t>lounge_lamp_bulb_1</t>
  </si>
  <si>
    <t>parents_main_bulb_1</t>
  </si>
  <si>
    <t>parents_main_bulb_2</t>
  </si>
  <si>
    <t>parents_main_bulb_3</t>
  </si>
  <si>
    <t>study_lamp_bulb_1</t>
  </si>
  <si>
    <t>kitchen_main_bulb_1</t>
  </si>
  <si>
    <t>kitchen_main_bulb_2</t>
  </si>
  <si>
    <t>kitchen_main_bulb_3</t>
  </si>
  <si>
    <t>kitchen_main_bulb_4</t>
  </si>
  <si>
    <t>laundry_main_bulb_1</t>
  </si>
  <si>
    <t>pantry_main_bulb_1</t>
  </si>
  <si>
    <t>office_main_bulb_1</t>
  </si>
  <si>
    <t>bathroom_main_bulb_1</t>
  </si>
  <si>
    <t>ensuite_main_bulb_1</t>
  </si>
  <si>
    <t>wardrobe_main_bulb_1</t>
  </si>
  <si>
    <t>template_deck_festoons_plug_proxy</t>
  </si>
  <si>
    <t>template_landing_festoons_plug_proxy</t>
  </si>
  <si>
    <t>garden_pedestals_bulb_1</t>
  </si>
  <si>
    <t>garden_pedestals_bulb_2</t>
  </si>
  <si>
    <t>garden_pedestals_bulb_3</t>
  </si>
  <si>
    <t>garden_pedestals_bulb_4</t>
  </si>
  <si>
    <t>tree_spotlights_bulb_1</t>
  </si>
  <si>
    <t>tree_spotlights_bulb_2</t>
  </si>
  <si>
    <t>template_bathroom_rails_plug_proxy</t>
  </si>
  <si>
    <t>template_kitchen_dish_washer_plug_proxy</t>
  </si>
  <si>
    <t>template_kitchen_coffee_machine_plug_proxy</t>
  </si>
  <si>
    <t>template_deck_freezer_plug_proxy</t>
  </si>
  <si>
    <t>template_rack_outlet_plug_proxy</t>
  </si>
  <si>
    <t>rack_outlet_plug_energy_power</t>
  </si>
  <si>
    <t>rack_outlet_plug_energy_total</t>
  </si>
  <si>
    <t>{{ value }}</t>
  </si>
  <si>
    <t>standby_power: 0.6
fixed:
  power: 16.2</t>
  </si>
  <si>
    <t>{ "hue_power_on_behavior":"on", "hue_power_on_brightness":254, "hue_power_on_color_temperature":65535, "color_temp_startup":65535 }</t>
  </si>
  <si>
    <t>{ "hue_power_on_behavior":"on", "hue_power_on_brightness":3, "hue_power_on_color_temperature":65535, "color_temp_startup":65535 }</t>
  </si>
  <si>
    <t>{ "hue_power_on_behavior":"on", "hue_power_on_brightness":254, "hue_power_on_color_temperature":250, "color_temp_startup":250 }</t>
  </si>
  <si>
    <t>{ "hue_power_on_behavior":"off" }</t>
  </si>
  <si>
    <t>{ "led":"False" }</t>
  </si>
  <si>
    <t>{ "led":"True" }</t>
  </si>
  <si>
    <t>standby_power: 0.6
fixed:
  power: 35.2</t>
  </si>
  <si>
    <t>40:22:d8:62:9e:38</t>
  </si>
  <si>
    <t>TV</t>
  </si>
  <si>
    <t>device_proxy_type</t>
  </si>
  <si>
    <t>Type of device that entity is proxying</t>
  </si>
  <si>
    <t>Sconces Bulb 1</t>
  </si>
  <si>
    <t>Sconces Bulb 2</t>
  </si>
  <si>
    <t>Jane Bedside Bulb 1</t>
  </si>
  <si>
    <t>Graham Bedside Bulb 1</t>
  </si>
  <si>
    <t>Sconces Bulb 3</t>
  </si>
  <si>
    <t>Repeater</t>
  </si>
  <si>
    <t>ASYSTEM_VERSION</t>
  </si>
  <si>
    <t>Home Coach V3</t>
  </si>
  <si>
    <t>Module</t>
  </si>
  <si>
    <t>Base Module</t>
  </si>
  <si>
    <t>Weather Station V3</t>
  </si>
  <si>
    <t>Lamp Bulb 1</t>
  </si>
  <si>
    <t>Night Light Bulb 1</t>
  </si>
  <si>
    <t>Main</t>
  </si>
  <si>
    <t>Main Bulb 1</t>
  </si>
  <si>
    <t>Main Bulb 2</t>
  </si>
  <si>
    <t>Main Bulb 3</t>
  </si>
  <si>
    <t>Main Bulb 4</t>
  </si>
  <si>
    <t>Main Bulb 5</t>
  </si>
  <si>
    <t>Main Bulb 6</t>
  </si>
  <si>
    <t>Pedestals Bulb 1</t>
  </si>
  <si>
    <t>Pedestals Bulb 2</t>
  </si>
  <si>
    <t>Pedestals Bulb 3</t>
  </si>
  <si>
    <t>Pedestals Bulb 4</t>
  </si>
  <si>
    <t>Pedestals Bulb 5</t>
  </si>
  <si>
    <t>Pedestals Bulb 6</t>
  </si>
  <si>
    <t>Pedestals Bulb 7</t>
  </si>
  <si>
    <t>Pedestals Bulb 8</t>
  </si>
  <si>
    <t>Spotlights Bulb 1</t>
  </si>
  <si>
    <t>Spotlights Bulb 2</t>
  </si>
  <si>
    <t>Spotlights Bulb 3</t>
  </si>
  <si>
    <t>Fans Outlet</t>
  </si>
  <si>
    <t>Fan Outlet</t>
  </si>
  <si>
    <t>East Fan</t>
  </si>
  <si>
    <t>West Fan</t>
  </si>
  <si>
    <t>Outlet</t>
  </si>
  <si>
    <t>Rails</t>
  </si>
  <si>
    <t>Sub</t>
  </si>
  <si>
    <t>Fridge</t>
  </si>
  <si>
    <t>Freezer</t>
  </si>
  <si>
    <t>Modem</t>
  </si>
  <si>
    <t>USW-24-PoE Gen2</t>
  </si>
  <si>
    <t>US-8-60W Gen1</t>
  </si>
  <si>
    <t>UAP-AC-M Gen2</t>
  </si>
  <si>
    <t>UDM-Pro Rev8</t>
  </si>
  <si>
    <t>UDM</t>
  </si>
  <si>
    <t>Scales</t>
  </si>
  <si>
    <t>Cube Remote</t>
  </si>
  <si>
    <t>Lock</t>
  </si>
  <si>
    <t>MacMini Late 2014 (7,1)</t>
  </si>
  <si>
    <t>Meg</t>
  </si>
  <si>
    <t>Pi 3 Model B</t>
  </si>
  <si>
    <t>Sensor</t>
  </si>
  <si>
    <t>Nest Hub Gen2</t>
  </si>
  <si>
    <t>Apple TV Gen4</t>
  </si>
  <si>
    <t>Move A100</t>
  </si>
  <si>
    <t>Five C100</t>
  </si>
  <si>
    <t>Arc A102</t>
  </si>
  <si>
    <t>HomePod Gen1</t>
  </si>
  <si>
    <t>1.56.356012</t>
  </si>
  <si>
    <t>1.69.362882</t>
  </si>
  <si>
    <t>Pixel Tablet Gen1</t>
  </si>
  <si>
    <t>ec:fa:bc:50:61:07</t>
  </si>
  <si>
    <t>deck_festoons_plug_temperature</t>
  </si>
  <si>
    <t>deck_festoons_plug_humidity</t>
  </si>
  <si>
    <t>landing_festoons_plug_temperature</t>
  </si>
  <si>
    <t>standby_power: 0
fixed:
  power: 31</t>
  </si>
  <si>
    <t>standby_power: 0
fixed:
  power: 4.5</t>
  </si>
  <si>
    <t>34:86:5d:fc:b2:20</t>
  </si>
  <si>
    <t>34:86:5d:fd:11:e4</t>
  </si>
  <si>
    <t>0x</t>
  </si>
  <si>
    <t>MacMini</t>
  </si>
  <si>
    <t>RaspbPi</t>
  </si>
  <si>
    <t>_device_name_prefix_custom</t>
  </si>
  <si>
    <t>_device_name_prefix_default</t>
  </si>
  <si>
    <t>_device_name_suffix</t>
  </si>
  <si>
    <t>MacMini Meg</t>
  </si>
  <si>
    <t>String to overide default name prefix</t>
  </si>
  <si>
    <t>String that prefixes name by default</t>
  </si>
  <si>
    <t>String that suffixes the name</t>
  </si>
  <si>
    <t>4.10.2</t>
  </si>
  <si>
    <t>6.5.28</t>
  </si>
  <si>
    <t>6.5.59</t>
  </si>
  <si>
    <t>standby_power: 0.5
unavailable_power: 0
fixed:
  power: 0.9</t>
  </si>
  <si>
    <t>standby_power: 1.54
unavailable_power: 0
fixed:
  power: 2.19</t>
  </si>
  <si>
    <t>standby_power: 1.5
unavailable_power: 0
fixed:
  power: 2</t>
  </si>
  <si>
    <t>lounge_tv_plug</t>
  </si>
  <si>
    <t>template_lounge_tv_plug_proxy</t>
  </si>
  <si>
    <t>coffee_machine_power</t>
  </si>
  <si>
    <t>battery_charger_power</t>
  </si>
  <si>
    <t>vacuum_charger_power</t>
  </si>
  <si>
    <t>pool_filter_power</t>
  </si>
  <si>
    <t>water_booster_power</t>
  </si>
  <si>
    <t>dish_washer_power</t>
  </si>
  <si>
    <t>clothes_dryer_power</t>
  </si>
  <si>
    <t>washing_machine_power</t>
  </si>
  <si>
    <t>towel_rails_power</t>
  </si>
  <si>
    <t>coffee_machine_energy_daily</t>
  </si>
  <si>
    <t>battery_charger_energy_daily</t>
  </si>
  <si>
    <t>vacuum_charger_energy_daily</t>
  </si>
  <si>
    <t>pool_filter_energy_daily</t>
  </si>
  <si>
    <t>water_booster_energy_daily</t>
  </si>
  <si>
    <t>dish_washer_energy_daily</t>
  </si>
  <si>
    <t>clothes_dryer_energy_daily</t>
  </si>
  <si>
    <t>washing_machine_energy_daily</t>
  </si>
  <si>
    <t>towel_rails_energy_daily</t>
  </si>
  <si>
    <t>template_ceiling_water_booster_plug_proxy</t>
  </si>
  <si>
    <t>ceiling_water_booster_plug</t>
  </si>
  <si>
    <t>ceiling_water_booster_plug_energy_power</t>
  </si>
  <si>
    <t>ceiling_water_booster_plug_energy_total</t>
  </si>
  <si>
    <t>template_ceiling_network_switch_plug_proxy</t>
  </si>
  <si>
    <t>ceiling_network_switch_plug</t>
  </si>
  <si>
    <t>ceiling_network_switch_plug_energy_power</t>
  </si>
  <si>
    <t>ceiling_network_switch_plug_energy_total</t>
  </si>
  <si>
    <t>template_garden_pool_filter_plug_proxy</t>
  </si>
  <si>
    <t>garden_pool_filter_plug</t>
  </si>
  <si>
    <t>garden_pool_filter_plug_energy_power</t>
  </si>
  <si>
    <t>garden_pool_filter_plug_energy_total</t>
  </si>
  <si>
    <t>mdi:pool</t>
  </si>
  <si>
    <t>{{ value_json['ENERGY']['Power'] }}</t>
  </si>
  <si>
    <t>{{ value_json['ENERGY']['Total'] }}</t>
  </si>
  <si>
    <t>{ "PowerOnState":0, "PowerRetain":"ON", "StatusRetain":"ON", "SensorRetain":"OFF", "TelePeriod":10, "PowerDelta1":25, "PowerDelta2":0, "PowerDelta3":0, "PowerLow":0, "PowerHigh":0, "VoltageLow":0, "VoltageHigh":0, "CurrentLow":0, "CurrentHigh":0 }</t>
  </si>
  <si>
    <t>{ "PowerOnState":0, "PowerRetain":"ON", "StatusRetain":"ON", "SensorRetain":"OFF" }</t>
  </si>
  <si>
    <t>SONOFF</t>
  </si>
  <si>
    <t>THR316D / SI7021</t>
  </si>
  <si>
    <t>THR316D / DS18x20</t>
  </si>
  <si>
    <t>{{ value_json['DS18B20']['Temperature'] if (value_json['DS18B20']['Temperature'] is defined and (value_json['DS18B20']['Temperature'] | float(-200) &gt; -100) and (value_json['DS18B20']['Temperature'] | float(200) &lt; 100)) else (states('sensor.landing_festoons_plug_temperature') | float(None)) }}</t>
  </si>
  <si>
    <t>{{ value_json['SI7021']['Temperature'] if (value_json['SI7021']['Temperature'] is defined and (value_json['SI7021']['Temperature'] | float(-200) &gt; -100) and (value_json['SI7021']['Temperature'] | float(200) &lt; 100)) else (states('sensor.deck_festoons_plug_temperature') | float(None)) }}</t>
  </si>
  <si>
    <t>rack_top_temperature</t>
  </si>
  <si>
    <t>rack_bottom_temperature</t>
  </si>
  <si>
    <t>Rack Top</t>
  </si>
  <si>
    <t>ASYSTEM</t>
  </si>
  <si>
    <t>Rack Bottom</t>
  </si>
  <si>
    <t>OPTIONAL for HASS UI</t>
  </si>
  <si>
    <t>Uniquely defines entity within HASS namespace</t>
  </si>
  <si>
    <t>Unique name for the entity, overrides HASS parsing of unique_id</t>
  </si>
  <si>
    <t>HASS entity that has linked state</t>
  </si>
  <si>
    <t>HASS service that is called to maintain state</t>
  </si>
  <si>
    <t>HASS table display type</t>
  </si>
  <si>
    <t>Look up from entity icon field in HASS interface</t>
  </si>
  <si>
    <t>Topic to publish config metadata for HASS discovery</t>
  </si>
  <si>
    <t>Topic to publish data state for HASS update</t>
  </si>
  <si>
    <t>String to define HASS area to add entity to</t>
  </si>
  <si>
    <t>hass_display_mode</t>
  </si>
  <si>
    <t>hass_display_type</t>
  </si>
  <si>
    <t>0x28ff641e870006ae</t>
  </si>
  <si>
    <t>0x28FF641E870576A9</t>
  </si>
  <si>
    <t>0x28FF641E87CB3CF9</t>
  </si>
  <si>
    <t>macmini-meg</t>
  </si>
  <si>
    <t>OPTIONAL (Empty ⇒ None)</t>
  </si>
  <si>
    <t>roof_apparent_temperature</t>
  </si>
  <si>
    <t>roof_dew_point</t>
  </si>
  <si>
    <t>roof_heat_index</t>
  </si>
  <si>
    <t>roof_humidity_index</t>
  </si>
  <si>
    <t>rack_dew_point</t>
  </si>
  <si>
    <t>roof_wind_chill_temperature</t>
  </si>
  <si>
    <t>roof_humidity</t>
  </si>
  <si>
    <t>ada_humidity</t>
  </si>
  <si>
    <t>edwin_humidity</t>
  </si>
  <si>
    <t>parents_humidity</t>
  </si>
  <si>
    <t>laundry_humidity</t>
  </si>
  <si>
    <t>ada_noise</t>
  </si>
  <si>
    <t>edwin_noise</t>
  </si>
  <si>
    <t>parents_noise</t>
  </si>
  <si>
    <t>laundry_noise</t>
  </si>
  <si>
    <t>Hot Water Temperature</t>
  </si>
  <si>
    <t>suggested_area_override</t>
  </si>
  <si>
    <t>String to define HASS area overiding device_suggested_area</t>
  </si>
  <si>
    <t>String to define HASS area overiding device_suggested_area for Google Home naming</t>
  </si>
  <si>
    <t>suggested_area_override_name</t>
  </si>
  <si>
    <t>compensation_sensor_deck_festoons_plug_temperature</t>
  </si>
  <si>
    <t>compensation_sensor_rack_top_temperature</t>
  </si>
  <si>
    <t>compensation_sensor_rack_bottom_temperature</t>
  </si>
  <si>
    <t>compensation_sensor_landing_festoons_plug_temperature</t>
  </si>
  <si>
    <t>Hot Water Booster</t>
  </si>
  <si>
    <t>wardrobe_temperature</t>
  </si>
  <si>
    <t>compensation_sensor_wardrobe_temperature</t>
  </si>
  <si>
    <t>Utility</t>
  </si>
  <si>
    <t>utility_temperature</t>
  </si>
  <si>
    <t>compensation_sensor_utility_temperature</t>
  </si>
  <si>
    <t>wardrobe_humidity</t>
  </si>
  <si>
    <t>[ 7.9, 8.7 ],[ 16.9, 18 ]</t>
  </si>
  <si>
    <t>[ 9.2, 8.7 ],[ 18.1, 18 ]</t>
  </si>
  <si>
    <t>[ 8.7, 8.7 ],[ 18, 18 ]</t>
  </si>
  <si>
    <t>[ 8.5, 8.7 ],[ 17.9, 18 ]</t>
  </si>
  <si>
    <t>[ 9.1, 8.7 ],[ 18.2, 18 ]</t>
  </si>
  <si>
    <t>[ 9, 8.7 ],[ 18.2, 18 ]</t>
  </si>
  <si>
    <t>[ 9, 8.7 ],[ 18.1, 18 ]</t>
  </si>
  <si>
    <t>[ 8.4, 8.7 ],[ 17.7, 18 ]</t>
  </si>
  <si>
    <t>[ 8.9, 8.7 ],[ 18, 18 ]</t>
  </si>
  <si>
    <t>[ 8.7, 8.7 ],[ 17.8, 18 ]</t>
  </si>
  <si>
    <t>[ 8.4, 8.7 ],[ 17.6, 18 ]</t>
  </si>
  <si>
    <t>[ 9.2, 8.7 ],[ 18.4, 18 ]</t>
  </si>
  <si>
    <t>{{ value | float(None) }}</t>
  </si>
  <si>
    <t>{{ value | int(None) }}</t>
  </si>
  <si>
    <t>Device Batteries</t>
  </si>
  <si>
    <t>Google Device Syncronise</t>
  </si>
  <si>
    <t>Supervisor</t>
  </si>
  <si>
    <t>Plex</t>
  </si>
  <si>
    <t>Grafana</t>
  </si>
  <si>
    <t>Wrangle</t>
  </si>
  <si>
    <t>Nginx</t>
  </si>
  <si>
    <t>Postgres</t>
  </si>
  <si>
    <t>Home Assistant</t>
  </si>
  <si>
    <t>host_meg_temperature</t>
  </si>
  <si>
    <t>{{ value_json['SI7021']['Humidity'] if (value_json['SI7021']['Humidity'] is defined and (value_json['SI7021']['Humidity'] | int(-200) &gt; 0) and (value_json['SI7021']['Humidity'] | int(200) &lt; 101)) else (states('sensor.deck_festoons_plug_humidity') | int(None)) }}</t>
  </si>
  <si>
    <t>compensation_sensor_host_meg_temperature</t>
  </si>
  <si>
    <t>Mac Mini Meg</t>
  </si>
  <si>
    <t>Proxy</t>
  </si>
  <si>
    <t>Rack Ambient</t>
  </si>
  <si>
    <t>Device Conditions Wardrobe</t>
  </si>
  <si>
    <t>Device Conditions Rack</t>
  </si>
  <si>
    <t>Device Conditions Ceiling</t>
  </si>
  <si>
    <t>Ceiling Ambient</t>
  </si>
  <si>
    <t>template_utility_temperature_proxy</t>
  </si>
  <si>
    <t>template_wardrobe_temperature_proxy</t>
  </si>
  <si>
    <t>template_deck_festoons_plug_temperature_proxy</t>
  </si>
  <si>
    <t>hallway_sconces_bulb_2</t>
  </si>
  <si>
    <t>Identifies whether device and entity name are distinct</t>
  </si>
  <si>
    <t>_device_entity_name</t>
  </si>
  <si>
    <t>_device_entity_name_unique</t>
  </si>
  <si>
    <t>CALCULATED for MQTT</t>
  </si>
  <si>
    <t>Calculates the device/entity name</t>
  </si>
  <si>
    <t>Weather Station Console</t>
  </si>
  <si>
    <t>[ 3.75, 0 ],[ 4.5, 100 ]</t>
  </si>
  <si>
    <t>kitchen_bench_lights_plug</t>
  </si>
  <si>
    <t>Kitchen Bench</t>
  </si>
  <si>
    <t>Bench Lights</t>
  </si>
  <si>
    <t>Bench Light,Bench Lights,Bench</t>
  </si>
  <si>
    <t>kitchen_air_purifier</t>
  </si>
  <si>
    <t>template_kitchen_air_purifier_proxy</t>
  </si>
  <si>
    <t>template_parents_air_purifier_proxy</t>
  </si>
  <si>
    <t>parents_air_purifier</t>
  </si>
  <si>
    <t>0x9035eafffe27e819</t>
  </si>
  <si>
    <t>24:95:2f:7e:73:23</t>
  </si>
  <si>
    <t>24:95:2f:7f:ab:03</t>
  </si>
  <si>
    <t>kitchen_noise</t>
  </si>
  <si>
    <t>office_noise</t>
  </si>
  <si>
    <t>kitchen_humidity</t>
  </si>
  <si>
    <t>office_humidity</t>
  </si>
  <si>
    <t>office_temperature</t>
  </si>
  <si>
    <t>compensation_sensor_office_temperature</t>
  </si>
  <si>
    <t>kitchen_temperature</t>
  </si>
  <si>
    <t>compensation_sensor_kitchen_temperature</t>
  </si>
  <si>
    <t>10.0.2.15</t>
  </si>
  <si>
    <t>10.0.2.16</t>
  </si>
  <si>
    <t>10.0.2.17</t>
  </si>
  <si>
    <t>10.0.2.18</t>
  </si>
  <si>
    <t>10.0.2.19</t>
  </si>
  <si>
    <t>net_Default_br0_10-0-1-0-24</t>
  </si>
  <si>
    <t>10.0.1.1</t>
  </si>
  <si>
    <t>10.0.1.2</t>
  </si>
  <si>
    <t>10.0.1.3</t>
  </si>
  <si>
    <t>10.0.1.4</t>
  </si>
  <si>
    <t>10.0.1.5</t>
  </si>
  <si>
    <t>net_Controlled_br3_10-0-3-0-24</t>
  </si>
  <si>
    <t>net_Isolated_br4_10-0-4-0-24</t>
  </si>
  <si>
    <t>10.0.3.50</t>
  </si>
  <si>
    <t>10.0.3.51</t>
  </si>
  <si>
    <t>10.0.3.55</t>
  </si>
  <si>
    <t>10.0.3.56</t>
  </si>
  <si>
    <t>10.0.3.54</t>
  </si>
  <si>
    <t>10.0.3.52</t>
  </si>
  <si>
    <t>10.0.3.57</t>
  </si>
  <si>
    <t>10.0.3.49</t>
  </si>
  <si>
    <t>10.0.3.47</t>
  </si>
  <si>
    <t>10.0.3.58</t>
  </si>
  <si>
    <t>10.0.3.53</t>
  </si>
  <si>
    <t>10.0.3.43</t>
  </si>
  <si>
    <t>10.0.3.41</t>
  </si>
  <si>
    <t>10.0.3.42</t>
  </si>
  <si>
    <t>10.0.3.40</t>
  </si>
  <si>
    <t>10.0.3.48</t>
  </si>
  <si>
    <t>10.0.3.14</t>
  </si>
  <si>
    <t>10.0.4.60</t>
  </si>
  <si>
    <t>10.0.4.61</t>
  </si>
  <si>
    <t>10.0.4.62</t>
  </si>
  <si>
    <t>10.0.4.87</t>
  </si>
  <si>
    <t>10.0.4.104</t>
  </si>
  <si>
    <t>10.0.4.63</t>
  </si>
  <si>
    <t>10.0.4.64</t>
  </si>
  <si>
    <t>10.0.4.65</t>
  </si>
  <si>
    <t>10.0.4.103</t>
  </si>
  <si>
    <t>10.0.4.88</t>
  </si>
  <si>
    <t>10.0.4.107</t>
  </si>
  <si>
    <t>10.0.4.89</t>
  </si>
  <si>
    <t>10.0.4.108</t>
  </si>
  <si>
    <t>10.0.4.81</t>
  </si>
  <si>
    <t>10.0.4.100</t>
  </si>
  <si>
    <t>10.0.4.106</t>
  </si>
  <si>
    <t>10.0.4.80</t>
  </si>
  <si>
    <t>10.0.4.70</t>
  </si>
  <si>
    <t>10.0.4.82</t>
  </si>
  <si>
    <t>10.0.4.83</t>
  </si>
  <si>
    <t>10.0.4.73</t>
  </si>
  <si>
    <t>10.0.4.74</t>
  </si>
  <si>
    <t>10.0.4.75</t>
  </si>
  <si>
    <t>10.0.4.76</t>
  </si>
  <si>
    <t>10.0.4.78</t>
  </si>
  <si>
    <t>10.0.4.71</t>
  </si>
  <si>
    <t>10.0.4.72</t>
  </si>
  <si>
    <t>10.0.4.90</t>
  </si>
  <si>
    <t>10.0.4.91</t>
  </si>
  <si>
    <t>10.0.4.92</t>
  </si>
  <si>
    <t>10.0.4.79</t>
  </si>
  <si>
    <t>10.0.4.86</t>
  </si>
  <si>
    <t>10.0.4.102</t>
  </si>
  <si>
    <t>10.0.4.84</t>
  </si>
  <si>
    <t>10.0.4.105</t>
  </si>
  <si>
    <t>10.0.4.85</t>
  </si>
  <si>
    <t>10.0.4.101</t>
  </si>
  <si>
    <t>10.0.4.31</t>
  </si>
  <si>
    <t>10.0.4.32</t>
  </si>
  <si>
    <t>10.0.4.30</t>
  </si>
  <si>
    <t>parents_homepod</t>
  </si>
  <si>
    <t>Parents HomePod</t>
  </si>
  <si>
    <t>HomePod</t>
  </si>
  <si>
    <t>Dyson</t>
  </si>
  <si>
    <t>Pure Hot+Cool Link</t>
  </si>
  <si>
    <t>21.04.03</t>
  </si>
  <si>
    <t>c8:ff:77:d6:89:10</t>
  </si>
  <si>
    <t>Mobile Air Purifier</t>
  </si>
  <si>
    <t>google_assistant_synchronize_devices</t>
  </si>
  <si>
    <t>38:c9:86:59:f1:6f</t>
  </si>
  <si>
    <t>0x1c34f1fffe7f7e96</t>
  </si>
  <si>
    <t>Hot Water</t>
  </si>
  <si>
    <t>Appliances</t>
  </si>
  <si>
    <t>uvc_ada_medium_resolution_channel</t>
  </si>
  <si>
    <t>uvc_edwin_medium_resolution_channel</t>
  </si>
  <si>
    <t>office_lounge_temperature</t>
  </si>
  <si>
    <t>compensation_sensor_office_lounge_temperature</t>
  </si>
  <si>
    <t>office_pantry_temperature</t>
  </si>
  <si>
    <t>compensation_sensor_office_pantry_temperature</t>
  </si>
  <si>
    <t>office_dining_temperature</t>
  </si>
  <si>
    <t>compensation_sensor_office_dining_temperature</t>
  </si>
  <si>
    <t>office_basement_temperature</t>
  </si>
  <si>
    <t>compensation_sensor_office_basement_temperature</t>
  </si>
  <si>
    <t>office_lounge_humidity</t>
  </si>
  <si>
    <t>office_pantry_humidity</t>
  </si>
  <si>
    <t>office_dining_humidity</t>
  </si>
  <si>
    <t>office_basement_humidity</t>
  </si>
  <si>
    <t>ada_carbon_dioxide</t>
  </si>
  <si>
    <t>edwin_carbon_dioxide</t>
  </si>
  <si>
    <t>parents_carbon_dioxide</t>
  </si>
  <si>
    <t>office_carbon_dioxide</t>
  </si>
  <si>
    <t>office_lounge_carbon_dioxide</t>
  </si>
  <si>
    <t>kitchen_carbon_dioxide</t>
  </si>
  <si>
    <t>office_pantry_carbon_dioxide</t>
  </si>
  <si>
    <t>office_dining_carbon_dioxide</t>
  </si>
  <si>
    <t>laundry_carbon_dioxide</t>
  </si>
  <si>
    <t>office_pantry_battery</t>
  </si>
  <si>
    <t>office_lounge_battery</t>
  </si>
  <si>
    <t>office_dining_battery</t>
  </si>
  <si>
    <t>office_basement_battery</t>
  </si>
  <si>
    <t>Turn sleep mode on</t>
  </si>
  <si>
    <t>Turn sleep mode off</t>
  </si>
  <si>
    <t>{ "hue_power_on_behavior":"on", "hue_power_on_brightness":3, "hue_power_on_color_temperature":454, "color_temp_startup":454 }</t>
  </si>
  <si>
    <t>Sagecom</t>
  </si>
  <si>
    <t>sagecom-modem</t>
  </si>
  <si>
    <t>FAST 5355</t>
  </si>
  <si>
    <t>10.0.0.138</t>
  </si>
  <si>
    <t>Exetel</t>
  </si>
  <si>
    <t>exetel-staticip</t>
  </si>
  <si>
    <t>Static IP</t>
  </si>
  <si>
    <t>NBN</t>
  </si>
  <si>
    <t>IPv4</t>
  </si>
  <si>
    <t>123.176.113.184</t>
  </si>
  <si>
    <t>10.0.0.1</t>
  </si>
  <si>
    <t>Gateway</t>
  </si>
  <si>
    <t>mdi:molecule-co2</t>
  </si>
  <si>
    <t>28:70:4e:61:87:00</t>
  </si>
  <si>
    <t>UAP-U6 Pro</t>
  </si>
  <si>
    <t>Edwin Wakeup</t>
  </si>
  <si>
    <t>Edwin Goodnight</t>
  </si>
  <si>
    <t>edwin_wakeup</t>
  </si>
  <si>
    <t>edwin_playtime</t>
  </si>
  <si>
    <t>edwin_goodnight</t>
  </si>
  <si>
    <t>Edwin Wakeup, Edwin Wakeup Mode</t>
  </si>
  <si>
    <t>Edwin Playtime, Edwin Playtime Mode</t>
  </si>
  <si>
    <t>Edwin Goodnight, Edwin Goodnight Mode</t>
  </si>
  <si>
    <t>home_started</t>
  </si>
  <si>
    <t>Started</t>
  </si>
  <si>
    <t>Edwin Playtime</t>
  </si>
  <si>
    <t>garden_sewerage_blower_plug</t>
  </si>
  <si>
    <t>template_garden_sewerage_blower_plug_proxy</t>
  </si>
  <si>
    <t>Sewerage Blower</t>
  </si>
  <si>
    <t>broken_template_kitchen_coffee_machine_plug_proxy</t>
  </si>
  <si>
    <t>broken_kitchen_coffee_machine_plug</t>
  </si>
  <si>
    <t>broken_template_deck_festoons_plug_proxy</t>
  </si>
  <si>
    <t>broken_deck_festoons_plug</t>
  </si>
  <si>
    <t>broken_template_landing_festoons_plug_proxy</t>
  </si>
  <si>
    <t>broken_landing_festoons_plug</t>
  </si>
  <si>
    <t>broken_template_lounge_sub_plug_proxy</t>
  </si>
  <si>
    <t>broken_lounge_sub_plug</t>
  </si>
  <si>
    <t>broken_template_study_outlet_plug_proxy</t>
  </si>
  <si>
    <t>broken_study_outlet_plug</t>
  </si>
  <si>
    <t>broken_template_office_outlet_plug_proxy</t>
  </si>
  <si>
    <t>broken_office_outlet_plug</t>
  </si>
  <si>
    <t>broken_template_kitchen_dish_washer_plug_proxy</t>
  </si>
  <si>
    <t>broken_kitchen_dish_washer_plug</t>
  </si>
  <si>
    <t>broken_template_laundry_clothes_dryer_plug_proxy</t>
  </si>
  <si>
    <t>broken_laundry_clothes_dryer_plug</t>
  </si>
  <si>
    <t>broken_template_laundry_washing_machine_plug_proxy</t>
  </si>
  <si>
    <t>broken_laundry_washing_machine_plug</t>
  </si>
  <si>
    <t>broken_template_study_battery_charger_plug_proxy</t>
  </si>
  <si>
    <t>broken_study_battery_charger_plug</t>
  </si>
  <si>
    <t>broken_template_laundry_vacuum_charger_plug_proxy</t>
  </si>
  <si>
    <t>broken_laundry_vacuum_charger_plug</t>
  </si>
  <si>
    <t>broken_template_ada_tablet_plug_proxy</t>
  </si>
  <si>
    <t>broken_ada_tablet_plug</t>
  </si>
  <si>
    <t>broken_template_server_meg_plug_proxy</t>
  </si>
  <si>
    <t>broken_server_meg_plug</t>
  </si>
  <si>
    <t>broken_template_rack_internet_modem_plug_proxy</t>
  </si>
  <si>
    <t>broken_rack_internet_modem_plug</t>
  </si>
  <si>
    <t>manufacturer_alias</t>
  </si>
  <si>
    <t>Signify</t>
  </si>
  <si>
    <t>Wardrobe Ambient</t>
  </si>
  <si>
    <t>kitchen_air_purifier_pm25_old</t>
  </si>
  <si>
    <t>template_kitchen_air_purifier_proxy_old</t>
  </si>
  <si>
    <t>kitchen_air_purifier_old</t>
  </si>
  <si>
    <t>0x8c65a3fffef0c92d</t>
  </si>
  <si>
    <t>Deck South</t>
  </si>
  <si>
    <t>Deck North</t>
  </si>
  <si>
    <t>10.0.1.6</t>
  </si>
  <si>
    <t>78:8a:20:b3:26:c8</t>
  </si>
  <si>
    <t>Ceiling Network Devices</t>
  </si>
  <si>
    <t>UVC DAR</t>
  </si>
  <si>
    <t>UDM DAR</t>
  </si>
  <si>
    <t>USW DAR</t>
  </si>
  <si>
    <t>UAP DAR</t>
  </si>
  <si>
    <t>Mac Mini May</t>
  </si>
  <si>
    <t>host_may_temperature</t>
  </si>
  <si>
    <t>compensation_sensor_host_may_temperature</t>
  </si>
  <si>
    <t>broken_template_server_may_plug_proxy</t>
  </si>
  <si>
    <t>Server May</t>
  </si>
  <si>
    <t>broken_server_may_plug</t>
  </si>
  <si>
    <t>May</t>
  </si>
  <si>
    <t>macmini-may</t>
  </si>
  <si>
    <t>MacMini May</t>
  </si>
  <si>
    <t>compensation_sensor_host_jen_temperature</t>
  </si>
  <si>
    <t>raspbpi-jen</t>
  </si>
  <si>
    <t>template_server_jen_plug_proxy</t>
  </si>
  <si>
    <t>server_jen_plug</t>
  </si>
  <si>
    <t>host_jen_temperature</t>
  </si>
  <si>
    <t>Raspberry Pi Jen</t>
  </si>
  <si>
    <t>Server Jen</t>
  </si>
  <si>
    <t>RaspberryPi Jen</t>
  </si>
  <si>
    <t>Jen</t>
  </si>
  <si>
    <t>Guildford</t>
  </si>
  <si>
    <t>Jil</t>
  </si>
  <si>
    <t>Pi 4 Model B</t>
  </si>
  <si>
    <t>Debain</t>
  </si>
  <si>
    <t>Mad</t>
  </si>
  <si>
    <t>MacMini M2 Pro Early 2023 (14,12)</t>
  </si>
  <si>
    <t>Max</t>
  </si>
  <si>
    <t>dc:a6:32:5c:de:d5</t>
  </si>
  <si>
    <t>5c:e9:1e:e6:47:f8</t>
  </si>
  <si>
    <t>Fedora (Asahi)</t>
  </si>
  <si>
    <t>rack_backup_plug</t>
  </si>
  <si>
    <t>50:d4:f7:3a:5a:e3</t>
  </si>
  <si>
    <t>10.0.4.93</t>
  </si>
  <si>
    <t>Fedora</t>
  </si>
  <si>
    <t>ac:87:a3:25:8d:3f</t>
  </si>
  <si>
    <t>USW Lite 16 PoE Gen1</t>
  </si>
  <si>
    <t>10.0.1.7</t>
  </si>
  <si>
    <t>0c:ea:14:ce:2d:e4</t>
  </si>
  <si>
    <t>host_mad_temperature</t>
  </si>
  <si>
    <t>compensation_sensor_host_mad_temperature</t>
  </si>
  <si>
    <t>host_max_temperature</t>
  </si>
  <si>
    <t>compensation_sensor_host_max_temperature</t>
  </si>
  <si>
    <t>Mac Mini Mad</t>
  </si>
  <si>
    <t>Mac Mini Max</t>
  </si>
  <si>
    <t>macmini-mad</t>
  </si>
  <si>
    <t>macmini-max</t>
  </si>
  <si>
    <t>rack_printer_plug</t>
  </si>
  <si>
    <t>mdi:printer</t>
  </si>
  <si>
    <t>Rack Backup</t>
  </si>
  <si>
    <t>Rack Screen</t>
  </si>
  <si>
    <t>mdi:monitor</t>
  </si>
  <si>
    <t>mdi:tape-drive</t>
  </si>
  <si>
    <t>Backup</t>
  </si>
  <si>
    <t>Screen</t>
  </si>
  <si>
    <t>10.0.4.109</t>
  </si>
  <si>
    <t>10.0.4.110</t>
  </si>
  <si>
    <t>rack_screen_plug</t>
  </si>
  <si>
    <t>80:64:6f:91:0d:0f</t>
  </si>
  <si>
    <t>48:55:19:74:06:19</t>
  </si>
  <si>
    <t>kitchen_fridge_plug</t>
  </si>
  <si>
    <t>template_kitchen_fridge_plug_proxy</t>
  </si>
  <si>
    <t>Rack Printer</t>
  </si>
  <si>
    <t>10.0.4.111</t>
  </si>
  <si>
    <t>Edwin Desk Outlet</t>
  </si>
  <si>
    <t>edwin_desk_outlet</t>
  </si>
  <si>
    <t>Desk Outlet</t>
  </si>
  <si>
    <t>80:64:6f:91:14:c5</t>
  </si>
  <si>
    <t>lounge_reading</t>
  </si>
  <si>
    <t>lounge_reading_bulb_1</t>
  </si>
  <si>
    <t>lighting_reset_adaptive_lighting_lounge_reading</t>
  </si>
  <si>
    <t>Reading</t>
  </si>
  <si>
    <t>Reading Bulb 1</t>
  </si>
  <si>
    <t>0x001788010ec76d57</t>
  </si>
  <si>
    <t>LCT010</t>
  </si>
  <si>
    <t>LTA009</t>
  </si>
  <si>
    <t>Ada Desk Outlet</t>
  </si>
  <si>
    <t>ada_desk_outlet</t>
  </si>
  <si>
    <t>0x001788010f03f035</t>
  </si>
  <si>
    <t>Reading Lamp</t>
  </si>
  <si>
    <t>Custom</t>
  </si>
  <si>
    <t>service_homeassistant</t>
  </si>
  <si>
    <t>service_plex</t>
  </si>
  <si>
    <t>service_sabnzbd</t>
  </si>
  <si>
    <t>service_influxdb3</t>
  </si>
  <si>
    <t>service_mlflow</t>
  </si>
  <si>
    <t>service_mlserver</t>
  </si>
  <si>
    <t>service_openra</t>
  </si>
  <si>
    <t>service_grafana</t>
  </si>
  <si>
    <t>service_letsencrypt</t>
  </si>
  <si>
    <t>service_sonarr</t>
  </si>
  <si>
    <t>service_wrangle</t>
  </si>
  <si>
    <t>service_mariadb</t>
  </si>
  <si>
    <t>service_nginx</t>
  </si>
  <si>
    <t>service_postgres</t>
  </si>
  <si>
    <t>service_vernemq</t>
  </si>
  <si>
    <t>service_weewx</t>
  </si>
  <si>
    <t>service_zigbee2mqtt</t>
  </si>
  <si>
    <t>Sonarr</t>
  </si>
  <si>
    <t>InfluxDB3</t>
  </si>
  <si>
    <t>SABnzbd</t>
  </si>
  <si>
    <t>MLFlow</t>
  </si>
  <si>
    <t>MLServer</t>
  </si>
  <si>
    <t>OpenRA</t>
  </si>
  <si>
    <t>LetsEncrypt</t>
  </si>
  <si>
    <t>MariaDB</t>
  </si>
  <si>
    <t>VerneMQ</t>
  </si>
  <si>
    <t>Zigbee2MQTT</t>
  </si>
  <si>
    <t>{{ 'ON' if value_json is mapping and (value_json.pulse | default({})).ok | default(false) else 'OFF' }}</t>
  </si>
  <si>
    <t>mdi:heart-pulse</t>
  </si>
  <si>
    <t>TempStat</t>
  </si>
  <si>
    <t>{ "power_on_behavior":"on", "color_temp_startup":65279 }</t>
  </si>
  <si>
    <t>DS18B20</t>
  </si>
  <si>
    <t>Analog Devices</t>
  </si>
  <si>
    <t>service_tempstat</t>
  </si>
  <si>
    <t>network_internet</t>
  </si>
  <si>
    <t>Network Status</t>
  </si>
  <si>
    <t>Service Status</t>
  </si>
  <si>
    <t>mdi:web</t>
  </si>
  <si>
    <t>network</t>
  </si>
  <si>
    <t>{{ 'ON' if value_json is mapping and value_json.ok | default(false) else 'OFF' }}</t>
  </si>
  <si>
    <t>network_ethernet</t>
  </si>
  <si>
    <t>network_wireless</t>
  </si>
  <si>
    <t>network_zigbee</t>
  </si>
  <si>
    <t>network_weewx</t>
  </si>
  <si>
    <t>mdi:wifi</t>
  </si>
  <si>
    <t>mdi:access-point-network</t>
  </si>
  <si>
    <t>mdi:cable-data</t>
  </si>
  <si>
    <t>mdi:certificate</t>
  </si>
  <si>
    <t>mdi:credit-card-wireless</t>
  </si>
  <si>
    <t>mdi:turbine</t>
  </si>
  <si>
    <t>network_domain</t>
  </si>
  <si>
    <t>mdi:archive-search-outline</t>
  </si>
  <si>
    <t>Certificates</t>
  </si>
  <si>
    <t>network_certificate</t>
  </si>
  <si>
    <t>service_network</t>
  </si>
  <si>
    <t>weatherstation_coms_signal_quality</t>
  </si>
  <si>
    <t>Davis Console Signal Quality</t>
  </si>
  <si>
    <t>rxCheckPercent</t>
  </si>
  <si>
    <t xml:space="preserve"> {{ (('%0.2f' | format(value | float * 100 | int / 100)) if (value is defined and value | float(-1) &gt;= 0) else ('%0.2f' | format(states('sensor.weatherstation_coms_signal_quality') | float * 100 | int / 100))) | float }}</t>
  </si>
  <si>
    <t>service_cloudflare</t>
  </si>
  <si>
    <t>Cloudflare</t>
  </si>
  <si>
    <t>service_tasmota</t>
  </si>
  <si>
    <t>{{ ((value_json.pulse | default({})).value | float(none)) if value_json is mapping else none }}</t>
  </si>
  <si>
    <t>{"PowerOnState": 0, "PowerRetain": "ON", "StatusRetain": "OFF", "SensorRetain": "ON", "TelePeriod": 10, "PowerDelta1": 25, "PowerDelta2": 0, "PowerDelta3": 0, "PowerLow": 0, "PowerHigh": 0, "VoltageLow": 0, "VoltageHigh": 0, "CurrentLow": 0, "CurrentHigh": 0}</t>
  </si>
  <si>
    <t>{"PowerOnState": 1, "PowerRetain": "ON", "StatusRetain": "OFF", "SensorRetain": "OFF"}</t>
  </si>
  <si>
    <t>{"PowerOnState": 0, "PowerRetain": "ON", "StatusRetain": "OFF", "SensorRetain": "ON", "TelePeriod": 10}</t>
  </si>
  <si>
    <t>{"PowerOnState": 0, "PowerRetain": "ON", "StatusRetain": "OFF", "SensorRetain": "OFF"}</t>
  </si>
  <si>
    <t xml:space="preserve"> {"PowerOnState": 1, "PowerRetain": "ON", "StatusRetain": "OFF", "SensorRetain": "ON", "TelePeriod": 10, "PowerDelta1": 25, "PowerDelta2": 0, "PowerDelta3": 0, "PowerLow": 0, "PowerHigh": 0, "VoltageLow": 0, "VoltageHigh": 0, "CurrentLow": 0, "CurrentHigh": 0}</t>
  </si>
  <si>
    <t>{"PowerOnState": 1, "PowerRetain": "ON", "StatusRetain": "OFF", "SensorRetain": "ON", "TelePeriod": 10, "PowerDelta1": 25, "PowerDelta2": 0, "PowerDelta3": 0, "PowerLow": 0, "PowerHigh": 0, "VoltageLow": 0, "VoltageHigh": 0, "CurrentLow": 0, "CurrentHigh": 0}</t>
  </si>
  <si>
    <t>host_mad</t>
  </si>
  <si>
    <t>Host Status</t>
  </si>
  <si>
    <t>host_max</t>
  </si>
  <si>
    <t>host_may</t>
  </si>
  <si>
    <t>host_meg</t>
  </si>
  <si>
    <t>host_jen</t>
  </si>
  <si>
    <t>supervisor/all/status</t>
  </si>
  <si>
    <t>all</t>
  </si>
  <si>
    <t>host_all</t>
  </si>
  <si>
    <t>grafana_kpi</t>
  </si>
  <si>
    <t>OPTIONAL for Grafana (Empty ⇒ Auto)</t>
  </si>
  <si>
    <t>max</t>
  </si>
  <si>
    <t>template_dining_air_purifier_pm25</t>
  </si>
  <si>
    <t>template_lounge_air_purifier_pm25</t>
  </si>
  <si>
    <t>template_parents_air_purifier_pm25</t>
  </si>
  <si>
    <t>template_kitchen_air_purifier_pm25</t>
  </si>
  <si>
    <t>grafana_group</t>
  </si>
  <si>
    <t>Weather</t>
  </si>
  <si>
    <t>Conditions,Weather</t>
  </si>
  <si>
    <t>Grafana graph type, can be [Lines, Steps, Points, Bars]</t>
  </si>
  <si>
    <t>Lines</t>
  </si>
  <si>
    <t>Steps</t>
  </si>
  <si>
    <t>Entity status, can be [Enabled, Disabled, Todo]</t>
  </si>
  <si>
    <t>HASS entity namespace prefix, such as [sensor, fan]</t>
  </si>
  <si>
    <t>Google Home aliases, as [CSV]</t>
  </si>
  <si>
    <t>HASS display type, can be [Graph, Table, Table_NoToggle], the last two display a graph as well as a table</t>
  </si>
  <si>
    <t>Grafana groups overriding entity_group, as [CSV]</t>
  </si>
  <si>
    <t>Grafana KPI reducer, can be [last, mean, max, min], marked rows lead, unmarked fill to 6 with each panel's first entity then the rest</t>
  </si>
  <si>
    <t>The compensation points "[uncompensated_value, compensated_value], []..." to claibrate the values using linear best fit regression</t>
  </si>
  <si>
    <t>The Zigbee type, can be [Device, Group]</t>
  </si>
  <si>
    <t>Update entity even if value has not changed, can be [true, false]</t>
  </si>
  <si>
    <t>Put device in optimistic mode, can be [true, false]</t>
  </si>
  <si>
    <t>Clouds</t>
  </si>
  <si>
    <t>Bars</t>
  </si>
  <si>
    <t>last</t>
  </si>
  <si>
    <t>Yearly Rain</t>
  </si>
  <si>
    <t>24 Hour Rain</t>
  </si>
  <si>
    <t>Weekly Rain</t>
  </si>
  <si>
    <t>Monthly Rain</t>
  </si>
  <si>
    <t>Total Rain</t>
  </si>
  <si>
    <t>Storm Rain</t>
  </si>
  <si>
    <t>Daily Rain</t>
  </si>
  <si>
    <t>Rain Rate</t>
  </si>
  <si>
    <t>Hourly Rain</t>
  </si>
  <si>
    <t>grafana_index</t>
  </si>
  <si>
    <t>Grafana panel order as a decimal, overriding index</t>
  </si>
  <si>
    <t>False</t>
  </si>
  <si>
    <t>Column1</t>
  </si>
  <si>
    <t>OPTIONAL for Levels (Empty ⇒ Unjudged)</t>
  </si>
  <si>
    <t>Direction a healthier value moves, can be [higher, lower], set to judge the entity, must agree across entities in its measurement</t>
  </si>
  <si>
    <t>levels_better</t>
  </si>
  <si>
    <t>OPTIONAL for Levels (Empty ⇒ None)</t>
  </si>
  <si>
    <t>Bound past which the value turns amber, a number</t>
  </si>
  <si>
    <t>levels_amber</t>
  </si>
  <si>
    <t>OPTIONAL for Levels (Empty ⇒ None)</t>
  </si>
  <si>
    <t>Bound past which the value turns red, a number, on the less healthy side of amber</t>
  </si>
  <si>
    <t>levels_red</t>
  </si>
  <si>
    <t>OPTIONAL for Levels (Empty ⇒ TRUE)</t>
  </si>
  <si>
    <t>Whether a value on a bound is still healthy, can be [TRUE, FALSE] as an Excel boolean, must agree across entities in its measurement</t>
  </si>
  <si>
    <t>levels_inclusive</t>
  </si>
  <si>
    <t>dining_air_purifier_pm25</t>
  </si>
  <si>
    <t>lounge_air_purifier_pm25</t>
  </si>
  <si>
    <t>parents_air_purifier_pm25</t>
  </si>
  <si>
    <t>kitchen_air_purifier_pm25</t>
  </si>
  <si>
    <t>pm25</t>
  </si>
  <si>
    <t>µg/m³</t>
  </si>
  <si>
    <t>linked_availability</t>
  </si>
  <si>
    <t>HASS entity whose on state gates the availability of a proxy</t>
  </si>
  <si>
    <t>fan.dining_air_purifier</t>
  </si>
  <si>
    <t>fan.lounge_air_purifier</t>
  </si>
  <si>
    <t>fan.parents_air_purifier</t>
  </si>
  <si>
    <t>fan.kitchen_air_purifier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</si>
</sst>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color theme="0"/>
      <name val="Calibri"/>
      <family val="2"/>
    </font>
    <font>
      <u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u/>
      <sz val="12"/>
      <color theme="4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12"/>
      <name val="Calibri"/>
      <family val="2"/>
    </font>
    <font>
      <sz val="12"/>
      <color rgb="FF212121"/>
      <name val="Calibri"/>
      <family val="2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EBF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 style="dotted">
        <color theme="4" tint="-0.499984740745262"/>
      </bottom>
      <diagonal/>
    </border>
    <border>
      <left style="dotted">
        <color theme="4"/>
      </left>
      <right/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thin">
        <color theme="4" tint="-0.499984740745262"/>
      </bottom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 style="dotted">
        <color theme="4"/>
      </top>
      <bottom/>
      <diagonal/>
    </border>
    <border>
      <left style="dotted">
        <color rgb="FF4472C4"/>
      </left>
      <right/>
      <top style="dotted">
        <color rgb="FF4472C4"/>
      </top>
      <bottom/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6">
    <xf numFmtId="0" fontId="0" fillId="0" borderId="0" xfId="0"/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4" fillId="2" borderId="0" xfId="0" applyNumberFormat="1" applyFont="1" applyFill="1" applyAlignment="1">
      <alignment horizontal="left" vertical="top" wrapText="1"/>
    </xf>
    <xf numFmtId="0" fontId="5" fillId="2" borderId="2" xfId="1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49" fontId="4" fillId="2" borderId="2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8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wrapText="1"/>
    </xf>
    <xf numFmtId="0" fontId="10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2" fillId="0" borderId="0" xfId="0" applyFont="1"/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20" fontId="11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/>
    <xf numFmtId="49" fontId="3" fillId="4" borderId="0" xfId="0" applyNumberFormat="1" applyFont="1" applyFill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/>
    </xf>
    <xf numFmtId="49" fontId="8" fillId="4" borderId="0" xfId="1" applyNumberFormat="1" applyFont="1" applyFill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0" fontId="3" fillId="5" borderId="0" xfId="0" applyFont="1" applyFill="1"/>
    <xf numFmtId="49" fontId="3" fillId="5" borderId="0" xfId="0" applyNumberFormat="1" applyFont="1" applyFill="1" applyAlignment="1">
      <alignment horizontal="left" vertical="top"/>
    </xf>
    <xf numFmtId="49" fontId="8" fillId="5" borderId="0" xfId="0" applyNumberFormat="1" applyFont="1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11" fillId="5" borderId="0" xfId="0" applyFont="1" applyFill="1" applyAlignment="1">
      <alignment horizontal="left" vertical="top"/>
    </xf>
    <xf numFmtId="49" fontId="8" fillId="5" borderId="0" xfId="1" applyNumberFormat="1" applyFont="1" applyFill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4" borderId="0" xfId="0" applyFont="1" applyFill="1" applyAlignment="1">
      <alignment horizontal="left"/>
    </xf>
    <xf numFmtId="49" fontId="8" fillId="4" borderId="0" xfId="0" applyNumberFormat="1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4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/>
        <vertAlign val="baseline"/>
        <sz val="12"/>
        <color theme="4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border>
        <bottom style="dotted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dotted">
          <color theme="4"/>
        </left>
        <right style="dotted">
          <color theme="4"/>
        </right>
        <top/>
        <bottom/>
      </border>
    </dxf>
  </dxfs>
  <tableStyles count="0" defaultTableStyle="TableStyleMedium2" defaultPivotStyle="PivotStyleLight16"/>
  <colors>
    <mruColors>
      <color rgb="FF03FF15"/>
      <color rgb="FFF251FF"/>
      <color rgb="FF5092CD"/>
      <color rgb="FF5CAEDB"/>
      <color rgb="FF7BFF59"/>
      <color rgb="FF3992E5"/>
      <color rgb="FF006EBF"/>
      <color rgb="FF0432FF"/>
      <color rgb="FF569CDB"/>
      <color rgb="FF4276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BV490" totalsRowShown="0" headerRowDxfId="76" dataDxfId="74" headerRowBorderDxfId="75">
  <autoFilter ref="A3:BV490" xr:uid="{00000000-000C-0000-FFFF-FFFF00000000}"/>
  <sortState xmlns:xlrd2="http://schemas.microsoft.com/office/spreadsheetml/2017/richdata2" ref="A4:BV490">
    <sortCondition ref="A3:A490"/>
  </sortState>
  <tableColumns count="74">
    <tableColumn id="1" xr3:uid="{00000000-0010-0000-0000-000001000000}" name="index" dataDxfId="73"/>
    <tableColumn id="2" xr3:uid="{00000000-0010-0000-0000-000002000000}" name="entity_status" dataDxfId="72"/>
    <tableColumn id="30" xr3:uid="{9A7EFF98-BFE6-E446-8CFB-C6A8F1F4C72D}" name="device_via_device" dataDxfId="71"/>
    <tableColumn id="3" xr3:uid="{00000000-0010-0000-0000-000003000000}" name="entity_namespace" dataDxfId="70"/>
    <tableColumn id="4" xr3:uid="{00000000-0010-0000-0000-000004000000}" name="unique_id" dataDxfId="69"/>
    <tableColumn id="29" xr3:uid="{C9099E62-9C90-774C-B487-C1E8FC10D09D}" name="name" dataDxfId="68">
      <calculatedColumnFormula>IF(ISBLANK(Table2[[#This Row],[unique_id]]), "", PROPER(SUBSTITUTE(Table2[[#This Row],[unique_id]], "_", " ")))</calculatedColumnFormula>
    </tableColumn>
    <tableColumn id="5" xr3:uid="{00000000-0010-0000-0000-000005000000}" name="friendly_name" dataDxfId="67"/>
    <tableColumn id="6" xr3:uid="{00000000-0010-0000-0000-000006000000}" name="entity_domain" dataDxfId="66"/>
    <tableColumn id="7" xr3:uid="{00000000-0010-0000-0000-000007000000}" name="entity_group" dataDxfId="65"/>
    <tableColumn id="27" xr3:uid="{60418A65-0C60-7646-A0ED-ABB0E1A36C63}" name="google_aliases" dataDxfId="64"/>
    <tableColumn id="13" xr3:uid="{B4C4A2D6-C804-F043-B392-3D0AB90153D7}" name="linked_entity" dataDxfId="63"/>
    <tableColumn id="74" xr3:uid="{D0182750-FB6F-3C45-A483-F2D233F50924}" name="linked_availability" dataDxfId="0"/>
    <tableColumn id="39" xr3:uid="{4CB6C6ED-220F-EA47-A177-F3CF94B4FCB8}" name="linked_service" dataDxfId="62"/>
    <tableColumn id="32" xr3:uid="{9FB83457-10AD-D34A-B0A0-C03B121132D6}" name="hass_display_mode" dataDxfId="61"/>
    <tableColumn id="28" xr3:uid="{0EA9866E-7EBB-1F4E-864B-B4B41A0868C7}" name="hass_display_type" dataDxfId="60"/>
    <tableColumn id="51" xr3:uid="{8DBDF391-07AE-4A4F-903B-5BBD64761C59}" name="powercalc_enable" dataDxfId="59"/>
    <tableColumn id="50" xr3:uid="{07C23DD5-25CE-2A4A-8455-1C159ED44B79}" name="powercalc_group_1" dataDxfId="58"/>
    <tableColumn id="49" xr3:uid="{674D5879-982E-C54E-BB3C-3856904C3F08}" name="powercalc_group_2" dataDxfId="57"/>
    <tableColumn id="48" xr3:uid="{58F1B851-B412-434F-90C1-FC461B06CD87}" name="powercalc_group_3" dataDxfId="56"/>
    <tableColumn id="47" xr3:uid="{B8549644-CEBE-B04C-A925-E1930F8FB34D}" name="powercalc_group_4" dataDxfId="55"/>
    <tableColumn id="46" xr3:uid="{D0327CDA-BCAE-2F44-B16C-849736CDE7F5}" name="powercalc_config" dataDxfId="54"/>
    <tableColumn id="66" xr3:uid="{5A1D4CD7-5D58-6B40-9272-05CE88ABD89C}" name="grafana_index" dataDxfId="53"/>
    <tableColumn id="62" xr3:uid="{82F7120C-0CC1-D142-84D2-CFB14A50B851}" name="grafana_group" dataDxfId="52"/>
    <tableColumn id="31" xr3:uid="{0D8A1BBE-51B4-E147-A44E-9683CA8C518F}" name="grafana_display_type" dataDxfId="51"/>
    <tableColumn id="61" xr3:uid="{3348AA09-DF2A-2140-9625-F1845D938761}" name="grafana_kpi" dataDxfId="50"/>
    <tableColumn id="73" xr3:uid="{34A4143B-C942-DB43-AD42-C700480505CC}" name="levels_better" dataDxfId="49"/>
    <tableColumn id="72" xr3:uid="{476FA7BE-6965-5842-9E4E-245C5017E2C9}" name="levels_amber" dataDxfId="48"/>
    <tableColumn id="71" xr3:uid="{51EBD293-BB14-A648-8863-48F8971F41E0}" name="levels_red" dataDxfId="47"/>
    <tableColumn id="67" xr3:uid="{DAAEB555-DD39-FD40-AD8D-27BF5F02B738}" name="levels_inclusive" dataDxfId="46"/>
    <tableColumn id="14" xr3:uid="{78BFD416-14E2-1346-ABA3-7482F2EF964B}" name="compensation_curve" dataDxfId="45"/>
    <tableColumn id="42" xr3:uid="{89DBF06F-3894-034F-A260-C4F7288ABF85}" name="zigbee_type" dataDxfId="44"/>
    <tableColumn id="43" xr3:uid="{E7D1DC27-417A-B44D-9C67-253D3AEEAC31}" name="zigbee_group" dataDxfId="43"/>
    <tableColumn id="41" xr3:uid="{C2AC9DC2-579C-114D-BD33-47F922A7ECD8}" name="zigbee_config" dataDxfId="42"/>
    <tableColumn id="38" xr3:uid="{26490464-B58E-B747-AFA6-696984DB49F8}" name="zigbee_device_config" dataDxfId="41"/>
    <tableColumn id="53" xr3:uid="{97C0AC03-0E68-C04D-AAB1-394239DA0E93}" name="tasmota_device_config" dataDxfId="40"/>
    <tableColumn id="8" xr3:uid="{00000000-0010-0000-0000-000008000000}" name="state_class" dataDxfId="39"/>
    <tableColumn id="9" xr3:uid="{00000000-0010-0000-0000-000009000000}" name="unit_of_measurement" dataDxfId="38"/>
    <tableColumn id="10" xr3:uid="{00000000-0010-0000-0000-00000A000000}" name="device_class" dataDxfId="37"/>
    <tableColumn id="11" xr3:uid="{00000000-0010-0000-0000-00000B000000}" name="icon" dataDxfId="36"/>
    <tableColumn id="12" xr3:uid="{00000000-0010-0000-0000-00000C000000}" name="sample_period" dataDxfId="35"/>
    <tableColumn id="15" xr3:uid="{00000000-0010-0000-0000-00000F000000}" name="force_update" dataDxfId="34"/>
    <tableColumn id="55" xr3:uid="{A7039A10-DEBB-A944-8FAD-A77F3CF1F429}" name="optimistic" dataDxfId="33"/>
    <tableColumn id="16" xr3:uid="{00000000-0010-0000-0000-000010000000}" name="unique_id_device" dataDxfId="32"/>
    <tableColumn id="17" xr3:uid="{00000000-0010-0000-0000-000011000000}" name="discovery_topic" dataDxfId="31">
      <calculatedColumnFormula>IF(ISBLANK(AQ4),  "", _xlfn.CONCAT("haas/entity/sensor/", LOWER(C4), "/", E4, "/config"))</calculatedColumnFormula>
    </tableColumn>
    <tableColumn id="18" xr3:uid="{00000000-0010-0000-0000-000012000000}" name="state_topic" dataDxfId="30">
      <calculatedColumnFormula>IF(ISBLANK(AQ4),  "", _xlfn.CONCAT(LOWER(C4), "/", E4))</calculatedColumnFormula>
    </tableColumn>
    <tableColumn id="54" xr3:uid="{07C1F1CD-523C-4A44-98AC-1E70912971C8}" name="command_topic" dataDxfId="29"/>
    <tableColumn id="56" xr3:uid="{256F7B55-FAA5-B74F-8FD2-07EB07120BFC}" name="availability_topic" dataDxfId="28"/>
    <tableColumn id="60" xr3:uid="{879A506D-709C-0C47-A5F6-FF87CE7E643D}" name="payload_on" dataDxfId="27"/>
    <tableColumn id="59" xr3:uid="{5292E359-6C9C-B546-A29E-DEF850DCCA28}" name="payload_off" dataDxfId="26"/>
    <tableColumn id="58" xr3:uid="{DE814105-6A0E-9345-AA8B-97FD58CC76ED}" name="payload_available" dataDxfId="25"/>
    <tableColumn id="57" xr3:uid="{9E11398C-2422-0E41-8975-F1A8C86DE2C4}" name="payload_not_available" dataDxfId="24"/>
    <tableColumn id="19" xr3:uid="{00000000-0010-0000-0000-000013000000}" name="value_template" dataDxfId="23"/>
    <tableColumn id="20" xr3:uid="{00000000-0010-0000-0000-000014000000}" name="qos" dataDxfId="22"/>
    <tableColumn id="37" xr3:uid="{64D4DD58-B502-4345-9167-C0EACC9E86EC}" name="device_configuration_url" dataDxfId="21"/>
    <tableColumn id="64" xr3:uid="{24CCFA05-A4F8-534D-91C0-D3447DCE67C4}" name="device_proxy_type" dataDxfId="20"/>
    <tableColumn id="21" xr3:uid="{00000000-0010-0000-0000-000015000000}" name="device_identifiers" dataDxfId="19"/>
    <tableColumn id="23" xr3:uid="{00000000-0010-0000-0000-000017000000}" name="device_name" dataDxfId="18"/>
    <tableColumn id="52" xr3:uid="{378B736E-A3D4-7443-9E78-87BB2CE9A818}" name="_device_entity_name" dataDxfId="17">
      <calculatedColumnFormula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calculatedColumnFormula>
    </tableColumn>
    <tableColumn id="22" xr3:uid="{C7F49317-9961-784D-915C-30CBA0C44758}" name="_device_entity_name_unique" dataDxfId="16">
      <calculatedColumnFormula>IF(OR(ISBLANK(Table2[[#This Row],[name]]), ISBLANK(Table2[[#This Row],[device_name]])), "", IF(AND(NOT(ISBLANK(Table2[[#This Row],[discovery_topic]])), Table2[[#This Row],[name]]=Table2[[#This Row],[device_name]]), "ERROR: Non unique names!", ""))</calculatedColumnFormula>
    </tableColumn>
    <tableColumn id="70" xr3:uid="{86BF12BE-6611-5F4A-B51A-958EF054030A}" name="_device_name_prefix_custom" dataDxfId="15"/>
    <tableColumn id="69" xr3:uid="{E9085A4B-1F83-9F48-9959-5208B03EB691}" name="_device_name_prefix_default" dataDxfId="14">
      <calculatedColumnFormula>IF(ISBLANK(Table2[[#This Row],[device_model]]), "", Table2[[#This Row],[device_suggested_area]])</calculatedColumnFormula>
    </tableColumn>
    <tableColumn id="68" xr3:uid="{367C2781-0CFC-E449-AB25-A709A2ED12F2}" name="_device_name_suffix" dataDxfId="13"/>
    <tableColumn id="24" xr3:uid="{00000000-0010-0000-0000-000018000000}" name="device_model" dataDxfId="12"/>
    <tableColumn id="25" xr3:uid="{00000000-0010-0000-0000-000019000000}" name="device_manufacturer" dataDxfId="11"/>
    <tableColumn id="45" xr3:uid="{E90F6D15-3F78-FF45-A83A-DA5FDC8692BD}" name="manufacturer_alias" dataDxfId="10"/>
    <tableColumn id="65" xr3:uid="{8685B72E-27AD-BF42-B42B-86B1468C2061}" name="device_sw_version" dataDxfId="9"/>
    <tableColumn id="26" xr3:uid="{00000000-0010-0000-0000-00001A000000}" name="device_suggested_area" dataDxfId="8"/>
    <tableColumn id="44" xr3:uid="{36D576A0-00E0-7942-981C-77E06E4C6271}" name="suggested_area_override_name" dataDxfId="7"/>
    <tableColumn id="40" xr3:uid="{344437C2-0BDB-7546-8FAB-6C4F23E06045}" name="suggested_area_override" dataDxfId="6"/>
    <tableColumn id="63" xr3:uid="{45112545-FC08-BC40-A551-0454D8CE3BD0}" name="custom_config" dataDxfId="5"/>
    <tableColumn id="36" xr3:uid="{9BE9D8F1-8323-CD41-9A9F-7BB21381C895}" name="connection_vlan" dataDxfId="4"/>
    <tableColumn id="35" xr3:uid="{083AE619-8F32-3D45-8483-3D0D4C3918AF}" name="connection_mac" dataDxfId="3"/>
    <tableColumn id="34" xr3:uid="{BBD927E3-6295-6C4D-8EC3-6DFFCC064F3B}" name="connection_ip" dataDxfId="2"/>
    <tableColumn id="33" xr3:uid="{02BC701A-79AC-534B-9960-6F231D2962E3}" name="device_connections" dataDxfId="1">
      <calculatedColumnFormula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90"/>
  <sheetViews>
    <sheetView tabSelected="1" topLeftCell="J1" zoomScale="121" zoomScaleNormal="120" workbookViewId="0">
      <selection activeCell="L1" sqref="L1"/>
    </sheetView>
  </sheetViews>
  <sheetFormatPr baseColWidth="10" defaultRowHeight="16" customHeight="1" x14ac:dyDescent="0.2"/>
  <cols>
    <col min="1" max="1" width="14.33203125" style="28" bestFit="1" customWidth="1"/>
    <col min="2" max="2" width="17.83203125" style="28" bestFit="1" customWidth="1"/>
    <col min="3" max="3" width="21.5" style="28" customWidth="1"/>
    <col min="4" max="4" width="20.6640625" style="28" customWidth="1"/>
    <col min="5" max="5" width="51.5" style="28" bestFit="1" customWidth="1"/>
    <col min="6" max="6" width="55.33203125" style="28" bestFit="1" customWidth="1"/>
    <col min="7" max="7" width="24.5" style="28" bestFit="1" customWidth="1"/>
    <col min="8" max="8" width="25.1640625" style="28" bestFit="1" customWidth="1"/>
    <col min="9" max="9" width="21.83203125" style="28" bestFit="1" customWidth="1"/>
    <col min="10" max="10" width="36.6640625" style="28" customWidth="1"/>
    <col min="11" max="12" width="51.5" style="28" customWidth="1"/>
    <col min="13" max="13" width="25.1640625" style="28" customWidth="1"/>
    <col min="14" max="14" width="34.83203125" style="28" customWidth="1"/>
    <col min="15" max="15" width="29.1640625" style="28" customWidth="1"/>
    <col min="16" max="16" width="26" style="28" customWidth="1"/>
    <col min="17" max="17" width="21.83203125" style="29" customWidth="1"/>
    <col min="18" max="18" width="21.83203125" style="28" customWidth="1"/>
    <col min="19" max="19" width="22.5" style="28" customWidth="1"/>
    <col min="20" max="20" width="21.83203125" style="28" customWidth="1"/>
    <col min="21" max="22" width="26" style="28" customWidth="1"/>
    <col min="23" max="23" width="34.33203125" style="31" bestFit="1" customWidth="1"/>
    <col min="24" max="24" width="41.6640625" style="31" bestFit="1" customWidth="1"/>
    <col min="25" max="25" width="41.1640625" style="28" bestFit="1" customWidth="1"/>
    <col min="26" max="29" width="41.1640625" style="28" customWidth="1"/>
    <col min="30" max="30" width="44" style="28" bestFit="1" customWidth="1"/>
    <col min="31" max="31" width="20.6640625" style="28" bestFit="1" customWidth="1"/>
    <col min="32" max="32" width="22.83203125" style="28" bestFit="1" customWidth="1"/>
    <col min="33" max="33" width="25.1640625" style="28" bestFit="1" customWidth="1"/>
    <col min="34" max="34" width="114.5" style="29" bestFit="1" customWidth="1"/>
    <col min="35" max="35" width="77.1640625" style="29" bestFit="1" customWidth="1"/>
    <col min="36" max="36" width="18.83203125" style="28" bestFit="1" customWidth="1"/>
    <col min="37" max="37" width="33.33203125" style="28" bestFit="1" customWidth="1"/>
    <col min="38" max="38" width="46.1640625" style="28" bestFit="1" customWidth="1"/>
    <col min="39" max="39" width="23.5" style="28" bestFit="1" customWidth="1"/>
    <col min="40" max="40" width="18.33203125" style="28" bestFit="1" customWidth="1"/>
    <col min="41" max="41" width="20.1640625" style="28" bestFit="1" customWidth="1"/>
    <col min="42" max="42" width="42.83203125" style="28" bestFit="1" customWidth="1"/>
    <col min="43" max="43" width="42.1640625" style="28" bestFit="1" customWidth="1"/>
    <col min="44" max="44" width="72.1640625" style="28" bestFit="1" customWidth="1"/>
    <col min="45" max="45" width="59.1640625" style="28" bestFit="1" customWidth="1"/>
    <col min="46" max="46" width="52.5" style="28" bestFit="1" customWidth="1"/>
    <col min="47" max="47" width="48.33203125" style="28" bestFit="1" customWidth="1"/>
    <col min="48" max="49" width="20.33203125" style="28" bestFit="1" customWidth="1"/>
    <col min="50" max="50" width="20.5" style="28" bestFit="1" customWidth="1"/>
    <col min="51" max="51" width="22.6640625" style="28" bestFit="1" customWidth="1"/>
    <col min="52" max="52" width="252.83203125" style="28" bestFit="1" customWidth="1"/>
    <col min="53" max="53" width="21.1640625" style="29" bestFit="1" customWidth="1"/>
    <col min="54" max="54" width="65.33203125" style="28" bestFit="1" customWidth="1"/>
    <col min="55" max="55" width="31.5" style="28" bestFit="1" customWidth="1"/>
    <col min="56" max="56" width="35.6640625" style="29" bestFit="1" customWidth="1"/>
    <col min="57" max="57" width="33.33203125" style="28" bestFit="1" customWidth="1"/>
    <col min="58" max="58" width="65.33203125" style="28" bestFit="1" customWidth="1"/>
    <col min="59" max="59" width="28.83203125" style="28" customWidth="1"/>
    <col min="60" max="60" width="29" style="28" bestFit="1" customWidth="1"/>
    <col min="61" max="61" width="31.1640625" style="28" bestFit="1" customWidth="1"/>
    <col min="62" max="62" width="25.33203125" style="28" bestFit="1" customWidth="1"/>
    <col min="63" max="63" width="31.33203125" style="28" bestFit="1" customWidth="1"/>
    <col min="64" max="64" width="21.33203125" style="28" bestFit="1" customWidth="1"/>
    <col min="65" max="65" width="21.6640625" style="28" bestFit="1" customWidth="1"/>
    <col min="66" max="66" width="20.33203125" style="28" bestFit="1" customWidth="1"/>
    <col min="67" max="67" width="29" style="28" bestFit="1" customWidth="1"/>
    <col min="68" max="68" width="30.6640625" style="28" bestFit="1" customWidth="1"/>
    <col min="69" max="69" width="24.83203125" style="28" bestFit="1" customWidth="1"/>
    <col min="70" max="70" width="27" style="28" bestFit="1" customWidth="1"/>
    <col min="71" max="71" width="29.6640625" style="28" bestFit="1" customWidth="1"/>
    <col min="72" max="72" width="33" style="29" bestFit="1" customWidth="1"/>
    <col min="73" max="73" width="23.5" style="28" bestFit="1" customWidth="1"/>
    <col min="74" max="74" width="45.6640625" style="28" bestFit="1" customWidth="1"/>
    <col min="75" max="16384" width="10.83203125" style="28"/>
  </cols>
  <sheetData>
    <row r="1" spans="1:74" s="8" customFormat="1" ht="16" customHeight="1" x14ac:dyDescent="0.2">
      <c r="A1" s="1" t="s">
        <v>254</v>
      </c>
      <c r="B1" s="2" t="s">
        <v>254</v>
      </c>
      <c r="C1" s="2" t="s">
        <v>254</v>
      </c>
      <c r="D1" s="2" t="s">
        <v>254</v>
      </c>
      <c r="E1" s="2" t="s">
        <v>254</v>
      </c>
      <c r="F1" s="2" t="s">
        <v>306</v>
      </c>
      <c r="G1" s="2" t="s">
        <v>254</v>
      </c>
      <c r="H1" s="2" t="s">
        <v>254</v>
      </c>
      <c r="I1" s="2" t="s">
        <v>254</v>
      </c>
      <c r="J1" s="2" t="s">
        <v>437</v>
      </c>
      <c r="K1" s="2" t="s">
        <v>1079</v>
      </c>
      <c r="L1" s="2" t="s">
        <v>1079</v>
      </c>
      <c r="M1" s="2" t="s">
        <v>1079</v>
      </c>
      <c r="N1" s="2" t="s">
        <v>255</v>
      </c>
      <c r="O1" s="2" t="s">
        <v>256</v>
      </c>
      <c r="P1" s="3" t="s">
        <v>694</v>
      </c>
      <c r="Q1" s="4" t="s">
        <v>694</v>
      </c>
      <c r="R1" s="4" t="s">
        <v>694</v>
      </c>
      <c r="S1" s="4" t="s">
        <v>694</v>
      </c>
      <c r="T1" s="4" t="s">
        <v>694</v>
      </c>
      <c r="U1" s="5" t="s">
        <v>695</v>
      </c>
      <c r="V1" s="5" t="s">
        <v>1517</v>
      </c>
      <c r="W1" s="3" t="s">
        <v>1517</v>
      </c>
      <c r="X1" s="4" t="s">
        <v>1517</v>
      </c>
      <c r="Y1" s="4" t="s">
        <v>1517</v>
      </c>
      <c r="Z1" s="4" t="s">
        <v>1555</v>
      </c>
      <c r="AA1" s="4" t="s">
        <v>1558</v>
      </c>
      <c r="AB1" s="4" t="s">
        <v>1561</v>
      </c>
      <c r="AC1" s="4" t="s">
        <v>1564</v>
      </c>
      <c r="AD1" s="3" t="s">
        <v>255</v>
      </c>
      <c r="AE1" s="6" t="s">
        <v>449</v>
      </c>
      <c r="AF1" s="6" t="s">
        <v>449</v>
      </c>
      <c r="AG1" s="6" t="s">
        <v>449</v>
      </c>
      <c r="AH1" s="6" t="s">
        <v>513</v>
      </c>
      <c r="AI1" s="6" t="s">
        <v>839</v>
      </c>
      <c r="AJ1" s="6" t="s">
        <v>175</v>
      </c>
      <c r="AK1" s="6" t="s">
        <v>176</v>
      </c>
      <c r="AL1" s="7" t="s">
        <v>177</v>
      </c>
      <c r="AM1" s="7" t="s">
        <v>1063</v>
      </c>
      <c r="AN1" s="6" t="s">
        <v>175</v>
      </c>
      <c r="AO1" s="6" t="s">
        <v>175</v>
      </c>
      <c r="AP1" s="6" t="s">
        <v>840</v>
      </c>
      <c r="AQ1" s="6" t="s">
        <v>175</v>
      </c>
      <c r="AR1" s="6" t="s">
        <v>175</v>
      </c>
      <c r="AS1" s="6" t="s">
        <v>175</v>
      </c>
      <c r="AT1" s="6" t="s">
        <v>840</v>
      </c>
      <c r="AU1" s="6" t="s">
        <v>840</v>
      </c>
      <c r="AV1" s="6" t="s">
        <v>840</v>
      </c>
      <c r="AW1" s="6" t="s">
        <v>840</v>
      </c>
      <c r="AX1" s="6" t="s">
        <v>840</v>
      </c>
      <c r="AY1" s="6" t="s">
        <v>840</v>
      </c>
      <c r="AZ1" s="6" t="s">
        <v>175</v>
      </c>
      <c r="BA1" s="6" t="s">
        <v>175</v>
      </c>
      <c r="BB1" s="6" t="s">
        <v>175</v>
      </c>
      <c r="BC1" s="6" t="s">
        <v>746</v>
      </c>
      <c r="BD1" s="6" t="s">
        <v>418</v>
      </c>
      <c r="BE1" s="6" t="s">
        <v>418</v>
      </c>
      <c r="BF1" s="6" t="s">
        <v>1151</v>
      </c>
      <c r="BG1" s="6" t="s">
        <v>1151</v>
      </c>
      <c r="BH1" s="6" t="s">
        <v>746</v>
      </c>
      <c r="BI1" s="6" t="s">
        <v>418</v>
      </c>
      <c r="BJ1" s="6" t="s">
        <v>418</v>
      </c>
      <c r="BK1" s="6" t="s">
        <v>418</v>
      </c>
      <c r="BL1" s="6" t="s">
        <v>418</v>
      </c>
      <c r="BM1" s="6" t="s">
        <v>695</v>
      </c>
      <c r="BN1" s="6" t="s">
        <v>418</v>
      </c>
      <c r="BO1" s="6" t="s">
        <v>418</v>
      </c>
      <c r="BP1" s="6" t="s">
        <v>656</v>
      </c>
      <c r="BQ1" s="6" t="s">
        <v>656</v>
      </c>
      <c r="BR1" s="6" t="s">
        <v>746</v>
      </c>
      <c r="BS1" s="6" t="s">
        <v>418</v>
      </c>
      <c r="BT1" s="6" t="s">
        <v>652</v>
      </c>
      <c r="BU1" s="6" t="s">
        <v>418</v>
      </c>
      <c r="BV1" s="6" t="s">
        <v>653</v>
      </c>
    </row>
    <row r="2" spans="1:74" s="18" customFormat="1" ht="52" customHeight="1" x14ac:dyDescent="0.2">
      <c r="A2" s="9" t="s">
        <v>156</v>
      </c>
      <c r="B2" s="10" t="s">
        <v>1529</v>
      </c>
      <c r="C2" s="10" t="s">
        <v>154</v>
      </c>
      <c r="D2" s="10" t="s">
        <v>1530</v>
      </c>
      <c r="E2" s="10" t="s">
        <v>1064</v>
      </c>
      <c r="F2" s="10" t="s">
        <v>1065</v>
      </c>
      <c r="G2" s="10" t="s">
        <v>172</v>
      </c>
      <c r="H2" s="10" t="s">
        <v>142</v>
      </c>
      <c r="I2" s="10" t="s">
        <v>143</v>
      </c>
      <c r="J2" s="11" t="s">
        <v>1531</v>
      </c>
      <c r="K2" s="10" t="s">
        <v>1066</v>
      </c>
      <c r="L2" s="10" t="s">
        <v>1574</v>
      </c>
      <c r="M2" s="10" t="s">
        <v>1067</v>
      </c>
      <c r="N2" s="10" t="s">
        <v>1532</v>
      </c>
      <c r="O2" s="10" t="s">
        <v>1068</v>
      </c>
      <c r="P2" s="12" t="s">
        <v>735</v>
      </c>
      <c r="Q2" s="11" t="s">
        <v>739</v>
      </c>
      <c r="R2" s="11" t="s">
        <v>696</v>
      </c>
      <c r="S2" s="11" t="s">
        <v>696</v>
      </c>
      <c r="T2" s="11" t="s">
        <v>697</v>
      </c>
      <c r="U2" s="11" t="s">
        <v>698</v>
      </c>
      <c r="V2" s="11" t="s">
        <v>1552</v>
      </c>
      <c r="W2" s="11" t="s">
        <v>1533</v>
      </c>
      <c r="X2" s="11" t="s">
        <v>1526</v>
      </c>
      <c r="Y2" s="11" t="s">
        <v>1534</v>
      </c>
      <c r="Z2" s="11" t="s">
        <v>1556</v>
      </c>
      <c r="AA2" s="11" t="s">
        <v>1559</v>
      </c>
      <c r="AB2" s="11" t="s">
        <v>1562</v>
      </c>
      <c r="AC2" s="11" t="s">
        <v>1565</v>
      </c>
      <c r="AD2" s="13" t="s">
        <v>1535</v>
      </c>
      <c r="AE2" s="13" t="s">
        <v>1536</v>
      </c>
      <c r="AF2" s="13" t="s">
        <v>457</v>
      </c>
      <c r="AG2" s="14" t="s">
        <v>450</v>
      </c>
      <c r="AH2" s="13" t="s">
        <v>514</v>
      </c>
      <c r="AI2" s="13" t="s">
        <v>838</v>
      </c>
      <c r="AJ2" s="14" t="s">
        <v>144</v>
      </c>
      <c r="AK2" s="14" t="s">
        <v>145</v>
      </c>
      <c r="AL2" s="14" t="s">
        <v>166</v>
      </c>
      <c r="AM2" s="15" t="s">
        <v>1069</v>
      </c>
      <c r="AN2" s="15" t="s">
        <v>146</v>
      </c>
      <c r="AO2" s="15" t="s">
        <v>1537</v>
      </c>
      <c r="AP2" s="15" t="s">
        <v>1538</v>
      </c>
      <c r="AQ2" s="15" t="s">
        <v>147</v>
      </c>
      <c r="AR2" s="16" t="s">
        <v>1070</v>
      </c>
      <c r="AS2" s="15" t="s">
        <v>1071</v>
      </c>
      <c r="AT2" s="15" t="s">
        <v>841</v>
      </c>
      <c r="AU2" s="15" t="s">
        <v>850</v>
      </c>
      <c r="AV2" s="15" t="s">
        <v>859</v>
      </c>
      <c r="AW2" s="15" t="s">
        <v>860</v>
      </c>
      <c r="AX2" s="15" t="s">
        <v>855</v>
      </c>
      <c r="AY2" s="15" t="s">
        <v>856</v>
      </c>
      <c r="AZ2" s="14" t="s">
        <v>148</v>
      </c>
      <c r="BA2" s="15" t="s">
        <v>487</v>
      </c>
      <c r="BB2" s="17" t="s">
        <v>153</v>
      </c>
      <c r="BC2" s="17" t="s">
        <v>929</v>
      </c>
      <c r="BD2" s="15" t="s">
        <v>310</v>
      </c>
      <c r="BE2" s="15" t="s">
        <v>150</v>
      </c>
      <c r="BF2" s="15" t="s">
        <v>1152</v>
      </c>
      <c r="BG2" s="15" t="s">
        <v>1148</v>
      </c>
      <c r="BH2" s="15" t="s">
        <v>1007</v>
      </c>
      <c r="BI2" s="15" t="s">
        <v>1008</v>
      </c>
      <c r="BJ2" s="15" t="s">
        <v>1009</v>
      </c>
      <c r="BK2" s="15" t="s">
        <v>151</v>
      </c>
      <c r="BL2" s="15" t="s">
        <v>152</v>
      </c>
      <c r="BM2" s="15" t="s">
        <v>152</v>
      </c>
      <c r="BN2" s="17" t="s">
        <v>149</v>
      </c>
      <c r="BO2" s="15" t="s">
        <v>1072</v>
      </c>
      <c r="BP2" s="15" t="s">
        <v>1098</v>
      </c>
      <c r="BQ2" s="15" t="s">
        <v>1097</v>
      </c>
      <c r="BR2" s="15" t="s">
        <v>747</v>
      </c>
      <c r="BS2" s="15" t="s">
        <v>654</v>
      </c>
      <c r="BT2" s="15" t="s">
        <v>651</v>
      </c>
      <c r="BU2" s="15" t="s">
        <v>309</v>
      </c>
      <c r="BV2" s="17" t="s">
        <v>655</v>
      </c>
    </row>
    <row r="3" spans="1:74" s="27" customFormat="1" ht="16" customHeight="1" x14ac:dyDescent="0.2">
      <c r="A3" s="19" t="s">
        <v>0</v>
      </c>
      <c r="B3" s="19" t="s">
        <v>1</v>
      </c>
      <c r="C3" s="19" t="s">
        <v>25</v>
      </c>
      <c r="D3" s="19" t="s">
        <v>2</v>
      </c>
      <c r="E3" s="19" t="s">
        <v>3</v>
      </c>
      <c r="F3" s="19" t="s">
        <v>4</v>
      </c>
      <c r="G3" s="19" t="s">
        <v>173</v>
      </c>
      <c r="H3" s="19" t="s">
        <v>5</v>
      </c>
      <c r="I3" s="19" t="s">
        <v>6</v>
      </c>
      <c r="J3" s="20" t="s">
        <v>438</v>
      </c>
      <c r="K3" s="19" t="s">
        <v>636</v>
      </c>
      <c r="L3" s="19" t="s">
        <v>1573</v>
      </c>
      <c r="M3" s="19" t="s">
        <v>637</v>
      </c>
      <c r="N3" s="19" t="s">
        <v>1073</v>
      </c>
      <c r="O3" s="19" t="s">
        <v>1074</v>
      </c>
      <c r="P3" s="21" t="s">
        <v>734</v>
      </c>
      <c r="Q3" s="20" t="s">
        <v>699</v>
      </c>
      <c r="R3" s="20" t="s">
        <v>700</v>
      </c>
      <c r="S3" s="22" t="s">
        <v>701</v>
      </c>
      <c r="T3" s="22" t="s">
        <v>702</v>
      </c>
      <c r="U3" s="23" t="s">
        <v>692</v>
      </c>
      <c r="V3" s="23" t="s">
        <v>1551</v>
      </c>
      <c r="W3" s="23" t="s">
        <v>1523</v>
      </c>
      <c r="X3" s="20" t="s">
        <v>436</v>
      </c>
      <c r="Y3" s="63" t="s">
        <v>1516</v>
      </c>
      <c r="Z3" s="63" t="s">
        <v>1557</v>
      </c>
      <c r="AA3" s="63" t="s">
        <v>1560</v>
      </c>
      <c r="AB3" s="63" t="s">
        <v>1563</v>
      </c>
      <c r="AC3" s="63" t="s">
        <v>1566</v>
      </c>
      <c r="AD3" s="24" t="s">
        <v>284</v>
      </c>
      <c r="AE3" s="24" t="s">
        <v>509</v>
      </c>
      <c r="AF3" s="24" t="s">
        <v>510</v>
      </c>
      <c r="AG3" s="24" t="s">
        <v>511</v>
      </c>
      <c r="AH3" s="24" t="s">
        <v>512</v>
      </c>
      <c r="AI3" s="24" t="s">
        <v>837</v>
      </c>
      <c r="AJ3" s="25" t="s">
        <v>7</v>
      </c>
      <c r="AK3" s="25" t="s">
        <v>8</v>
      </c>
      <c r="AL3" s="25" t="s">
        <v>9</v>
      </c>
      <c r="AM3" s="25" t="s">
        <v>10</v>
      </c>
      <c r="AN3" s="25" t="s">
        <v>11</v>
      </c>
      <c r="AO3" s="26" t="s">
        <v>12</v>
      </c>
      <c r="AP3" s="26" t="s">
        <v>843</v>
      </c>
      <c r="AQ3" s="25" t="s">
        <v>13</v>
      </c>
      <c r="AR3" s="25" t="s">
        <v>14</v>
      </c>
      <c r="AS3" s="25" t="s">
        <v>15</v>
      </c>
      <c r="AT3" s="25" t="s">
        <v>842</v>
      </c>
      <c r="AU3" s="25" t="s">
        <v>849</v>
      </c>
      <c r="AV3" s="25" t="s">
        <v>857</v>
      </c>
      <c r="AW3" s="25" t="s">
        <v>858</v>
      </c>
      <c r="AX3" s="25" t="s">
        <v>851</v>
      </c>
      <c r="AY3" s="25" t="s">
        <v>852</v>
      </c>
      <c r="AZ3" s="25" t="s">
        <v>16</v>
      </c>
      <c r="BA3" s="25" t="s">
        <v>17</v>
      </c>
      <c r="BB3" s="26" t="s">
        <v>24</v>
      </c>
      <c r="BC3" s="26" t="s">
        <v>928</v>
      </c>
      <c r="BD3" s="25" t="s">
        <v>20</v>
      </c>
      <c r="BE3" s="25" t="s">
        <v>18</v>
      </c>
      <c r="BF3" s="25" t="s">
        <v>1149</v>
      </c>
      <c r="BG3" s="25" t="s">
        <v>1150</v>
      </c>
      <c r="BH3" s="25" t="s">
        <v>1003</v>
      </c>
      <c r="BI3" s="25" t="s">
        <v>1004</v>
      </c>
      <c r="BJ3" s="25" t="s">
        <v>1005</v>
      </c>
      <c r="BK3" s="25" t="s">
        <v>21</v>
      </c>
      <c r="BL3" s="25" t="s">
        <v>22</v>
      </c>
      <c r="BM3" s="25" t="s">
        <v>1344</v>
      </c>
      <c r="BN3" s="26" t="s">
        <v>19</v>
      </c>
      <c r="BO3" s="25" t="s">
        <v>23</v>
      </c>
      <c r="BP3" s="25" t="s">
        <v>1099</v>
      </c>
      <c r="BQ3" s="25" t="s">
        <v>1096</v>
      </c>
      <c r="BR3" s="25" t="s">
        <v>745</v>
      </c>
      <c r="BS3" s="25" t="s">
        <v>369</v>
      </c>
      <c r="BT3" s="25" t="s">
        <v>307</v>
      </c>
      <c r="BU3" s="25" t="s">
        <v>308</v>
      </c>
      <c r="BV3" s="26" t="s">
        <v>335</v>
      </c>
    </row>
    <row r="4" spans="1:74" s="34" customFormat="1" ht="16" customHeight="1" x14ac:dyDescent="0.2">
      <c r="A4" s="33">
        <v>1000</v>
      </c>
      <c r="B4" s="28" t="s">
        <v>26</v>
      </c>
      <c r="C4" s="28" t="s">
        <v>39</v>
      </c>
      <c r="D4" s="28" t="s">
        <v>27</v>
      </c>
      <c r="E4" s="34" t="s">
        <v>444</v>
      </c>
      <c r="F4" s="34" t="str">
        <f>IF(ISBLANK(Table2[[#This Row],[unique_id]]), "", PROPER(SUBSTITUTE(Table2[[#This Row],[unique_id]], "_", " ")))</f>
        <v>Roof Temperature</v>
      </c>
      <c r="G4" s="28" t="s">
        <v>38</v>
      </c>
      <c r="H4" s="28" t="s">
        <v>78</v>
      </c>
      <c r="I4" s="28" t="s">
        <v>30</v>
      </c>
      <c r="J4" s="28"/>
      <c r="K4" s="34" t="s">
        <v>285</v>
      </c>
      <c r="M4" s="28"/>
      <c r="N4" s="28"/>
      <c r="O4" s="28"/>
      <c r="P4" s="29"/>
      <c r="Q4" s="28"/>
      <c r="R4" s="28"/>
      <c r="S4" s="28"/>
      <c r="T4" s="28"/>
      <c r="U4" s="35"/>
      <c r="V4" s="35"/>
      <c r="W4" s="35"/>
      <c r="X4" s="28"/>
      <c r="Y4" s="28"/>
      <c r="Z4" s="28"/>
      <c r="AA4" s="28"/>
      <c r="AB4" s="28"/>
      <c r="AC4" s="28"/>
      <c r="AD4" s="29" t="s">
        <v>286</v>
      </c>
      <c r="AE4" s="29"/>
      <c r="AF4" s="29"/>
      <c r="AG4" s="29"/>
      <c r="AH4" s="29"/>
      <c r="AI4" s="29"/>
      <c r="AJ4" s="28" t="s">
        <v>31</v>
      </c>
      <c r="AK4" s="28" t="s">
        <v>79</v>
      </c>
      <c r="AL4" s="28" t="s">
        <v>80</v>
      </c>
      <c r="AM4" s="28" t="s">
        <v>287</v>
      </c>
      <c r="AN4" s="28">
        <v>300</v>
      </c>
      <c r="AO4" s="29" t="s">
        <v>34</v>
      </c>
      <c r="AP4" s="29"/>
      <c r="AQ4" s="28" t="s">
        <v>82</v>
      </c>
      <c r="AR4" s="28" t="str">
        <f>IF(ISBLANK(Table2[[#This Row],[index]]),  "", _xlfn.CONCAT("homeassistant/sensor/", LOWER(Table2[[#This Row],[device_via_device]]), "/", Table2[[#This Row],[unique_id]], "/config"))</f>
        <v>homeassistant/sensor/weewx/roof_temperature/config</v>
      </c>
      <c r="AS4" s="28" t="str">
        <f>IF(ISBLANK(Table2[[#This Row],[index]]),  "", _xlfn.CONCAT(LOWER(Table2[[#This Row],[device_via_device]]), "/", Table2[[#This Row],[unique_id]]))</f>
        <v>weewx/roof_temperature</v>
      </c>
      <c r="AT4" s="28"/>
      <c r="AU4" s="28"/>
      <c r="AV4" s="28"/>
      <c r="AW4" s="28"/>
      <c r="AX4" s="28"/>
      <c r="AY4" s="28"/>
      <c r="AZ4" s="28" t="s">
        <v>1123</v>
      </c>
      <c r="BA4" s="28">
        <v>1</v>
      </c>
      <c r="BB4" s="30"/>
      <c r="BC4" s="28"/>
      <c r="BD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Temperature</v>
      </c>
      <c r="BG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" s="28"/>
      <c r="BI4" s="28" t="str">
        <f>IF(ISBLANK(Table2[[#This Row],[device_model]]), "", Table2[[#This Row],[device_suggested_area]])</f>
        <v>Roof</v>
      </c>
      <c r="BJ4" s="28" t="s">
        <v>393</v>
      </c>
      <c r="BK4" s="28" t="s">
        <v>36</v>
      </c>
      <c r="BL4" s="28" t="s">
        <v>37</v>
      </c>
      <c r="BM4" s="28"/>
      <c r="BN4" s="28" t="s">
        <v>1010</v>
      </c>
      <c r="BO4" s="28" t="s">
        <v>38</v>
      </c>
      <c r="BP4" s="28"/>
      <c r="BQ4" s="28"/>
      <c r="BR4" s="28"/>
      <c r="BS4" s="28"/>
      <c r="BT4" s="28"/>
      <c r="BU4" s="28"/>
      <c r="BV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" spans="1:74" ht="16" customHeight="1" x14ac:dyDescent="0.2">
      <c r="A5" s="28">
        <v>1001</v>
      </c>
      <c r="B5" s="28" t="s">
        <v>26</v>
      </c>
      <c r="C5" s="28" t="s">
        <v>39</v>
      </c>
      <c r="D5" s="28" t="s">
        <v>27</v>
      </c>
      <c r="E5" s="34" t="s">
        <v>285</v>
      </c>
      <c r="F5" s="34" t="str">
        <f>IF(ISBLANK(Table2[[#This Row],[unique_id]]), "", PROPER(SUBSTITUTE(Table2[[#This Row],[unique_id]], "_", " ")))</f>
        <v>Compensation Sensor Roof Temperature</v>
      </c>
      <c r="G5" s="28" t="s">
        <v>38</v>
      </c>
      <c r="H5" s="28" t="s">
        <v>78</v>
      </c>
      <c r="I5" s="28" t="s">
        <v>30</v>
      </c>
      <c r="J5" s="28" t="s">
        <v>78</v>
      </c>
      <c r="K5" s="34"/>
      <c r="L5" s="34"/>
      <c r="N5" s="28" t="s">
        <v>81</v>
      </c>
      <c r="P5" s="29"/>
      <c r="Q5" s="28"/>
      <c r="U5" s="35"/>
      <c r="V5" s="35"/>
      <c r="W5" s="35" t="s">
        <v>1525</v>
      </c>
      <c r="X5" s="28" t="s">
        <v>1527</v>
      </c>
      <c r="Y5" s="28" t="s">
        <v>1518</v>
      </c>
      <c r="AD5" s="29"/>
      <c r="AE5" s="29"/>
      <c r="AF5" s="29"/>
      <c r="AG5" s="29"/>
      <c r="AJ5" s="28" t="s">
        <v>31</v>
      </c>
      <c r="AK5" s="28" t="s">
        <v>79</v>
      </c>
      <c r="AL5" s="28" t="s">
        <v>80</v>
      </c>
      <c r="AM5" s="28" t="s">
        <v>287</v>
      </c>
      <c r="AO5" s="29"/>
      <c r="AP5" s="29"/>
      <c r="BA5" s="28"/>
      <c r="BB5" s="30"/>
      <c r="BD5" s="28"/>
      <c r="BF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5" s="28" t="s">
        <v>38</v>
      </c>
      <c r="BT5" s="28"/>
    </row>
    <row r="6" spans="1:74" ht="16" customHeight="1" x14ac:dyDescent="0.2">
      <c r="A6" s="33">
        <v>1002</v>
      </c>
      <c r="B6" s="28" t="s">
        <v>26</v>
      </c>
      <c r="C6" s="28" t="s">
        <v>119</v>
      </c>
      <c r="D6" s="28" t="s">
        <v>27</v>
      </c>
      <c r="E6" s="28" t="s">
        <v>556</v>
      </c>
      <c r="F6" s="34" t="str">
        <f>IF(ISBLANK(Table2[[#This Row],[unique_id]]), "", PROPER(SUBSTITUTE(Table2[[#This Row],[unique_id]], "_", " ")))</f>
        <v>Ada Temperature</v>
      </c>
      <c r="G6" s="28" t="s">
        <v>121</v>
      </c>
      <c r="H6" s="28" t="s">
        <v>78</v>
      </c>
      <c r="I6" s="28" t="s">
        <v>30</v>
      </c>
      <c r="K6" s="28" t="s">
        <v>557</v>
      </c>
      <c r="P6" s="29"/>
      <c r="Q6" s="28"/>
      <c r="U6" s="35"/>
      <c r="V6" s="35"/>
      <c r="W6" s="35"/>
      <c r="X6" s="28"/>
      <c r="AD6" s="29" t="s">
        <v>1111</v>
      </c>
      <c r="AE6" s="29"/>
      <c r="AF6" s="29"/>
      <c r="AG6" s="29"/>
      <c r="AM6" s="28" t="s">
        <v>287</v>
      </c>
      <c r="AO6" s="29"/>
      <c r="AP6" s="29"/>
      <c r="BA6" s="28"/>
      <c r="BB6" s="30"/>
      <c r="BD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BE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F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" s="28" t="str">
        <f>IF(ISBLANK(Table2[[#This Row],[device_model]]), "", Table2[[#This Row],[device_suggested_area]])</f>
        <v>Ada</v>
      </c>
      <c r="BJ6" s="28" t="s">
        <v>939</v>
      </c>
      <c r="BK6" s="28" t="s">
        <v>937</v>
      </c>
      <c r="BL6" s="28" t="s">
        <v>119</v>
      </c>
      <c r="BN6" s="28" t="s">
        <v>394</v>
      </c>
      <c r="BO6" s="28" t="s">
        <v>121</v>
      </c>
      <c r="BS6" s="36" t="s">
        <v>1185</v>
      </c>
      <c r="BT6" s="35" t="s">
        <v>401</v>
      </c>
      <c r="BV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"70:ee:50:25:7f:50"]]</v>
      </c>
    </row>
    <row r="7" spans="1:74" ht="16" customHeight="1" x14ac:dyDescent="0.2">
      <c r="A7" s="33">
        <v>1003</v>
      </c>
      <c r="B7" s="28" t="s">
        <v>26</v>
      </c>
      <c r="C7" s="28" t="s">
        <v>119</v>
      </c>
      <c r="D7" s="28" t="s">
        <v>27</v>
      </c>
      <c r="E7" s="28" t="s">
        <v>557</v>
      </c>
      <c r="F7" s="34" t="str">
        <f>IF(ISBLANK(Table2[[#This Row],[unique_id]]), "", PROPER(SUBSTITUTE(Table2[[#This Row],[unique_id]], "_", " ")))</f>
        <v>Compensation Sensor Ada Temperature</v>
      </c>
      <c r="G7" s="28" t="s">
        <v>121</v>
      </c>
      <c r="H7" s="28" t="s">
        <v>78</v>
      </c>
      <c r="I7" s="28" t="s">
        <v>30</v>
      </c>
      <c r="J7" s="28" t="s">
        <v>677</v>
      </c>
      <c r="N7" s="28" t="s">
        <v>81</v>
      </c>
      <c r="P7" s="29"/>
      <c r="Q7" s="28"/>
      <c r="U7" s="35"/>
      <c r="V7" s="35"/>
      <c r="W7" s="35"/>
      <c r="X7" s="28" t="s">
        <v>1527</v>
      </c>
      <c r="Y7" s="28" t="s">
        <v>1518</v>
      </c>
      <c r="AD7" s="29"/>
      <c r="AE7" s="29"/>
      <c r="AF7" s="29"/>
      <c r="AG7" s="29"/>
      <c r="AM7" s="28" t="s">
        <v>287</v>
      </c>
      <c r="AO7" s="29"/>
      <c r="AP7" s="29"/>
      <c r="BA7" s="28"/>
      <c r="BB7" s="30"/>
      <c r="BD7" s="28"/>
      <c r="BF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7" s="28" t="s">
        <v>121</v>
      </c>
      <c r="BT7" s="35"/>
    </row>
    <row r="8" spans="1:74" ht="16" customHeight="1" x14ac:dyDescent="0.2">
      <c r="A8" s="28">
        <v>1004</v>
      </c>
      <c r="B8" s="28" t="s">
        <v>26</v>
      </c>
      <c r="C8" s="28" t="s">
        <v>119</v>
      </c>
      <c r="D8" s="28" t="s">
        <v>27</v>
      </c>
      <c r="E8" s="28" t="s">
        <v>558</v>
      </c>
      <c r="F8" s="34" t="str">
        <f>IF(ISBLANK(Table2[[#This Row],[unique_id]]), "", PROPER(SUBSTITUTE(Table2[[#This Row],[unique_id]], "_", " ")))</f>
        <v>Edwin Temperature</v>
      </c>
      <c r="G8" s="28" t="s">
        <v>118</v>
      </c>
      <c r="H8" s="28" t="s">
        <v>78</v>
      </c>
      <c r="I8" s="28" t="s">
        <v>30</v>
      </c>
      <c r="K8" s="28" t="s">
        <v>559</v>
      </c>
      <c r="P8" s="29"/>
      <c r="Q8" s="28"/>
      <c r="U8" s="35"/>
      <c r="V8" s="35"/>
      <c r="W8" s="35"/>
      <c r="X8" s="28"/>
      <c r="AD8" s="29" t="s">
        <v>1117</v>
      </c>
      <c r="AE8" s="29"/>
      <c r="AF8" s="29"/>
      <c r="AG8" s="29"/>
      <c r="AM8" s="28" t="s">
        <v>287</v>
      </c>
      <c r="AO8" s="29"/>
      <c r="AP8" s="29"/>
      <c r="BA8" s="28"/>
      <c r="BB8" s="30"/>
      <c r="BD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BE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F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" s="28" t="str">
        <f>IF(ISBLANK(Table2[[#This Row],[device_model]]), "", Table2[[#This Row],[device_suggested_area]])</f>
        <v>Edwin</v>
      </c>
      <c r="BJ8" s="28" t="s">
        <v>939</v>
      </c>
      <c r="BK8" s="28" t="s">
        <v>937</v>
      </c>
      <c r="BL8" s="28" t="s">
        <v>119</v>
      </c>
      <c r="BN8" s="28" t="s">
        <v>394</v>
      </c>
      <c r="BO8" s="28" t="s">
        <v>118</v>
      </c>
      <c r="BS8" s="36" t="s">
        <v>1185</v>
      </c>
      <c r="BT8" s="28" t="s">
        <v>400</v>
      </c>
      <c r="BV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"70:ee:50:25:93:90"]]</v>
      </c>
    </row>
    <row r="9" spans="1:74" ht="16" customHeight="1" x14ac:dyDescent="0.2">
      <c r="A9" s="33">
        <v>1005</v>
      </c>
      <c r="B9" s="28" t="s">
        <v>26</v>
      </c>
      <c r="C9" s="28" t="s">
        <v>119</v>
      </c>
      <c r="D9" s="28" t="s">
        <v>27</v>
      </c>
      <c r="E9" s="28" t="s">
        <v>559</v>
      </c>
      <c r="F9" s="34" t="str">
        <f>IF(ISBLANK(Table2[[#This Row],[unique_id]]), "", PROPER(SUBSTITUTE(Table2[[#This Row],[unique_id]], "_", " ")))</f>
        <v>Compensation Sensor Edwin Temperature</v>
      </c>
      <c r="G9" s="28" t="s">
        <v>118</v>
      </c>
      <c r="H9" s="28" t="s">
        <v>78</v>
      </c>
      <c r="I9" s="28" t="s">
        <v>30</v>
      </c>
      <c r="J9" s="28" t="s">
        <v>677</v>
      </c>
      <c r="N9" s="28" t="s">
        <v>81</v>
      </c>
      <c r="P9" s="29"/>
      <c r="Q9" s="28"/>
      <c r="U9" s="35"/>
      <c r="V9" s="35"/>
      <c r="W9" s="35"/>
      <c r="X9" s="28" t="s">
        <v>1527</v>
      </c>
      <c r="Y9" s="28" t="s">
        <v>1518</v>
      </c>
      <c r="AD9" s="29"/>
      <c r="AE9" s="29"/>
      <c r="AF9" s="29"/>
      <c r="AG9" s="29"/>
      <c r="AM9" s="28" t="s">
        <v>287</v>
      </c>
      <c r="AO9" s="29"/>
      <c r="AP9" s="29"/>
      <c r="BA9" s="28"/>
      <c r="BB9" s="30"/>
      <c r="BD9" s="28"/>
      <c r="BF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9" s="28" t="s">
        <v>118</v>
      </c>
      <c r="BT9" s="28"/>
    </row>
    <row r="10" spans="1:74" ht="16" customHeight="1" x14ac:dyDescent="0.2">
      <c r="A10" s="33">
        <v>1006</v>
      </c>
      <c r="B10" s="28" t="s">
        <v>26</v>
      </c>
      <c r="C10" s="28" t="s">
        <v>119</v>
      </c>
      <c r="D10" s="28" t="s">
        <v>27</v>
      </c>
      <c r="E10" s="28" t="s">
        <v>1259</v>
      </c>
      <c r="F10" s="34" t="str">
        <f>IF(ISBLANK(Table2[[#This Row],[unique_id]]), "", PROPER(SUBSTITUTE(Table2[[#This Row],[unique_id]], "_", " ")))</f>
        <v>Office Lounge Temperature</v>
      </c>
      <c r="G10" s="28" t="s">
        <v>183</v>
      </c>
      <c r="H10" s="28" t="s">
        <v>78</v>
      </c>
      <c r="I10" s="28" t="s">
        <v>30</v>
      </c>
      <c r="K10" s="28" t="s">
        <v>1260</v>
      </c>
      <c r="P10" s="29"/>
      <c r="Q10" s="28"/>
      <c r="U10" s="35"/>
      <c r="V10" s="35"/>
      <c r="W10" s="35"/>
      <c r="X10" s="28"/>
      <c r="AD10" s="29" t="s">
        <v>1113</v>
      </c>
      <c r="AE10" s="29"/>
      <c r="AF10" s="29"/>
      <c r="AG10" s="29"/>
      <c r="AM10" s="28" t="s">
        <v>287</v>
      </c>
      <c r="AO10" s="29"/>
      <c r="AP10" s="29"/>
      <c r="BA10" s="28"/>
      <c r="BB10" s="30"/>
      <c r="BD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BE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F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" s="28" t="str">
        <f>IF(ISBLANK(Table2[[#This Row],[device_model]]), "", Table2[[#This Row],[device_suggested_area]])</f>
        <v>Lounge</v>
      </c>
      <c r="BJ10" s="28" t="s">
        <v>938</v>
      </c>
      <c r="BK10" s="28" t="s">
        <v>940</v>
      </c>
      <c r="BL10" s="28" t="s">
        <v>119</v>
      </c>
      <c r="BN10" s="28" t="s">
        <v>395</v>
      </c>
      <c r="BO10" s="28" t="s">
        <v>183</v>
      </c>
      <c r="BT10" s="28"/>
      <c r="BV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" spans="1:74" ht="16" customHeight="1" x14ac:dyDescent="0.2">
      <c r="A11" s="33">
        <v>1007</v>
      </c>
      <c r="B11" s="28" t="s">
        <v>26</v>
      </c>
      <c r="C11" s="28" t="s">
        <v>119</v>
      </c>
      <c r="D11" s="28" t="s">
        <v>27</v>
      </c>
      <c r="E11" s="28" t="s">
        <v>1260</v>
      </c>
      <c r="F11" s="34" t="str">
        <f>IF(ISBLANK(Table2[[#This Row],[unique_id]]), "", PROPER(SUBSTITUTE(Table2[[#This Row],[unique_id]], "_", " ")))</f>
        <v>Compensation Sensor Office Lounge Temperature</v>
      </c>
      <c r="G11" s="28" t="s">
        <v>183</v>
      </c>
      <c r="H11" s="28" t="s">
        <v>78</v>
      </c>
      <c r="I11" s="28" t="s">
        <v>30</v>
      </c>
      <c r="J11" s="28" t="s">
        <v>78</v>
      </c>
      <c r="N11" s="28" t="s">
        <v>81</v>
      </c>
      <c r="P11" s="29"/>
      <c r="Q11" s="28"/>
      <c r="U11" s="35"/>
      <c r="V11" s="35"/>
      <c r="W11" s="35"/>
      <c r="X11" s="28" t="s">
        <v>1527</v>
      </c>
      <c r="Y11" s="28" t="s">
        <v>1518</v>
      </c>
      <c r="AD11" s="29"/>
      <c r="AE11" s="29"/>
      <c r="AF11" s="29"/>
      <c r="AG11" s="29"/>
      <c r="AM11" s="28" t="s">
        <v>287</v>
      </c>
      <c r="AO11" s="29"/>
      <c r="AP11" s="29"/>
      <c r="BA11" s="28"/>
      <c r="BB11" s="30"/>
      <c r="BD11" s="28"/>
      <c r="BF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11" s="28" t="s">
        <v>183</v>
      </c>
      <c r="BT11" s="28"/>
    </row>
    <row r="12" spans="1:74" ht="16" customHeight="1" x14ac:dyDescent="0.2">
      <c r="A12" s="33">
        <v>1008</v>
      </c>
      <c r="B12" s="28" t="s">
        <v>26</v>
      </c>
      <c r="C12" s="28" t="s">
        <v>119</v>
      </c>
      <c r="D12" s="28" t="s">
        <v>27</v>
      </c>
      <c r="E12" s="28" t="s">
        <v>560</v>
      </c>
      <c r="F12" s="34" t="str">
        <f>IF(ISBLANK(Table2[[#This Row],[unique_id]]), "", PROPER(SUBSTITUTE(Table2[[#This Row],[unique_id]], "_", " ")))</f>
        <v>Parents Temperature</v>
      </c>
      <c r="G12" s="28" t="s">
        <v>181</v>
      </c>
      <c r="H12" s="28" t="s">
        <v>78</v>
      </c>
      <c r="I12" s="28" t="s">
        <v>30</v>
      </c>
      <c r="K12" s="28" t="s">
        <v>561</v>
      </c>
      <c r="P12" s="29"/>
      <c r="Q12" s="28"/>
      <c r="U12" s="35"/>
      <c r="V12" s="35"/>
      <c r="W12" s="35"/>
      <c r="X12" s="28"/>
      <c r="AD12" s="29" t="s">
        <v>1120</v>
      </c>
      <c r="AE12" s="29"/>
      <c r="AF12" s="29"/>
      <c r="AG12" s="29"/>
      <c r="AM12" s="28" t="s">
        <v>287</v>
      </c>
      <c r="AO12" s="29"/>
      <c r="AP12" s="29"/>
      <c r="BA12" s="28"/>
      <c r="BB12" s="30"/>
      <c r="BD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BE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F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2" s="28" t="str">
        <f>IF(ISBLANK(Table2[[#This Row],[device_model]]), "", Table2[[#This Row],[device_suggested_area]])</f>
        <v>Parents</v>
      </c>
      <c r="BJ12" s="28" t="s">
        <v>939</v>
      </c>
      <c r="BK12" s="28" t="s">
        <v>937</v>
      </c>
      <c r="BL12" s="28" t="s">
        <v>119</v>
      </c>
      <c r="BN12" s="28" t="s">
        <v>394</v>
      </c>
      <c r="BO12" s="28" t="s">
        <v>181</v>
      </c>
      <c r="BS12" s="36" t="s">
        <v>1185</v>
      </c>
      <c r="BT12" s="28" t="s">
        <v>396</v>
      </c>
      <c r="BV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"70:ee:50:25:9c:68"]]</v>
      </c>
    </row>
    <row r="13" spans="1:74" ht="16" customHeight="1" x14ac:dyDescent="0.2">
      <c r="A13" s="33">
        <v>1009</v>
      </c>
      <c r="B13" s="28" t="s">
        <v>26</v>
      </c>
      <c r="C13" s="28" t="s">
        <v>119</v>
      </c>
      <c r="D13" s="28" t="s">
        <v>27</v>
      </c>
      <c r="E13" s="28" t="s">
        <v>561</v>
      </c>
      <c r="F13" s="34" t="str">
        <f>IF(ISBLANK(Table2[[#This Row],[unique_id]]), "", PROPER(SUBSTITUTE(Table2[[#This Row],[unique_id]], "_", " ")))</f>
        <v>Compensation Sensor Parents Temperature</v>
      </c>
      <c r="G13" s="28" t="s">
        <v>181</v>
      </c>
      <c r="H13" s="28" t="s">
        <v>78</v>
      </c>
      <c r="I13" s="28" t="s">
        <v>30</v>
      </c>
      <c r="J13" s="28" t="s">
        <v>78</v>
      </c>
      <c r="N13" s="28" t="s">
        <v>127</v>
      </c>
      <c r="P13" s="29"/>
      <c r="Q13" s="28"/>
      <c r="U13" s="35"/>
      <c r="V13" s="35"/>
      <c r="W13" s="35"/>
      <c r="X13" s="28" t="s">
        <v>1527</v>
      </c>
      <c r="Y13" s="28" t="s">
        <v>1518</v>
      </c>
      <c r="AD13" s="29"/>
      <c r="AE13" s="29"/>
      <c r="AF13" s="29"/>
      <c r="AG13" s="29"/>
      <c r="AM13" s="28" t="s">
        <v>287</v>
      </c>
      <c r="AO13" s="29"/>
      <c r="AP13" s="29"/>
      <c r="BA13" s="28"/>
      <c r="BB13" s="30"/>
      <c r="BD13" s="28"/>
      <c r="BF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13" s="28" t="s">
        <v>181</v>
      </c>
      <c r="BT13" s="28"/>
    </row>
    <row r="14" spans="1:74" ht="16" customHeight="1" x14ac:dyDescent="0.2">
      <c r="A14" s="28">
        <v>1010</v>
      </c>
      <c r="B14" s="28" t="s">
        <v>26</v>
      </c>
      <c r="C14" s="28" t="s">
        <v>119</v>
      </c>
      <c r="D14" s="28" t="s">
        <v>27</v>
      </c>
      <c r="E14" s="28" t="s">
        <v>1170</v>
      </c>
      <c r="F14" s="34" t="str">
        <f>IF(ISBLANK(Table2[[#This Row],[unique_id]]), "", PROPER(SUBSTITUTE(Table2[[#This Row],[unique_id]], "_", " ")))</f>
        <v>Office Temperature</v>
      </c>
      <c r="G14" s="28" t="s">
        <v>201</v>
      </c>
      <c r="H14" s="28" t="s">
        <v>78</v>
      </c>
      <c r="I14" s="28" t="s">
        <v>30</v>
      </c>
      <c r="K14" s="28" t="s">
        <v>1171</v>
      </c>
      <c r="P14" s="29"/>
      <c r="Q14" s="28"/>
      <c r="U14" s="35"/>
      <c r="V14" s="35"/>
      <c r="W14" s="35"/>
      <c r="X14" s="28"/>
      <c r="AD14" s="29" t="s">
        <v>1115</v>
      </c>
      <c r="AE14" s="29"/>
      <c r="AF14" s="29"/>
      <c r="AG14" s="29"/>
      <c r="AM14" s="28" t="s">
        <v>287</v>
      </c>
      <c r="AO14" s="29"/>
      <c r="AP14" s="29"/>
      <c r="BA14" s="28"/>
      <c r="BB14" s="30"/>
      <c r="BD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netatmo-office-base-module</v>
      </c>
      <c r="BE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Base Module</v>
      </c>
      <c r="BF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4" s="28" t="str">
        <f>IF(ISBLANK(Table2[[#This Row],[device_model]]), "", Table2[[#This Row],[device_suggested_area]])</f>
        <v>Office</v>
      </c>
      <c r="BJ14" s="28" t="s">
        <v>939</v>
      </c>
      <c r="BK14" s="28" t="s">
        <v>940</v>
      </c>
      <c r="BL14" s="28" t="s">
        <v>119</v>
      </c>
      <c r="BN14" s="28" t="s">
        <v>395</v>
      </c>
      <c r="BO14" s="28" t="s">
        <v>201</v>
      </c>
      <c r="BS14" s="36" t="s">
        <v>1185</v>
      </c>
      <c r="BT14" s="28" t="s">
        <v>397</v>
      </c>
      <c r="BV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"70:ee:50:2b:6a:2c"]]</v>
      </c>
    </row>
    <row r="15" spans="1:74" ht="16" customHeight="1" x14ac:dyDescent="0.2">
      <c r="A15" s="33">
        <v>1011</v>
      </c>
      <c r="B15" s="28" t="s">
        <v>26</v>
      </c>
      <c r="C15" s="28" t="s">
        <v>119</v>
      </c>
      <c r="D15" s="28" t="s">
        <v>27</v>
      </c>
      <c r="E15" s="28" t="s">
        <v>1171</v>
      </c>
      <c r="F15" s="34" t="str">
        <f>IF(ISBLANK(Table2[[#This Row],[unique_id]]), "", PROPER(SUBSTITUTE(Table2[[#This Row],[unique_id]], "_", " ")))</f>
        <v>Compensation Sensor Office Temperature</v>
      </c>
      <c r="G15" s="28" t="s">
        <v>201</v>
      </c>
      <c r="H15" s="28" t="s">
        <v>78</v>
      </c>
      <c r="I15" s="28" t="s">
        <v>30</v>
      </c>
      <c r="J15" s="28" t="s">
        <v>78</v>
      </c>
      <c r="N15" s="28" t="s">
        <v>127</v>
      </c>
      <c r="P15" s="29"/>
      <c r="Q15" s="28"/>
      <c r="U15" s="35"/>
      <c r="V15" s="35"/>
      <c r="W15" s="35"/>
      <c r="X15" s="28" t="s">
        <v>1527</v>
      </c>
      <c r="AD15" s="29"/>
      <c r="AE15" s="29"/>
      <c r="AF15" s="29"/>
      <c r="AG15" s="29"/>
      <c r="AM15" s="28" t="s">
        <v>287</v>
      </c>
      <c r="AO15" s="29"/>
      <c r="AP15" s="29"/>
      <c r="BA15" s="28"/>
      <c r="BB15" s="30"/>
      <c r="BD15" s="28"/>
      <c r="BF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15" s="28" t="s">
        <v>201</v>
      </c>
      <c r="BT15" s="28"/>
    </row>
    <row r="16" spans="1:74" ht="16" customHeight="1" x14ac:dyDescent="0.2">
      <c r="A16" s="33">
        <v>1012</v>
      </c>
      <c r="B16" s="28" t="s">
        <v>26</v>
      </c>
      <c r="C16" s="28" t="s">
        <v>119</v>
      </c>
      <c r="D16" s="28" t="s">
        <v>27</v>
      </c>
      <c r="E16" s="28" t="s">
        <v>1172</v>
      </c>
      <c r="F16" s="34" t="str">
        <f>IF(ISBLANK(Table2[[#This Row],[unique_id]]), "", PROPER(SUBSTITUTE(Table2[[#This Row],[unique_id]], "_", " ")))</f>
        <v>Kitchen Temperature</v>
      </c>
      <c r="G16" s="28" t="s">
        <v>195</v>
      </c>
      <c r="H16" s="28" t="s">
        <v>78</v>
      </c>
      <c r="I16" s="28" t="s">
        <v>30</v>
      </c>
      <c r="K16" s="28" t="s">
        <v>1173</v>
      </c>
      <c r="P16" s="29"/>
      <c r="Q16" s="28"/>
      <c r="U16" s="35"/>
      <c r="V16" s="35"/>
      <c r="W16" s="35"/>
      <c r="X16" s="28"/>
      <c r="AD16" s="29" t="s">
        <v>1112</v>
      </c>
      <c r="AE16" s="29"/>
      <c r="AF16" s="29"/>
      <c r="AG16" s="29"/>
      <c r="AM16" s="28" t="s">
        <v>287</v>
      </c>
      <c r="AO16" s="29"/>
      <c r="AP16" s="29"/>
      <c r="BA16" s="28"/>
      <c r="BB16" s="30"/>
      <c r="BD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netatmo-kitchen-base-module</v>
      </c>
      <c r="BE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Base Module</v>
      </c>
      <c r="BF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6" s="28" t="str">
        <f>IF(ISBLANK(Table2[[#This Row],[device_model]]), "", Table2[[#This Row],[device_suggested_area]])</f>
        <v>Kitchen</v>
      </c>
      <c r="BJ16" s="28" t="s">
        <v>939</v>
      </c>
      <c r="BK16" s="28" t="s">
        <v>940</v>
      </c>
      <c r="BL16" s="28" t="s">
        <v>119</v>
      </c>
      <c r="BN16" s="28" t="s">
        <v>395</v>
      </c>
      <c r="BO16" s="28" t="s">
        <v>195</v>
      </c>
      <c r="BS16" s="28" t="s">
        <v>1185</v>
      </c>
      <c r="BT16" s="28" t="s">
        <v>399</v>
      </c>
      <c r="BV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"70:ee:50:2c:8d:28"]]</v>
      </c>
    </row>
    <row r="17" spans="1:74" ht="16" customHeight="1" x14ac:dyDescent="0.2">
      <c r="A17" s="28">
        <v>1013</v>
      </c>
      <c r="B17" s="28" t="s">
        <v>26</v>
      </c>
      <c r="C17" s="28" t="s">
        <v>119</v>
      </c>
      <c r="D17" s="28" t="s">
        <v>27</v>
      </c>
      <c r="E17" s="28" t="s">
        <v>1173</v>
      </c>
      <c r="F17" s="34" t="str">
        <f>IF(ISBLANK(Table2[[#This Row],[unique_id]]), "", PROPER(SUBSTITUTE(Table2[[#This Row],[unique_id]], "_", " ")))</f>
        <v>Compensation Sensor Kitchen Temperature</v>
      </c>
      <c r="G17" s="28" t="s">
        <v>195</v>
      </c>
      <c r="H17" s="28" t="s">
        <v>78</v>
      </c>
      <c r="I17" s="28" t="s">
        <v>30</v>
      </c>
      <c r="J17" s="28" t="s">
        <v>78</v>
      </c>
      <c r="N17" s="28" t="s">
        <v>127</v>
      </c>
      <c r="P17" s="29"/>
      <c r="Q17" s="28"/>
      <c r="U17" s="35"/>
      <c r="V17" s="35"/>
      <c r="W17" s="35"/>
      <c r="X17" s="28" t="s">
        <v>1527</v>
      </c>
      <c r="Y17" s="28" t="s">
        <v>1518</v>
      </c>
      <c r="AD17" s="29"/>
      <c r="AE17" s="29"/>
      <c r="AF17" s="29"/>
      <c r="AG17" s="29"/>
      <c r="AM17" s="28" t="s">
        <v>287</v>
      </c>
      <c r="AO17" s="29"/>
      <c r="AP17" s="29"/>
      <c r="BA17" s="28"/>
      <c r="BB17" s="30"/>
      <c r="BD17" s="28"/>
      <c r="BF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17" s="28" t="s">
        <v>195</v>
      </c>
      <c r="BT17" s="28"/>
    </row>
    <row r="18" spans="1:74" ht="16" customHeight="1" x14ac:dyDescent="0.2">
      <c r="A18" s="33">
        <v>1014</v>
      </c>
      <c r="B18" s="28" t="s">
        <v>26</v>
      </c>
      <c r="C18" s="28" t="s">
        <v>119</v>
      </c>
      <c r="D18" s="28" t="s">
        <v>27</v>
      </c>
      <c r="E18" s="37" t="s">
        <v>1261</v>
      </c>
      <c r="F18" s="34" t="str">
        <f>IF(ISBLANK(Table2[[#This Row],[unique_id]]), "", PROPER(SUBSTITUTE(Table2[[#This Row],[unique_id]], "_", " ")))</f>
        <v>Office Pantry Temperature</v>
      </c>
      <c r="G18" s="28" t="s">
        <v>200</v>
      </c>
      <c r="H18" s="28" t="s">
        <v>78</v>
      </c>
      <c r="I18" s="28" t="s">
        <v>30</v>
      </c>
      <c r="K18" s="37" t="s">
        <v>1262</v>
      </c>
      <c r="L18" s="37"/>
      <c r="P18" s="29"/>
      <c r="Q18" s="28"/>
      <c r="U18" s="35"/>
      <c r="V18" s="35"/>
      <c r="W18" s="35"/>
      <c r="X18" s="28"/>
      <c r="AD18" s="29" t="s">
        <v>1114</v>
      </c>
      <c r="AE18" s="29"/>
      <c r="AF18" s="29"/>
      <c r="AG18" s="29"/>
      <c r="AM18" s="28" t="s">
        <v>287</v>
      </c>
      <c r="AO18" s="29"/>
      <c r="AP18" s="29"/>
      <c r="BA18" s="28"/>
      <c r="BB18" s="30"/>
      <c r="BD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BE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F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8" s="28" t="str">
        <f>IF(ISBLANK(Table2[[#This Row],[device_model]]), "", Table2[[#This Row],[device_suggested_area]])</f>
        <v>Pantry</v>
      </c>
      <c r="BJ18" s="28" t="s">
        <v>938</v>
      </c>
      <c r="BK18" s="28" t="s">
        <v>940</v>
      </c>
      <c r="BL18" s="28" t="s">
        <v>119</v>
      </c>
      <c r="BN18" s="28" t="s">
        <v>395</v>
      </c>
      <c r="BO18" s="28" t="s">
        <v>200</v>
      </c>
      <c r="BT18" s="28"/>
      <c r="BV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" spans="1:74" ht="16" customHeight="1" x14ac:dyDescent="0.2">
      <c r="A19" s="33">
        <v>1015</v>
      </c>
      <c r="B19" s="28" t="s">
        <v>26</v>
      </c>
      <c r="C19" s="28" t="s">
        <v>119</v>
      </c>
      <c r="D19" s="28" t="s">
        <v>27</v>
      </c>
      <c r="E19" s="37" t="s">
        <v>1262</v>
      </c>
      <c r="F19" s="34" t="str">
        <f>IF(ISBLANK(Table2[[#This Row],[unique_id]]), "", PROPER(SUBSTITUTE(Table2[[#This Row],[unique_id]], "_", " ")))</f>
        <v>Compensation Sensor Office Pantry Temperature</v>
      </c>
      <c r="G19" s="28" t="s">
        <v>200</v>
      </c>
      <c r="H19" s="28" t="s">
        <v>78</v>
      </c>
      <c r="I19" s="28" t="s">
        <v>30</v>
      </c>
      <c r="J19" s="28" t="s">
        <v>78</v>
      </c>
      <c r="N19" s="28" t="s">
        <v>127</v>
      </c>
      <c r="P19" s="29"/>
      <c r="Q19" s="28"/>
      <c r="U19" s="35"/>
      <c r="V19" s="35"/>
      <c r="W19" s="35"/>
      <c r="X19" s="28" t="s">
        <v>1527</v>
      </c>
      <c r="AD19" s="29"/>
      <c r="AE19" s="29"/>
      <c r="AF19" s="29"/>
      <c r="AG19" s="29"/>
      <c r="AM19" s="28" t="s">
        <v>287</v>
      </c>
      <c r="AO19" s="29"/>
      <c r="AP19" s="29"/>
      <c r="BA19" s="28"/>
      <c r="BB19" s="30"/>
      <c r="BD19" s="28"/>
      <c r="BF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19" s="28" t="s">
        <v>200</v>
      </c>
      <c r="BT19" s="28"/>
    </row>
    <row r="20" spans="1:74" ht="16" customHeight="1" x14ac:dyDescent="0.2">
      <c r="A20" s="28">
        <v>1016</v>
      </c>
      <c r="B20" s="28" t="s">
        <v>26</v>
      </c>
      <c r="C20" s="28" t="s">
        <v>119</v>
      </c>
      <c r="D20" s="28" t="s">
        <v>27</v>
      </c>
      <c r="E20" s="37" t="s">
        <v>1263</v>
      </c>
      <c r="F20" s="34" t="str">
        <f>IF(ISBLANK(Table2[[#This Row],[unique_id]]), "", PROPER(SUBSTITUTE(Table2[[#This Row],[unique_id]], "_", " ")))</f>
        <v>Office Dining Temperature</v>
      </c>
      <c r="G20" s="28" t="s">
        <v>182</v>
      </c>
      <c r="H20" s="28" t="s">
        <v>78</v>
      </c>
      <c r="I20" s="28" t="s">
        <v>30</v>
      </c>
      <c r="K20" s="37" t="s">
        <v>1264</v>
      </c>
      <c r="L20" s="37"/>
      <c r="P20" s="29"/>
      <c r="Q20" s="28"/>
      <c r="U20" s="35"/>
      <c r="V20" s="35"/>
      <c r="W20" s="35"/>
      <c r="X20" s="28"/>
      <c r="AD20" s="29" t="s">
        <v>1113</v>
      </c>
      <c r="AE20" s="29"/>
      <c r="AF20" s="29"/>
      <c r="AG20" s="29"/>
      <c r="AM20" s="28" t="s">
        <v>287</v>
      </c>
      <c r="AO20" s="29"/>
      <c r="AP20" s="29"/>
      <c r="BA20" s="28"/>
      <c r="BB20" s="30"/>
      <c r="BD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BE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F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" s="28" t="str">
        <f>IF(ISBLANK(Table2[[#This Row],[device_model]]), "", Table2[[#This Row],[device_suggested_area]])</f>
        <v>Dining</v>
      </c>
      <c r="BJ20" s="28" t="s">
        <v>938</v>
      </c>
      <c r="BK20" s="28" t="s">
        <v>940</v>
      </c>
      <c r="BL20" s="28" t="s">
        <v>119</v>
      </c>
      <c r="BN20" s="28" t="s">
        <v>395</v>
      </c>
      <c r="BO20" s="28" t="s">
        <v>182</v>
      </c>
      <c r="BT20" s="28"/>
      <c r="BV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" spans="1:74" ht="16" customHeight="1" x14ac:dyDescent="0.2">
      <c r="A21" s="33">
        <v>1017</v>
      </c>
      <c r="B21" s="28" t="s">
        <v>26</v>
      </c>
      <c r="C21" s="28" t="s">
        <v>119</v>
      </c>
      <c r="D21" s="28" t="s">
        <v>27</v>
      </c>
      <c r="E21" s="37" t="s">
        <v>1264</v>
      </c>
      <c r="F21" s="34" t="str">
        <f>IF(ISBLANK(Table2[[#This Row],[unique_id]]), "", PROPER(SUBSTITUTE(Table2[[#This Row],[unique_id]], "_", " ")))</f>
        <v>Compensation Sensor Office Dining Temperature</v>
      </c>
      <c r="G21" s="28" t="s">
        <v>182</v>
      </c>
      <c r="H21" s="28" t="s">
        <v>78</v>
      </c>
      <c r="I21" s="28" t="s">
        <v>30</v>
      </c>
      <c r="J21" s="28" t="s">
        <v>78</v>
      </c>
      <c r="N21" s="28" t="s">
        <v>127</v>
      </c>
      <c r="P21" s="29"/>
      <c r="Q21" s="28"/>
      <c r="U21" s="35"/>
      <c r="V21" s="35"/>
      <c r="W21" s="35"/>
      <c r="X21" s="28" t="s">
        <v>1527</v>
      </c>
      <c r="AD21" s="29"/>
      <c r="AE21" s="29"/>
      <c r="AF21" s="29"/>
      <c r="AG21" s="29"/>
      <c r="AM21" s="28" t="s">
        <v>287</v>
      </c>
      <c r="AO21" s="29"/>
      <c r="AP21" s="29"/>
      <c r="BA21" s="28"/>
      <c r="BB21" s="30"/>
      <c r="BD21" s="28"/>
      <c r="BF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21" s="28" t="s">
        <v>182</v>
      </c>
      <c r="BT21" s="28"/>
    </row>
    <row r="22" spans="1:74" ht="16" customHeight="1" x14ac:dyDescent="0.2">
      <c r="A22" s="33">
        <v>1018</v>
      </c>
      <c r="B22" s="28" t="s">
        <v>26</v>
      </c>
      <c r="C22" s="28" t="s">
        <v>119</v>
      </c>
      <c r="D22" s="28" t="s">
        <v>27</v>
      </c>
      <c r="E22" s="28" t="s">
        <v>554</v>
      </c>
      <c r="F22" s="34" t="str">
        <f>IF(ISBLANK(Table2[[#This Row],[unique_id]]), "", PROPER(SUBSTITUTE(Table2[[#This Row],[unique_id]], "_", " ")))</f>
        <v>Laundry Temperature</v>
      </c>
      <c r="G22" s="28" t="s">
        <v>202</v>
      </c>
      <c r="H22" s="28" t="s">
        <v>78</v>
      </c>
      <c r="I22" s="28" t="s">
        <v>30</v>
      </c>
      <c r="K22" s="28" t="s">
        <v>555</v>
      </c>
      <c r="P22" s="29"/>
      <c r="Q22" s="28"/>
      <c r="U22" s="35"/>
      <c r="V22" s="35"/>
      <c r="W22" s="35"/>
      <c r="X22" s="28"/>
      <c r="AD22" s="29" t="s">
        <v>1119</v>
      </c>
      <c r="AE22" s="29"/>
      <c r="AF22" s="29"/>
      <c r="AG22" s="29"/>
      <c r="AM22" s="28" t="s">
        <v>287</v>
      </c>
      <c r="AO22" s="29"/>
      <c r="AP22" s="29"/>
      <c r="BA22" s="28"/>
      <c r="BB22" s="30"/>
      <c r="BD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BE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F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" s="28" t="str">
        <f>IF(ISBLANK(Table2[[#This Row],[device_model]]), "", Table2[[#This Row],[device_suggested_area]])</f>
        <v>Laundry</v>
      </c>
      <c r="BJ22" s="28" t="s">
        <v>939</v>
      </c>
      <c r="BK22" s="28" t="s">
        <v>937</v>
      </c>
      <c r="BL22" s="28" t="s">
        <v>119</v>
      </c>
      <c r="BN22" s="28" t="s">
        <v>394</v>
      </c>
      <c r="BO22" s="28" t="s">
        <v>202</v>
      </c>
      <c r="BS22" s="28" t="s">
        <v>1185</v>
      </c>
      <c r="BT22" s="35" t="s">
        <v>398</v>
      </c>
      <c r="BV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"70:ee:50:25:9d:90"]]</v>
      </c>
    </row>
    <row r="23" spans="1:74" ht="16" customHeight="1" x14ac:dyDescent="0.2">
      <c r="A23" s="28">
        <v>1019</v>
      </c>
      <c r="B23" s="28" t="s">
        <v>26</v>
      </c>
      <c r="C23" s="28" t="s">
        <v>119</v>
      </c>
      <c r="D23" s="28" t="s">
        <v>27</v>
      </c>
      <c r="E23" s="28" t="s">
        <v>555</v>
      </c>
      <c r="F23" s="34" t="str">
        <f>IF(ISBLANK(Table2[[#This Row],[unique_id]]), "", PROPER(SUBSTITUTE(Table2[[#This Row],[unique_id]], "_", " ")))</f>
        <v>Compensation Sensor Laundry Temperature</v>
      </c>
      <c r="G23" s="28" t="s">
        <v>202</v>
      </c>
      <c r="H23" s="28" t="s">
        <v>78</v>
      </c>
      <c r="I23" s="28" t="s">
        <v>30</v>
      </c>
      <c r="J23" s="28" t="s">
        <v>78</v>
      </c>
      <c r="N23" s="28" t="s">
        <v>127</v>
      </c>
      <c r="P23" s="29"/>
      <c r="Q23" s="28"/>
      <c r="U23" s="35"/>
      <c r="V23" s="35"/>
      <c r="W23" s="35"/>
      <c r="X23" s="28" t="s">
        <v>1527</v>
      </c>
      <c r="AD23" s="29"/>
      <c r="AE23" s="29"/>
      <c r="AF23" s="29"/>
      <c r="AG23" s="29"/>
      <c r="AM23" s="28" t="s">
        <v>287</v>
      </c>
      <c r="AO23" s="29"/>
      <c r="AP23" s="29"/>
      <c r="BA23" s="28"/>
      <c r="BB23" s="30"/>
      <c r="BD23" s="28"/>
      <c r="BF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23" s="28" t="s">
        <v>202</v>
      </c>
      <c r="BT23" s="35"/>
    </row>
    <row r="24" spans="1:74" ht="16" customHeight="1" x14ac:dyDescent="0.2">
      <c r="A24" s="33">
        <v>1020</v>
      </c>
      <c r="B24" s="28" t="s">
        <v>26</v>
      </c>
      <c r="C24" s="28" t="s">
        <v>39</v>
      </c>
      <c r="D24" s="28" t="s">
        <v>27</v>
      </c>
      <c r="E24" s="28" t="s">
        <v>1105</v>
      </c>
      <c r="F24" s="34" t="str">
        <f>IF(ISBLANK(Table2[[#This Row],[unique_id]]), "", PROPER(SUBSTITUTE(Table2[[#This Row],[unique_id]], "_", " ")))</f>
        <v>Wardrobe Temperature</v>
      </c>
      <c r="G24" s="28" t="s">
        <v>460</v>
      </c>
      <c r="H24" s="28" t="s">
        <v>78</v>
      </c>
      <c r="I24" s="28" t="s">
        <v>30</v>
      </c>
      <c r="K24" s="28" t="s">
        <v>1106</v>
      </c>
      <c r="P24" s="29"/>
      <c r="Q24" s="28"/>
      <c r="U24" s="35"/>
      <c r="V24" s="35"/>
      <c r="W24" s="35"/>
      <c r="X24" s="28"/>
      <c r="AD24" s="29" t="s">
        <v>1122</v>
      </c>
      <c r="AE24" s="29"/>
      <c r="AF24" s="29"/>
      <c r="AG24" s="29"/>
      <c r="AJ24" s="28" t="s">
        <v>31</v>
      </c>
      <c r="AK24" s="28" t="s">
        <v>79</v>
      </c>
      <c r="AL24" s="28" t="s">
        <v>80</v>
      </c>
      <c r="AM24" s="28" t="s">
        <v>287</v>
      </c>
      <c r="AN24" s="28">
        <v>300</v>
      </c>
      <c r="AO24" s="29" t="s">
        <v>34</v>
      </c>
      <c r="AP24" s="29"/>
      <c r="AQ24" s="28" t="s">
        <v>159</v>
      </c>
      <c r="AR24" s="28" t="str">
        <f>IF(ISBLANK(Table2[[#This Row],[index]]),  "", _xlfn.CONCAT("homeassistant/sensor/", LOWER(Table2[[#This Row],[device_via_device]]), "/", Table2[[#This Row],[unique_id]], "/config"))</f>
        <v>homeassistant/sensor/weewx/wardrobe_temperature/config</v>
      </c>
      <c r="AS24" s="28" t="str">
        <f>IF(ISBLANK(Table2[[#This Row],[index]]),  "", _xlfn.CONCAT(LOWER(Table2[[#This Row],[device_via_device]]), "/", Table2[[#This Row],[unique_id]]))</f>
        <v>weewx/wardrobe_temperature</v>
      </c>
      <c r="AZ24" s="28" t="s">
        <v>1123</v>
      </c>
      <c r="BA24" s="28">
        <v>1</v>
      </c>
      <c r="BB24" s="30"/>
      <c r="BD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BE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F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Wardrobe Temperature</v>
      </c>
      <c r="BG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" s="28" t="str">
        <f>IF(ISBLANK(Table2[[#This Row],[device_model]]), "", Table2[[#This Row],[device_suggested_area]])</f>
        <v>Wardrobe</v>
      </c>
      <c r="BJ24" s="28" t="s">
        <v>1153</v>
      </c>
      <c r="BK24" s="28" t="s">
        <v>36</v>
      </c>
      <c r="BL24" s="28" t="s">
        <v>37</v>
      </c>
      <c r="BN24" s="28" t="s">
        <v>1010</v>
      </c>
      <c r="BO24" s="28" t="s">
        <v>460</v>
      </c>
      <c r="BT24" s="28"/>
      <c r="BV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" spans="1:74" ht="16" customHeight="1" x14ac:dyDescent="0.2">
      <c r="A25" s="33">
        <v>1021</v>
      </c>
      <c r="B25" s="28" t="s">
        <v>26</v>
      </c>
      <c r="C25" s="28" t="s">
        <v>39</v>
      </c>
      <c r="D25" s="28" t="s">
        <v>27</v>
      </c>
      <c r="E25" s="28" t="s">
        <v>1106</v>
      </c>
      <c r="F25" s="34" t="str">
        <f>IF(ISBLANK(Table2[[#This Row],[unique_id]]), "", PROPER(SUBSTITUTE(Table2[[#This Row],[unique_id]], "_", " ")))</f>
        <v>Compensation Sensor Wardrobe Temperature</v>
      </c>
      <c r="G25" s="28" t="s">
        <v>460</v>
      </c>
      <c r="H25" s="28" t="s">
        <v>78</v>
      </c>
      <c r="I25" s="28" t="s">
        <v>30</v>
      </c>
      <c r="J25" s="28" t="s">
        <v>78</v>
      </c>
      <c r="N25" s="28" t="s">
        <v>127</v>
      </c>
      <c r="P25" s="29"/>
      <c r="Q25" s="28"/>
      <c r="U25" s="35"/>
      <c r="V25" s="35"/>
      <c r="W25" s="35"/>
      <c r="X25" s="28" t="s">
        <v>1527</v>
      </c>
      <c r="AD25" s="29"/>
      <c r="AE25" s="29"/>
      <c r="AF25" s="29"/>
      <c r="AG25" s="29"/>
      <c r="AJ25" s="28" t="s">
        <v>31</v>
      </c>
      <c r="AK25" s="28" t="s">
        <v>79</v>
      </c>
      <c r="AL25" s="28" t="s">
        <v>80</v>
      </c>
      <c r="AM25" s="28" t="s">
        <v>287</v>
      </c>
      <c r="AO25" s="29"/>
      <c r="AP25" s="29"/>
      <c r="BA25" s="28"/>
      <c r="BB25" s="30"/>
      <c r="BD25" s="28"/>
      <c r="BF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25" s="28" t="s">
        <v>460</v>
      </c>
      <c r="BT25" s="28"/>
    </row>
    <row r="26" spans="1:74" ht="16" customHeight="1" x14ac:dyDescent="0.2">
      <c r="A26" s="28">
        <v>1022</v>
      </c>
      <c r="B26" s="28" t="s">
        <v>26</v>
      </c>
      <c r="C26" s="28" t="s">
        <v>1467</v>
      </c>
      <c r="D26" s="28" t="s">
        <v>27</v>
      </c>
      <c r="E26" s="28" t="s">
        <v>1108</v>
      </c>
      <c r="F26" s="34" t="str">
        <f>IF(ISBLANK(Table2[[#This Row],[unique_id]]), "", PROPER(SUBSTITUTE(Table2[[#This Row],[unique_id]], "_", " ")))</f>
        <v>Utility Temperature</v>
      </c>
      <c r="G26" s="28" t="s">
        <v>1107</v>
      </c>
      <c r="H26" s="28" t="s">
        <v>78</v>
      </c>
      <c r="I26" s="28" t="s">
        <v>30</v>
      </c>
      <c r="K26" s="28" t="s">
        <v>1109</v>
      </c>
      <c r="P26" s="29"/>
      <c r="Q26" s="28"/>
      <c r="U26" s="35"/>
      <c r="V26" s="35"/>
      <c r="W26" s="35"/>
      <c r="X26" s="28"/>
      <c r="AD26" s="29" t="s">
        <v>1121</v>
      </c>
      <c r="AE26" s="29"/>
      <c r="AF26" s="29"/>
      <c r="AG26" s="29"/>
      <c r="AJ26" s="28" t="s">
        <v>31</v>
      </c>
      <c r="AK26" s="28" t="s">
        <v>79</v>
      </c>
      <c r="AL26" s="28" t="s">
        <v>80</v>
      </c>
      <c r="AM26" s="28" t="s">
        <v>287</v>
      </c>
      <c r="AN26" s="28">
        <v>300</v>
      </c>
      <c r="AO26" s="29" t="s">
        <v>34</v>
      </c>
      <c r="AP26" s="29"/>
      <c r="AQ26" s="28" t="s">
        <v>1367</v>
      </c>
      <c r="AR26" s="28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homeassistant/sensor/tempstat/utility_temperature/config</v>
      </c>
      <c r="AS26" s="28" t="str">
        <f>IF(ISBLANK(Table2[[#This Row],[index]]),  "", _xlfn.CONCAT(LOWER(Table2[[#This Row],[device_via_device]]), "/data"))</f>
        <v>tempstat/data</v>
      </c>
      <c r="AT26" s="28" t="str">
        <f>IF(ISBLANK(Table2[[#This Row],[index]]), "", _xlfn.CONCAT(LOWER(Table2[[#This Row],[device_via_device]]), "/command"))</f>
        <v>tempstat/command</v>
      </c>
      <c r="AU26" s="28" t="str">
        <f>IF(ISBLANK(Table2[[#This Row],[index]]), "", _xlfn.CONCAT(LOWER(Table2[[#This Row],[device_via_device]]), "/status"))</f>
        <v>tempstat/status</v>
      </c>
      <c r="AZ26" s="28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(value_json['samples']['utility_temperature_celsius'] | float(None)) if (value_json['samples'] is defined and value_json['samples']['utility_temperature_celsius'] is defined) else (states('sensor.utility_temperature') | float(None)) }}</v>
      </c>
      <c r="BA26" s="28">
        <v>1</v>
      </c>
      <c r="BB26" s="30"/>
      <c r="BD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BE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BF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Utility Temperature</v>
      </c>
      <c r="BG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" s="28" t="str">
        <f>IF(ISBLANK(Table2[[#This Row],[device_model]]), "", Table2[[#This Row],[device_suggested_area]])</f>
        <v>Rack</v>
      </c>
      <c r="BJ26" s="28" t="s">
        <v>78</v>
      </c>
      <c r="BK26" s="28" t="s">
        <v>1469</v>
      </c>
      <c r="BL26" s="28" t="s">
        <v>1470</v>
      </c>
      <c r="BN26" s="28" t="s">
        <v>936</v>
      </c>
      <c r="BO26" s="28" t="s">
        <v>28</v>
      </c>
      <c r="BT26" s="28" t="s">
        <v>1075</v>
      </c>
      <c r="BV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"0x28ff641e870006ae"]]</v>
      </c>
    </row>
    <row r="27" spans="1:74" ht="16" customHeight="1" x14ac:dyDescent="0.2">
      <c r="A27" s="33">
        <v>1023</v>
      </c>
      <c r="B27" s="28" t="s">
        <v>26</v>
      </c>
      <c r="C27" s="28" t="s">
        <v>1467</v>
      </c>
      <c r="D27" s="28" t="s">
        <v>27</v>
      </c>
      <c r="E27" s="28" t="s">
        <v>1109</v>
      </c>
      <c r="F27" s="28" t="str">
        <f>IF(ISBLANK(Table2[[#This Row],[unique_id]]), "", PROPER(SUBSTITUTE(Table2[[#This Row],[unique_id]], "_", " ")))</f>
        <v>Compensation Sensor Utility Temperature</v>
      </c>
      <c r="G27" s="28" t="s">
        <v>1107</v>
      </c>
      <c r="H27" s="28" t="s">
        <v>78</v>
      </c>
      <c r="I27" s="28" t="s">
        <v>30</v>
      </c>
      <c r="J27" s="28" t="s">
        <v>78</v>
      </c>
      <c r="P27" s="29"/>
      <c r="Q27" s="28"/>
      <c r="U27" s="35"/>
      <c r="V27" s="35"/>
      <c r="W27" s="35"/>
      <c r="X27" s="28" t="s">
        <v>1527</v>
      </c>
      <c r="AD27" s="29"/>
      <c r="AE27" s="29"/>
      <c r="AF27" s="29"/>
      <c r="AG27" s="29"/>
      <c r="AJ27" s="28" t="s">
        <v>31</v>
      </c>
      <c r="AK27" s="28" t="s">
        <v>79</v>
      </c>
      <c r="AL27" s="28" t="s">
        <v>80</v>
      </c>
      <c r="AM27" s="28" t="s">
        <v>287</v>
      </c>
      <c r="AO27" s="29"/>
      <c r="AP27" s="29"/>
      <c r="AR27" s="28" t="str">
        <f>IF(ISBLANK(AQ27),  "", _xlfn.CONCAT("haas/entity/sensor/", LOWER(C27), "/", E27, "/config"))</f>
        <v/>
      </c>
      <c r="AS27" s="28" t="str">
        <f>IF(ISBLANK(AQ27),  "", _xlfn.CONCAT(LOWER(C27), "/", E27))</f>
        <v/>
      </c>
      <c r="BA27" s="28"/>
      <c r="BB27" s="30"/>
      <c r="BC27" s="38"/>
      <c r="BD27" s="28"/>
      <c r="BF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" s="28" t="str">
        <f>IF(ISBLANK(Table2[[#This Row],[device_model]]), "", Table2[[#This Row],[device_suggested_area]])</f>
        <v/>
      </c>
      <c r="BN27" s="29"/>
      <c r="BO27" s="28" t="s">
        <v>28</v>
      </c>
      <c r="BT27" s="28"/>
      <c r="BV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" spans="1:74" ht="16" customHeight="1" x14ac:dyDescent="0.2">
      <c r="A28" s="33">
        <v>1024</v>
      </c>
      <c r="B28" s="28" t="s">
        <v>26</v>
      </c>
      <c r="C28" s="28" t="s">
        <v>658</v>
      </c>
      <c r="D28" s="28" t="s">
        <v>27</v>
      </c>
      <c r="E28" s="28" t="s">
        <v>993</v>
      </c>
      <c r="F28" s="34" t="str">
        <f>IF(ISBLANK(Table2[[#This Row],[unique_id]]), "", PROPER(SUBSTITUTE(Table2[[#This Row],[unique_id]], "_", " ")))</f>
        <v>Deck Festoons Plug Temperature</v>
      </c>
      <c r="G28" s="28" t="s">
        <v>374</v>
      </c>
      <c r="H28" s="28" t="s">
        <v>78</v>
      </c>
      <c r="I28" s="28" t="s">
        <v>30</v>
      </c>
      <c r="K28" s="28" t="s">
        <v>1100</v>
      </c>
      <c r="P28" s="29"/>
      <c r="Q28" s="28"/>
      <c r="U28" s="35"/>
      <c r="V28" s="35"/>
      <c r="W28" s="35"/>
      <c r="X28" s="28"/>
      <c r="AD28" s="29" t="s">
        <v>1116</v>
      </c>
      <c r="AE28" s="29"/>
      <c r="AF28" s="29"/>
      <c r="AG28" s="29"/>
      <c r="AJ28" s="28" t="s">
        <v>31</v>
      </c>
      <c r="AK28" s="28" t="s">
        <v>79</v>
      </c>
      <c r="AL28" s="28" t="s">
        <v>80</v>
      </c>
      <c r="AM28" s="28" t="s">
        <v>287</v>
      </c>
      <c r="AN28" s="28">
        <v>10</v>
      </c>
      <c r="AO28" s="29" t="s">
        <v>34</v>
      </c>
      <c r="AP28" s="29" t="s">
        <v>844</v>
      </c>
      <c r="AQ28" s="28" t="s">
        <v>780</v>
      </c>
      <c r="AR28" s="28" t="str">
        <f>_xlfn.CONCAT("homeassistant/", Table2[[#This Row],[entity_namespace]], "/tasmota/",Table2[[#This Row],[unique_id]], "/config")</f>
        <v>homeassistant/sensor/tasmota/deck_festoons_plug_temperature/config</v>
      </c>
      <c r="AS28" s="28" t="str">
        <f>IF(ISBLANK(Table2[[#This Row],[unique_id_device]]), "", _xlfn.CONCAT("tasmota/device/", Table2[[#This Row],[unique_id_device]], IF(Table2[[#This Row],[entity_namespace]]="sensor", "/tele/SENSOR", "/stat/POWER")))</f>
        <v>tasmota/device/deck_festoons_plug/tele/SENSOR</v>
      </c>
      <c r="AU28" s="28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V28" s="28" t="s">
        <v>863</v>
      </c>
      <c r="AW28" s="28" t="s">
        <v>864</v>
      </c>
      <c r="AX28" s="28" t="s">
        <v>853</v>
      </c>
      <c r="AY28" s="28" t="s">
        <v>854</v>
      </c>
      <c r="AZ28" s="28" t="s">
        <v>1057</v>
      </c>
      <c r="BA28" s="28">
        <v>1</v>
      </c>
      <c r="BB28" s="32"/>
      <c r="BD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BE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F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 Temperature</v>
      </c>
      <c r="BG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" s="28" t="str">
        <f>IF(ISBLANK(Table2[[#This Row],[device_model]]), "", Table2[[#This Row],[device_suggested_area]])</f>
        <v>Deck</v>
      </c>
      <c r="BJ28" s="28" t="s">
        <v>675</v>
      </c>
      <c r="BK28" s="28" t="s">
        <v>1054</v>
      </c>
      <c r="BL28" s="28" t="s">
        <v>1053</v>
      </c>
      <c r="BN28" s="28" t="s">
        <v>835</v>
      </c>
      <c r="BO28" s="28" t="s">
        <v>328</v>
      </c>
      <c r="BP28" s="28" t="s">
        <v>374</v>
      </c>
      <c r="BQ28" s="28" t="s">
        <v>374</v>
      </c>
      <c r="BT28" s="28"/>
      <c r="BV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" spans="1:74" ht="16" customHeight="1" x14ac:dyDescent="0.2">
      <c r="A29" s="28">
        <v>1025</v>
      </c>
      <c r="B29" s="28" t="s">
        <v>26</v>
      </c>
      <c r="C29" s="28" t="s">
        <v>658</v>
      </c>
      <c r="D29" s="28" t="s">
        <v>27</v>
      </c>
      <c r="E29" s="28" t="s">
        <v>1100</v>
      </c>
      <c r="F29" s="28" t="str">
        <f>IF(ISBLANK(Table2[[#This Row],[unique_id]]), "", PROPER(SUBSTITUTE(Table2[[#This Row],[unique_id]], "_", " ")))</f>
        <v>Compensation Sensor Deck Festoons Plug Temperature</v>
      </c>
      <c r="G29" s="28" t="s">
        <v>374</v>
      </c>
      <c r="H29" s="28" t="s">
        <v>78</v>
      </c>
      <c r="I29" s="28" t="s">
        <v>30</v>
      </c>
      <c r="J29" s="28" t="s">
        <v>78</v>
      </c>
      <c r="N29" s="28" t="s">
        <v>127</v>
      </c>
      <c r="P29" s="29"/>
      <c r="Q29" s="28"/>
      <c r="U29" s="35"/>
      <c r="V29" s="35"/>
      <c r="W29" s="35"/>
      <c r="X29" s="28"/>
      <c r="AD29" s="29"/>
      <c r="AE29" s="29"/>
      <c r="AF29" s="29"/>
      <c r="AG29" s="29"/>
      <c r="AJ29" s="28" t="s">
        <v>31</v>
      </c>
      <c r="AK29" s="28" t="s">
        <v>79</v>
      </c>
      <c r="AL29" s="28" t="s">
        <v>80</v>
      </c>
      <c r="AM29" s="28" t="s">
        <v>287</v>
      </c>
      <c r="AO29" s="29"/>
      <c r="AP29" s="29"/>
      <c r="AR29" s="28" t="str">
        <f>IF(ISBLANK(AQ29),  "", _xlfn.CONCAT("haas/entity/sensor/", LOWER(C29), "/", E29, "/config"))</f>
        <v/>
      </c>
      <c r="AS29" s="28" t="str">
        <f>IF(ISBLANK(AQ29),  "", _xlfn.CONCAT(LOWER(C29), "/", E29))</f>
        <v/>
      </c>
      <c r="BA29" s="28"/>
      <c r="BB29" s="30"/>
      <c r="BC29" s="38"/>
      <c r="BD29" s="28"/>
      <c r="BF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" s="28" t="str">
        <f>IF(ISBLANK(Table2[[#This Row],[device_model]]), "", Table2[[#This Row],[device_suggested_area]])</f>
        <v/>
      </c>
      <c r="BN29" s="29"/>
      <c r="BO29" s="28" t="s">
        <v>328</v>
      </c>
      <c r="BP29" s="28" t="s">
        <v>374</v>
      </c>
      <c r="BQ29" s="28" t="s">
        <v>374</v>
      </c>
      <c r="BT29" s="28"/>
      <c r="BV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" spans="1:74" ht="16" customHeight="1" x14ac:dyDescent="0.2">
      <c r="A30" s="33">
        <v>1026</v>
      </c>
      <c r="B30" s="28" t="s">
        <v>26</v>
      </c>
      <c r="C30" s="28" t="s">
        <v>119</v>
      </c>
      <c r="D30" s="28" t="s">
        <v>27</v>
      </c>
      <c r="E30" s="28" t="s">
        <v>1265</v>
      </c>
      <c r="F30" s="34" t="str">
        <f>IF(ISBLANK(Table2[[#This Row],[unique_id]]), "", PROPER(SUBSTITUTE(Table2[[#This Row],[unique_id]], "_", " ")))</f>
        <v>Office Basement Temperature</v>
      </c>
      <c r="G30" s="28" t="s">
        <v>199</v>
      </c>
      <c r="H30" s="28" t="s">
        <v>78</v>
      </c>
      <c r="I30" s="28" t="s">
        <v>30</v>
      </c>
      <c r="K30" s="28" t="s">
        <v>1266</v>
      </c>
      <c r="P30" s="29"/>
      <c r="Q30" s="28"/>
      <c r="U30" s="35"/>
      <c r="V30" s="35"/>
      <c r="W30" s="35"/>
      <c r="X30" s="28"/>
      <c r="AD30" s="29" t="s">
        <v>1113</v>
      </c>
      <c r="AE30" s="29"/>
      <c r="AF30" s="29"/>
      <c r="AG30" s="29"/>
      <c r="AM30" s="28" t="s">
        <v>287</v>
      </c>
      <c r="AO30" s="29"/>
      <c r="AP30" s="29"/>
      <c r="BA30" s="28"/>
      <c r="BB30" s="30"/>
      <c r="BD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BE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BF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" s="28" t="str">
        <f>IF(ISBLANK(Table2[[#This Row],[device_model]]), "", Table2[[#This Row],[device_suggested_area]])</f>
        <v>Basement</v>
      </c>
      <c r="BJ30" s="28" t="s">
        <v>938</v>
      </c>
      <c r="BK30" s="28" t="s">
        <v>940</v>
      </c>
      <c r="BL30" s="28" t="s">
        <v>119</v>
      </c>
      <c r="BN30" s="28" t="s">
        <v>395</v>
      </c>
      <c r="BO30" s="28" t="s">
        <v>199</v>
      </c>
      <c r="BT30" s="28"/>
      <c r="BV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" spans="1:74" ht="16" customHeight="1" x14ac:dyDescent="0.2">
      <c r="A31" s="33">
        <v>1027</v>
      </c>
      <c r="B31" s="28" t="s">
        <v>26</v>
      </c>
      <c r="C31" s="28" t="s">
        <v>119</v>
      </c>
      <c r="D31" s="28" t="s">
        <v>27</v>
      </c>
      <c r="E31" s="28" t="s">
        <v>1266</v>
      </c>
      <c r="F31" s="34" t="str">
        <f>IF(ISBLANK(Table2[[#This Row],[unique_id]]), "", PROPER(SUBSTITUTE(Table2[[#This Row],[unique_id]], "_", " ")))</f>
        <v>Compensation Sensor Office Basement Temperature</v>
      </c>
      <c r="G31" s="28" t="s">
        <v>199</v>
      </c>
      <c r="H31" s="28" t="s">
        <v>78</v>
      </c>
      <c r="I31" s="28" t="s">
        <v>30</v>
      </c>
      <c r="J31" s="28" t="s">
        <v>78</v>
      </c>
      <c r="N31" s="28" t="s">
        <v>127</v>
      </c>
      <c r="P31" s="29"/>
      <c r="Q31" s="28"/>
      <c r="U31" s="35"/>
      <c r="V31" s="35"/>
      <c r="W31" s="35"/>
      <c r="X31" s="28" t="s">
        <v>1527</v>
      </c>
      <c r="AD31" s="29"/>
      <c r="AE31" s="29"/>
      <c r="AF31" s="29"/>
      <c r="AG31" s="29"/>
      <c r="AM31" s="28" t="s">
        <v>287</v>
      </c>
      <c r="AO31" s="29"/>
      <c r="AP31" s="29"/>
      <c r="BA31" s="28"/>
      <c r="BB31" s="30"/>
      <c r="BD31" s="28"/>
      <c r="BF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O31" s="28" t="s">
        <v>199</v>
      </c>
      <c r="BT31" s="28"/>
    </row>
    <row r="32" spans="1:74" ht="16" customHeight="1" x14ac:dyDescent="0.2">
      <c r="A32" s="28">
        <v>1028</v>
      </c>
      <c r="B32" s="28" t="s">
        <v>26</v>
      </c>
      <c r="C32" s="28" t="s">
        <v>39</v>
      </c>
      <c r="D32" s="28" t="s">
        <v>27</v>
      </c>
      <c r="E32" s="28" t="s">
        <v>1080</v>
      </c>
      <c r="F32" s="34" t="str">
        <f>IF(ISBLANK(Table2[[#This Row],[unique_id]]), "", PROPER(SUBSTITUTE(Table2[[#This Row],[unique_id]], "_", " ")))</f>
        <v>Roof Apparent Temperature</v>
      </c>
      <c r="G32" s="28" t="s">
        <v>83</v>
      </c>
      <c r="H32" s="28" t="s">
        <v>78</v>
      </c>
      <c r="I32" s="28" t="s">
        <v>30</v>
      </c>
      <c r="P32" s="29"/>
      <c r="Q32" s="28"/>
      <c r="U32" s="35"/>
      <c r="V32" s="35"/>
      <c r="W32" s="35" t="s">
        <v>1524</v>
      </c>
      <c r="X32" s="28" t="s">
        <v>1527</v>
      </c>
      <c r="AD32" s="29"/>
      <c r="AE32" s="29"/>
      <c r="AF32" s="29"/>
      <c r="AG32" s="29"/>
      <c r="AJ32" s="28" t="s">
        <v>31</v>
      </c>
      <c r="AK32" s="28" t="s">
        <v>79</v>
      </c>
      <c r="AL32" s="28" t="s">
        <v>80</v>
      </c>
      <c r="AM32" s="28" t="s">
        <v>287</v>
      </c>
      <c r="AN32" s="28">
        <v>300</v>
      </c>
      <c r="AO32" s="29" t="s">
        <v>34</v>
      </c>
      <c r="AP32" s="29"/>
      <c r="AQ32" s="28" t="s">
        <v>84</v>
      </c>
      <c r="AR32" s="28" t="str">
        <f>IF(ISBLANK(Table2[[#This Row],[index]]),  "", _xlfn.CONCAT("homeassistant/sensor/", LOWER(Table2[[#This Row],[device_via_device]]), "/", Table2[[#This Row],[unique_id]], "/config"))</f>
        <v>homeassistant/sensor/weewx/roof_apparent_temperature/config</v>
      </c>
      <c r="AS32" s="28" t="str">
        <f>IF(ISBLANK(Table2[[#This Row],[index]]),  "", _xlfn.CONCAT(LOWER(Table2[[#This Row],[device_via_device]]), "/", Table2[[#This Row],[unique_id]]))</f>
        <v>weewx/roof_apparent_temperature</v>
      </c>
      <c r="AZ32" s="28" t="s">
        <v>1123</v>
      </c>
      <c r="BA32" s="28">
        <v>1</v>
      </c>
      <c r="BB32" s="30"/>
      <c r="BD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Apparent Temperature</v>
      </c>
      <c r="BG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" s="28" t="str">
        <f>IF(ISBLANK(Table2[[#This Row],[device_model]]), "", Table2[[#This Row],[device_suggested_area]])</f>
        <v>Roof</v>
      </c>
      <c r="BJ32" s="28" t="s">
        <v>393</v>
      </c>
      <c r="BK32" s="28" t="s">
        <v>36</v>
      </c>
      <c r="BL32" s="28" t="s">
        <v>37</v>
      </c>
      <c r="BN32" s="28" t="s">
        <v>1010</v>
      </c>
      <c r="BO32" s="28" t="s">
        <v>38</v>
      </c>
      <c r="BT32" s="28"/>
      <c r="BV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" spans="1:74" ht="16" customHeight="1" x14ac:dyDescent="0.2">
      <c r="A33" s="33">
        <v>1029</v>
      </c>
      <c r="B33" s="28" t="s">
        <v>26</v>
      </c>
      <c r="C33" s="28" t="s">
        <v>39</v>
      </c>
      <c r="D33" s="28" t="s">
        <v>27</v>
      </c>
      <c r="E33" s="28" t="s">
        <v>1081</v>
      </c>
      <c r="F33" s="34" t="str">
        <f>IF(ISBLANK(Table2[[#This Row],[unique_id]]), "", PROPER(SUBSTITUTE(Table2[[#This Row],[unique_id]], "_", " ")))</f>
        <v>Roof Dew Point</v>
      </c>
      <c r="G33" s="28" t="s">
        <v>85</v>
      </c>
      <c r="H33" s="28" t="s">
        <v>78</v>
      </c>
      <c r="I33" s="28" t="s">
        <v>30</v>
      </c>
      <c r="P33" s="29"/>
      <c r="Q33" s="28"/>
      <c r="U33" s="35"/>
      <c r="V33" s="35"/>
      <c r="W33" s="35" t="s">
        <v>1524</v>
      </c>
      <c r="X33" s="28" t="s">
        <v>1527</v>
      </c>
      <c r="AD33" s="29"/>
      <c r="AE33" s="29"/>
      <c r="AF33" s="29"/>
      <c r="AG33" s="29"/>
      <c r="AJ33" s="28" t="s">
        <v>31</v>
      </c>
      <c r="AK33" s="28" t="s">
        <v>79</v>
      </c>
      <c r="AL33" s="28" t="s">
        <v>80</v>
      </c>
      <c r="AM33" s="28" t="s">
        <v>287</v>
      </c>
      <c r="AN33" s="28">
        <v>300</v>
      </c>
      <c r="AO33" s="29" t="s">
        <v>34</v>
      </c>
      <c r="AP33" s="29"/>
      <c r="AQ33" s="28" t="s">
        <v>86</v>
      </c>
      <c r="AR33" s="28" t="str">
        <f>IF(ISBLANK(Table2[[#This Row],[index]]),  "", _xlfn.CONCAT("homeassistant/sensor/", LOWER(Table2[[#This Row],[device_via_device]]), "/", Table2[[#This Row],[unique_id]], "/config"))</f>
        <v>homeassistant/sensor/weewx/roof_dew_point/config</v>
      </c>
      <c r="AS33" s="28" t="str">
        <f>IF(ISBLANK(Table2[[#This Row],[index]]),  "", _xlfn.CONCAT(LOWER(Table2[[#This Row],[device_via_device]]), "/", Table2[[#This Row],[unique_id]]))</f>
        <v>weewx/roof_dew_point</v>
      </c>
      <c r="AZ33" s="28" t="s">
        <v>1123</v>
      </c>
      <c r="BA33" s="28">
        <v>1</v>
      </c>
      <c r="BB33" s="30"/>
      <c r="BD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Dew Point</v>
      </c>
      <c r="BG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" s="28" t="str">
        <f>IF(ISBLANK(Table2[[#This Row],[device_model]]), "", Table2[[#This Row],[device_suggested_area]])</f>
        <v>Roof</v>
      </c>
      <c r="BJ33" s="28" t="s">
        <v>393</v>
      </c>
      <c r="BK33" s="28" t="s">
        <v>36</v>
      </c>
      <c r="BL33" s="28" t="s">
        <v>37</v>
      </c>
      <c r="BN33" s="28" t="s">
        <v>1010</v>
      </c>
      <c r="BO33" s="28" t="s">
        <v>38</v>
      </c>
      <c r="BT33" s="28"/>
      <c r="BV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" spans="1:74" ht="16" customHeight="1" x14ac:dyDescent="0.2">
      <c r="A34" s="33">
        <v>1030</v>
      </c>
      <c r="B34" s="28" t="s">
        <v>26</v>
      </c>
      <c r="C34" s="28" t="s">
        <v>39</v>
      </c>
      <c r="D34" s="28" t="s">
        <v>27</v>
      </c>
      <c r="E34" s="28" t="s">
        <v>1082</v>
      </c>
      <c r="F34" s="34" t="str">
        <f>IF(ISBLANK(Table2[[#This Row],[unique_id]]), "", PROPER(SUBSTITUTE(Table2[[#This Row],[unique_id]], "_", " ")))</f>
        <v>Roof Heat Index</v>
      </c>
      <c r="G34" s="28" t="s">
        <v>87</v>
      </c>
      <c r="H34" s="28" t="s">
        <v>78</v>
      </c>
      <c r="I34" s="28" t="s">
        <v>30</v>
      </c>
      <c r="P34" s="29"/>
      <c r="Q34" s="28"/>
      <c r="U34" s="35"/>
      <c r="V34" s="35"/>
      <c r="W34" s="35" t="s">
        <v>1524</v>
      </c>
      <c r="X34" s="28" t="s">
        <v>1527</v>
      </c>
      <c r="AD34" s="29"/>
      <c r="AE34" s="29"/>
      <c r="AF34" s="29"/>
      <c r="AG34" s="29"/>
      <c r="AJ34" s="28" t="s">
        <v>31</v>
      </c>
      <c r="AK34" s="28" t="s">
        <v>79</v>
      </c>
      <c r="AL34" s="28" t="s">
        <v>80</v>
      </c>
      <c r="AM34" s="28" t="s">
        <v>287</v>
      </c>
      <c r="AN34" s="28">
        <v>300</v>
      </c>
      <c r="AO34" s="29" t="s">
        <v>34</v>
      </c>
      <c r="AP34" s="29"/>
      <c r="AQ34" s="28" t="s">
        <v>88</v>
      </c>
      <c r="AR34" s="28" t="str">
        <f>IF(ISBLANK(Table2[[#This Row],[index]]),  "", _xlfn.CONCAT("homeassistant/sensor/", LOWER(Table2[[#This Row],[device_via_device]]), "/", Table2[[#This Row],[unique_id]], "/config"))</f>
        <v>homeassistant/sensor/weewx/roof_heat_index/config</v>
      </c>
      <c r="AS34" s="28" t="str">
        <f>IF(ISBLANK(Table2[[#This Row],[index]]),  "", _xlfn.CONCAT(LOWER(Table2[[#This Row],[device_via_device]]), "/", Table2[[#This Row],[unique_id]]))</f>
        <v>weewx/roof_heat_index</v>
      </c>
      <c r="AZ34" s="28" t="s">
        <v>1123</v>
      </c>
      <c r="BA34" s="28">
        <v>1</v>
      </c>
      <c r="BB34" s="30"/>
      <c r="BD3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3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Heat Index</v>
      </c>
      <c r="BG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" s="28" t="str">
        <f>IF(ISBLANK(Table2[[#This Row],[device_model]]), "", Table2[[#This Row],[device_suggested_area]])</f>
        <v>Roof</v>
      </c>
      <c r="BJ34" s="28" t="s">
        <v>393</v>
      </c>
      <c r="BK34" s="28" t="s">
        <v>36</v>
      </c>
      <c r="BL34" s="28" t="s">
        <v>37</v>
      </c>
      <c r="BN34" s="28" t="s">
        <v>1010</v>
      </c>
      <c r="BO34" s="28" t="s">
        <v>38</v>
      </c>
      <c r="BT34" s="28"/>
      <c r="BV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" spans="1:74" ht="16" customHeight="1" x14ac:dyDescent="0.2">
      <c r="A35" s="28">
        <v>1031</v>
      </c>
      <c r="B35" s="28" t="s">
        <v>26</v>
      </c>
      <c r="C35" s="28" t="s">
        <v>39</v>
      </c>
      <c r="D35" s="28" t="s">
        <v>27</v>
      </c>
      <c r="E35" s="28" t="s">
        <v>1083</v>
      </c>
      <c r="F35" s="34" t="str">
        <f>IF(ISBLANK(Table2[[#This Row],[unique_id]]), "", PROPER(SUBSTITUTE(Table2[[#This Row],[unique_id]], "_", " ")))</f>
        <v>Roof Humidity Index</v>
      </c>
      <c r="G35" s="28" t="s">
        <v>89</v>
      </c>
      <c r="H35" s="28" t="s">
        <v>78</v>
      </c>
      <c r="I35" s="28" t="s">
        <v>30</v>
      </c>
      <c r="P35" s="29"/>
      <c r="Q35" s="28"/>
      <c r="U35" s="35"/>
      <c r="V35" s="35"/>
      <c r="W35" s="35" t="s">
        <v>1524</v>
      </c>
      <c r="X35" s="28" t="s">
        <v>1527</v>
      </c>
      <c r="AD35" s="29"/>
      <c r="AE35" s="29"/>
      <c r="AF35" s="29"/>
      <c r="AG35" s="29"/>
      <c r="AJ35" s="28" t="s">
        <v>31</v>
      </c>
      <c r="AK35" s="28" t="s">
        <v>79</v>
      </c>
      <c r="AL35" s="28" t="s">
        <v>80</v>
      </c>
      <c r="AM35" s="28" t="s">
        <v>287</v>
      </c>
      <c r="AN35" s="28">
        <v>300</v>
      </c>
      <c r="AO35" s="29" t="s">
        <v>34</v>
      </c>
      <c r="AP35" s="29"/>
      <c r="AQ35" s="28" t="s">
        <v>90</v>
      </c>
      <c r="AR35" s="28" t="str">
        <f>IF(ISBLANK(Table2[[#This Row],[index]]),  "", _xlfn.CONCAT("homeassistant/sensor/", LOWER(Table2[[#This Row],[device_via_device]]), "/", Table2[[#This Row],[unique_id]], "/config"))</f>
        <v>homeassistant/sensor/weewx/roof_humidity_index/config</v>
      </c>
      <c r="AS35" s="28" t="str">
        <f>IF(ISBLANK(Table2[[#This Row],[index]]),  "", _xlfn.CONCAT(LOWER(Table2[[#This Row],[device_via_device]]), "/", Table2[[#This Row],[unique_id]]))</f>
        <v>weewx/roof_humidity_index</v>
      </c>
      <c r="AZ35" s="28" t="s">
        <v>1123</v>
      </c>
      <c r="BA35" s="28">
        <v>1</v>
      </c>
      <c r="BB35" s="30"/>
      <c r="BD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Humidity Index</v>
      </c>
      <c r="BG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" s="28" t="str">
        <f>IF(ISBLANK(Table2[[#This Row],[device_model]]), "", Table2[[#This Row],[device_suggested_area]])</f>
        <v>Roof</v>
      </c>
      <c r="BJ35" s="28" t="s">
        <v>393</v>
      </c>
      <c r="BK35" s="28" t="s">
        <v>36</v>
      </c>
      <c r="BL35" s="28" t="s">
        <v>37</v>
      </c>
      <c r="BN35" s="28" t="s">
        <v>1010</v>
      </c>
      <c r="BO35" s="28" t="s">
        <v>38</v>
      </c>
      <c r="BT35" s="28"/>
      <c r="BV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" spans="1:74" ht="16" customHeight="1" x14ac:dyDescent="0.2">
      <c r="A36" s="33">
        <v>1032</v>
      </c>
      <c r="B36" s="28" t="s">
        <v>26</v>
      </c>
      <c r="C36" s="28" t="s">
        <v>39</v>
      </c>
      <c r="D36" s="28" t="s">
        <v>27</v>
      </c>
      <c r="E36" s="28" t="s">
        <v>1084</v>
      </c>
      <c r="F36" s="34" t="str">
        <f>IF(ISBLANK(Table2[[#This Row],[unique_id]]), "", PROPER(SUBSTITUTE(Table2[[#This Row],[unique_id]], "_", " ")))</f>
        <v>Rack Dew Point</v>
      </c>
      <c r="G36" s="28" t="s">
        <v>91</v>
      </c>
      <c r="H36" s="28" t="s">
        <v>78</v>
      </c>
      <c r="I36" s="28" t="s">
        <v>30</v>
      </c>
      <c r="P36" s="29"/>
      <c r="Q36" s="28"/>
      <c r="U36" s="35"/>
      <c r="V36" s="35"/>
      <c r="W36" s="35"/>
      <c r="X36" s="28"/>
      <c r="AD36" s="29"/>
      <c r="AE36" s="29"/>
      <c r="AF36" s="29"/>
      <c r="AG36" s="29"/>
      <c r="AJ36" s="28" t="s">
        <v>31</v>
      </c>
      <c r="AK36" s="28" t="s">
        <v>79</v>
      </c>
      <c r="AL36" s="28" t="s">
        <v>80</v>
      </c>
      <c r="AM36" s="28" t="s">
        <v>287</v>
      </c>
      <c r="AN36" s="28">
        <v>300</v>
      </c>
      <c r="AO36" s="29" t="s">
        <v>34</v>
      </c>
      <c r="AP36" s="29"/>
      <c r="AQ36" s="28" t="s">
        <v>92</v>
      </c>
      <c r="AR36" s="28" t="str">
        <f>IF(ISBLANK(Table2[[#This Row],[index]]),  "", _xlfn.CONCAT("homeassistant/sensor/", LOWER(Table2[[#This Row],[device_via_device]]), "/", Table2[[#This Row],[unique_id]], "/config"))</f>
        <v>homeassistant/sensor/weewx/rack_dew_point/config</v>
      </c>
      <c r="AS36" s="28" t="str">
        <f>IF(ISBLANK(Table2[[#This Row],[index]]),  "", _xlfn.CONCAT(LOWER(Table2[[#This Row],[device_via_device]]), "/", Table2[[#This Row],[unique_id]]))</f>
        <v>weewx/rack_dew_point</v>
      </c>
      <c r="AZ36" s="28" t="s">
        <v>1123</v>
      </c>
      <c r="BA36" s="28">
        <v>1</v>
      </c>
      <c r="BB36" s="30"/>
      <c r="BD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BE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F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Rack Dew Point</v>
      </c>
      <c r="BG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" s="28" t="str">
        <f>IF(ISBLANK(Table2[[#This Row],[device_model]]), "", Table2[[#This Row],[device_suggested_area]])</f>
        <v>Wardrobe</v>
      </c>
      <c r="BJ36" s="28" t="s">
        <v>1153</v>
      </c>
      <c r="BK36" s="28" t="s">
        <v>36</v>
      </c>
      <c r="BL36" s="28" t="s">
        <v>37</v>
      </c>
      <c r="BN36" s="28" t="s">
        <v>1010</v>
      </c>
      <c r="BO36" s="28" t="s">
        <v>460</v>
      </c>
      <c r="BT36" s="28"/>
      <c r="BV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" spans="1:74" ht="16" customHeight="1" x14ac:dyDescent="0.2">
      <c r="A37" s="33">
        <v>1033</v>
      </c>
      <c r="B37" s="28" t="s">
        <v>26</v>
      </c>
      <c r="C37" s="28" t="s">
        <v>39</v>
      </c>
      <c r="D37" s="28" t="s">
        <v>27</v>
      </c>
      <c r="E37" s="28" t="s">
        <v>1085</v>
      </c>
      <c r="F37" s="34" t="str">
        <f>IF(ISBLANK(Table2[[#This Row],[unique_id]]), "", PROPER(SUBSTITUTE(Table2[[#This Row],[unique_id]], "_", " ")))</f>
        <v>Roof Wind Chill Temperature</v>
      </c>
      <c r="G37" s="28" t="s">
        <v>93</v>
      </c>
      <c r="H37" s="28" t="s">
        <v>78</v>
      </c>
      <c r="I37" s="28" t="s">
        <v>30</v>
      </c>
      <c r="P37" s="29"/>
      <c r="Q37" s="28"/>
      <c r="U37" s="35"/>
      <c r="V37" s="35"/>
      <c r="W37" s="35" t="s">
        <v>1524</v>
      </c>
      <c r="X37" s="28" t="s">
        <v>1527</v>
      </c>
      <c r="AD37" s="29"/>
      <c r="AE37" s="29"/>
      <c r="AF37" s="29"/>
      <c r="AG37" s="29"/>
      <c r="AJ37" s="28" t="s">
        <v>31</v>
      </c>
      <c r="AK37" s="28" t="s">
        <v>79</v>
      </c>
      <c r="AL37" s="28" t="s">
        <v>80</v>
      </c>
      <c r="AM37" s="28" t="s">
        <v>287</v>
      </c>
      <c r="AN37" s="28">
        <v>300</v>
      </c>
      <c r="AO37" s="29" t="s">
        <v>34</v>
      </c>
      <c r="AP37" s="29"/>
      <c r="AQ37" s="28" t="s">
        <v>94</v>
      </c>
      <c r="AR37" s="28" t="str">
        <f>IF(ISBLANK(Table2[[#This Row],[index]]),  "", _xlfn.CONCAT("homeassistant/sensor/", LOWER(Table2[[#This Row],[device_via_device]]), "/", Table2[[#This Row],[unique_id]], "/config"))</f>
        <v>homeassistant/sensor/weewx/roof_wind_chill_temperature/config</v>
      </c>
      <c r="AS37" s="28" t="str">
        <f>IF(ISBLANK(Table2[[#This Row],[index]]),  "", _xlfn.CONCAT(LOWER(Table2[[#This Row],[device_via_device]]), "/", Table2[[#This Row],[unique_id]]))</f>
        <v>weewx/roof_wind_chill_temperature</v>
      </c>
      <c r="AZ37" s="28" t="s">
        <v>1123</v>
      </c>
      <c r="BA37" s="28">
        <v>1</v>
      </c>
      <c r="BB37" s="30"/>
      <c r="BD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Chill Temperature</v>
      </c>
      <c r="BG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" s="28" t="str">
        <f>IF(ISBLANK(Table2[[#This Row],[device_model]]), "", Table2[[#This Row],[device_suggested_area]])</f>
        <v>Roof</v>
      </c>
      <c r="BJ37" s="28" t="s">
        <v>393</v>
      </c>
      <c r="BK37" s="28" t="s">
        <v>36</v>
      </c>
      <c r="BL37" s="28" t="s">
        <v>37</v>
      </c>
      <c r="BN37" s="28" t="s">
        <v>1010</v>
      </c>
      <c r="BO37" s="28" t="s">
        <v>38</v>
      </c>
      <c r="BT37" s="28"/>
      <c r="BV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" spans="1:74" ht="16" customHeight="1" x14ac:dyDescent="0.2">
      <c r="A38" s="28">
        <v>1034</v>
      </c>
      <c r="B38" s="28" t="s">
        <v>26</v>
      </c>
      <c r="C38" s="28" t="s">
        <v>409</v>
      </c>
      <c r="D38" s="28" t="s">
        <v>304</v>
      </c>
      <c r="E38" s="28" t="s">
        <v>303</v>
      </c>
      <c r="F38" s="34" t="str">
        <f>IF(ISBLANK(Table2[[#This Row],[unique_id]]), "", PROPER(SUBSTITUTE(Table2[[#This Row],[unique_id]], "_", " ")))</f>
        <v>Column Break</v>
      </c>
      <c r="G38" s="28" t="s">
        <v>300</v>
      </c>
      <c r="H38" s="28" t="s">
        <v>78</v>
      </c>
      <c r="I38" s="28" t="s">
        <v>30</v>
      </c>
      <c r="N38" s="28" t="s">
        <v>301</v>
      </c>
      <c r="O38" s="28" t="s">
        <v>302</v>
      </c>
      <c r="P38" s="29"/>
      <c r="Q38" s="28"/>
      <c r="U38" s="35"/>
      <c r="V38" s="35"/>
      <c r="W38" s="35"/>
      <c r="X38" s="28"/>
      <c r="AD38" s="29"/>
      <c r="AE38" s="29"/>
      <c r="AF38" s="29"/>
      <c r="AG38" s="29"/>
      <c r="AO38" s="29"/>
      <c r="AP38" s="29"/>
      <c r="BA38" s="28"/>
      <c r="BB38" s="30"/>
      <c r="BC38" s="29"/>
      <c r="BD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8" s="28" t="str">
        <f>IF(ISBLANK(Table2[[#This Row],[device_model]]), "", Table2[[#This Row],[device_suggested_area]])</f>
        <v/>
      </c>
      <c r="BN38" s="29"/>
      <c r="BT38" s="28"/>
      <c r="BV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" spans="1:74" s="46" customFormat="1" ht="16" customHeight="1" x14ac:dyDescent="0.2">
      <c r="A39" s="64">
        <v>1035</v>
      </c>
      <c r="B39" s="46" t="s">
        <v>26</v>
      </c>
      <c r="C39" s="46" t="s">
        <v>1138</v>
      </c>
      <c r="D39" s="46" t="s">
        <v>27</v>
      </c>
      <c r="E39" s="46" t="s">
        <v>1519</v>
      </c>
      <c r="F39" s="47" t="str">
        <f>IF(ISBLANK(Table2[[#This Row],[unique_id]]), "", PROPER(SUBSTITUTE(Table2[[#This Row],[unique_id]], "_", " ")))</f>
        <v>Template Dining Air Purifier Pm25</v>
      </c>
      <c r="G39" s="46" t="s">
        <v>182</v>
      </c>
      <c r="H39" s="46" t="s">
        <v>422</v>
      </c>
      <c r="I39" s="46" t="s">
        <v>30</v>
      </c>
      <c r="K39" s="46" t="s">
        <v>1567</v>
      </c>
      <c r="L39" s="46" t="s">
        <v>1575</v>
      </c>
      <c r="N39" s="46" t="s">
        <v>81</v>
      </c>
      <c r="P39" s="48"/>
      <c r="U39" s="49"/>
      <c r="V39" s="49"/>
      <c r="W39" s="49"/>
      <c r="X39" s="46" t="s">
        <v>1527</v>
      </c>
      <c r="AD39" s="48"/>
      <c r="AE39" s="48"/>
      <c r="AF39" s="48"/>
      <c r="AG39" s="48"/>
      <c r="AH39" s="48"/>
      <c r="AI39" s="48"/>
      <c r="AJ39" s="28" t="s">
        <v>31</v>
      </c>
      <c r="AK39" s="46" t="s">
        <v>1572</v>
      </c>
      <c r="AL39" s="46" t="s">
        <v>1571</v>
      </c>
      <c r="AM39" s="46" t="s">
        <v>424</v>
      </c>
      <c r="BB39" s="65"/>
      <c r="BC39" s="48"/>
      <c r="BD39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9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9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9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" s="46" t="str">
        <f>IF(ISBLANK(Table2[[#This Row],[device_model]]), "", Table2[[#This Row],[device_suggested_area]])</f>
        <v/>
      </c>
      <c r="BN39" s="48"/>
      <c r="BV39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" spans="1:74" s="46" customFormat="1" ht="16" customHeight="1" x14ac:dyDescent="0.2">
      <c r="A40" s="64">
        <v>1036</v>
      </c>
      <c r="B40" s="46" t="s">
        <v>26</v>
      </c>
      <c r="C40" s="46" t="s">
        <v>1138</v>
      </c>
      <c r="D40" s="46" t="s">
        <v>27</v>
      </c>
      <c r="E40" s="46" t="s">
        <v>1520</v>
      </c>
      <c r="F40" s="47" t="str">
        <f>IF(ISBLANK(Table2[[#This Row],[unique_id]]), "", PROPER(SUBSTITUTE(Table2[[#This Row],[unique_id]], "_", " ")))</f>
        <v>Template Lounge Air Purifier Pm25</v>
      </c>
      <c r="G40" s="46" t="s">
        <v>183</v>
      </c>
      <c r="H40" s="46" t="s">
        <v>422</v>
      </c>
      <c r="I40" s="46" t="s">
        <v>30</v>
      </c>
      <c r="K40" s="46" t="s">
        <v>1568</v>
      </c>
      <c r="L40" s="46" t="s">
        <v>1576</v>
      </c>
      <c r="N40" s="46" t="s">
        <v>81</v>
      </c>
      <c r="P40" s="48"/>
      <c r="U40" s="49"/>
      <c r="V40" s="49"/>
      <c r="W40" s="49"/>
      <c r="X40" s="46" t="s">
        <v>1527</v>
      </c>
      <c r="AD40" s="48"/>
      <c r="AE40" s="48"/>
      <c r="AF40" s="48"/>
      <c r="AG40" s="48"/>
      <c r="AH40" s="48"/>
      <c r="AI40" s="48"/>
      <c r="AJ40" s="28" t="s">
        <v>31</v>
      </c>
      <c r="AK40" s="46" t="s">
        <v>1572</v>
      </c>
      <c r="AL40" s="46" t="s">
        <v>1571</v>
      </c>
      <c r="AM40" s="46" t="s">
        <v>424</v>
      </c>
      <c r="BB40" s="65"/>
      <c r="BC40" s="48"/>
      <c r="BD40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0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0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0" s="46" t="str">
        <f>IF(ISBLANK(Table2[[#This Row],[device_model]]), "", Table2[[#This Row],[device_suggested_area]])</f>
        <v/>
      </c>
      <c r="BN40" s="48"/>
      <c r="BV40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" spans="1:74" s="46" customFormat="1" ht="16" customHeight="1" x14ac:dyDescent="0.2">
      <c r="A41" s="46">
        <v>1037</v>
      </c>
      <c r="B41" s="46" t="s">
        <v>26</v>
      </c>
      <c r="C41" s="46" t="s">
        <v>1138</v>
      </c>
      <c r="D41" s="46" t="s">
        <v>27</v>
      </c>
      <c r="E41" s="46" t="s">
        <v>1521</v>
      </c>
      <c r="F41" s="47" t="str">
        <f>IF(ISBLANK(Table2[[#This Row],[unique_id]]), "", PROPER(SUBSTITUTE(Table2[[#This Row],[unique_id]], "_", " ")))</f>
        <v>Template Parents Air Purifier Pm25</v>
      </c>
      <c r="G41" s="46" t="s">
        <v>181</v>
      </c>
      <c r="H41" s="46" t="s">
        <v>422</v>
      </c>
      <c r="I41" s="46" t="s">
        <v>30</v>
      </c>
      <c r="K41" s="46" t="s">
        <v>1569</v>
      </c>
      <c r="L41" s="46" t="s">
        <v>1577</v>
      </c>
      <c r="N41" s="46" t="s">
        <v>81</v>
      </c>
      <c r="P41" s="48"/>
      <c r="U41" s="49"/>
      <c r="V41" s="49"/>
      <c r="W41" s="49"/>
      <c r="X41" s="46" t="s">
        <v>1527</v>
      </c>
      <c r="AD41" s="48"/>
      <c r="AE41" s="48"/>
      <c r="AF41" s="48"/>
      <c r="AG41" s="48"/>
      <c r="AH41" s="48"/>
      <c r="AI41" s="48"/>
      <c r="AJ41" s="28" t="s">
        <v>31</v>
      </c>
      <c r="AK41" s="46" t="s">
        <v>1572</v>
      </c>
      <c r="AL41" s="46" t="s">
        <v>1571</v>
      </c>
      <c r="AM41" s="46" t="s">
        <v>424</v>
      </c>
      <c r="BB41" s="65"/>
      <c r="BC41" s="48"/>
      <c r="BD41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" s="46" t="str">
        <f>IF(ISBLANK(Table2[[#This Row],[device_model]]), "", Table2[[#This Row],[device_suggested_area]])</f>
        <v/>
      </c>
      <c r="BN41" s="48"/>
      <c r="BV41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" spans="1:74" s="46" customFormat="1" ht="16" customHeight="1" x14ac:dyDescent="0.2">
      <c r="A42" s="64">
        <v>1038</v>
      </c>
      <c r="B42" s="46" t="s">
        <v>26</v>
      </c>
      <c r="C42" s="46" t="s">
        <v>1138</v>
      </c>
      <c r="D42" s="46" t="s">
        <v>27</v>
      </c>
      <c r="E42" s="46" t="s">
        <v>1522</v>
      </c>
      <c r="F42" s="47" t="str">
        <f>IF(ISBLANK(Table2[[#This Row],[unique_id]]), "", PROPER(SUBSTITUTE(Table2[[#This Row],[unique_id]], "_", " ")))</f>
        <v>Template Kitchen Air Purifier Pm25</v>
      </c>
      <c r="G42" s="46" t="s">
        <v>195</v>
      </c>
      <c r="H42" s="46" t="s">
        <v>422</v>
      </c>
      <c r="I42" s="46" t="s">
        <v>30</v>
      </c>
      <c r="K42" s="46" t="s">
        <v>1570</v>
      </c>
      <c r="L42" s="46" t="s">
        <v>1578</v>
      </c>
      <c r="N42" s="46" t="s">
        <v>81</v>
      </c>
      <c r="P42" s="48"/>
      <c r="U42" s="49"/>
      <c r="V42" s="49"/>
      <c r="W42" s="49"/>
      <c r="X42" s="46" t="s">
        <v>1527</v>
      </c>
      <c r="AD42" s="48"/>
      <c r="AE42" s="48"/>
      <c r="AF42" s="48"/>
      <c r="AG42" s="48"/>
      <c r="AH42" s="48"/>
      <c r="AI42" s="48"/>
      <c r="AJ42" s="28" t="s">
        <v>31</v>
      </c>
      <c r="AK42" s="46" t="s">
        <v>1572</v>
      </c>
      <c r="AL42" s="46" t="s">
        <v>1571</v>
      </c>
      <c r="AM42" s="46" t="s">
        <v>424</v>
      </c>
      <c r="BB42" s="65"/>
      <c r="BC42" s="48"/>
      <c r="BD42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" s="46" t="str">
        <f>IF(ISBLANK(Table2[[#This Row],[device_model]]), "", Table2[[#This Row],[device_suggested_area]])</f>
        <v/>
      </c>
      <c r="BN42" s="48"/>
      <c r="BV42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" spans="1:74" ht="16" customHeight="1" x14ac:dyDescent="0.2">
      <c r="A43" s="33">
        <v>1039</v>
      </c>
      <c r="B43" s="28" t="s">
        <v>543</v>
      </c>
      <c r="C43" s="28" t="s">
        <v>419</v>
      </c>
      <c r="D43" s="28" t="s">
        <v>27</v>
      </c>
      <c r="E43" s="28" t="s">
        <v>1347</v>
      </c>
      <c r="F43" s="34" t="str">
        <f>IF(ISBLANK(Table2[[#This Row],[unique_id]]), "", PROPER(SUBSTITUTE(Table2[[#This Row],[unique_id]], "_", " ")))</f>
        <v>Kitchen Air Purifier Pm25 Old</v>
      </c>
      <c r="G43" s="28" t="s">
        <v>195</v>
      </c>
      <c r="H43" s="28" t="s">
        <v>422</v>
      </c>
      <c r="I43" s="28" t="s">
        <v>30</v>
      </c>
      <c r="N43" s="28" t="s">
        <v>81</v>
      </c>
      <c r="P43" s="29"/>
      <c r="Q43" s="28"/>
      <c r="U43" s="35"/>
      <c r="V43" s="35"/>
      <c r="W43" s="35"/>
      <c r="X43" s="28" t="s">
        <v>1527</v>
      </c>
      <c r="AD43" s="29"/>
      <c r="AE43" s="29"/>
      <c r="AF43" s="29"/>
      <c r="AG43" s="29"/>
      <c r="AM43" s="28" t="s">
        <v>424</v>
      </c>
      <c r="BA43" s="28"/>
      <c r="BB43" s="38"/>
      <c r="BC43" s="29"/>
      <c r="BD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" s="28" t="str">
        <f>IF(ISBLANK(Table2[[#This Row],[device_model]]), "", Table2[[#This Row],[device_suggested_area]])</f>
        <v/>
      </c>
      <c r="BN43" s="29"/>
      <c r="BT43" s="28"/>
      <c r="BV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" spans="1:74" ht="16" customHeight="1" x14ac:dyDescent="0.2">
      <c r="A44" s="28">
        <v>1050</v>
      </c>
      <c r="B44" s="28" t="s">
        <v>26</v>
      </c>
      <c r="C44" s="28" t="s">
        <v>39</v>
      </c>
      <c r="D44" s="28" t="s">
        <v>27</v>
      </c>
      <c r="E44" s="28" t="s">
        <v>1086</v>
      </c>
      <c r="F44" s="34" t="str">
        <f>IF(ISBLANK(Table2[[#This Row],[unique_id]]), "", PROPER(SUBSTITUTE(Table2[[#This Row],[unique_id]], "_", " ")))</f>
        <v>Roof Humidity</v>
      </c>
      <c r="G44" s="28" t="s">
        <v>38</v>
      </c>
      <c r="H44" s="28" t="s">
        <v>29</v>
      </c>
      <c r="I44" s="28" t="s">
        <v>30</v>
      </c>
      <c r="N44" s="28" t="s">
        <v>81</v>
      </c>
      <c r="P44" s="29"/>
      <c r="Q44" s="28"/>
      <c r="U44" s="35"/>
      <c r="V44" s="35"/>
      <c r="W44" s="35" t="s">
        <v>1524</v>
      </c>
      <c r="X44" s="28" t="s">
        <v>1527</v>
      </c>
      <c r="Y44" s="28" t="s">
        <v>1518</v>
      </c>
      <c r="AD44" s="29"/>
      <c r="AE44" s="29"/>
      <c r="AF44" s="29"/>
      <c r="AG44" s="29"/>
      <c r="AJ44" s="28" t="s">
        <v>31</v>
      </c>
      <c r="AK44" s="28" t="s">
        <v>32</v>
      </c>
      <c r="AL44" s="28" t="s">
        <v>33</v>
      </c>
      <c r="AM44" s="28" t="s">
        <v>289</v>
      </c>
      <c r="AN44" s="28">
        <v>300</v>
      </c>
      <c r="AO44" s="29" t="s">
        <v>34</v>
      </c>
      <c r="AP44" s="29"/>
      <c r="AQ44" s="28" t="s">
        <v>40</v>
      </c>
      <c r="AR44" s="28" t="str">
        <f>IF(ISBLANK(Table2[[#This Row],[index]]),  "", _xlfn.CONCAT("homeassistant/sensor/", LOWER(Table2[[#This Row],[device_via_device]]), "/", Table2[[#This Row],[unique_id]], "/config"))</f>
        <v>homeassistant/sensor/weewx/roof_humidity/config</v>
      </c>
      <c r="AS44" s="28" t="str">
        <f>IF(ISBLANK(Table2[[#This Row],[index]]),  "", _xlfn.CONCAT(LOWER(Table2[[#This Row],[device_via_device]]), "/", Table2[[#This Row],[unique_id]]))</f>
        <v>weewx/roof_humidity</v>
      </c>
      <c r="AZ44" s="28" t="str">
        <f>_xlfn.CONCAT("{{ (value | int(0)) if (value is defined and value | int(-1) &gt;= 0) else (states('sensor.", Table2[[#This Row],[unique_id]], "') | int(None)) }}")</f>
        <v>{{ (value | int(0)) if (value is defined and value | int(-1) &gt;= 0) else (states('sensor.roof_humidity') | int(None)) }}</v>
      </c>
      <c r="BA44" s="28">
        <v>1</v>
      </c>
      <c r="BB44" s="30"/>
      <c r="BD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Humidity</v>
      </c>
      <c r="BG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" s="28" t="str">
        <f>IF(ISBLANK(Table2[[#This Row],[device_model]]), "", Table2[[#This Row],[device_suggested_area]])</f>
        <v>Roof</v>
      </c>
      <c r="BJ44" s="28" t="s">
        <v>393</v>
      </c>
      <c r="BK44" s="28" t="s">
        <v>36</v>
      </c>
      <c r="BL44" s="28" t="s">
        <v>37</v>
      </c>
      <c r="BN44" s="28" t="s">
        <v>1010</v>
      </c>
      <c r="BO44" s="28" t="s">
        <v>38</v>
      </c>
      <c r="BT44" s="28"/>
      <c r="BV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" spans="1:74" ht="16" customHeight="1" x14ac:dyDescent="0.2">
      <c r="A45" s="28">
        <v>1051</v>
      </c>
      <c r="B45" s="28" t="s">
        <v>26</v>
      </c>
      <c r="C45" s="28" t="s">
        <v>119</v>
      </c>
      <c r="D45" s="28" t="s">
        <v>27</v>
      </c>
      <c r="E45" s="28" t="s">
        <v>1087</v>
      </c>
      <c r="F45" s="34" t="str">
        <f>IF(ISBLANK(Table2[[#This Row],[unique_id]]), "", PROPER(SUBSTITUTE(Table2[[#This Row],[unique_id]], "_", " ")))</f>
        <v>Ada Humidity</v>
      </c>
      <c r="G45" s="28" t="s">
        <v>121</v>
      </c>
      <c r="H45" s="28" t="s">
        <v>29</v>
      </c>
      <c r="I45" s="28" t="s">
        <v>30</v>
      </c>
      <c r="N45" s="28" t="s">
        <v>81</v>
      </c>
      <c r="P45" s="29"/>
      <c r="Q45" s="28"/>
      <c r="U45" s="35"/>
      <c r="V45" s="35"/>
      <c r="W45" s="35"/>
      <c r="X45" s="28" t="s">
        <v>1527</v>
      </c>
      <c r="AD45" s="29"/>
      <c r="AE45" s="29"/>
      <c r="AF45" s="29"/>
      <c r="AG45" s="29"/>
      <c r="AM45" s="28" t="s">
        <v>289</v>
      </c>
      <c r="AO45" s="29"/>
      <c r="AP45" s="29"/>
      <c r="BA45" s="28"/>
      <c r="BB45" s="30"/>
      <c r="BD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BE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F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5" s="28" t="str">
        <f>IF(ISBLANK(Table2[[#This Row],[device_model]]), "", Table2[[#This Row],[device_suggested_area]])</f>
        <v>Ada</v>
      </c>
      <c r="BJ45" s="28" t="s">
        <v>939</v>
      </c>
      <c r="BK45" s="28" t="s">
        <v>937</v>
      </c>
      <c r="BL45" s="28" t="s">
        <v>119</v>
      </c>
      <c r="BN45" s="28" t="s">
        <v>394</v>
      </c>
      <c r="BO45" s="28" t="s">
        <v>121</v>
      </c>
      <c r="BT45" s="28"/>
      <c r="BV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" spans="1:74" ht="16" customHeight="1" x14ac:dyDescent="0.2">
      <c r="A46" s="28">
        <v>1052</v>
      </c>
      <c r="B46" s="28" t="s">
        <v>26</v>
      </c>
      <c r="C46" s="28" t="s">
        <v>119</v>
      </c>
      <c r="D46" s="28" t="s">
        <v>27</v>
      </c>
      <c r="E46" s="28" t="s">
        <v>1088</v>
      </c>
      <c r="F46" s="34" t="str">
        <f>IF(ISBLANK(Table2[[#This Row],[unique_id]]), "", PROPER(SUBSTITUTE(Table2[[#This Row],[unique_id]], "_", " ")))</f>
        <v>Edwin Humidity</v>
      </c>
      <c r="G46" s="28" t="s">
        <v>118</v>
      </c>
      <c r="H46" s="28" t="s">
        <v>29</v>
      </c>
      <c r="I46" s="28" t="s">
        <v>30</v>
      </c>
      <c r="N46" s="28" t="s">
        <v>81</v>
      </c>
      <c r="P46" s="29"/>
      <c r="Q46" s="28"/>
      <c r="U46" s="35"/>
      <c r="V46" s="35"/>
      <c r="W46" s="35"/>
      <c r="X46" s="28" t="s">
        <v>1527</v>
      </c>
      <c r="AD46" s="29"/>
      <c r="AE46" s="29"/>
      <c r="AF46" s="29"/>
      <c r="AG46" s="29"/>
      <c r="AM46" s="28" t="s">
        <v>289</v>
      </c>
      <c r="AO46" s="29"/>
      <c r="AP46" s="29"/>
      <c r="BA46" s="28"/>
      <c r="BB46" s="30"/>
      <c r="BD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BE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F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" s="28" t="str">
        <f>IF(ISBLANK(Table2[[#This Row],[device_model]]), "", Table2[[#This Row],[device_suggested_area]])</f>
        <v>Edwin</v>
      </c>
      <c r="BJ46" s="28" t="s">
        <v>939</v>
      </c>
      <c r="BK46" s="28" t="s">
        <v>937</v>
      </c>
      <c r="BL46" s="28" t="s">
        <v>119</v>
      </c>
      <c r="BN46" s="28" t="s">
        <v>394</v>
      </c>
      <c r="BO46" s="28" t="s">
        <v>118</v>
      </c>
      <c r="BT46" s="28"/>
      <c r="BV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7" spans="1:74" ht="16" customHeight="1" x14ac:dyDescent="0.2">
      <c r="A47" s="28">
        <v>1053</v>
      </c>
      <c r="B47" s="28" t="s">
        <v>26</v>
      </c>
      <c r="C47" s="28" t="s">
        <v>119</v>
      </c>
      <c r="D47" s="28" t="s">
        <v>27</v>
      </c>
      <c r="E47" s="28" t="s">
        <v>1267</v>
      </c>
      <c r="F47" s="34" t="str">
        <f>IF(ISBLANK(Table2[[#This Row],[unique_id]]), "", PROPER(SUBSTITUTE(Table2[[#This Row],[unique_id]], "_", " ")))</f>
        <v>Office Lounge Humidity</v>
      </c>
      <c r="G47" s="28" t="s">
        <v>183</v>
      </c>
      <c r="H47" s="28" t="s">
        <v>29</v>
      </c>
      <c r="I47" s="28" t="s">
        <v>30</v>
      </c>
      <c r="N47" s="28" t="s">
        <v>81</v>
      </c>
      <c r="P47" s="29"/>
      <c r="Q47" s="28"/>
      <c r="U47" s="35"/>
      <c r="V47" s="35"/>
      <c r="W47" s="35"/>
      <c r="X47" s="28" t="s">
        <v>1527</v>
      </c>
      <c r="AD47" s="29"/>
      <c r="AE47" s="29"/>
      <c r="AF47" s="29"/>
      <c r="AG47" s="29"/>
      <c r="AM47" s="28" t="s">
        <v>289</v>
      </c>
      <c r="AO47" s="29"/>
      <c r="AP47" s="29"/>
      <c r="BA47" s="28"/>
      <c r="BB47" s="30"/>
      <c r="BD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BE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F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7" s="28" t="str">
        <f>IF(ISBLANK(Table2[[#This Row],[device_model]]), "", Table2[[#This Row],[device_suggested_area]])</f>
        <v>Lounge</v>
      </c>
      <c r="BJ47" s="28" t="s">
        <v>938</v>
      </c>
      <c r="BK47" s="28" t="s">
        <v>940</v>
      </c>
      <c r="BL47" s="28" t="s">
        <v>119</v>
      </c>
      <c r="BN47" s="28" t="s">
        <v>395</v>
      </c>
      <c r="BO47" s="28" t="s">
        <v>183</v>
      </c>
      <c r="BT47" s="28"/>
      <c r="BV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8" spans="1:74" ht="16" customHeight="1" x14ac:dyDescent="0.2">
      <c r="A48" s="28">
        <v>1054</v>
      </c>
      <c r="B48" s="28" t="s">
        <v>26</v>
      </c>
      <c r="C48" s="28" t="s">
        <v>119</v>
      </c>
      <c r="D48" s="28" t="s">
        <v>27</v>
      </c>
      <c r="E48" s="28" t="s">
        <v>1089</v>
      </c>
      <c r="F48" s="34" t="str">
        <f>IF(ISBLANK(Table2[[#This Row],[unique_id]]), "", PROPER(SUBSTITUTE(Table2[[#This Row],[unique_id]], "_", " ")))</f>
        <v>Parents Humidity</v>
      </c>
      <c r="G48" s="28" t="s">
        <v>181</v>
      </c>
      <c r="H48" s="28" t="s">
        <v>29</v>
      </c>
      <c r="I48" s="28" t="s">
        <v>30</v>
      </c>
      <c r="N48" s="28" t="s">
        <v>127</v>
      </c>
      <c r="P48" s="29"/>
      <c r="Q48" s="28"/>
      <c r="U48" s="35"/>
      <c r="V48" s="35"/>
      <c r="W48" s="35"/>
      <c r="X48" s="28" t="s">
        <v>1527</v>
      </c>
      <c r="AD48" s="29"/>
      <c r="AE48" s="29"/>
      <c r="AF48" s="29"/>
      <c r="AG48" s="29"/>
      <c r="AM48" s="28" t="s">
        <v>289</v>
      </c>
      <c r="AO48" s="29"/>
      <c r="AP48" s="29"/>
      <c r="BA48" s="28"/>
      <c r="BB48" s="30"/>
      <c r="BD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BE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F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8" s="28" t="str">
        <f>IF(ISBLANK(Table2[[#This Row],[device_model]]), "", Table2[[#This Row],[device_suggested_area]])</f>
        <v>Parents</v>
      </c>
      <c r="BJ48" s="28" t="s">
        <v>939</v>
      </c>
      <c r="BK48" s="28" t="s">
        <v>937</v>
      </c>
      <c r="BL48" s="28" t="s">
        <v>119</v>
      </c>
      <c r="BN48" s="28" t="s">
        <v>394</v>
      </c>
      <c r="BO48" s="28" t="s">
        <v>181</v>
      </c>
      <c r="BT48" s="28"/>
      <c r="BV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9" spans="1:74" ht="16" customHeight="1" x14ac:dyDescent="0.2">
      <c r="A49" s="28">
        <v>1055</v>
      </c>
      <c r="B49" s="28" t="s">
        <v>26</v>
      </c>
      <c r="C49" s="28" t="s">
        <v>119</v>
      </c>
      <c r="D49" s="28" t="s">
        <v>27</v>
      </c>
      <c r="E49" s="28" t="s">
        <v>1169</v>
      </c>
      <c r="F49" s="34" t="str">
        <f>IF(ISBLANK(Table2[[#This Row],[unique_id]]), "", PROPER(SUBSTITUTE(Table2[[#This Row],[unique_id]], "_", " ")))</f>
        <v>Office Humidity</v>
      </c>
      <c r="G49" s="28" t="s">
        <v>201</v>
      </c>
      <c r="H49" s="28" t="s">
        <v>29</v>
      </c>
      <c r="I49" s="28" t="s">
        <v>30</v>
      </c>
      <c r="N49" s="28" t="s">
        <v>127</v>
      </c>
      <c r="P49" s="29"/>
      <c r="Q49" s="28"/>
      <c r="U49" s="35"/>
      <c r="V49" s="35"/>
      <c r="W49" s="35"/>
      <c r="X49" s="28" t="s">
        <v>1527</v>
      </c>
      <c r="AD49" s="29"/>
      <c r="AE49" s="29"/>
      <c r="AF49" s="29"/>
      <c r="AG49" s="29"/>
      <c r="AM49" s="28" t="s">
        <v>289</v>
      </c>
      <c r="AO49" s="29"/>
      <c r="AP49" s="29"/>
      <c r="BA49" s="28"/>
      <c r="BB49" s="30"/>
      <c r="BD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BE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BF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9" s="28" t="str">
        <f>IF(ISBLANK(Table2[[#This Row],[device_model]]), "", Table2[[#This Row],[device_suggested_area]])</f>
        <v>Office</v>
      </c>
      <c r="BJ49" s="28" t="s">
        <v>938</v>
      </c>
      <c r="BK49" s="28" t="s">
        <v>940</v>
      </c>
      <c r="BL49" s="28" t="s">
        <v>119</v>
      </c>
      <c r="BN49" s="28" t="s">
        <v>395</v>
      </c>
      <c r="BO49" s="28" t="s">
        <v>201</v>
      </c>
      <c r="BT49" s="28"/>
      <c r="BV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0" spans="1:74" ht="16" customHeight="1" x14ac:dyDescent="0.2">
      <c r="A50" s="28">
        <v>1056</v>
      </c>
      <c r="B50" s="28" t="s">
        <v>26</v>
      </c>
      <c r="C50" s="28" t="s">
        <v>119</v>
      </c>
      <c r="D50" s="28" t="s">
        <v>27</v>
      </c>
      <c r="E50" s="28" t="s">
        <v>1168</v>
      </c>
      <c r="F50" s="34" t="str">
        <f>IF(ISBLANK(Table2[[#This Row],[unique_id]]), "", PROPER(SUBSTITUTE(Table2[[#This Row],[unique_id]], "_", " ")))</f>
        <v>Kitchen Humidity</v>
      </c>
      <c r="G50" s="28" t="s">
        <v>195</v>
      </c>
      <c r="H50" s="28" t="s">
        <v>29</v>
      </c>
      <c r="I50" s="28" t="s">
        <v>30</v>
      </c>
      <c r="N50" s="28" t="s">
        <v>127</v>
      </c>
      <c r="P50" s="29"/>
      <c r="Q50" s="28"/>
      <c r="U50" s="35"/>
      <c r="V50" s="35"/>
      <c r="W50" s="35"/>
      <c r="X50" s="28" t="s">
        <v>1527</v>
      </c>
      <c r="AD50" s="29"/>
      <c r="AE50" s="29"/>
      <c r="AF50" s="29"/>
      <c r="AG50" s="29"/>
      <c r="AM50" s="28" t="s">
        <v>289</v>
      </c>
      <c r="AO50" s="29"/>
      <c r="AP50" s="29"/>
      <c r="BA50" s="28"/>
      <c r="BB50" s="30"/>
      <c r="BD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BE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BF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0" s="28" t="str">
        <f>IF(ISBLANK(Table2[[#This Row],[device_model]]), "", Table2[[#This Row],[device_suggested_area]])</f>
        <v>Kitchen</v>
      </c>
      <c r="BJ50" s="28" t="s">
        <v>938</v>
      </c>
      <c r="BK50" s="28" t="s">
        <v>940</v>
      </c>
      <c r="BL50" s="28" t="s">
        <v>119</v>
      </c>
      <c r="BN50" s="28" t="s">
        <v>395</v>
      </c>
      <c r="BO50" s="28" t="s">
        <v>195</v>
      </c>
      <c r="BT50" s="28"/>
      <c r="BV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1" spans="1:74" ht="16" customHeight="1" x14ac:dyDescent="0.2">
      <c r="A51" s="28">
        <v>1057</v>
      </c>
      <c r="B51" s="28" t="s">
        <v>26</v>
      </c>
      <c r="C51" s="28" t="s">
        <v>119</v>
      </c>
      <c r="D51" s="28" t="s">
        <v>27</v>
      </c>
      <c r="E51" s="28" t="s">
        <v>1268</v>
      </c>
      <c r="F51" s="34" t="str">
        <f>IF(ISBLANK(Table2[[#This Row],[unique_id]]), "", PROPER(SUBSTITUTE(Table2[[#This Row],[unique_id]], "_", " ")))</f>
        <v>Office Pantry Humidity</v>
      </c>
      <c r="G51" s="28" t="s">
        <v>200</v>
      </c>
      <c r="H51" s="28" t="s">
        <v>29</v>
      </c>
      <c r="I51" s="28" t="s">
        <v>30</v>
      </c>
      <c r="N51" s="28" t="s">
        <v>127</v>
      </c>
      <c r="P51" s="29"/>
      <c r="Q51" s="28"/>
      <c r="U51" s="35"/>
      <c r="V51" s="35"/>
      <c r="W51" s="35"/>
      <c r="X51" s="28" t="s">
        <v>1527</v>
      </c>
      <c r="AD51" s="29"/>
      <c r="AE51" s="29"/>
      <c r="AF51" s="29"/>
      <c r="AG51" s="29"/>
      <c r="AM51" s="28" t="s">
        <v>289</v>
      </c>
      <c r="AO51" s="29"/>
      <c r="AP51" s="29"/>
      <c r="BA51" s="28"/>
      <c r="BB51" s="30"/>
      <c r="BD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BE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F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1" s="28" t="str">
        <f>IF(ISBLANK(Table2[[#This Row],[device_model]]), "", Table2[[#This Row],[device_suggested_area]])</f>
        <v>Pantry</v>
      </c>
      <c r="BJ51" s="28" t="s">
        <v>938</v>
      </c>
      <c r="BK51" s="28" t="s">
        <v>940</v>
      </c>
      <c r="BL51" s="28" t="s">
        <v>119</v>
      </c>
      <c r="BN51" s="28" t="s">
        <v>395</v>
      </c>
      <c r="BO51" s="28" t="s">
        <v>200</v>
      </c>
      <c r="BT51" s="28"/>
      <c r="BV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2" spans="1:74" ht="16" customHeight="1" x14ac:dyDescent="0.2">
      <c r="A52" s="28">
        <v>1058</v>
      </c>
      <c r="B52" s="28" t="s">
        <v>26</v>
      </c>
      <c r="C52" s="28" t="s">
        <v>119</v>
      </c>
      <c r="D52" s="28" t="s">
        <v>27</v>
      </c>
      <c r="E52" s="28" t="s">
        <v>1269</v>
      </c>
      <c r="F52" s="34" t="str">
        <f>IF(ISBLANK(Table2[[#This Row],[unique_id]]), "", PROPER(SUBSTITUTE(Table2[[#This Row],[unique_id]], "_", " ")))</f>
        <v>Office Dining Humidity</v>
      </c>
      <c r="G52" s="28" t="s">
        <v>182</v>
      </c>
      <c r="H52" s="28" t="s">
        <v>29</v>
      </c>
      <c r="I52" s="28" t="s">
        <v>30</v>
      </c>
      <c r="N52" s="28" t="s">
        <v>127</v>
      </c>
      <c r="P52" s="29"/>
      <c r="Q52" s="28"/>
      <c r="U52" s="35"/>
      <c r="V52" s="35"/>
      <c r="W52" s="35"/>
      <c r="X52" s="28" t="s">
        <v>1527</v>
      </c>
      <c r="AD52" s="29"/>
      <c r="AE52" s="29"/>
      <c r="AF52" s="29"/>
      <c r="AG52" s="29"/>
      <c r="AM52" s="28" t="s">
        <v>289</v>
      </c>
      <c r="AO52" s="29"/>
      <c r="AP52" s="29"/>
      <c r="BA52" s="28"/>
      <c r="BB52" s="30"/>
      <c r="BD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BE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F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2" s="28" t="str">
        <f>IF(ISBLANK(Table2[[#This Row],[device_model]]), "", Table2[[#This Row],[device_suggested_area]])</f>
        <v>Dining</v>
      </c>
      <c r="BJ52" s="28" t="s">
        <v>938</v>
      </c>
      <c r="BK52" s="28" t="s">
        <v>940</v>
      </c>
      <c r="BL52" s="28" t="s">
        <v>119</v>
      </c>
      <c r="BN52" s="28" t="s">
        <v>395</v>
      </c>
      <c r="BO52" s="28" t="s">
        <v>182</v>
      </c>
      <c r="BT52" s="28"/>
      <c r="BV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3" spans="1:74" ht="16" customHeight="1" x14ac:dyDescent="0.2">
      <c r="A53" s="28">
        <v>1059</v>
      </c>
      <c r="B53" s="28" t="s">
        <v>26</v>
      </c>
      <c r="C53" s="28" t="s">
        <v>119</v>
      </c>
      <c r="D53" s="28" t="s">
        <v>27</v>
      </c>
      <c r="E53" s="28" t="s">
        <v>1090</v>
      </c>
      <c r="F53" s="34" t="str">
        <f>IF(ISBLANK(Table2[[#This Row],[unique_id]]), "", PROPER(SUBSTITUTE(Table2[[#This Row],[unique_id]], "_", " ")))</f>
        <v>Laundry Humidity</v>
      </c>
      <c r="G53" s="28" t="s">
        <v>202</v>
      </c>
      <c r="H53" s="28" t="s">
        <v>29</v>
      </c>
      <c r="I53" s="28" t="s">
        <v>30</v>
      </c>
      <c r="N53" s="28" t="s">
        <v>127</v>
      </c>
      <c r="P53" s="29"/>
      <c r="Q53" s="28"/>
      <c r="U53" s="35"/>
      <c r="V53" s="35"/>
      <c r="W53" s="35"/>
      <c r="X53" s="28" t="s">
        <v>1527</v>
      </c>
      <c r="AD53" s="29"/>
      <c r="AE53" s="29"/>
      <c r="AF53" s="29"/>
      <c r="AG53" s="29"/>
      <c r="AM53" s="28" t="s">
        <v>289</v>
      </c>
      <c r="AO53" s="29"/>
      <c r="AP53" s="29"/>
      <c r="BA53" s="28"/>
      <c r="BB53" s="30"/>
      <c r="BD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BE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F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3" s="28" t="str">
        <f>IF(ISBLANK(Table2[[#This Row],[device_model]]), "", Table2[[#This Row],[device_suggested_area]])</f>
        <v>Laundry</v>
      </c>
      <c r="BJ53" s="28" t="s">
        <v>939</v>
      </c>
      <c r="BK53" s="28" t="s">
        <v>937</v>
      </c>
      <c r="BL53" s="28" t="s">
        <v>119</v>
      </c>
      <c r="BN53" s="28" t="s">
        <v>394</v>
      </c>
      <c r="BO53" s="28" t="s">
        <v>202</v>
      </c>
      <c r="BT53" s="28"/>
      <c r="BV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4" spans="1:74" ht="16" customHeight="1" x14ac:dyDescent="0.2">
      <c r="A54" s="28">
        <v>1060</v>
      </c>
      <c r="B54" s="28" t="s">
        <v>26</v>
      </c>
      <c r="C54" s="28" t="s">
        <v>39</v>
      </c>
      <c r="D54" s="28" t="s">
        <v>27</v>
      </c>
      <c r="E54" s="28" t="s">
        <v>1110</v>
      </c>
      <c r="F54" s="34" t="str">
        <f>IF(ISBLANK(Table2[[#This Row],[unique_id]]), "", PROPER(SUBSTITUTE(Table2[[#This Row],[unique_id]], "_", " ")))</f>
        <v>Wardrobe Humidity</v>
      </c>
      <c r="G54" s="28" t="s">
        <v>460</v>
      </c>
      <c r="H54" s="28" t="s">
        <v>29</v>
      </c>
      <c r="I54" s="28" t="s">
        <v>30</v>
      </c>
      <c r="N54" s="28" t="s">
        <v>127</v>
      </c>
      <c r="P54" s="29"/>
      <c r="Q54" s="28"/>
      <c r="U54" s="35"/>
      <c r="V54" s="35"/>
      <c r="W54" s="35"/>
      <c r="X54" s="28" t="s">
        <v>1527</v>
      </c>
      <c r="AD54" s="29"/>
      <c r="AE54" s="29"/>
      <c r="AF54" s="29"/>
      <c r="AG54" s="29"/>
      <c r="AJ54" s="28" t="s">
        <v>31</v>
      </c>
      <c r="AK54" s="28" t="s">
        <v>32</v>
      </c>
      <c r="AL54" s="28" t="s">
        <v>33</v>
      </c>
      <c r="AM54" s="28" t="s">
        <v>289</v>
      </c>
      <c r="AN54" s="28">
        <v>300</v>
      </c>
      <c r="AO54" s="29" t="s">
        <v>34</v>
      </c>
      <c r="AP54" s="29"/>
      <c r="AQ54" s="28" t="s">
        <v>35</v>
      </c>
      <c r="AR54" s="28" t="str">
        <f>IF(ISBLANK(Table2[[#This Row],[index]]),  "", _xlfn.CONCAT("homeassistant/sensor/", LOWER(Table2[[#This Row],[device_via_device]]), "/", Table2[[#This Row],[unique_id]], "/config"))</f>
        <v>homeassistant/sensor/weewx/wardrobe_humidity/config</v>
      </c>
      <c r="AS54" s="28" t="str">
        <f>IF(ISBLANK(Table2[[#This Row],[index]]),  "", _xlfn.CONCAT(LOWER(Table2[[#This Row],[device_via_device]]), "/", Table2[[#This Row],[unique_id]]))</f>
        <v>weewx/wardrobe_humidity</v>
      </c>
      <c r="AZ54" s="28" t="str">
        <f>_xlfn.CONCAT("{{ (value | int(0)) if (value is defined and value | int(-1) &gt;= 0) else (states('sensor.", Table2[[#This Row],[unique_id]], "') | int(None)) }}")</f>
        <v>{{ (value | int(0)) if (value is defined and value | int(-1) &gt;= 0) else (states('sensor.wardrobe_humidity') | int(None)) }}</v>
      </c>
      <c r="BA54" s="28">
        <v>1</v>
      </c>
      <c r="BB54" s="30"/>
      <c r="BD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BE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F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Wardrobe Humidity</v>
      </c>
      <c r="BG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4" s="28" t="str">
        <f>IF(ISBLANK(Table2[[#This Row],[device_model]]), "", Table2[[#This Row],[device_suggested_area]])</f>
        <v>Wardrobe</v>
      </c>
      <c r="BJ54" s="28" t="s">
        <v>1153</v>
      </c>
      <c r="BK54" s="28" t="s">
        <v>36</v>
      </c>
      <c r="BL54" s="28" t="s">
        <v>37</v>
      </c>
      <c r="BN54" s="28" t="s">
        <v>1010</v>
      </c>
      <c r="BO54" s="28" t="s">
        <v>460</v>
      </c>
      <c r="BT54" s="28"/>
      <c r="BV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5" spans="1:74" ht="16" customHeight="1" x14ac:dyDescent="0.2">
      <c r="A55" s="28">
        <v>1061</v>
      </c>
      <c r="B55" s="28" t="s">
        <v>26</v>
      </c>
      <c r="C55" s="28" t="s">
        <v>119</v>
      </c>
      <c r="D55" s="28" t="s">
        <v>27</v>
      </c>
      <c r="E55" s="28" t="s">
        <v>1270</v>
      </c>
      <c r="F55" s="34" t="str">
        <f>IF(ISBLANK(Table2[[#This Row],[unique_id]]), "", PROPER(SUBSTITUTE(Table2[[#This Row],[unique_id]], "_", " ")))</f>
        <v>Office Basement Humidity</v>
      </c>
      <c r="G55" s="28" t="s">
        <v>199</v>
      </c>
      <c r="H55" s="28" t="s">
        <v>29</v>
      </c>
      <c r="I55" s="28" t="s">
        <v>30</v>
      </c>
      <c r="N55" s="28" t="s">
        <v>127</v>
      </c>
      <c r="P55" s="29"/>
      <c r="Q55" s="28"/>
      <c r="U55" s="35"/>
      <c r="V55" s="35"/>
      <c r="W55" s="35"/>
      <c r="X55" s="28" t="s">
        <v>1527</v>
      </c>
      <c r="AD55" s="29"/>
      <c r="AE55" s="29"/>
      <c r="AF55" s="29"/>
      <c r="AG55" s="29"/>
      <c r="AM55" s="28" t="s">
        <v>289</v>
      </c>
      <c r="AO55" s="29"/>
      <c r="AP55" s="29"/>
      <c r="BA55" s="28"/>
      <c r="BB55" s="30"/>
      <c r="BD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BE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BF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5" s="28" t="str">
        <f>IF(ISBLANK(Table2[[#This Row],[device_model]]), "", Table2[[#This Row],[device_suggested_area]])</f>
        <v>Basement</v>
      </c>
      <c r="BJ55" s="28" t="s">
        <v>938</v>
      </c>
      <c r="BK55" s="28" t="s">
        <v>940</v>
      </c>
      <c r="BL55" s="28" t="s">
        <v>119</v>
      </c>
      <c r="BN55" s="28" t="s">
        <v>395</v>
      </c>
      <c r="BO55" s="28" t="s">
        <v>199</v>
      </c>
      <c r="BT55" s="28"/>
      <c r="BV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6" spans="1:74" ht="16" customHeight="1" x14ac:dyDescent="0.2">
      <c r="A56" s="28">
        <v>1062</v>
      </c>
      <c r="B56" s="28" t="s">
        <v>26</v>
      </c>
      <c r="C56" s="28" t="s">
        <v>409</v>
      </c>
      <c r="D56" s="28" t="s">
        <v>304</v>
      </c>
      <c r="E56" s="28" t="s">
        <v>303</v>
      </c>
      <c r="F56" s="34" t="str">
        <f>IF(ISBLANK(Table2[[#This Row],[unique_id]]), "", PROPER(SUBSTITUTE(Table2[[#This Row],[unique_id]], "_", " ")))</f>
        <v>Column Break</v>
      </c>
      <c r="G56" s="28" t="s">
        <v>300</v>
      </c>
      <c r="H56" s="28" t="s">
        <v>29</v>
      </c>
      <c r="I56" s="28" t="s">
        <v>30</v>
      </c>
      <c r="N56" s="28" t="s">
        <v>301</v>
      </c>
      <c r="O56" s="28" t="s">
        <v>302</v>
      </c>
      <c r="P56" s="29"/>
      <c r="Q56" s="28"/>
      <c r="U56" s="35"/>
      <c r="V56" s="35"/>
      <c r="W56" s="35"/>
      <c r="X56" s="28"/>
      <c r="AD56" s="29"/>
      <c r="AE56" s="29"/>
      <c r="AF56" s="29"/>
      <c r="AG56" s="29"/>
      <c r="AO56" s="29"/>
      <c r="AP56" s="29"/>
      <c r="BA56" s="28"/>
      <c r="BB56" s="30"/>
      <c r="BC56" s="29"/>
      <c r="BD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6" s="28" t="str">
        <f>IF(ISBLANK(Table2[[#This Row],[device_model]]), "", Table2[[#This Row],[device_suggested_area]])</f>
        <v/>
      </c>
      <c r="BN56" s="29"/>
      <c r="BT56" s="28"/>
      <c r="BV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7" spans="1:74" ht="16" customHeight="1" x14ac:dyDescent="0.2">
      <c r="A57" s="28">
        <v>1100</v>
      </c>
      <c r="B57" s="28" t="s">
        <v>543</v>
      </c>
      <c r="C57" s="28" t="s">
        <v>119</v>
      </c>
      <c r="D57" s="28" t="s">
        <v>27</v>
      </c>
      <c r="E57" s="28" t="s">
        <v>1271</v>
      </c>
      <c r="F57" s="34" t="str">
        <f>IF(ISBLANK(Table2[[#This Row],[unique_id]]), "", PROPER(SUBSTITUTE(Table2[[#This Row],[unique_id]], "_", " ")))</f>
        <v>Ada Carbon Dioxide</v>
      </c>
      <c r="G57" s="28" t="s">
        <v>121</v>
      </c>
      <c r="H57" s="28" t="s">
        <v>167</v>
      </c>
      <c r="I57" s="28" t="s">
        <v>30</v>
      </c>
      <c r="P57" s="29"/>
      <c r="Q57" s="28"/>
      <c r="U57" s="35"/>
      <c r="V57" s="35"/>
      <c r="W57" s="35"/>
      <c r="X57" s="28"/>
      <c r="AD57" s="29"/>
      <c r="AE57" s="29"/>
      <c r="AF57" s="29"/>
      <c r="AG57" s="29"/>
      <c r="AM57" s="28" t="s">
        <v>1299</v>
      </c>
      <c r="AO57" s="29"/>
      <c r="AP57" s="29"/>
      <c r="BA57" s="28"/>
      <c r="BB57" s="30"/>
      <c r="BD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BE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F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7" s="28" t="str">
        <f>IF(ISBLANK(Table2[[#This Row],[device_model]]), "", Table2[[#This Row],[device_suggested_area]])</f>
        <v>Ada</v>
      </c>
      <c r="BJ57" s="28" t="s">
        <v>939</v>
      </c>
      <c r="BK57" s="28" t="s">
        <v>937</v>
      </c>
      <c r="BL57" s="28" t="s">
        <v>119</v>
      </c>
      <c r="BN57" s="28" t="s">
        <v>394</v>
      </c>
      <c r="BO57" s="28" t="s">
        <v>121</v>
      </c>
      <c r="BT57" s="28"/>
      <c r="BV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8" spans="1:74" ht="16" customHeight="1" x14ac:dyDescent="0.2">
      <c r="A58" s="28">
        <v>1101</v>
      </c>
      <c r="B58" s="28" t="s">
        <v>26</v>
      </c>
      <c r="C58" s="28" t="s">
        <v>119</v>
      </c>
      <c r="D58" s="28" t="s">
        <v>27</v>
      </c>
      <c r="E58" s="28" t="s">
        <v>1272</v>
      </c>
      <c r="F58" s="34" t="str">
        <f>IF(ISBLANK(Table2[[#This Row],[unique_id]]), "", PROPER(SUBSTITUTE(Table2[[#This Row],[unique_id]], "_", " ")))</f>
        <v>Edwin Carbon Dioxide</v>
      </c>
      <c r="G58" s="28" t="s">
        <v>118</v>
      </c>
      <c r="H58" s="28" t="s">
        <v>167</v>
      </c>
      <c r="I58" s="28" t="s">
        <v>30</v>
      </c>
      <c r="N58" s="28" t="s">
        <v>81</v>
      </c>
      <c r="P58" s="29"/>
      <c r="Q58" s="28"/>
      <c r="U58" s="35"/>
      <c r="V58" s="35"/>
      <c r="W58" s="35"/>
      <c r="X58" s="28" t="s">
        <v>1527</v>
      </c>
      <c r="AD58" s="29"/>
      <c r="AE58" s="29"/>
      <c r="AF58" s="29"/>
      <c r="AG58" s="29"/>
      <c r="AM58" s="28" t="s">
        <v>1299</v>
      </c>
      <c r="BA58" s="28"/>
      <c r="BB58" s="38"/>
      <c r="BD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BE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F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8" s="28" t="str">
        <f>IF(ISBLANK(Table2[[#This Row],[device_model]]), "", Table2[[#This Row],[device_suggested_area]])</f>
        <v>Edwin</v>
      </c>
      <c r="BJ58" s="28" t="s">
        <v>939</v>
      </c>
      <c r="BK58" s="28" t="s">
        <v>937</v>
      </c>
      <c r="BL58" s="28" t="s">
        <v>119</v>
      </c>
      <c r="BN58" s="28" t="s">
        <v>394</v>
      </c>
      <c r="BO58" s="28" t="s">
        <v>118</v>
      </c>
      <c r="BT58" s="28"/>
      <c r="BV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9" spans="1:74" ht="16" customHeight="1" x14ac:dyDescent="0.2">
      <c r="A59" s="28">
        <v>1102</v>
      </c>
      <c r="B59" s="28" t="s">
        <v>543</v>
      </c>
      <c r="C59" s="28" t="s">
        <v>119</v>
      </c>
      <c r="D59" s="28" t="s">
        <v>27</v>
      </c>
      <c r="E59" s="28" t="s">
        <v>1273</v>
      </c>
      <c r="F59" s="34" t="str">
        <f>IF(ISBLANK(Table2[[#This Row],[unique_id]]), "", PROPER(SUBSTITUTE(Table2[[#This Row],[unique_id]], "_", " ")))</f>
        <v>Parents Carbon Dioxide</v>
      </c>
      <c r="G59" s="28" t="s">
        <v>181</v>
      </c>
      <c r="H59" s="28" t="s">
        <v>167</v>
      </c>
      <c r="I59" s="28" t="s">
        <v>30</v>
      </c>
      <c r="P59" s="29"/>
      <c r="Q59" s="28"/>
      <c r="U59" s="35"/>
      <c r="V59" s="35"/>
      <c r="W59" s="35"/>
      <c r="X59" s="28"/>
      <c r="AD59" s="29"/>
      <c r="AE59" s="29"/>
      <c r="AF59" s="29"/>
      <c r="AG59" s="29"/>
      <c r="AM59" s="28" t="s">
        <v>1299</v>
      </c>
      <c r="BA59" s="28"/>
      <c r="BB59" s="38"/>
      <c r="BD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BE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F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59" s="28" t="str">
        <f>IF(ISBLANK(Table2[[#This Row],[device_model]]), "", Table2[[#This Row],[device_suggested_area]])</f>
        <v>Parents</v>
      </c>
      <c r="BJ59" s="28" t="s">
        <v>939</v>
      </c>
      <c r="BK59" s="28" t="s">
        <v>937</v>
      </c>
      <c r="BL59" s="28" t="s">
        <v>119</v>
      </c>
      <c r="BN59" s="28" t="s">
        <v>394</v>
      </c>
      <c r="BO59" s="28" t="s">
        <v>181</v>
      </c>
      <c r="BT59" s="28"/>
      <c r="BV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0" spans="1:74" ht="16" customHeight="1" x14ac:dyDescent="0.2">
      <c r="A60" s="28">
        <v>1103</v>
      </c>
      <c r="B60" s="28" t="s">
        <v>26</v>
      </c>
      <c r="C60" s="28" t="s">
        <v>119</v>
      </c>
      <c r="D60" s="28" t="s">
        <v>27</v>
      </c>
      <c r="E60" s="28" t="s">
        <v>1274</v>
      </c>
      <c r="F60" s="34" t="str">
        <f>IF(ISBLANK(Table2[[#This Row],[unique_id]]), "", PROPER(SUBSTITUTE(Table2[[#This Row],[unique_id]], "_", " ")))</f>
        <v>Office Carbon Dioxide</v>
      </c>
      <c r="G60" s="28" t="s">
        <v>201</v>
      </c>
      <c r="H60" s="28" t="s">
        <v>167</v>
      </c>
      <c r="I60" s="28" t="s">
        <v>30</v>
      </c>
      <c r="N60" s="28" t="s">
        <v>81</v>
      </c>
      <c r="P60" s="29"/>
      <c r="Q60" s="28"/>
      <c r="U60" s="35"/>
      <c r="V60" s="35"/>
      <c r="W60" s="35"/>
      <c r="X60" s="28" t="s">
        <v>1527</v>
      </c>
      <c r="AD60" s="29"/>
      <c r="AE60" s="29"/>
      <c r="AF60" s="29"/>
      <c r="AG60" s="29"/>
      <c r="AM60" s="28" t="s">
        <v>1299</v>
      </c>
      <c r="BA60" s="28"/>
      <c r="BB60" s="38"/>
      <c r="BD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BE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BF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0" s="28" t="str">
        <f>IF(ISBLANK(Table2[[#This Row],[device_model]]), "", Table2[[#This Row],[device_suggested_area]])</f>
        <v>Office</v>
      </c>
      <c r="BJ60" s="28" t="s">
        <v>938</v>
      </c>
      <c r="BK60" s="28" t="s">
        <v>940</v>
      </c>
      <c r="BL60" s="28" t="s">
        <v>119</v>
      </c>
      <c r="BN60" s="28" t="s">
        <v>395</v>
      </c>
      <c r="BO60" s="28" t="s">
        <v>201</v>
      </c>
      <c r="BT60" s="28"/>
      <c r="BV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1" spans="1:74" ht="16" customHeight="1" x14ac:dyDescent="0.2">
      <c r="A61" s="28">
        <v>1104</v>
      </c>
      <c r="B61" s="28" t="s">
        <v>26</v>
      </c>
      <c r="C61" s="28" t="s">
        <v>119</v>
      </c>
      <c r="D61" s="28" t="s">
        <v>27</v>
      </c>
      <c r="E61" s="28" t="s">
        <v>1275</v>
      </c>
      <c r="F61" s="34" t="str">
        <f>IF(ISBLANK(Table2[[#This Row],[unique_id]]), "", PROPER(SUBSTITUTE(Table2[[#This Row],[unique_id]], "_", " ")))</f>
        <v>Office Lounge Carbon Dioxide</v>
      </c>
      <c r="G61" s="28" t="s">
        <v>183</v>
      </c>
      <c r="H61" s="28" t="s">
        <v>167</v>
      </c>
      <c r="I61" s="28" t="s">
        <v>30</v>
      </c>
      <c r="N61" s="28" t="s">
        <v>81</v>
      </c>
      <c r="P61" s="29"/>
      <c r="Q61" s="28"/>
      <c r="U61" s="35"/>
      <c r="V61" s="35"/>
      <c r="W61" s="35"/>
      <c r="X61" s="28" t="s">
        <v>1527</v>
      </c>
      <c r="AD61" s="29"/>
      <c r="AE61" s="29"/>
      <c r="AF61" s="29"/>
      <c r="AG61" s="29"/>
      <c r="AM61" s="28" t="s">
        <v>1299</v>
      </c>
      <c r="BA61" s="28"/>
      <c r="BB61" s="38"/>
      <c r="BD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BE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F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1" s="28" t="str">
        <f>IF(ISBLANK(Table2[[#This Row],[device_model]]), "", Table2[[#This Row],[device_suggested_area]])</f>
        <v>Lounge</v>
      </c>
      <c r="BJ61" s="28" t="s">
        <v>938</v>
      </c>
      <c r="BK61" s="28" t="s">
        <v>940</v>
      </c>
      <c r="BL61" s="28" t="s">
        <v>119</v>
      </c>
      <c r="BN61" s="28" t="s">
        <v>395</v>
      </c>
      <c r="BO61" s="28" t="s">
        <v>183</v>
      </c>
      <c r="BT61" s="28"/>
      <c r="BV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2" spans="1:74" ht="16" customHeight="1" x14ac:dyDescent="0.2">
      <c r="A62" s="28">
        <v>1105</v>
      </c>
      <c r="B62" s="28" t="s">
        <v>26</v>
      </c>
      <c r="C62" s="28" t="s">
        <v>119</v>
      </c>
      <c r="D62" s="28" t="s">
        <v>27</v>
      </c>
      <c r="E62" s="28" t="s">
        <v>1276</v>
      </c>
      <c r="F62" s="34" t="str">
        <f>IF(ISBLANK(Table2[[#This Row],[unique_id]]), "", PROPER(SUBSTITUTE(Table2[[#This Row],[unique_id]], "_", " ")))</f>
        <v>Kitchen Carbon Dioxide</v>
      </c>
      <c r="G62" s="28" t="s">
        <v>195</v>
      </c>
      <c r="H62" s="28" t="s">
        <v>167</v>
      </c>
      <c r="I62" s="28" t="s">
        <v>30</v>
      </c>
      <c r="N62" s="28" t="s">
        <v>81</v>
      </c>
      <c r="P62" s="29"/>
      <c r="Q62" s="28"/>
      <c r="U62" s="35"/>
      <c r="V62" s="35"/>
      <c r="W62" s="35"/>
      <c r="X62" s="28" t="s">
        <v>1527</v>
      </c>
      <c r="AD62" s="29"/>
      <c r="AE62" s="29"/>
      <c r="AF62" s="29"/>
      <c r="AG62" s="29"/>
      <c r="AM62" s="28" t="s">
        <v>1299</v>
      </c>
      <c r="BA62" s="28"/>
      <c r="BB62" s="38"/>
      <c r="BD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BE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BF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2" s="28" t="str">
        <f>IF(ISBLANK(Table2[[#This Row],[device_model]]), "", Table2[[#This Row],[device_suggested_area]])</f>
        <v>Kitchen</v>
      </c>
      <c r="BJ62" s="28" t="s">
        <v>938</v>
      </c>
      <c r="BK62" s="28" t="s">
        <v>940</v>
      </c>
      <c r="BL62" s="28" t="s">
        <v>119</v>
      </c>
      <c r="BN62" s="28" t="s">
        <v>395</v>
      </c>
      <c r="BO62" s="28" t="s">
        <v>195</v>
      </c>
      <c r="BT62" s="28"/>
      <c r="BV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3" spans="1:74" ht="16" customHeight="1" x14ac:dyDescent="0.2">
      <c r="A63" s="28">
        <v>1106</v>
      </c>
      <c r="B63" s="28" t="s">
        <v>26</v>
      </c>
      <c r="C63" s="28" t="s">
        <v>119</v>
      </c>
      <c r="D63" s="28" t="s">
        <v>27</v>
      </c>
      <c r="E63" s="28" t="s">
        <v>1277</v>
      </c>
      <c r="F63" s="34" t="str">
        <f>IF(ISBLANK(Table2[[#This Row],[unique_id]]), "", PROPER(SUBSTITUTE(Table2[[#This Row],[unique_id]], "_", " ")))</f>
        <v>Office Pantry Carbon Dioxide</v>
      </c>
      <c r="G63" s="28" t="s">
        <v>200</v>
      </c>
      <c r="H63" s="28" t="s">
        <v>167</v>
      </c>
      <c r="I63" s="28" t="s">
        <v>30</v>
      </c>
      <c r="N63" s="28" t="s">
        <v>127</v>
      </c>
      <c r="P63" s="29"/>
      <c r="Q63" s="28"/>
      <c r="U63" s="35"/>
      <c r="V63" s="35"/>
      <c r="W63" s="35"/>
      <c r="X63" s="28" t="s">
        <v>1527</v>
      </c>
      <c r="AD63" s="29"/>
      <c r="AE63" s="29"/>
      <c r="AF63" s="29"/>
      <c r="AG63" s="29"/>
      <c r="AM63" s="28" t="s">
        <v>1299</v>
      </c>
      <c r="BA63" s="28"/>
      <c r="BB63" s="38"/>
      <c r="BD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BE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F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3" s="28" t="str">
        <f>IF(ISBLANK(Table2[[#This Row],[device_model]]), "", Table2[[#This Row],[device_suggested_area]])</f>
        <v>Pantry</v>
      </c>
      <c r="BJ63" s="28" t="s">
        <v>938</v>
      </c>
      <c r="BK63" s="28" t="s">
        <v>940</v>
      </c>
      <c r="BL63" s="28" t="s">
        <v>119</v>
      </c>
      <c r="BN63" s="28" t="s">
        <v>395</v>
      </c>
      <c r="BO63" s="28" t="s">
        <v>200</v>
      </c>
      <c r="BT63" s="28"/>
      <c r="BV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4" spans="1:74" ht="16" customHeight="1" x14ac:dyDescent="0.2">
      <c r="A64" s="28">
        <v>1107</v>
      </c>
      <c r="B64" s="28" t="s">
        <v>26</v>
      </c>
      <c r="C64" s="28" t="s">
        <v>119</v>
      </c>
      <c r="D64" s="28" t="s">
        <v>27</v>
      </c>
      <c r="E64" s="28" t="s">
        <v>1278</v>
      </c>
      <c r="F64" s="34" t="str">
        <f>IF(ISBLANK(Table2[[#This Row],[unique_id]]), "", PROPER(SUBSTITUTE(Table2[[#This Row],[unique_id]], "_", " ")))</f>
        <v>Office Dining Carbon Dioxide</v>
      </c>
      <c r="G64" s="28" t="s">
        <v>182</v>
      </c>
      <c r="H64" s="28" t="s">
        <v>167</v>
      </c>
      <c r="I64" s="28" t="s">
        <v>30</v>
      </c>
      <c r="N64" s="28" t="s">
        <v>127</v>
      </c>
      <c r="P64" s="29"/>
      <c r="Q64" s="28"/>
      <c r="U64" s="35"/>
      <c r="V64" s="35"/>
      <c r="W64" s="35"/>
      <c r="X64" s="28" t="s">
        <v>1527</v>
      </c>
      <c r="AD64" s="29"/>
      <c r="AE64" s="29"/>
      <c r="AF64" s="29"/>
      <c r="AG64" s="29"/>
      <c r="AM64" s="28" t="s">
        <v>1299</v>
      </c>
      <c r="BA64" s="28"/>
      <c r="BB64" s="38"/>
      <c r="BD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BE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F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4" s="28" t="str">
        <f>IF(ISBLANK(Table2[[#This Row],[device_model]]), "", Table2[[#This Row],[device_suggested_area]])</f>
        <v>Dining</v>
      </c>
      <c r="BJ64" s="28" t="s">
        <v>938</v>
      </c>
      <c r="BK64" s="28" t="s">
        <v>940</v>
      </c>
      <c r="BL64" s="28" t="s">
        <v>119</v>
      </c>
      <c r="BN64" s="28" t="s">
        <v>395</v>
      </c>
      <c r="BO64" s="28" t="s">
        <v>182</v>
      </c>
      <c r="BT64" s="28"/>
      <c r="BV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5" spans="1:74" ht="16" customHeight="1" x14ac:dyDescent="0.2">
      <c r="A65" s="28">
        <v>1108</v>
      </c>
      <c r="B65" s="28" t="s">
        <v>543</v>
      </c>
      <c r="C65" s="28" t="s">
        <v>119</v>
      </c>
      <c r="D65" s="28" t="s">
        <v>27</v>
      </c>
      <c r="E65" s="28" t="s">
        <v>1279</v>
      </c>
      <c r="F65" s="34" t="str">
        <f>IF(ISBLANK(Table2[[#This Row],[unique_id]]), "", PROPER(SUBSTITUTE(Table2[[#This Row],[unique_id]], "_", " ")))</f>
        <v>Laundry Carbon Dioxide</v>
      </c>
      <c r="G65" s="28" t="s">
        <v>202</v>
      </c>
      <c r="H65" s="28" t="s">
        <v>167</v>
      </c>
      <c r="I65" s="28" t="s">
        <v>30</v>
      </c>
      <c r="P65" s="29"/>
      <c r="Q65" s="28"/>
      <c r="U65" s="35"/>
      <c r="V65" s="35"/>
      <c r="W65" s="35"/>
      <c r="X65" s="28"/>
      <c r="AD65" s="29"/>
      <c r="AE65" s="29"/>
      <c r="AF65" s="29"/>
      <c r="AG65" s="29"/>
      <c r="AM65" s="28" t="s">
        <v>1299</v>
      </c>
      <c r="BA65" s="28"/>
      <c r="BB65" s="38"/>
      <c r="BD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BE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F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5" s="28" t="str">
        <f>IF(ISBLANK(Table2[[#This Row],[device_model]]), "", Table2[[#This Row],[device_suggested_area]])</f>
        <v>Laundry</v>
      </c>
      <c r="BJ65" s="28" t="s">
        <v>939</v>
      </c>
      <c r="BK65" s="28" t="s">
        <v>937</v>
      </c>
      <c r="BL65" s="28" t="s">
        <v>119</v>
      </c>
      <c r="BN65" s="28" t="s">
        <v>394</v>
      </c>
      <c r="BO65" s="28" t="s">
        <v>202</v>
      </c>
      <c r="BT65" s="28"/>
      <c r="BV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6" spans="1:74" ht="16" customHeight="1" x14ac:dyDescent="0.2">
      <c r="A66" s="28">
        <v>1150</v>
      </c>
      <c r="B66" s="28" t="s">
        <v>26</v>
      </c>
      <c r="C66" s="28" t="s">
        <v>119</v>
      </c>
      <c r="D66" s="28" t="s">
        <v>27</v>
      </c>
      <c r="E66" s="28" t="s">
        <v>1091</v>
      </c>
      <c r="F66" s="34" t="str">
        <f>IF(ISBLANK(Table2[[#This Row],[unique_id]]), "", PROPER(SUBSTITUTE(Table2[[#This Row],[unique_id]], "_", " ")))</f>
        <v>Ada Noise</v>
      </c>
      <c r="G66" s="28" t="s">
        <v>121</v>
      </c>
      <c r="H66" s="28" t="s">
        <v>168</v>
      </c>
      <c r="I66" s="28" t="s">
        <v>30</v>
      </c>
      <c r="N66" s="28" t="s">
        <v>81</v>
      </c>
      <c r="P66" s="29"/>
      <c r="Q66" s="28"/>
      <c r="U66" s="35"/>
      <c r="V66" s="35"/>
      <c r="W66" s="35"/>
      <c r="X66" s="28" t="s">
        <v>1527</v>
      </c>
      <c r="AD66" s="29"/>
      <c r="AE66" s="29"/>
      <c r="AF66" s="29"/>
      <c r="AG66" s="29"/>
      <c r="AM66" s="28" t="s">
        <v>288</v>
      </c>
      <c r="AO66" s="29"/>
      <c r="AP66" s="29"/>
      <c r="BA66" s="28"/>
      <c r="BB66" s="38"/>
      <c r="BD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BE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F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6" s="28" t="str">
        <f>IF(ISBLANK(Table2[[#This Row],[device_model]]), "", Table2[[#This Row],[device_suggested_area]])</f>
        <v>Ada</v>
      </c>
      <c r="BJ66" s="28" t="s">
        <v>939</v>
      </c>
      <c r="BK66" s="28" t="s">
        <v>937</v>
      </c>
      <c r="BL66" s="28" t="s">
        <v>119</v>
      </c>
      <c r="BN66" s="28" t="s">
        <v>394</v>
      </c>
      <c r="BO66" s="28" t="s">
        <v>121</v>
      </c>
      <c r="BT66" s="28"/>
      <c r="BV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7" spans="1:74" ht="16" customHeight="1" x14ac:dyDescent="0.2">
      <c r="A67" s="28">
        <v>1151</v>
      </c>
      <c r="B67" s="28" t="s">
        <v>26</v>
      </c>
      <c r="C67" s="28" t="s">
        <v>119</v>
      </c>
      <c r="D67" s="28" t="s">
        <v>27</v>
      </c>
      <c r="E67" s="28" t="s">
        <v>1092</v>
      </c>
      <c r="F67" s="34" t="str">
        <f>IF(ISBLANK(Table2[[#This Row],[unique_id]]), "", PROPER(SUBSTITUTE(Table2[[#This Row],[unique_id]], "_", " ")))</f>
        <v>Edwin Noise</v>
      </c>
      <c r="G67" s="28" t="s">
        <v>118</v>
      </c>
      <c r="H67" s="28" t="s">
        <v>168</v>
      </c>
      <c r="I67" s="28" t="s">
        <v>30</v>
      </c>
      <c r="N67" s="28" t="s">
        <v>81</v>
      </c>
      <c r="P67" s="29"/>
      <c r="Q67" s="28"/>
      <c r="U67" s="35"/>
      <c r="V67" s="35"/>
      <c r="W67" s="35"/>
      <c r="X67" s="28" t="s">
        <v>1527</v>
      </c>
      <c r="AD67" s="29"/>
      <c r="AE67" s="29"/>
      <c r="AF67" s="29"/>
      <c r="AG67" s="29"/>
      <c r="AM67" s="28" t="s">
        <v>288</v>
      </c>
      <c r="AO67" s="29"/>
      <c r="AP67" s="29"/>
      <c r="BA67" s="28"/>
      <c r="BB67" s="38"/>
      <c r="BD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BE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F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7" s="28" t="str">
        <f>IF(ISBLANK(Table2[[#This Row],[device_model]]), "", Table2[[#This Row],[device_suggested_area]])</f>
        <v>Edwin</v>
      </c>
      <c r="BJ67" s="28" t="s">
        <v>939</v>
      </c>
      <c r="BK67" s="28" t="s">
        <v>937</v>
      </c>
      <c r="BL67" s="28" t="s">
        <v>119</v>
      </c>
      <c r="BN67" s="28" t="s">
        <v>394</v>
      </c>
      <c r="BO67" s="28" t="s">
        <v>118</v>
      </c>
      <c r="BT67" s="28"/>
      <c r="BV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8" spans="1:74" ht="16" customHeight="1" x14ac:dyDescent="0.2">
      <c r="A68" s="28">
        <v>1152</v>
      </c>
      <c r="B68" s="28" t="s">
        <v>26</v>
      </c>
      <c r="C68" s="28" t="s">
        <v>119</v>
      </c>
      <c r="D68" s="28" t="s">
        <v>27</v>
      </c>
      <c r="E68" s="28" t="s">
        <v>1093</v>
      </c>
      <c r="F68" s="34" t="str">
        <f>IF(ISBLANK(Table2[[#This Row],[unique_id]]), "", PROPER(SUBSTITUTE(Table2[[#This Row],[unique_id]], "_", " ")))</f>
        <v>Parents Noise</v>
      </c>
      <c r="G68" s="28" t="s">
        <v>181</v>
      </c>
      <c r="H68" s="28" t="s">
        <v>168</v>
      </c>
      <c r="I68" s="28" t="s">
        <v>30</v>
      </c>
      <c r="N68" s="28" t="s">
        <v>81</v>
      </c>
      <c r="P68" s="29"/>
      <c r="Q68" s="28"/>
      <c r="U68" s="35"/>
      <c r="V68" s="35"/>
      <c r="W68" s="35"/>
      <c r="X68" s="28" t="s">
        <v>1527</v>
      </c>
      <c r="AD68" s="29"/>
      <c r="AE68" s="29"/>
      <c r="AF68" s="29"/>
      <c r="AG68" s="29"/>
      <c r="AM68" s="28" t="s">
        <v>288</v>
      </c>
      <c r="AO68" s="29"/>
      <c r="AP68" s="29"/>
      <c r="BA68" s="28"/>
      <c r="BB68" s="38"/>
      <c r="BD6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BE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F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8" s="28" t="str">
        <f>IF(ISBLANK(Table2[[#This Row],[device_model]]), "", Table2[[#This Row],[device_suggested_area]])</f>
        <v>Parents</v>
      </c>
      <c r="BJ68" s="28" t="s">
        <v>939</v>
      </c>
      <c r="BK68" s="28" t="s">
        <v>937</v>
      </c>
      <c r="BL68" s="28" t="s">
        <v>119</v>
      </c>
      <c r="BN68" s="28" t="s">
        <v>394</v>
      </c>
      <c r="BO68" s="28" t="s">
        <v>181</v>
      </c>
      <c r="BT68" s="28"/>
      <c r="BV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9" spans="1:74" ht="16" customHeight="1" x14ac:dyDescent="0.2">
      <c r="A69" s="28">
        <v>1153</v>
      </c>
      <c r="B69" s="28" t="s">
        <v>26</v>
      </c>
      <c r="C69" s="28" t="s">
        <v>119</v>
      </c>
      <c r="D69" s="28" t="s">
        <v>27</v>
      </c>
      <c r="E69" s="28" t="s">
        <v>1167</v>
      </c>
      <c r="F69" s="34" t="str">
        <f>IF(ISBLANK(Table2[[#This Row],[unique_id]]), "", PROPER(SUBSTITUTE(Table2[[#This Row],[unique_id]], "_", " ")))</f>
        <v>Office Noise</v>
      </c>
      <c r="G69" s="28" t="s">
        <v>201</v>
      </c>
      <c r="H69" s="28" t="s">
        <v>168</v>
      </c>
      <c r="I69" s="28" t="s">
        <v>30</v>
      </c>
      <c r="N69" s="28" t="s">
        <v>81</v>
      </c>
      <c r="P69" s="29"/>
      <c r="Q69" s="28"/>
      <c r="U69" s="35"/>
      <c r="V69" s="35"/>
      <c r="W69" s="35"/>
      <c r="X69" s="28" t="s">
        <v>1527</v>
      </c>
      <c r="AD69" s="29"/>
      <c r="AE69" s="29"/>
      <c r="AF69" s="29"/>
      <c r="AG69" s="29"/>
      <c r="AM69" s="28" t="s">
        <v>288</v>
      </c>
      <c r="AO69" s="29"/>
      <c r="AP69" s="29"/>
      <c r="BA69" s="28"/>
      <c r="BB69" s="38"/>
      <c r="BD6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BE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BF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69" s="28" t="str">
        <f>IF(ISBLANK(Table2[[#This Row],[device_model]]), "", Table2[[#This Row],[device_suggested_area]])</f>
        <v>Office</v>
      </c>
      <c r="BJ69" s="28" t="s">
        <v>938</v>
      </c>
      <c r="BK69" s="28" t="s">
        <v>940</v>
      </c>
      <c r="BL69" s="28" t="s">
        <v>119</v>
      </c>
      <c r="BN69" s="28" t="s">
        <v>395</v>
      </c>
      <c r="BO69" s="28" t="s">
        <v>201</v>
      </c>
      <c r="BT69" s="28"/>
      <c r="BV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0" spans="1:74" ht="16" customHeight="1" x14ac:dyDescent="0.2">
      <c r="A70" s="28">
        <v>1154</v>
      </c>
      <c r="B70" s="28" t="s">
        <v>26</v>
      </c>
      <c r="C70" s="28" t="s">
        <v>119</v>
      </c>
      <c r="D70" s="28" t="s">
        <v>27</v>
      </c>
      <c r="E70" s="28" t="s">
        <v>1166</v>
      </c>
      <c r="F70" s="34" t="str">
        <f>IF(ISBLANK(Table2[[#This Row],[unique_id]]), "", PROPER(SUBSTITUTE(Table2[[#This Row],[unique_id]], "_", " ")))</f>
        <v>Kitchen Noise</v>
      </c>
      <c r="G70" s="28" t="s">
        <v>195</v>
      </c>
      <c r="H70" s="28" t="s">
        <v>168</v>
      </c>
      <c r="I70" s="28" t="s">
        <v>30</v>
      </c>
      <c r="N70" s="28" t="s">
        <v>127</v>
      </c>
      <c r="P70" s="29"/>
      <c r="Q70" s="28"/>
      <c r="U70" s="35"/>
      <c r="V70" s="35"/>
      <c r="W70" s="35"/>
      <c r="X70" s="28" t="s">
        <v>1527</v>
      </c>
      <c r="AD70" s="29"/>
      <c r="AE70" s="29"/>
      <c r="AF70" s="29"/>
      <c r="AG70" s="29"/>
      <c r="AM70" s="28" t="s">
        <v>288</v>
      </c>
      <c r="AO70" s="29"/>
      <c r="AP70" s="29"/>
      <c r="BA70" s="28"/>
      <c r="BB70" s="38"/>
      <c r="BD7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BE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BF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0" s="28" t="str">
        <f>IF(ISBLANK(Table2[[#This Row],[device_model]]), "", Table2[[#This Row],[device_suggested_area]])</f>
        <v>Kitchen</v>
      </c>
      <c r="BJ70" s="28" t="s">
        <v>938</v>
      </c>
      <c r="BK70" s="28" t="s">
        <v>940</v>
      </c>
      <c r="BL70" s="28" t="s">
        <v>119</v>
      </c>
      <c r="BN70" s="28" t="s">
        <v>395</v>
      </c>
      <c r="BO70" s="28" t="s">
        <v>195</v>
      </c>
      <c r="BT70" s="28"/>
      <c r="BV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1" spans="1:74" ht="16" customHeight="1" x14ac:dyDescent="0.2">
      <c r="A71" s="28">
        <v>1155</v>
      </c>
      <c r="B71" s="28" t="s">
        <v>26</v>
      </c>
      <c r="C71" s="28" t="s">
        <v>119</v>
      </c>
      <c r="D71" s="28" t="s">
        <v>27</v>
      </c>
      <c r="E71" s="28" t="s">
        <v>1094</v>
      </c>
      <c r="F71" s="34" t="str">
        <f>IF(ISBLANK(Table2[[#This Row],[unique_id]]), "", PROPER(SUBSTITUTE(Table2[[#This Row],[unique_id]], "_", " ")))</f>
        <v>Laundry Noise</v>
      </c>
      <c r="G71" s="28" t="s">
        <v>202</v>
      </c>
      <c r="H71" s="28" t="s">
        <v>168</v>
      </c>
      <c r="I71" s="28" t="s">
        <v>30</v>
      </c>
      <c r="N71" s="28" t="s">
        <v>127</v>
      </c>
      <c r="P71" s="29"/>
      <c r="Q71" s="28"/>
      <c r="U71" s="35"/>
      <c r="V71" s="35"/>
      <c r="W71" s="35"/>
      <c r="X71" s="28" t="s">
        <v>1527</v>
      </c>
      <c r="AD71" s="29"/>
      <c r="AE71" s="29"/>
      <c r="AF71" s="29"/>
      <c r="AG71" s="29"/>
      <c r="AM71" s="28" t="s">
        <v>288</v>
      </c>
      <c r="AO71" s="29"/>
      <c r="AP71" s="29"/>
      <c r="BA71" s="28"/>
      <c r="BB71" s="38"/>
      <c r="BD7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BE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F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1" s="28" t="str">
        <f>IF(ISBLANK(Table2[[#This Row],[device_model]]), "", Table2[[#This Row],[device_suggested_area]])</f>
        <v>Laundry</v>
      </c>
      <c r="BJ71" s="28" t="s">
        <v>939</v>
      </c>
      <c r="BK71" s="28" t="s">
        <v>937</v>
      </c>
      <c r="BL71" s="28" t="s">
        <v>119</v>
      </c>
      <c r="BN71" s="28" t="s">
        <v>394</v>
      </c>
      <c r="BO71" s="28" t="s">
        <v>202</v>
      </c>
      <c r="BT71" s="28"/>
      <c r="BV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2" spans="1:74" ht="16" customHeight="1" x14ac:dyDescent="0.2">
      <c r="A72" s="28">
        <v>1200</v>
      </c>
      <c r="B72" s="28" t="s">
        <v>26</v>
      </c>
      <c r="C72" s="28" t="s">
        <v>39</v>
      </c>
      <c r="D72" s="28" t="s">
        <v>27</v>
      </c>
      <c r="E72" s="28" t="s">
        <v>41</v>
      </c>
      <c r="F72" s="34" t="str">
        <f>IF(ISBLANK(Table2[[#This Row],[unique_id]]), "", PROPER(SUBSTITUTE(Table2[[#This Row],[unique_id]], "_", " ")))</f>
        <v>Roof Cloud Base</v>
      </c>
      <c r="G72" s="28" t="s">
        <v>42</v>
      </c>
      <c r="H72" s="28" t="s">
        <v>1539</v>
      </c>
      <c r="I72" s="28" t="s">
        <v>30</v>
      </c>
      <c r="P72" s="29"/>
      <c r="Q72" s="28"/>
      <c r="U72" s="35"/>
      <c r="V72" s="35"/>
      <c r="W72" s="35" t="s">
        <v>1524</v>
      </c>
      <c r="X72" s="28" t="s">
        <v>1527</v>
      </c>
      <c r="AD72" s="29"/>
      <c r="AE72" s="29"/>
      <c r="AF72" s="29"/>
      <c r="AG72" s="29"/>
      <c r="AJ72" s="28" t="s">
        <v>31</v>
      </c>
      <c r="AK72" s="28" t="s">
        <v>44</v>
      </c>
      <c r="AM72" s="28" t="s">
        <v>162</v>
      </c>
      <c r="AN72" s="28">
        <v>300</v>
      </c>
      <c r="AO72" s="29" t="s">
        <v>34</v>
      </c>
      <c r="AP72" s="29"/>
      <c r="AQ72" s="28" t="s">
        <v>45</v>
      </c>
      <c r="AR72" s="28" t="str">
        <f>IF(ISBLANK(Table2[[#This Row],[index]]),  "", _xlfn.CONCAT("homeassistant/sensor/", LOWER(Table2[[#This Row],[device_via_device]]), "/", Table2[[#This Row],[unique_id]], "/config"))</f>
        <v>homeassistant/sensor/weewx/roof_cloud_base/config</v>
      </c>
      <c r="AS72" s="28" t="str">
        <f>IF(ISBLANK(Table2[[#This Row],[index]]),  "", _xlfn.CONCAT(LOWER(Table2[[#This Row],[device_via_device]]), "/", Table2[[#This Row],[unique_id]]))</f>
        <v>weewx/roof_cloud_base</v>
      </c>
      <c r="AZ72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(states('sensor.roof_cloud_base') | int(None)) }}</v>
      </c>
      <c r="BA72" s="28">
        <v>1</v>
      </c>
      <c r="BB72" s="30"/>
      <c r="BD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Cloud Base</v>
      </c>
      <c r="BG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2" s="28" t="str">
        <f>IF(ISBLANK(Table2[[#This Row],[device_model]]), "", Table2[[#This Row],[device_suggested_area]])</f>
        <v>Roof</v>
      </c>
      <c r="BJ72" s="28" t="s">
        <v>393</v>
      </c>
      <c r="BK72" s="28" t="s">
        <v>36</v>
      </c>
      <c r="BL72" s="28" t="s">
        <v>37</v>
      </c>
      <c r="BN72" s="28" t="s">
        <v>1010</v>
      </c>
      <c r="BO72" s="28" t="s">
        <v>38</v>
      </c>
      <c r="BT72" s="28"/>
      <c r="BV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3" spans="1:74" ht="16" customHeight="1" x14ac:dyDescent="0.2">
      <c r="A73" s="28">
        <v>1201</v>
      </c>
      <c r="B73" s="28" t="s">
        <v>26</v>
      </c>
      <c r="C73" s="28" t="s">
        <v>39</v>
      </c>
      <c r="D73" s="28" t="s">
        <v>27</v>
      </c>
      <c r="E73" s="28" t="s">
        <v>46</v>
      </c>
      <c r="F73" s="34" t="str">
        <f>IF(ISBLANK(Table2[[#This Row],[unique_id]]), "", PROPER(SUBSTITUTE(Table2[[#This Row],[unique_id]], "_", " ")))</f>
        <v>Roof Max Solar Radiation</v>
      </c>
      <c r="G73" s="28" t="s">
        <v>47</v>
      </c>
      <c r="H73" s="28" t="s">
        <v>43</v>
      </c>
      <c r="I73" s="28" t="s">
        <v>30</v>
      </c>
      <c r="P73" s="29"/>
      <c r="Q73" s="28"/>
      <c r="U73" s="35"/>
      <c r="V73" s="35"/>
      <c r="W73" s="35" t="s">
        <v>1524</v>
      </c>
      <c r="X73" s="28" t="s">
        <v>1527</v>
      </c>
      <c r="AD73" s="29"/>
      <c r="AE73" s="29"/>
      <c r="AF73" s="29"/>
      <c r="AG73" s="29"/>
      <c r="AJ73" s="28" t="s">
        <v>31</v>
      </c>
      <c r="AK73" s="28" t="s">
        <v>48</v>
      </c>
      <c r="AM73" s="28" t="s">
        <v>163</v>
      </c>
      <c r="AN73" s="28">
        <v>300</v>
      </c>
      <c r="AO73" s="29" t="s">
        <v>34</v>
      </c>
      <c r="AP73" s="29"/>
      <c r="AQ73" s="28" t="s">
        <v>49</v>
      </c>
      <c r="AR73" s="28" t="str">
        <f>IF(ISBLANK(Table2[[#This Row],[index]]),  "", _xlfn.CONCAT("homeassistant/sensor/", LOWER(Table2[[#This Row],[device_via_device]]), "/", Table2[[#This Row],[unique_id]], "/config"))</f>
        <v>homeassistant/sensor/weewx/roof_max_solar_radiation/config</v>
      </c>
      <c r="AS73" s="28" t="str">
        <f>IF(ISBLANK(Table2[[#This Row],[index]]),  "", _xlfn.CONCAT(LOWER(Table2[[#This Row],[device_via_device]]), "/", Table2[[#This Row],[unique_id]]))</f>
        <v>weewx/roof_max_solar_radiation</v>
      </c>
      <c r="AZ73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(states('sensor.roof_max_solar_radiation') | int(None)) }}</v>
      </c>
      <c r="BA73" s="28">
        <v>1</v>
      </c>
      <c r="BB73" s="30"/>
      <c r="BD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Max Solar Radiation</v>
      </c>
      <c r="BG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3" s="28" t="str">
        <f>IF(ISBLANK(Table2[[#This Row],[device_model]]), "", Table2[[#This Row],[device_suggested_area]])</f>
        <v>Roof</v>
      </c>
      <c r="BJ73" s="28" t="s">
        <v>393</v>
      </c>
      <c r="BK73" s="28" t="s">
        <v>36</v>
      </c>
      <c r="BL73" s="28" t="s">
        <v>37</v>
      </c>
      <c r="BN73" s="28" t="s">
        <v>1010</v>
      </c>
      <c r="BO73" s="28" t="s">
        <v>38</v>
      </c>
      <c r="BT73" s="28"/>
      <c r="BV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4" spans="1:74" ht="16" customHeight="1" x14ac:dyDescent="0.2">
      <c r="A74" s="28">
        <v>1250</v>
      </c>
      <c r="B74" s="28" t="s">
        <v>26</v>
      </c>
      <c r="C74" s="28" t="s">
        <v>39</v>
      </c>
      <c r="D74" s="28" t="s">
        <v>27</v>
      </c>
      <c r="E74" s="28" t="s">
        <v>53</v>
      </c>
      <c r="F74" s="34" t="str">
        <f>IF(ISBLANK(Table2[[#This Row],[unique_id]]), "", PROPER(SUBSTITUTE(Table2[[#This Row],[unique_id]], "_", " ")))</f>
        <v>Roof Barometer Pressure</v>
      </c>
      <c r="G74" s="28" t="s">
        <v>54</v>
      </c>
      <c r="H74" s="28" t="s">
        <v>50</v>
      </c>
      <c r="I74" s="28" t="s">
        <v>30</v>
      </c>
      <c r="P74" s="29"/>
      <c r="Q74" s="28"/>
      <c r="U74" s="35"/>
      <c r="V74" s="35"/>
      <c r="W74" s="35" t="s">
        <v>1524</v>
      </c>
      <c r="X74" s="28" t="s">
        <v>1527</v>
      </c>
      <c r="Y74" s="28" t="s">
        <v>1518</v>
      </c>
      <c r="AD74" s="29"/>
      <c r="AE74" s="29"/>
      <c r="AF74" s="29"/>
      <c r="AG74" s="29"/>
      <c r="AJ74" s="28" t="s">
        <v>31</v>
      </c>
      <c r="AK74" s="28" t="s">
        <v>51</v>
      </c>
      <c r="AL74" s="28" t="s">
        <v>52</v>
      </c>
      <c r="AN74" s="28">
        <v>300</v>
      </c>
      <c r="AO74" s="29" t="s">
        <v>34</v>
      </c>
      <c r="AP74" s="29"/>
      <c r="AQ74" s="28" t="s">
        <v>55</v>
      </c>
      <c r="AR74" s="28" t="str">
        <f>IF(ISBLANK(Table2[[#This Row],[index]]),  "", _xlfn.CONCAT("homeassistant/sensor/", LOWER(Table2[[#This Row],[device_via_device]]), "/", Table2[[#This Row],[unique_id]], "/config"))</f>
        <v>homeassistant/sensor/weewx/roof_barometer_pressure/config</v>
      </c>
      <c r="AS74" s="28" t="str">
        <f>IF(ISBLANK(Table2[[#This Row],[index]]),  "", _xlfn.CONCAT(LOWER(Table2[[#This Row],[device_via_device]]), "/", Table2[[#This Row],[unique_id]]))</f>
        <v>weewx/roof_barometer_pressure</v>
      </c>
      <c r="AZ74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(states('sensor.roof_barometer_pressure') | int(None)) }}</v>
      </c>
      <c r="BA74" s="28">
        <v>1</v>
      </c>
      <c r="BB74" s="30"/>
      <c r="BD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Barometer Pressure</v>
      </c>
      <c r="BG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4" s="28" t="str">
        <f>IF(ISBLANK(Table2[[#This Row],[device_model]]), "", Table2[[#This Row],[device_suggested_area]])</f>
        <v>Roof</v>
      </c>
      <c r="BJ74" s="28" t="s">
        <v>393</v>
      </c>
      <c r="BK74" s="28" t="s">
        <v>36</v>
      </c>
      <c r="BL74" s="28" t="s">
        <v>37</v>
      </c>
      <c r="BN74" s="28" t="s">
        <v>1010</v>
      </c>
      <c r="BO74" s="28" t="s">
        <v>38</v>
      </c>
      <c r="BT74" s="28"/>
      <c r="BV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5" spans="1:74" ht="16" customHeight="1" x14ac:dyDescent="0.2">
      <c r="A75" s="28">
        <v>1251</v>
      </c>
      <c r="B75" s="28" t="s">
        <v>26</v>
      </c>
      <c r="C75" s="28" t="s">
        <v>39</v>
      </c>
      <c r="D75" s="28" t="s">
        <v>27</v>
      </c>
      <c r="E75" s="28" t="s">
        <v>56</v>
      </c>
      <c r="F75" s="34" t="str">
        <f>IF(ISBLANK(Table2[[#This Row],[unique_id]]), "", PROPER(SUBSTITUTE(Table2[[#This Row],[unique_id]], "_", " ")))</f>
        <v>Roof Pressure</v>
      </c>
      <c r="G75" s="28" t="s">
        <v>38</v>
      </c>
      <c r="H75" s="28" t="s">
        <v>50</v>
      </c>
      <c r="I75" s="28" t="s">
        <v>30</v>
      </c>
      <c r="P75" s="29"/>
      <c r="Q75" s="28"/>
      <c r="U75" s="35"/>
      <c r="V75" s="35"/>
      <c r="W75" s="35"/>
      <c r="X75" s="28"/>
      <c r="AD75" s="29"/>
      <c r="AE75" s="29"/>
      <c r="AF75" s="29"/>
      <c r="AG75" s="29"/>
      <c r="AJ75" s="28" t="s">
        <v>31</v>
      </c>
      <c r="AK75" s="28" t="s">
        <v>51</v>
      </c>
      <c r="AL75" s="28" t="s">
        <v>52</v>
      </c>
      <c r="AN75" s="28">
        <v>300</v>
      </c>
      <c r="AO75" s="29" t="s">
        <v>34</v>
      </c>
      <c r="AP75" s="29"/>
      <c r="AQ75" s="28" t="s">
        <v>52</v>
      </c>
      <c r="AR75" s="28" t="str">
        <f>IF(ISBLANK(Table2[[#This Row],[index]]),  "", _xlfn.CONCAT("homeassistant/sensor/", LOWER(Table2[[#This Row],[device_via_device]]), "/", Table2[[#This Row],[unique_id]], "/config"))</f>
        <v>homeassistant/sensor/weewx/roof_pressure/config</v>
      </c>
      <c r="AS75" s="28" t="str">
        <f>IF(ISBLANK(Table2[[#This Row],[index]]),  "", _xlfn.CONCAT(LOWER(Table2[[#This Row],[device_via_device]]), "/", Table2[[#This Row],[unique_id]]))</f>
        <v>weewx/roof_pressure</v>
      </c>
      <c r="AZ75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(states('sensor.roof_pressure') | int(None)) }}</v>
      </c>
      <c r="BA75" s="28">
        <v>1</v>
      </c>
      <c r="BB75" s="30"/>
      <c r="BD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Pressure</v>
      </c>
      <c r="BG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5" s="28" t="str">
        <f>IF(ISBLANK(Table2[[#This Row],[device_model]]), "", Table2[[#This Row],[device_suggested_area]])</f>
        <v>Roof</v>
      </c>
      <c r="BJ75" s="28" t="s">
        <v>393</v>
      </c>
      <c r="BK75" s="28" t="s">
        <v>36</v>
      </c>
      <c r="BL75" s="28" t="s">
        <v>37</v>
      </c>
      <c r="BN75" s="28" t="s">
        <v>1010</v>
      </c>
      <c r="BO75" s="28" t="s">
        <v>38</v>
      </c>
      <c r="BT75" s="28"/>
      <c r="BV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6" spans="1:74" ht="16" customHeight="1" x14ac:dyDescent="0.2">
      <c r="A76" s="28">
        <v>1300</v>
      </c>
      <c r="B76" s="28" t="s">
        <v>26</v>
      </c>
      <c r="C76" s="28" t="s">
        <v>39</v>
      </c>
      <c r="D76" s="28" t="s">
        <v>27</v>
      </c>
      <c r="E76" s="28" t="s">
        <v>98</v>
      </c>
      <c r="F76" s="34" t="str">
        <f>IF(ISBLANK(Table2[[#This Row],[unique_id]]), "", PROPER(SUBSTITUTE(Table2[[#This Row],[unique_id]], "_", " ")))</f>
        <v>Roof Wind Direction</v>
      </c>
      <c r="G76" s="28" t="s">
        <v>99</v>
      </c>
      <c r="H76" s="28" t="s">
        <v>100</v>
      </c>
      <c r="I76" s="28" t="s">
        <v>30</v>
      </c>
      <c r="P76" s="29"/>
      <c r="Q76" s="28"/>
      <c r="U76" s="35"/>
      <c r="V76" s="35"/>
      <c r="W76" s="35"/>
      <c r="X76" s="28"/>
      <c r="AD76" s="29"/>
      <c r="AE76" s="29"/>
      <c r="AF76" s="29"/>
      <c r="AG76" s="29"/>
      <c r="AJ76" s="28" t="s">
        <v>31</v>
      </c>
      <c r="AK76" s="28" t="s">
        <v>157</v>
      </c>
      <c r="AM76" s="28" t="s">
        <v>165</v>
      </c>
      <c r="AN76" s="28">
        <v>300</v>
      </c>
      <c r="AO76" s="29" t="s">
        <v>34</v>
      </c>
      <c r="AP76" s="29"/>
      <c r="AQ76" s="28" t="s">
        <v>101</v>
      </c>
      <c r="AR76" s="28" t="str">
        <f>IF(ISBLANK(Table2[[#This Row],[index]]),  "", _xlfn.CONCAT("homeassistant/sensor/", LOWER(Table2[[#This Row],[device_via_device]]), "/", Table2[[#This Row],[unique_id]], "/config"))</f>
        <v>homeassistant/sensor/weewx/roof_wind_direction/config</v>
      </c>
      <c r="AS76" s="28" t="str">
        <f>IF(ISBLANK(Table2[[#This Row],[index]]),  "", _xlfn.CONCAT(LOWER(Table2[[#This Row],[device_via_device]]), "/", Table2[[#This Row],[unique_id]]))</f>
        <v>weewx/roof_wind_direction</v>
      </c>
      <c r="AZ76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(states('sensor.roof_wind_direction') | int(None)) }}</v>
      </c>
      <c r="BA76" s="28">
        <v>1</v>
      </c>
      <c r="BB76" s="30"/>
      <c r="BD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Direction</v>
      </c>
      <c r="BG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6" s="28" t="str">
        <f>IF(ISBLANK(Table2[[#This Row],[device_model]]), "", Table2[[#This Row],[device_suggested_area]])</f>
        <v>Roof</v>
      </c>
      <c r="BJ76" s="28" t="s">
        <v>393</v>
      </c>
      <c r="BK76" s="28" t="s">
        <v>36</v>
      </c>
      <c r="BL76" s="28" t="s">
        <v>37</v>
      </c>
      <c r="BN76" s="28" t="s">
        <v>1010</v>
      </c>
      <c r="BO76" s="28" t="s">
        <v>38</v>
      </c>
      <c r="BT76" s="28"/>
      <c r="BV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7" spans="1:74" ht="16" customHeight="1" x14ac:dyDescent="0.2">
      <c r="A77" s="28">
        <v>1301</v>
      </c>
      <c r="B77" s="28" t="s">
        <v>26</v>
      </c>
      <c r="C77" s="28" t="s">
        <v>39</v>
      </c>
      <c r="D77" s="28" t="s">
        <v>27</v>
      </c>
      <c r="E77" s="28" t="s">
        <v>102</v>
      </c>
      <c r="F77" s="34" t="str">
        <f>IF(ISBLANK(Table2[[#This Row],[unique_id]]), "", PROPER(SUBSTITUTE(Table2[[#This Row],[unique_id]], "_", " ")))</f>
        <v>Roof Wind Gust Direction</v>
      </c>
      <c r="G77" s="28" t="s">
        <v>103</v>
      </c>
      <c r="H77" s="28" t="s">
        <v>100</v>
      </c>
      <c r="I77" s="28" t="s">
        <v>30</v>
      </c>
      <c r="P77" s="29"/>
      <c r="Q77" s="28"/>
      <c r="U77" s="35"/>
      <c r="V77" s="35"/>
      <c r="W77" s="35" t="s">
        <v>1524</v>
      </c>
      <c r="X77" s="28"/>
      <c r="AD77" s="29"/>
      <c r="AE77" s="29"/>
      <c r="AF77" s="29"/>
      <c r="AG77" s="29"/>
      <c r="AJ77" s="28" t="s">
        <v>31</v>
      </c>
      <c r="AK77" s="28" t="s">
        <v>157</v>
      </c>
      <c r="AM77" s="28" t="s">
        <v>165</v>
      </c>
      <c r="AN77" s="28">
        <v>300</v>
      </c>
      <c r="AO77" s="29" t="s">
        <v>34</v>
      </c>
      <c r="AP77" s="29"/>
      <c r="AQ77" s="28" t="s">
        <v>104</v>
      </c>
      <c r="AR77" s="28" t="str">
        <f>IF(ISBLANK(Table2[[#This Row],[index]]),  "", _xlfn.CONCAT("homeassistant/sensor/", LOWER(Table2[[#This Row],[device_via_device]]), "/", Table2[[#This Row],[unique_id]], "/config"))</f>
        <v>homeassistant/sensor/weewx/roof_wind_gust_direction/config</v>
      </c>
      <c r="AS77" s="28" t="str">
        <f>IF(ISBLANK(Table2[[#This Row],[index]]),  "", _xlfn.CONCAT(LOWER(Table2[[#This Row],[device_via_device]]), "/", Table2[[#This Row],[unique_id]]))</f>
        <v>weewx/roof_wind_gust_direction</v>
      </c>
      <c r="AZ77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(states('sensor.roof_wind_gust_direction') | int(None)) }}</v>
      </c>
      <c r="BA77" s="28">
        <v>1</v>
      </c>
      <c r="BB77" s="30"/>
      <c r="BD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Gust Direction</v>
      </c>
      <c r="BG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7" s="28" t="str">
        <f>IF(ISBLANK(Table2[[#This Row],[device_model]]), "", Table2[[#This Row],[device_suggested_area]])</f>
        <v>Roof</v>
      </c>
      <c r="BJ77" s="28" t="s">
        <v>393</v>
      </c>
      <c r="BK77" s="28" t="s">
        <v>36</v>
      </c>
      <c r="BL77" s="28" t="s">
        <v>37</v>
      </c>
      <c r="BN77" s="28" t="s">
        <v>1010</v>
      </c>
      <c r="BO77" s="28" t="s">
        <v>38</v>
      </c>
      <c r="BT77" s="28"/>
      <c r="BV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8" spans="1:74" ht="16" customHeight="1" x14ac:dyDescent="0.2">
      <c r="A78" s="28">
        <v>1302</v>
      </c>
      <c r="B78" s="28" t="s">
        <v>26</v>
      </c>
      <c r="C78" s="28" t="s">
        <v>39</v>
      </c>
      <c r="D78" s="28" t="s">
        <v>27</v>
      </c>
      <c r="E78" s="28" t="s">
        <v>105</v>
      </c>
      <c r="F78" s="34" t="str">
        <f>IF(ISBLANK(Table2[[#This Row],[unique_id]]), "", PROPER(SUBSTITUTE(Table2[[#This Row],[unique_id]], "_", " ")))</f>
        <v>Roof Wind Gust Speed</v>
      </c>
      <c r="G78" s="28" t="s">
        <v>106</v>
      </c>
      <c r="H78" s="28" t="s">
        <v>100</v>
      </c>
      <c r="I78" s="28" t="s">
        <v>30</v>
      </c>
      <c r="P78" s="29"/>
      <c r="Q78" s="28"/>
      <c r="U78" s="35"/>
      <c r="V78" s="35"/>
      <c r="W78" s="35" t="s">
        <v>1524</v>
      </c>
      <c r="X78" s="28" t="s">
        <v>1540</v>
      </c>
      <c r="Y78" s="28" t="s">
        <v>1518</v>
      </c>
      <c r="AD78" s="29"/>
      <c r="AE78" s="29"/>
      <c r="AF78" s="29"/>
      <c r="AG78" s="29"/>
      <c r="AJ78" s="28" t="s">
        <v>31</v>
      </c>
      <c r="AK78" s="28" t="s">
        <v>158</v>
      </c>
      <c r="AM78" s="28" t="s">
        <v>165</v>
      </c>
      <c r="AN78" s="28">
        <v>300</v>
      </c>
      <c r="AO78" s="29" t="s">
        <v>34</v>
      </c>
      <c r="AP78" s="29"/>
      <c r="AQ78" s="28" t="s">
        <v>107</v>
      </c>
      <c r="AR78" s="28" t="str">
        <f>IF(ISBLANK(Table2[[#This Row],[index]]),  "", _xlfn.CONCAT("homeassistant/sensor/", LOWER(Table2[[#This Row],[device_via_device]]), "/", Table2[[#This Row],[unique_id]], "/config"))</f>
        <v>homeassistant/sensor/weewx/roof_wind_gust_speed/config</v>
      </c>
      <c r="AS78" s="28" t="str">
        <f>IF(ISBLANK(Table2[[#This Row],[index]]),  "", _xlfn.CONCAT(LOWER(Table2[[#This Row],[device_via_device]]), "/", Table2[[#This Row],[unique_id]]))</f>
        <v>weewx/roof_wind_gust_speed</v>
      </c>
      <c r="AZ78" s="28" t="s">
        <v>1123</v>
      </c>
      <c r="BA78" s="28">
        <v>1</v>
      </c>
      <c r="BB78" s="30"/>
      <c r="BD7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Gust Speed</v>
      </c>
      <c r="BG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8" s="28" t="str">
        <f>IF(ISBLANK(Table2[[#This Row],[device_model]]), "", Table2[[#This Row],[device_suggested_area]])</f>
        <v>Roof</v>
      </c>
      <c r="BJ78" s="28" t="s">
        <v>393</v>
      </c>
      <c r="BK78" s="28" t="s">
        <v>36</v>
      </c>
      <c r="BL78" s="28" t="s">
        <v>37</v>
      </c>
      <c r="BN78" s="28" t="s">
        <v>1010</v>
      </c>
      <c r="BO78" s="28" t="s">
        <v>38</v>
      </c>
      <c r="BT78" s="28"/>
      <c r="BV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9" spans="1:74" ht="16" customHeight="1" x14ac:dyDescent="0.2">
      <c r="A79" s="28">
        <v>1303</v>
      </c>
      <c r="B79" s="28" t="s">
        <v>26</v>
      </c>
      <c r="C79" s="28" t="s">
        <v>39</v>
      </c>
      <c r="D79" s="28" t="s">
        <v>27</v>
      </c>
      <c r="E79" s="28" t="s">
        <v>108</v>
      </c>
      <c r="F79" s="34" t="str">
        <f>IF(ISBLANK(Table2[[#This Row],[unique_id]]), "", PROPER(SUBSTITUTE(Table2[[#This Row],[unique_id]], "_", " ")))</f>
        <v>Roof Wind Speed 10Min</v>
      </c>
      <c r="G79" s="28" t="s">
        <v>109</v>
      </c>
      <c r="H79" s="28" t="s">
        <v>100</v>
      </c>
      <c r="I79" s="28" t="s">
        <v>30</v>
      </c>
      <c r="P79" s="29"/>
      <c r="Q79" s="28"/>
      <c r="U79" s="35"/>
      <c r="V79" s="35"/>
      <c r="W79" s="35"/>
      <c r="X79" s="28"/>
      <c r="AD79" s="29"/>
      <c r="AE79" s="29"/>
      <c r="AF79" s="29"/>
      <c r="AG79" s="29"/>
      <c r="AJ79" s="28" t="s">
        <v>31</v>
      </c>
      <c r="AK79" s="28" t="s">
        <v>158</v>
      </c>
      <c r="AM79" s="28" t="s">
        <v>165</v>
      </c>
      <c r="AN79" s="28">
        <v>300</v>
      </c>
      <c r="AO79" s="29" t="s">
        <v>34</v>
      </c>
      <c r="AP79" s="29"/>
      <c r="AQ79" s="28" t="s">
        <v>110</v>
      </c>
      <c r="AR79" s="28" t="str">
        <f>IF(ISBLANK(Table2[[#This Row],[index]]),  "", _xlfn.CONCAT("homeassistant/sensor/", LOWER(Table2[[#This Row],[device_via_device]]), "/", Table2[[#This Row],[unique_id]], "/config"))</f>
        <v>homeassistant/sensor/weewx/roof_wind_speed_10min/config</v>
      </c>
      <c r="AS79" s="28" t="str">
        <f>IF(ISBLANK(Table2[[#This Row],[index]]),  "", _xlfn.CONCAT(LOWER(Table2[[#This Row],[device_via_device]]), "/", Table2[[#This Row],[unique_id]]))</f>
        <v>weewx/roof_wind_speed_10min</v>
      </c>
      <c r="AZ79" s="28" t="s">
        <v>1123</v>
      </c>
      <c r="BA79" s="28">
        <v>1</v>
      </c>
      <c r="BB79" s="30"/>
      <c r="BD7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Speed 10Min</v>
      </c>
      <c r="BG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79" s="28" t="str">
        <f>IF(ISBLANK(Table2[[#This Row],[device_model]]), "", Table2[[#This Row],[device_suggested_area]])</f>
        <v>Roof</v>
      </c>
      <c r="BJ79" s="28" t="s">
        <v>393</v>
      </c>
      <c r="BK79" s="28" t="s">
        <v>36</v>
      </c>
      <c r="BL79" s="28" t="s">
        <v>37</v>
      </c>
      <c r="BN79" s="28" t="s">
        <v>1010</v>
      </c>
      <c r="BO79" s="28" t="s">
        <v>38</v>
      </c>
      <c r="BT79" s="28"/>
      <c r="BV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0" spans="1:74" ht="16" customHeight="1" x14ac:dyDescent="0.2">
      <c r="A80" s="28">
        <v>1304</v>
      </c>
      <c r="B80" s="28" t="s">
        <v>26</v>
      </c>
      <c r="C80" s="28" t="s">
        <v>39</v>
      </c>
      <c r="D80" s="28" t="s">
        <v>27</v>
      </c>
      <c r="E80" s="28" t="s">
        <v>111</v>
      </c>
      <c r="F80" s="34" t="str">
        <f>IF(ISBLANK(Table2[[#This Row],[unique_id]]), "", PROPER(SUBSTITUTE(Table2[[#This Row],[unique_id]], "_", " ")))</f>
        <v>Roof Wind Samples</v>
      </c>
      <c r="G80" s="28" t="s">
        <v>112</v>
      </c>
      <c r="H80" s="28" t="s">
        <v>100</v>
      </c>
      <c r="I80" s="28" t="s">
        <v>30</v>
      </c>
      <c r="P80" s="29"/>
      <c r="Q80" s="28"/>
      <c r="U80" s="35"/>
      <c r="V80" s="35"/>
      <c r="W80" s="35"/>
      <c r="X80" s="28"/>
      <c r="AD80" s="29"/>
      <c r="AE80" s="29"/>
      <c r="AF80" s="29"/>
      <c r="AG80" s="29"/>
      <c r="AJ80" s="28" t="s">
        <v>31</v>
      </c>
      <c r="AM80" s="28" t="s">
        <v>165</v>
      </c>
      <c r="AN80" s="28">
        <v>300</v>
      </c>
      <c r="AO80" s="29" t="s">
        <v>34</v>
      </c>
      <c r="AP80" s="29"/>
      <c r="AQ80" s="28" t="s">
        <v>113</v>
      </c>
      <c r="AR80" s="28" t="str">
        <f>IF(ISBLANK(Table2[[#This Row],[index]]),  "", _xlfn.CONCAT("homeassistant/sensor/", LOWER(Table2[[#This Row],[device_via_device]]), "/", Table2[[#This Row],[unique_id]], "/config"))</f>
        <v>homeassistant/sensor/weewx/roof_wind_samples/config</v>
      </c>
      <c r="AS80" s="28" t="str">
        <f>IF(ISBLANK(Table2[[#This Row],[index]]),  "", _xlfn.CONCAT(LOWER(Table2[[#This Row],[device_via_device]]), "/", Table2[[#This Row],[unique_id]]))</f>
        <v>weewx/roof_wind_samples</v>
      </c>
      <c r="AZ80" s="28" t="s">
        <v>1124</v>
      </c>
      <c r="BA80" s="28">
        <v>1</v>
      </c>
      <c r="BB80" s="30"/>
      <c r="BD8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Samples</v>
      </c>
      <c r="BG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0" s="28" t="str">
        <f>IF(ISBLANK(Table2[[#This Row],[device_model]]), "", Table2[[#This Row],[device_suggested_area]])</f>
        <v>Roof</v>
      </c>
      <c r="BJ80" s="28" t="s">
        <v>393</v>
      </c>
      <c r="BK80" s="28" t="s">
        <v>36</v>
      </c>
      <c r="BL80" s="28" t="s">
        <v>37</v>
      </c>
      <c r="BN80" s="28" t="s">
        <v>1010</v>
      </c>
      <c r="BO80" s="28" t="s">
        <v>38</v>
      </c>
      <c r="BT80" s="28"/>
      <c r="BV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1" spans="1:74" ht="16" customHeight="1" x14ac:dyDescent="0.2">
      <c r="A81" s="28">
        <v>1305</v>
      </c>
      <c r="B81" s="28" t="s">
        <v>26</v>
      </c>
      <c r="C81" s="28" t="s">
        <v>39</v>
      </c>
      <c r="D81" s="28" t="s">
        <v>27</v>
      </c>
      <c r="E81" s="28" t="s">
        <v>114</v>
      </c>
      <c r="F81" s="34" t="str">
        <f>IF(ISBLANK(Table2[[#This Row],[unique_id]]), "", PROPER(SUBSTITUTE(Table2[[#This Row],[unique_id]], "_", " ")))</f>
        <v>Roof Wind Run</v>
      </c>
      <c r="G81" s="28" t="s">
        <v>115</v>
      </c>
      <c r="H81" s="28" t="s">
        <v>100</v>
      </c>
      <c r="I81" s="28" t="s">
        <v>30</v>
      </c>
      <c r="P81" s="29"/>
      <c r="Q81" s="28"/>
      <c r="U81" s="35"/>
      <c r="V81" s="35"/>
      <c r="W81" s="35"/>
      <c r="X81" s="28"/>
      <c r="AD81" s="29"/>
      <c r="AE81" s="29"/>
      <c r="AF81" s="29"/>
      <c r="AG81" s="29"/>
      <c r="AJ81" s="28" t="s">
        <v>31</v>
      </c>
      <c r="AK81" s="28" t="s">
        <v>116</v>
      </c>
      <c r="AM81" s="28" t="s">
        <v>165</v>
      </c>
      <c r="AN81" s="28">
        <v>300</v>
      </c>
      <c r="AO81" s="29" t="s">
        <v>34</v>
      </c>
      <c r="AP81" s="29"/>
      <c r="AQ81" s="28" t="s">
        <v>117</v>
      </c>
      <c r="AR81" s="28" t="str">
        <f>IF(ISBLANK(Table2[[#This Row],[index]]),  "", _xlfn.CONCAT("homeassistant/sensor/", LOWER(Table2[[#This Row],[device_via_device]]), "/", Table2[[#This Row],[unique_id]], "/config"))</f>
        <v>homeassistant/sensor/weewx/roof_wind_run/config</v>
      </c>
      <c r="AS81" s="28" t="str">
        <f>IF(ISBLANK(Table2[[#This Row],[index]]),  "", _xlfn.CONCAT(LOWER(Table2[[#This Row],[device_via_device]]), "/", Table2[[#This Row],[unique_id]]))</f>
        <v>weewx/roof_wind_run</v>
      </c>
      <c r="AZ81" s="28" t="s">
        <v>1123</v>
      </c>
      <c r="BA81" s="28">
        <v>1</v>
      </c>
      <c r="BB81" s="30"/>
      <c r="BD8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Run</v>
      </c>
      <c r="BG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1" s="28" t="str">
        <f>IF(ISBLANK(Table2[[#This Row],[device_model]]), "", Table2[[#This Row],[device_suggested_area]])</f>
        <v>Roof</v>
      </c>
      <c r="BJ81" s="28" t="s">
        <v>393</v>
      </c>
      <c r="BK81" s="28" t="s">
        <v>36</v>
      </c>
      <c r="BL81" s="28" t="s">
        <v>37</v>
      </c>
      <c r="BN81" s="28" t="s">
        <v>1010</v>
      </c>
      <c r="BO81" s="28" t="s">
        <v>38</v>
      </c>
      <c r="BT81" s="28"/>
      <c r="BV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2" spans="1:74" ht="16" customHeight="1" x14ac:dyDescent="0.2">
      <c r="A82" s="28">
        <v>1306</v>
      </c>
      <c r="B82" s="28" t="s">
        <v>26</v>
      </c>
      <c r="C82" s="28" t="s">
        <v>39</v>
      </c>
      <c r="D82" s="28" t="s">
        <v>27</v>
      </c>
      <c r="E82" s="28" t="s">
        <v>95</v>
      </c>
      <c r="F82" s="34" t="str">
        <f>IF(ISBLANK(Table2[[#This Row],[unique_id]]), "", PROPER(SUBSTITUTE(Table2[[#This Row],[unique_id]], "_", " ")))</f>
        <v>Roof Wind Speed</v>
      </c>
      <c r="G82" s="28" t="s">
        <v>96</v>
      </c>
      <c r="H82" s="28" t="s">
        <v>100</v>
      </c>
      <c r="I82" s="28" t="s">
        <v>30</v>
      </c>
      <c r="P82" s="29"/>
      <c r="Q82" s="28"/>
      <c r="U82" s="35"/>
      <c r="V82" s="35"/>
      <c r="W82" s="35"/>
      <c r="X82" s="28"/>
      <c r="AD82" s="29"/>
      <c r="AE82" s="29"/>
      <c r="AF82" s="29"/>
      <c r="AG82" s="29"/>
      <c r="AJ82" s="28" t="s">
        <v>31</v>
      </c>
      <c r="AK82" s="37" t="s">
        <v>158</v>
      </c>
      <c r="AM82" s="28" t="s">
        <v>165</v>
      </c>
      <c r="AN82" s="28">
        <v>300</v>
      </c>
      <c r="AO82" s="29" t="s">
        <v>34</v>
      </c>
      <c r="AP82" s="29"/>
      <c r="AQ82" s="28" t="s">
        <v>97</v>
      </c>
      <c r="AR82" s="28" t="str">
        <f>IF(ISBLANK(Table2[[#This Row],[index]]),  "", _xlfn.CONCAT("homeassistant/sensor/", LOWER(Table2[[#This Row],[device_via_device]]), "/", Table2[[#This Row],[unique_id]], "/config"))</f>
        <v>homeassistant/sensor/weewx/roof_wind_speed/config</v>
      </c>
      <c r="AS82" s="28" t="str">
        <f>IF(ISBLANK(Table2[[#This Row],[index]]),  "", _xlfn.CONCAT(LOWER(Table2[[#This Row],[device_via_device]]), "/", Table2[[#This Row],[unique_id]]))</f>
        <v>weewx/roof_wind_speed</v>
      </c>
      <c r="AZ82" s="28" t="s">
        <v>1123</v>
      </c>
      <c r="BA82" s="28">
        <v>1</v>
      </c>
      <c r="BB82" s="30"/>
      <c r="BD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Speed</v>
      </c>
      <c r="BG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2" s="28" t="str">
        <f>IF(ISBLANK(Table2[[#This Row],[device_model]]), "", Table2[[#This Row],[device_suggested_area]])</f>
        <v>Roof</v>
      </c>
      <c r="BJ82" s="28" t="s">
        <v>393</v>
      </c>
      <c r="BK82" s="28" t="s">
        <v>36</v>
      </c>
      <c r="BL82" s="28" t="s">
        <v>37</v>
      </c>
      <c r="BN82" s="28" t="s">
        <v>1010</v>
      </c>
      <c r="BO82" s="28" t="s">
        <v>38</v>
      </c>
      <c r="BT82" s="28"/>
      <c r="BV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3" spans="1:74" ht="16" customHeight="1" x14ac:dyDescent="0.2">
      <c r="A83" s="28">
        <v>1350</v>
      </c>
      <c r="B83" s="28" t="s">
        <v>26</v>
      </c>
      <c r="C83" s="28" t="s">
        <v>39</v>
      </c>
      <c r="D83" s="28" t="s">
        <v>27</v>
      </c>
      <c r="E83" s="28" t="s">
        <v>67</v>
      </c>
      <c r="F83" s="34" t="str">
        <f>IF(ISBLANK(Table2[[#This Row],[unique_id]]), "", PROPER(SUBSTITUTE(Table2[[#This Row],[unique_id]], "_", " ")))</f>
        <v>Roof Rain Rate</v>
      </c>
      <c r="G83" s="28" t="s">
        <v>1549</v>
      </c>
      <c r="H83" s="28" t="s">
        <v>58</v>
      </c>
      <c r="I83" s="28" t="s">
        <v>58</v>
      </c>
      <c r="N83" s="28" t="s">
        <v>81</v>
      </c>
      <c r="P83" s="29"/>
      <c r="Q83" s="28"/>
      <c r="U83" s="35"/>
      <c r="V83" s="35"/>
      <c r="W83" s="35"/>
      <c r="X83" s="28"/>
      <c r="AD83" s="29"/>
      <c r="AE83" s="29"/>
      <c r="AF83" s="29"/>
      <c r="AG83" s="29"/>
      <c r="AJ83" s="28" t="s">
        <v>31</v>
      </c>
      <c r="AK83" s="28" t="s">
        <v>205</v>
      </c>
      <c r="AM83" s="28" t="s">
        <v>164</v>
      </c>
      <c r="AN83" s="28">
        <v>300</v>
      </c>
      <c r="AO83" s="29" t="s">
        <v>34</v>
      </c>
      <c r="AP83" s="29"/>
      <c r="AQ83" s="28" t="s">
        <v>68</v>
      </c>
      <c r="AR83" s="28" t="str">
        <f>IF(ISBLANK(Table2[[#This Row],[index]]),  "", _xlfn.CONCAT("homeassistant/sensor/", LOWER(Table2[[#This Row],[device_via_device]]), "/", Table2[[#This Row],[unique_id]], "/config"))</f>
        <v>homeassistant/sensor/weewx/roof_rain_rate/config</v>
      </c>
      <c r="AS83" s="28" t="str">
        <f>IF(ISBLANK(Table2[[#This Row],[index]]),  "", _xlfn.CONCAT(LOWER(Table2[[#This Row],[device_via_device]]), "/", Table2[[#This Row],[unique_id]]))</f>
        <v>weewx/roof_rain_rate</v>
      </c>
      <c r="AZ83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format(states('sensor.roof_rain_rate') | float * 100 | int / 100))) | float }}</v>
      </c>
      <c r="BA83" s="28">
        <v>1</v>
      </c>
      <c r="BB83" s="30"/>
      <c r="BD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Rain Rate</v>
      </c>
      <c r="BG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3" s="28" t="str">
        <f>IF(ISBLANK(Table2[[#This Row],[device_model]]), "", Table2[[#This Row],[device_suggested_area]])</f>
        <v>Roof</v>
      </c>
      <c r="BJ83" s="28" t="s">
        <v>393</v>
      </c>
      <c r="BK83" s="28" t="s">
        <v>36</v>
      </c>
      <c r="BL83" s="28" t="s">
        <v>37</v>
      </c>
      <c r="BN83" s="28" t="s">
        <v>1010</v>
      </c>
      <c r="BO83" s="28" t="s">
        <v>38</v>
      </c>
      <c r="BT83" s="28"/>
      <c r="BV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4" spans="1:74" ht="16" customHeight="1" x14ac:dyDescent="0.2">
      <c r="A84" s="28">
        <v>1351</v>
      </c>
      <c r="B84" s="28" t="s">
        <v>26</v>
      </c>
      <c r="C84" s="28" t="s">
        <v>39</v>
      </c>
      <c r="D84" s="28" t="s">
        <v>27</v>
      </c>
      <c r="E84" s="28" t="s">
        <v>62</v>
      </c>
      <c r="F84" s="34" t="str">
        <f>IF(ISBLANK(Table2[[#This Row],[unique_id]]), "", PROPER(SUBSTITUTE(Table2[[#This Row],[unique_id]], "_", " ")))</f>
        <v>Roof Hourly Rain</v>
      </c>
      <c r="G84" s="28" t="s">
        <v>1550</v>
      </c>
      <c r="H84" s="28" t="s">
        <v>58</v>
      </c>
      <c r="I84" s="28" t="s">
        <v>58</v>
      </c>
      <c r="N84" s="28" t="s">
        <v>127</v>
      </c>
      <c r="P84" s="29"/>
      <c r="Q84" s="28"/>
      <c r="U84" s="35"/>
      <c r="V84" s="35"/>
      <c r="W84" s="35" t="s">
        <v>1524</v>
      </c>
      <c r="X84" s="28" t="s">
        <v>1540</v>
      </c>
      <c r="AD84" s="29"/>
      <c r="AE84" s="29"/>
      <c r="AF84" s="29"/>
      <c r="AG84" s="29"/>
      <c r="AJ84" s="28" t="s">
        <v>59</v>
      </c>
      <c r="AK84" s="28" t="s">
        <v>224</v>
      </c>
      <c r="AM84" s="28" t="s">
        <v>164</v>
      </c>
      <c r="AN84" s="28">
        <v>300</v>
      </c>
      <c r="AO84" s="29" t="s">
        <v>34</v>
      </c>
      <c r="AP84" s="29"/>
      <c r="AQ84" s="28" t="s">
        <v>63</v>
      </c>
      <c r="AR84" s="28" t="str">
        <f>IF(ISBLANK(Table2[[#This Row],[index]]),  "", _xlfn.CONCAT("homeassistant/sensor/", LOWER(Table2[[#This Row],[device_via_device]]), "/", Table2[[#This Row],[unique_id]], "/config"))</f>
        <v>homeassistant/sensor/weewx/roof_hourly_rain/config</v>
      </c>
      <c r="AS84" s="28" t="str">
        <f>IF(ISBLANK(Table2[[#This Row],[index]]),  "", _xlfn.CONCAT(LOWER(Table2[[#This Row],[device_via_device]]), "/", Table2[[#This Row],[unique_id]]))</f>
        <v>weewx/roof_hourly_rain</v>
      </c>
      <c r="AZ84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format(states('sensor.roof_hourly_rain') | float * 100 | int / 100))) | float }}</v>
      </c>
      <c r="BA84" s="28">
        <v>1</v>
      </c>
      <c r="BB84" s="30"/>
      <c r="BD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Hourly Rain</v>
      </c>
      <c r="BG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4" s="28" t="str">
        <f>IF(ISBLANK(Table2[[#This Row],[device_model]]), "", Table2[[#This Row],[device_suggested_area]])</f>
        <v>Roof</v>
      </c>
      <c r="BJ84" s="28" t="s">
        <v>393</v>
      </c>
      <c r="BK84" s="28" t="s">
        <v>36</v>
      </c>
      <c r="BL84" s="28" t="s">
        <v>37</v>
      </c>
      <c r="BN84" s="28" t="s">
        <v>1010</v>
      </c>
      <c r="BO84" s="28" t="s">
        <v>38</v>
      </c>
      <c r="BT84" s="28"/>
      <c r="BV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5" spans="1:74" ht="16" customHeight="1" x14ac:dyDescent="0.2">
      <c r="A85" s="28">
        <v>1352</v>
      </c>
      <c r="B85" s="28" t="s">
        <v>26</v>
      </c>
      <c r="C85" s="28" t="s">
        <v>409</v>
      </c>
      <c r="D85" s="28" t="s">
        <v>304</v>
      </c>
      <c r="E85" s="28" t="s">
        <v>407</v>
      </c>
      <c r="F85" s="34" t="str">
        <f>IF(ISBLANK(Table2[[#This Row],[unique_id]]), "", PROPER(SUBSTITUTE(Table2[[#This Row],[unique_id]], "_", " ")))</f>
        <v>Graph Break</v>
      </c>
      <c r="G85" s="28" t="s">
        <v>408</v>
      </c>
      <c r="H85" s="28" t="s">
        <v>58</v>
      </c>
      <c r="I85" s="28" t="s">
        <v>58</v>
      </c>
      <c r="P85" s="29"/>
      <c r="Q85" s="28"/>
      <c r="U85" s="35"/>
      <c r="V85" s="35"/>
      <c r="W85" s="35"/>
      <c r="X85" s="28"/>
      <c r="AD85" s="29"/>
      <c r="AE85" s="29"/>
      <c r="AF85" s="29"/>
      <c r="AG85" s="29"/>
      <c r="AO85" s="29"/>
      <c r="AP85" s="29"/>
      <c r="BA85" s="28"/>
      <c r="BB85" s="30"/>
      <c r="BC85" s="29"/>
      <c r="BD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5" s="28" t="str">
        <f>IF(ISBLANK(Table2[[#This Row],[device_model]]), "", Table2[[#This Row],[device_suggested_area]])</f>
        <v/>
      </c>
      <c r="BN85" s="29"/>
      <c r="BT85" s="28"/>
      <c r="BV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6" spans="1:74" ht="16" customHeight="1" x14ac:dyDescent="0.2">
      <c r="A86" s="28">
        <v>1353</v>
      </c>
      <c r="B86" s="28" t="s">
        <v>26</v>
      </c>
      <c r="C86" s="28" t="s">
        <v>39</v>
      </c>
      <c r="D86" s="28" t="s">
        <v>27</v>
      </c>
      <c r="E86" s="28" t="s">
        <v>57</v>
      </c>
      <c r="F86" s="34" t="str">
        <f>IF(ISBLANK(Table2[[#This Row],[unique_id]]), "", PROPER(SUBSTITUTE(Table2[[#This Row],[unique_id]], "_", " ")))</f>
        <v>Roof Daily Rain</v>
      </c>
      <c r="G86" s="28" t="s">
        <v>1548</v>
      </c>
      <c r="H86" s="28" t="s">
        <v>58</v>
      </c>
      <c r="I86" s="28" t="s">
        <v>58</v>
      </c>
      <c r="N86" s="28" t="s">
        <v>127</v>
      </c>
      <c r="P86" s="29"/>
      <c r="Q86" s="28"/>
      <c r="U86" s="35"/>
      <c r="V86" s="35"/>
      <c r="W86" s="35" t="s">
        <v>1524</v>
      </c>
      <c r="X86" s="28" t="s">
        <v>1528</v>
      </c>
      <c r="Y86" s="28" t="s">
        <v>1518</v>
      </c>
      <c r="AD86" s="29"/>
      <c r="AE86" s="29"/>
      <c r="AF86" s="29"/>
      <c r="AG86" s="29"/>
      <c r="AJ86" s="28" t="s">
        <v>59</v>
      </c>
      <c r="AK86" s="28" t="s">
        <v>224</v>
      </c>
      <c r="AM86" s="28" t="s">
        <v>164</v>
      </c>
      <c r="AN86" s="28">
        <v>300</v>
      </c>
      <c r="AO86" s="29" t="s">
        <v>34</v>
      </c>
      <c r="AP86" s="29"/>
      <c r="AQ86" s="28" t="s">
        <v>61</v>
      </c>
      <c r="AR86" s="28" t="str">
        <f>IF(ISBLANK(Table2[[#This Row],[index]]),  "", _xlfn.CONCAT("homeassistant/sensor/", LOWER(Table2[[#This Row],[device_via_device]]), "/", Table2[[#This Row],[unique_id]], "/config"))</f>
        <v>homeassistant/sensor/weewx/roof_daily_rain/config</v>
      </c>
      <c r="AS86" s="28" t="str">
        <f>IF(ISBLANK(Table2[[#This Row],[index]]),  "", _xlfn.CONCAT(LOWER(Table2[[#This Row],[device_via_device]]), "/", Table2[[#This Row],[unique_id]]))</f>
        <v>weewx/roof_daily_rain</v>
      </c>
      <c r="AZ86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format(states('sensor.roof_daily_rain') | float * 100 | int / 100))) | float }}</v>
      </c>
      <c r="BA86" s="28">
        <v>1</v>
      </c>
      <c r="BB86" s="30"/>
      <c r="BD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Daily Rain</v>
      </c>
      <c r="BG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6" s="28" t="str">
        <f>IF(ISBLANK(Table2[[#This Row],[device_model]]), "", Table2[[#This Row],[device_suggested_area]])</f>
        <v>Roof</v>
      </c>
      <c r="BJ86" s="28" t="s">
        <v>393</v>
      </c>
      <c r="BK86" s="28" t="s">
        <v>36</v>
      </c>
      <c r="BL86" s="28" t="s">
        <v>37</v>
      </c>
      <c r="BN86" s="28" t="s">
        <v>1010</v>
      </c>
      <c r="BO86" s="28" t="s">
        <v>38</v>
      </c>
      <c r="BT86" s="28"/>
      <c r="BV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7" spans="1:74" ht="16" customHeight="1" x14ac:dyDescent="0.2">
      <c r="A87" s="28">
        <v>1354</v>
      </c>
      <c r="B87" s="28" t="s">
        <v>26</v>
      </c>
      <c r="C87" s="28" t="s">
        <v>39</v>
      </c>
      <c r="D87" s="28" t="s">
        <v>27</v>
      </c>
      <c r="E87" s="28" t="s">
        <v>161</v>
      </c>
      <c r="F87" s="34" t="str">
        <f>IF(ISBLANK(Table2[[#This Row],[unique_id]]), "", PROPER(SUBSTITUTE(Table2[[#This Row],[unique_id]], "_", " ")))</f>
        <v>Roof 24Hour Rain</v>
      </c>
      <c r="G87" s="28" t="s">
        <v>1543</v>
      </c>
      <c r="H87" s="28" t="s">
        <v>58</v>
      </c>
      <c r="I87" s="28" t="s">
        <v>58</v>
      </c>
      <c r="P87" s="29"/>
      <c r="Q87" s="28"/>
      <c r="U87" s="35"/>
      <c r="V87" s="35"/>
      <c r="W87" s="35"/>
      <c r="X87" s="28"/>
      <c r="AD87" s="29"/>
      <c r="AE87" s="29"/>
      <c r="AF87" s="29"/>
      <c r="AG87" s="29"/>
      <c r="AJ87" s="28" t="s">
        <v>59</v>
      </c>
      <c r="AK87" s="28" t="s">
        <v>224</v>
      </c>
      <c r="AM87" s="28" t="s">
        <v>164</v>
      </c>
      <c r="AN87" s="28">
        <v>300</v>
      </c>
      <c r="AO87" s="29" t="s">
        <v>34</v>
      </c>
      <c r="AP87" s="29"/>
      <c r="AQ87" s="28" t="s">
        <v>66</v>
      </c>
      <c r="AR87" s="28" t="str">
        <f>IF(ISBLANK(Table2[[#This Row],[index]]),  "", _xlfn.CONCAT("homeassistant/sensor/", LOWER(Table2[[#This Row],[device_via_device]]), "/", Table2[[#This Row],[unique_id]], "/config"))</f>
        <v>homeassistant/sensor/weewx/roof_24hour_rain/config</v>
      </c>
      <c r="AS87" s="28" t="str">
        <f>IF(ISBLANK(Table2[[#This Row],[index]]),  "", _xlfn.CONCAT(LOWER(Table2[[#This Row],[device_via_device]]), "/", Table2[[#This Row],[unique_id]]))</f>
        <v>weewx/roof_24hour_rain</v>
      </c>
      <c r="AZ87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format(states('sensor.roof_24hour_rain') | float * 100 | int / 100))) | float }}</v>
      </c>
      <c r="BA87" s="28">
        <v>1</v>
      </c>
      <c r="BB87" s="30"/>
      <c r="BD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24Hour Rain</v>
      </c>
      <c r="BG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7" s="28" t="str">
        <f>IF(ISBLANK(Table2[[#This Row],[device_model]]), "", Table2[[#This Row],[device_suggested_area]])</f>
        <v>Roof</v>
      </c>
      <c r="BJ87" s="28" t="s">
        <v>393</v>
      </c>
      <c r="BK87" s="28" t="s">
        <v>36</v>
      </c>
      <c r="BL87" s="28" t="s">
        <v>37</v>
      </c>
      <c r="BN87" s="28" t="s">
        <v>1010</v>
      </c>
      <c r="BO87" s="28" t="s">
        <v>38</v>
      </c>
      <c r="BT87" s="28"/>
      <c r="BV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8" spans="1:74" ht="16" customHeight="1" x14ac:dyDescent="0.2">
      <c r="A88" s="28">
        <v>1355</v>
      </c>
      <c r="B88" s="28" t="s">
        <v>206</v>
      </c>
      <c r="C88" s="28" t="s">
        <v>141</v>
      </c>
      <c r="D88" s="28" t="s">
        <v>27</v>
      </c>
      <c r="E88" s="28" t="s">
        <v>225</v>
      </c>
      <c r="F88" s="34" t="str">
        <f>IF(ISBLANK(Table2[[#This Row],[unique_id]]), "", PROPER(SUBSTITUTE(Table2[[#This Row],[unique_id]], "_", " ")))</f>
        <v>Roof Weekly Rain</v>
      </c>
      <c r="G88" s="28" t="s">
        <v>1544</v>
      </c>
      <c r="H88" s="28" t="s">
        <v>58</v>
      </c>
      <c r="I88" s="28" t="s">
        <v>58</v>
      </c>
      <c r="P88" s="29"/>
      <c r="Q88" s="28"/>
      <c r="U88" s="35"/>
      <c r="V88" s="35"/>
      <c r="W88" s="35" t="s">
        <v>1524</v>
      </c>
      <c r="X88" s="28" t="s">
        <v>1527</v>
      </c>
      <c r="AD88" s="29"/>
      <c r="AE88" s="29"/>
      <c r="AF88" s="29"/>
      <c r="AG88" s="29"/>
      <c r="AO88" s="29"/>
      <c r="AP88" s="29"/>
      <c r="BA88" s="28"/>
      <c r="BB88" s="30"/>
      <c r="BC88" s="29"/>
      <c r="BD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8" s="28" t="str">
        <f>IF(ISBLANK(Table2[[#This Row],[device_model]]), "", Table2[[#This Row],[device_suggested_area]])</f>
        <v/>
      </c>
      <c r="BN88" s="29"/>
      <c r="BT88" s="28"/>
      <c r="BV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9" spans="1:74" ht="16" customHeight="1" x14ac:dyDescent="0.2">
      <c r="A89" s="28">
        <v>1356</v>
      </c>
      <c r="B89" s="28" t="s">
        <v>26</v>
      </c>
      <c r="C89" s="28" t="s">
        <v>39</v>
      </c>
      <c r="D89" s="28" t="s">
        <v>27</v>
      </c>
      <c r="E89" s="28" t="s">
        <v>64</v>
      </c>
      <c r="F89" s="34" t="str">
        <f>IF(ISBLANK(Table2[[#This Row],[unique_id]]), "", PROPER(SUBSTITUTE(Table2[[#This Row],[unique_id]], "_", " ")))</f>
        <v>Roof Monthly Rain</v>
      </c>
      <c r="G89" s="28" t="s">
        <v>1545</v>
      </c>
      <c r="H89" s="28" t="s">
        <v>58</v>
      </c>
      <c r="I89" s="28" t="s">
        <v>58</v>
      </c>
      <c r="N89" s="28" t="s">
        <v>127</v>
      </c>
      <c r="P89" s="29"/>
      <c r="Q89" s="28"/>
      <c r="U89" s="35"/>
      <c r="V89" s="35"/>
      <c r="W89" s="35" t="s">
        <v>1524</v>
      </c>
      <c r="X89" s="28" t="s">
        <v>1528</v>
      </c>
      <c r="AD89" s="29"/>
      <c r="AE89" s="29"/>
      <c r="AF89" s="29"/>
      <c r="AG89" s="29"/>
      <c r="AJ89" s="28" t="s">
        <v>59</v>
      </c>
      <c r="AK89" s="28" t="s">
        <v>60</v>
      </c>
      <c r="AM89" s="28" t="s">
        <v>164</v>
      </c>
      <c r="AN89" s="28">
        <v>300</v>
      </c>
      <c r="AO89" s="29" t="s">
        <v>34</v>
      </c>
      <c r="AP89" s="29"/>
      <c r="AQ89" s="28" t="s">
        <v>65</v>
      </c>
      <c r="AR89" s="28" t="str">
        <f>IF(ISBLANK(Table2[[#This Row],[index]]),  "", _xlfn.CONCAT("homeassistant/sensor/", LOWER(Table2[[#This Row],[device_via_device]]), "/", Table2[[#This Row],[unique_id]], "/config"))</f>
        <v>homeassistant/sensor/weewx/roof_monthly_rain/config</v>
      </c>
      <c r="AS89" s="28" t="str">
        <f>IF(ISBLANK(Table2[[#This Row],[index]]),  "", _xlfn.CONCAT(LOWER(Table2[[#This Row],[device_via_device]]), "/", Table2[[#This Row],[unique_id]]))</f>
        <v>weewx/roof_monthly_rain</v>
      </c>
      <c r="AZ89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format(states('sensor.roof_monthly_rain') | float * 100 | int / 100))) | float }}</v>
      </c>
      <c r="BA89" s="28">
        <v>1</v>
      </c>
      <c r="BB89" s="30"/>
      <c r="BD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Monthly Rain</v>
      </c>
      <c r="BG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89" s="28" t="str">
        <f>IF(ISBLANK(Table2[[#This Row],[device_model]]), "", Table2[[#This Row],[device_suggested_area]])</f>
        <v>Roof</v>
      </c>
      <c r="BJ89" s="28" t="s">
        <v>393</v>
      </c>
      <c r="BK89" s="28" t="s">
        <v>36</v>
      </c>
      <c r="BL89" s="28" t="s">
        <v>37</v>
      </c>
      <c r="BN89" s="28" t="s">
        <v>1010</v>
      </c>
      <c r="BO89" s="28" t="s">
        <v>38</v>
      </c>
      <c r="BT89" s="28"/>
      <c r="BV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0" spans="1:74" ht="16" customHeight="1" x14ac:dyDescent="0.2">
      <c r="A90" s="28">
        <v>1358</v>
      </c>
      <c r="B90" s="28" t="s">
        <v>26</v>
      </c>
      <c r="C90" s="28" t="s">
        <v>39</v>
      </c>
      <c r="D90" s="28" t="s">
        <v>27</v>
      </c>
      <c r="E90" s="28" t="s">
        <v>74</v>
      </c>
      <c r="F90" s="34" t="str">
        <f>IF(ISBLANK(Table2[[#This Row],[unique_id]]), "", PROPER(SUBSTITUTE(Table2[[#This Row],[unique_id]], "_", " ")))</f>
        <v>Roof Yearly Rain</v>
      </c>
      <c r="G90" s="28" t="s">
        <v>1542</v>
      </c>
      <c r="H90" s="28" t="s">
        <v>58</v>
      </c>
      <c r="I90" s="28" t="s">
        <v>58</v>
      </c>
      <c r="N90" s="28" t="s">
        <v>127</v>
      </c>
      <c r="P90" s="29"/>
      <c r="Q90" s="28"/>
      <c r="U90" s="35"/>
      <c r="V90" s="35"/>
      <c r="W90" s="35" t="s">
        <v>1524</v>
      </c>
      <c r="X90" s="28" t="s">
        <v>1528</v>
      </c>
      <c r="Y90" s="28" t="s">
        <v>1541</v>
      </c>
      <c r="AD90" s="29"/>
      <c r="AE90" s="29"/>
      <c r="AF90" s="29"/>
      <c r="AG90" s="29"/>
      <c r="AJ90" s="28" t="s">
        <v>59</v>
      </c>
      <c r="AK90" s="28" t="s">
        <v>60</v>
      </c>
      <c r="AM90" s="28" t="s">
        <v>164</v>
      </c>
      <c r="AN90" s="28">
        <v>300</v>
      </c>
      <c r="AO90" s="29" t="s">
        <v>34</v>
      </c>
      <c r="AP90" s="29"/>
      <c r="AQ90" s="28" t="s">
        <v>178</v>
      </c>
      <c r="AR90" s="28" t="str">
        <f>IF(ISBLANK(Table2[[#This Row],[index]]),  "", _xlfn.CONCAT("homeassistant/sensor/", LOWER(Table2[[#This Row],[device_via_device]]), "/", Table2[[#This Row],[unique_id]], "/config"))</f>
        <v>homeassistant/sensor/weewx/roof_yearly_rain/config</v>
      </c>
      <c r="AS90" s="28" t="str">
        <f>IF(ISBLANK(Table2[[#This Row],[index]]),  "", _xlfn.CONCAT(LOWER(Table2[[#This Row],[device_via_device]]), "/", Table2[[#This Row],[unique_id]]))</f>
        <v>weewx/roof_yearly_rain</v>
      </c>
      <c r="AZ90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format(states('sensor.roof_yearly_rain') | float * 100 | int / 100))) | float }}</v>
      </c>
      <c r="BA90" s="28">
        <v>1</v>
      </c>
      <c r="BB90" s="30"/>
      <c r="BD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Yearly Rain</v>
      </c>
      <c r="BG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0" s="28" t="str">
        <f>IF(ISBLANK(Table2[[#This Row],[device_model]]), "", Table2[[#This Row],[device_suggested_area]])</f>
        <v>Roof</v>
      </c>
      <c r="BJ90" s="28" t="s">
        <v>393</v>
      </c>
      <c r="BK90" s="28" t="s">
        <v>36</v>
      </c>
      <c r="BL90" s="28" t="s">
        <v>37</v>
      </c>
      <c r="BN90" s="28" t="s">
        <v>1010</v>
      </c>
      <c r="BO90" s="28" t="s">
        <v>38</v>
      </c>
      <c r="BT90" s="28"/>
      <c r="BV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1" spans="1:74" ht="16" customHeight="1" x14ac:dyDescent="0.2">
      <c r="A91" s="28">
        <v>1359</v>
      </c>
      <c r="B91" s="28" t="s">
        <v>26</v>
      </c>
      <c r="C91" s="28" t="s">
        <v>39</v>
      </c>
      <c r="D91" s="28" t="s">
        <v>27</v>
      </c>
      <c r="E91" s="28" t="s">
        <v>69</v>
      </c>
      <c r="F91" s="34" t="str">
        <f>IF(ISBLANK(Table2[[#This Row],[unique_id]]), "", PROPER(SUBSTITUTE(Table2[[#This Row],[unique_id]], "_", " ")))</f>
        <v>Roof Rain</v>
      </c>
      <c r="G91" s="28" t="s">
        <v>1546</v>
      </c>
      <c r="H91" s="28" t="s">
        <v>58</v>
      </c>
      <c r="I91" s="28" t="s">
        <v>58</v>
      </c>
      <c r="P91" s="29"/>
      <c r="Q91" s="28"/>
      <c r="U91" s="35"/>
      <c r="V91" s="35"/>
      <c r="W91" s="35"/>
      <c r="X91" s="28"/>
      <c r="AD91" s="29"/>
      <c r="AE91" s="29"/>
      <c r="AF91" s="29"/>
      <c r="AG91" s="29"/>
      <c r="AJ91" s="28" t="s">
        <v>70</v>
      </c>
      <c r="AK91" s="28" t="s">
        <v>60</v>
      </c>
      <c r="AM91" s="28" t="s">
        <v>164</v>
      </c>
      <c r="AN91" s="28">
        <v>300</v>
      </c>
      <c r="AO91" s="29" t="s">
        <v>34</v>
      </c>
      <c r="AP91" s="29"/>
      <c r="AQ91" s="28" t="s">
        <v>71</v>
      </c>
      <c r="AR91" s="28" t="str">
        <f>IF(ISBLANK(Table2[[#This Row],[index]]),  "", _xlfn.CONCAT("homeassistant/sensor/", LOWER(Table2[[#This Row],[device_via_device]]), "/", Table2[[#This Row],[unique_id]], "/config"))</f>
        <v>homeassistant/sensor/weewx/roof_rain/config</v>
      </c>
      <c r="AS91" s="28" t="str">
        <f>IF(ISBLANK(Table2[[#This Row],[index]]),  "", _xlfn.CONCAT(LOWER(Table2[[#This Row],[device_via_device]]), "/", Table2[[#This Row],[unique_id]]))</f>
        <v>weewx/roof_rain</v>
      </c>
      <c r="AZ91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format(states('sensor.roof_rain') | float * 100 | int / 100))) | float }}</v>
      </c>
      <c r="BA91" s="28">
        <v>1</v>
      </c>
      <c r="BB91" s="30"/>
      <c r="BD9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9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9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Rain</v>
      </c>
      <c r="BG9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1" s="28" t="str">
        <f>IF(ISBLANK(Table2[[#This Row],[device_model]]), "", Table2[[#This Row],[device_suggested_area]])</f>
        <v>Roof</v>
      </c>
      <c r="BJ91" s="28" t="s">
        <v>393</v>
      </c>
      <c r="BK91" s="28" t="s">
        <v>36</v>
      </c>
      <c r="BL91" s="28" t="s">
        <v>37</v>
      </c>
      <c r="BN91" s="28" t="s">
        <v>1010</v>
      </c>
      <c r="BO91" s="28" t="s">
        <v>38</v>
      </c>
      <c r="BT91" s="28"/>
      <c r="BV9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2" spans="1:74" ht="16" customHeight="1" x14ac:dyDescent="0.2">
      <c r="A92" s="28">
        <v>1360</v>
      </c>
      <c r="B92" s="28" t="s">
        <v>26</v>
      </c>
      <c r="C92" s="28" t="s">
        <v>39</v>
      </c>
      <c r="D92" s="28" t="s">
        <v>27</v>
      </c>
      <c r="E92" s="28" t="s">
        <v>72</v>
      </c>
      <c r="F92" s="34" t="str">
        <f>IF(ISBLANK(Table2[[#This Row],[unique_id]]), "", PROPER(SUBSTITUTE(Table2[[#This Row],[unique_id]], "_", " ")))</f>
        <v>Roof Storm Rain</v>
      </c>
      <c r="G92" s="28" t="s">
        <v>1547</v>
      </c>
      <c r="H92" s="28" t="s">
        <v>58</v>
      </c>
      <c r="I92" s="28" t="s">
        <v>58</v>
      </c>
      <c r="P92" s="29"/>
      <c r="Q92" s="28"/>
      <c r="U92" s="35"/>
      <c r="V92" s="35"/>
      <c r="W92" s="35"/>
      <c r="X92" s="28"/>
      <c r="AD92" s="29"/>
      <c r="AE92" s="29"/>
      <c r="AF92" s="29"/>
      <c r="AG92" s="29"/>
      <c r="AJ92" s="28" t="s">
        <v>31</v>
      </c>
      <c r="AK92" s="28" t="s">
        <v>60</v>
      </c>
      <c r="AM92" s="28" t="s">
        <v>164</v>
      </c>
      <c r="AN92" s="28">
        <v>300</v>
      </c>
      <c r="AO92" s="29" t="s">
        <v>34</v>
      </c>
      <c r="AP92" s="29"/>
      <c r="AQ92" s="28" t="s">
        <v>73</v>
      </c>
      <c r="AR92" s="28" t="str">
        <f>IF(ISBLANK(Table2[[#This Row],[index]]),  "", _xlfn.CONCAT("homeassistant/sensor/", LOWER(Table2[[#This Row],[device_via_device]]), "/", Table2[[#This Row],[unique_id]], "/config"))</f>
        <v>homeassistant/sensor/weewx/roof_storm_rain/config</v>
      </c>
      <c r="AS92" s="28" t="str">
        <f>IF(ISBLANK(Table2[[#This Row],[index]]),  "", _xlfn.CONCAT(LOWER(Table2[[#This Row],[device_via_device]]), "/", Table2[[#This Row],[unique_id]]))</f>
        <v>weewx/roof_storm_rain</v>
      </c>
      <c r="AZ92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format(states('sensor.roof_storm_rain') | float * 100 | int / 100))) | float }}</v>
      </c>
      <c r="BA92" s="28">
        <v>1</v>
      </c>
      <c r="BB92" s="30"/>
      <c r="BD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BE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F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Storm Rain</v>
      </c>
      <c r="BG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2" s="28" t="str">
        <f>IF(ISBLANK(Table2[[#This Row],[device_model]]), "", Table2[[#This Row],[device_suggested_area]])</f>
        <v>Roof</v>
      </c>
      <c r="BJ92" s="28" t="s">
        <v>393</v>
      </c>
      <c r="BK92" s="28" t="s">
        <v>36</v>
      </c>
      <c r="BL92" s="28" t="s">
        <v>37</v>
      </c>
      <c r="BN92" s="28" t="s">
        <v>1010</v>
      </c>
      <c r="BO92" s="28" t="s">
        <v>38</v>
      </c>
      <c r="BT92" s="28"/>
      <c r="BV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3" spans="1:74" ht="16" customHeight="1" x14ac:dyDescent="0.2">
      <c r="A93" s="28">
        <v>1361</v>
      </c>
      <c r="B93" s="28" t="s">
        <v>26</v>
      </c>
      <c r="C93" s="28" t="s">
        <v>409</v>
      </c>
      <c r="D93" s="28" t="s">
        <v>304</v>
      </c>
      <c r="E93" s="28" t="s">
        <v>407</v>
      </c>
      <c r="F93" s="34" t="str">
        <f>IF(ISBLANK(Table2[[#This Row],[unique_id]]), "", PROPER(SUBSTITUTE(Table2[[#This Row],[unique_id]], "_", " ")))</f>
        <v>Graph Break</v>
      </c>
      <c r="G93" s="28" t="s">
        <v>408</v>
      </c>
      <c r="H93" s="28" t="s">
        <v>58</v>
      </c>
      <c r="I93" s="28" t="s">
        <v>58</v>
      </c>
      <c r="P93" s="29"/>
      <c r="Q93" s="28"/>
      <c r="U93" s="35"/>
      <c r="V93" s="35"/>
      <c r="W93" s="35"/>
      <c r="X93" s="28"/>
      <c r="AD93" s="29"/>
      <c r="AE93" s="29"/>
      <c r="AF93" s="29"/>
      <c r="AG93" s="29"/>
      <c r="AO93" s="29"/>
      <c r="AP93" s="29"/>
      <c r="BA93" s="28"/>
      <c r="BB93" s="30"/>
      <c r="BC93" s="29"/>
      <c r="BD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3" s="28" t="str">
        <f>IF(ISBLANK(Table2[[#This Row],[device_model]]), "", Table2[[#This Row],[device_suggested_area]])</f>
        <v/>
      </c>
      <c r="BN93" s="29"/>
      <c r="BT93" s="28"/>
      <c r="BV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4" spans="1:74" ht="16" customHeight="1" x14ac:dyDescent="0.2">
      <c r="A94" s="28">
        <v>1400</v>
      </c>
      <c r="B94" s="28" t="s">
        <v>26</v>
      </c>
      <c r="C94" s="28" t="s">
        <v>141</v>
      </c>
      <c r="D94" s="28" t="s">
        <v>281</v>
      </c>
      <c r="E94" s="28" t="s">
        <v>1310</v>
      </c>
      <c r="F94" s="34" t="str">
        <f>IF(ISBLANK(Table2[[#This Row],[unique_id]]), "", PROPER(SUBSTITUTE(Table2[[#This Row],[unique_id]], "_", " ")))</f>
        <v>Home Started</v>
      </c>
      <c r="G94" s="28" t="s">
        <v>1311</v>
      </c>
      <c r="H94" s="28" t="s">
        <v>282</v>
      </c>
      <c r="I94" s="28" t="s">
        <v>123</v>
      </c>
      <c r="P94" s="29"/>
      <c r="Q94" s="28"/>
      <c r="U94" s="35"/>
      <c r="V94" s="35"/>
      <c r="W94" s="35"/>
      <c r="X94" s="28"/>
      <c r="AD94" s="29"/>
      <c r="AE94" s="29"/>
      <c r="AF94" s="29"/>
      <c r="AG94" s="29"/>
      <c r="AO94" s="29"/>
      <c r="AP94" s="29"/>
      <c r="AR94" s="28" t="str">
        <f>IF(ISBLANK(AQ94),  "", _xlfn.CONCAT("haas/entity/sensor/", LOWER(C94), "/", E94, "/config"))</f>
        <v/>
      </c>
      <c r="AS94" s="28" t="str">
        <f>IF(ISBLANK(AQ94),  "", _xlfn.CONCAT(LOWER(C94), "/", E94))</f>
        <v/>
      </c>
      <c r="BA94" s="28"/>
      <c r="BB94" s="30"/>
      <c r="BC94" s="38"/>
      <c r="BD94" s="28"/>
      <c r="BF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4" s="28" t="str">
        <f>IF(ISBLANK(Table2[[#This Row],[device_model]]), "", Table2[[#This Row],[device_suggested_area]])</f>
        <v/>
      </c>
      <c r="BN94" s="29"/>
      <c r="BO94" s="28" t="s">
        <v>118</v>
      </c>
      <c r="BT94" s="28"/>
      <c r="BV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5" spans="1:74" ht="16" customHeight="1" x14ac:dyDescent="0.2">
      <c r="A95" s="28">
        <v>1401</v>
      </c>
      <c r="B95" s="28" t="s">
        <v>26</v>
      </c>
      <c r="C95" s="28" t="s">
        <v>141</v>
      </c>
      <c r="D95" s="28" t="s">
        <v>281</v>
      </c>
      <c r="E95" s="28" t="s">
        <v>614</v>
      </c>
      <c r="F95" s="34" t="str">
        <f>IF(ISBLANK(Table2[[#This Row],[unique_id]]), "", PROPER(SUBSTITUTE(Table2[[#This Row],[unique_id]], "_", " ")))</f>
        <v>Home Security</v>
      </c>
      <c r="G95" s="28" t="s">
        <v>612</v>
      </c>
      <c r="H95" s="28" t="s">
        <v>282</v>
      </c>
      <c r="I95" s="28" t="s">
        <v>123</v>
      </c>
      <c r="J95" s="28" t="s">
        <v>613</v>
      </c>
      <c r="N95" s="28" t="s">
        <v>244</v>
      </c>
      <c r="P95" s="29"/>
      <c r="Q95" s="28"/>
      <c r="U95" s="35"/>
      <c r="V95" s="35"/>
      <c r="W95" s="35"/>
      <c r="X95" s="28"/>
      <c r="AD95" s="29"/>
      <c r="AE95" s="29"/>
      <c r="AF95" s="29"/>
      <c r="AG95" s="29"/>
      <c r="AM95" s="28" t="s">
        <v>627</v>
      </c>
      <c r="AO95" s="29"/>
      <c r="AP95" s="29"/>
      <c r="BA95" s="28"/>
      <c r="BB95" s="38"/>
      <c r="BC95" s="29"/>
      <c r="BD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5" s="28" t="str">
        <f>IF(ISBLANK(Table2[[#This Row],[device_model]]), "", Table2[[#This Row],[device_suggested_area]])</f>
        <v/>
      </c>
      <c r="BN95" s="29"/>
      <c r="BO95" s="28" t="s">
        <v>155</v>
      </c>
      <c r="BQ95" s="28" t="s">
        <v>657</v>
      </c>
      <c r="BT95" s="39"/>
      <c r="BU95" s="37"/>
      <c r="BV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6" spans="1:74" ht="16" customHeight="1" x14ac:dyDescent="0.2">
      <c r="A96" s="28">
        <v>1402</v>
      </c>
      <c r="B96" s="28" t="s">
        <v>26</v>
      </c>
      <c r="C96" s="28" t="s">
        <v>141</v>
      </c>
      <c r="D96" s="28" t="s">
        <v>281</v>
      </c>
      <c r="E96" s="28" t="s">
        <v>410</v>
      </c>
      <c r="F96" s="34" t="str">
        <f>IF(ISBLANK(Table2[[#This Row],[unique_id]]), "", PROPER(SUBSTITUTE(Table2[[#This Row],[unique_id]], "_", " ")))</f>
        <v>Home Movie</v>
      </c>
      <c r="G96" s="28" t="s">
        <v>415</v>
      </c>
      <c r="H96" s="28" t="s">
        <v>282</v>
      </c>
      <c r="I96" s="28" t="s">
        <v>123</v>
      </c>
      <c r="J96" s="28" t="s">
        <v>441</v>
      </c>
      <c r="N96" s="28" t="s">
        <v>244</v>
      </c>
      <c r="P96" s="29"/>
      <c r="Q96" s="28"/>
      <c r="U96" s="35"/>
      <c r="V96" s="35"/>
      <c r="W96" s="35"/>
      <c r="X96" s="28"/>
      <c r="AD96" s="29"/>
      <c r="AE96" s="29"/>
      <c r="AF96" s="29"/>
      <c r="AG96" s="29"/>
      <c r="AM96" s="28" t="s">
        <v>405</v>
      </c>
      <c r="AO96" s="29"/>
      <c r="AP96" s="29"/>
      <c r="BA96" s="28"/>
      <c r="BB96" s="30"/>
      <c r="BC96" s="29"/>
      <c r="BD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6" s="28" t="str">
        <f>IF(ISBLANK(Table2[[#This Row],[device_model]]), "", Table2[[#This Row],[device_suggested_area]])</f>
        <v/>
      </c>
      <c r="BN96" s="29"/>
      <c r="BO96" s="28" t="s">
        <v>155</v>
      </c>
      <c r="BQ96" s="28" t="s">
        <v>657</v>
      </c>
      <c r="BT96" s="28"/>
      <c r="BV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7" spans="1:74" ht="16" customHeight="1" x14ac:dyDescent="0.2">
      <c r="A97" s="28">
        <v>1403</v>
      </c>
      <c r="B97" s="28" t="s">
        <v>26</v>
      </c>
      <c r="C97" s="28" t="s">
        <v>141</v>
      </c>
      <c r="D97" s="28" t="s">
        <v>281</v>
      </c>
      <c r="E97" s="28" t="s">
        <v>280</v>
      </c>
      <c r="F97" s="34" t="str">
        <f>IF(ISBLANK(Table2[[#This Row],[unique_id]]), "", PROPER(SUBSTITUTE(Table2[[#This Row],[unique_id]], "_", " ")))</f>
        <v>Home Sleep</v>
      </c>
      <c r="G97" s="28" t="s">
        <v>260</v>
      </c>
      <c r="H97" s="28" t="s">
        <v>282</v>
      </c>
      <c r="I97" s="28" t="s">
        <v>123</v>
      </c>
      <c r="J97" s="28" t="s">
        <v>443</v>
      </c>
      <c r="N97" s="28" t="s">
        <v>244</v>
      </c>
      <c r="P97" s="29"/>
      <c r="Q97" s="28"/>
      <c r="U97" s="35"/>
      <c r="V97" s="35"/>
      <c r="W97" s="35"/>
      <c r="X97" s="28"/>
      <c r="AD97" s="29"/>
      <c r="AE97" s="29"/>
      <c r="AF97" s="29"/>
      <c r="AG97" s="29"/>
      <c r="AM97" s="28" t="s">
        <v>283</v>
      </c>
      <c r="AO97" s="29"/>
      <c r="AP97" s="29"/>
      <c r="BA97" s="28"/>
      <c r="BB97" s="30"/>
      <c r="BC97" s="29"/>
      <c r="BD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7" s="28" t="str">
        <f>IF(ISBLANK(Table2[[#This Row],[device_model]]), "", Table2[[#This Row],[device_suggested_area]])</f>
        <v/>
      </c>
      <c r="BN97" s="29"/>
      <c r="BO97" s="28" t="s">
        <v>155</v>
      </c>
      <c r="BQ97" s="28" t="s">
        <v>657</v>
      </c>
      <c r="BT97" s="28"/>
      <c r="BV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8" spans="1:74" ht="16" customHeight="1" x14ac:dyDescent="0.2">
      <c r="A98" s="28">
        <v>1404</v>
      </c>
      <c r="B98" s="28" t="s">
        <v>26</v>
      </c>
      <c r="C98" s="28" t="s">
        <v>141</v>
      </c>
      <c r="D98" s="28" t="s">
        <v>281</v>
      </c>
      <c r="E98" s="28" t="s">
        <v>404</v>
      </c>
      <c r="F98" s="34" t="str">
        <f>IF(ISBLANK(Table2[[#This Row],[unique_id]]), "", PROPER(SUBSTITUTE(Table2[[#This Row],[unique_id]], "_", " ")))</f>
        <v>Home Reset</v>
      </c>
      <c r="G98" s="28" t="s">
        <v>416</v>
      </c>
      <c r="H98" s="28" t="s">
        <v>282</v>
      </c>
      <c r="I98" s="28" t="s">
        <v>123</v>
      </c>
      <c r="J98" s="28" t="s">
        <v>442</v>
      </c>
      <c r="N98" s="28" t="s">
        <v>244</v>
      </c>
      <c r="P98" s="29"/>
      <c r="Q98" s="28"/>
      <c r="U98" s="35"/>
      <c r="V98" s="35"/>
      <c r="W98" s="35"/>
      <c r="X98" s="28"/>
      <c r="AD98" s="29"/>
      <c r="AE98" s="29"/>
      <c r="AF98" s="29"/>
      <c r="AG98" s="29"/>
      <c r="AM98" s="28" t="s">
        <v>406</v>
      </c>
      <c r="AO98" s="29"/>
      <c r="AP98" s="29"/>
      <c r="BA98" s="28"/>
      <c r="BB98" s="30"/>
      <c r="BC98" s="29"/>
      <c r="BD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8" s="28" t="str">
        <f>IF(ISBLANK(Table2[[#This Row],[device_model]]), "", Table2[[#This Row],[device_suggested_area]])</f>
        <v/>
      </c>
      <c r="BN98" s="29"/>
      <c r="BO98" s="28" t="s">
        <v>155</v>
      </c>
      <c r="BQ98" s="28" t="s">
        <v>657</v>
      </c>
      <c r="BT98" s="28"/>
      <c r="BV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9" spans="1:74" ht="16" customHeight="1" x14ac:dyDescent="0.2">
      <c r="A99" s="28">
        <v>1405</v>
      </c>
      <c r="B99" s="28" t="s">
        <v>26</v>
      </c>
      <c r="C99" s="28" t="s">
        <v>631</v>
      </c>
      <c r="D99" s="28" t="s">
        <v>632</v>
      </c>
      <c r="E99" s="28" t="s">
        <v>633</v>
      </c>
      <c r="F99" s="34" t="str">
        <f>IF(ISBLANK(Table2[[#This Row],[unique_id]]), "", PROPER(SUBSTITUTE(Table2[[#This Row],[unique_id]], "_", " ")))</f>
        <v>Home Secure Back Door Off</v>
      </c>
      <c r="G99" s="28" t="s">
        <v>634</v>
      </c>
      <c r="H99" s="28" t="s">
        <v>282</v>
      </c>
      <c r="I99" s="28" t="s">
        <v>123</v>
      </c>
      <c r="K99" s="28" t="s">
        <v>635</v>
      </c>
      <c r="M99" s="28" t="s">
        <v>638</v>
      </c>
      <c r="P99" s="29"/>
      <c r="Q99" s="28"/>
      <c r="U99" s="35"/>
      <c r="V99" s="35"/>
      <c r="W99" s="35"/>
      <c r="X99" s="28"/>
      <c r="AD99" s="29"/>
      <c r="AE99" s="29"/>
      <c r="AF99" s="29"/>
      <c r="AG99" s="29"/>
      <c r="AM99" s="28" t="s">
        <v>639</v>
      </c>
      <c r="AO99" s="29"/>
      <c r="AP99" s="29"/>
      <c r="BA99" s="28"/>
      <c r="BB99" s="30"/>
      <c r="BC99" s="29"/>
      <c r="BD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99" s="28" t="str">
        <f>IF(ISBLANK(Table2[[#This Row],[device_model]]), "", Table2[[#This Row],[device_suggested_area]])</f>
        <v/>
      </c>
      <c r="BN99" s="29"/>
      <c r="BT99" s="28"/>
      <c r="BV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0" spans="1:74" ht="16" customHeight="1" x14ac:dyDescent="0.2">
      <c r="A100" s="28">
        <v>1406</v>
      </c>
      <c r="B100" s="28" t="s">
        <v>26</v>
      </c>
      <c r="C100" s="28" t="s">
        <v>631</v>
      </c>
      <c r="D100" s="28" t="s">
        <v>632</v>
      </c>
      <c r="E100" s="28" t="s">
        <v>640</v>
      </c>
      <c r="F100" s="34" t="str">
        <f>IF(ISBLANK(Table2[[#This Row],[unique_id]]), "", PROPER(SUBSTITUTE(Table2[[#This Row],[unique_id]], "_", " ")))</f>
        <v>Home Secure Front Door Off</v>
      </c>
      <c r="G100" s="28" t="s">
        <v>641</v>
      </c>
      <c r="H100" s="28" t="s">
        <v>282</v>
      </c>
      <c r="I100" s="28" t="s">
        <v>123</v>
      </c>
      <c r="K100" s="28" t="s">
        <v>642</v>
      </c>
      <c r="M100" s="28" t="s">
        <v>638</v>
      </c>
      <c r="P100" s="29"/>
      <c r="Q100" s="28"/>
      <c r="U100" s="35"/>
      <c r="V100" s="35"/>
      <c r="W100" s="35"/>
      <c r="X100" s="28"/>
      <c r="AD100" s="29"/>
      <c r="AE100" s="29"/>
      <c r="AF100" s="29"/>
      <c r="AG100" s="29"/>
      <c r="AM100" s="28" t="s">
        <v>639</v>
      </c>
      <c r="AO100" s="29"/>
      <c r="AP100" s="29"/>
      <c r="BA100" s="28"/>
      <c r="BB100" s="30"/>
      <c r="BC100" s="29"/>
      <c r="BD10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0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0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0" s="28" t="str">
        <f>IF(ISBLANK(Table2[[#This Row],[device_model]]), "", Table2[[#This Row],[device_suggested_area]])</f>
        <v/>
      </c>
      <c r="BN100" s="29"/>
      <c r="BT100" s="28"/>
      <c r="BV10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1" spans="1:74" ht="16" customHeight="1" x14ac:dyDescent="0.2">
      <c r="A101" s="28">
        <v>1407</v>
      </c>
      <c r="B101" s="28" t="s">
        <v>26</v>
      </c>
      <c r="C101" s="28" t="s">
        <v>631</v>
      </c>
      <c r="D101" s="28" t="s">
        <v>632</v>
      </c>
      <c r="E101" s="28" t="s">
        <v>643</v>
      </c>
      <c r="F101" s="34" t="str">
        <f>IF(ISBLANK(Table2[[#This Row],[unique_id]]), "", PROPER(SUBSTITUTE(Table2[[#This Row],[unique_id]], "_", " ")))</f>
        <v>Home Sleep On</v>
      </c>
      <c r="G101" s="28" t="s">
        <v>1284</v>
      </c>
      <c r="H101" s="28" t="s">
        <v>282</v>
      </c>
      <c r="I101" s="28" t="s">
        <v>123</v>
      </c>
      <c r="K101" s="28" t="s">
        <v>645</v>
      </c>
      <c r="M101" s="28" t="s">
        <v>646</v>
      </c>
      <c r="P101" s="29"/>
      <c r="Q101" s="28"/>
      <c r="U101" s="35"/>
      <c r="V101" s="35"/>
      <c r="W101" s="35"/>
      <c r="X101" s="28"/>
      <c r="AD101" s="29"/>
      <c r="AE101" s="29"/>
      <c r="AF101" s="29"/>
      <c r="AG101" s="29"/>
      <c r="AM101" s="28" t="s">
        <v>283</v>
      </c>
      <c r="AO101" s="29"/>
      <c r="AP101" s="29"/>
      <c r="BA101" s="28"/>
      <c r="BB101" s="30"/>
      <c r="BC101" s="29"/>
      <c r="BD10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0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0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1" s="28" t="str">
        <f>IF(ISBLANK(Table2[[#This Row],[device_model]]), "", Table2[[#This Row],[device_suggested_area]])</f>
        <v/>
      </c>
      <c r="BN101" s="29"/>
      <c r="BT101" s="28"/>
      <c r="BV10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2" spans="1:74" ht="16" customHeight="1" x14ac:dyDescent="0.2">
      <c r="A102" s="28">
        <v>1408</v>
      </c>
      <c r="B102" s="28" t="s">
        <v>26</v>
      </c>
      <c r="C102" s="28" t="s">
        <v>631</v>
      </c>
      <c r="D102" s="28" t="s">
        <v>632</v>
      </c>
      <c r="E102" s="28" t="s">
        <v>644</v>
      </c>
      <c r="F102" s="34" t="str">
        <f>IF(ISBLANK(Table2[[#This Row],[unique_id]]), "", PROPER(SUBSTITUTE(Table2[[#This Row],[unique_id]], "_", " ")))</f>
        <v>Home Sleep Off</v>
      </c>
      <c r="G102" s="28" t="s">
        <v>1285</v>
      </c>
      <c r="H102" s="28" t="s">
        <v>282</v>
      </c>
      <c r="I102" s="28" t="s">
        <v>123</v>
      </c>
      <c r="K102" s="28" t="s">
        <v>645</v>
      </c>
      <c r="M102" s="28" t="s">
        <v>638</v>
      </c>
      <c r="P102" s="29"/>
      <c r="Q102" s="28"/>
      <c r="U102" s="35"/>
      <c r="V102" s="35"/>
      <c r="W102" s="35"/>
      <c r="X102" s="28"/>
      <c r="AD102" s="29"/>
      <c r="AE102" s="29"/>
      <c r="AF102" s="29"/>
      <c r="AG102" s="29"/>
      <c r="AM102" s="28" t="s">
        <v>647</v>
      </c>
      <c r="AO102" s="29"/>
      <c r="AP102" s="29"/>
      <c r="BA102" s="28"/>
      <c r="BB102" s="30"/>
      <c r="BC102" s="29"/>
      <c r="BD10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0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0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2" s="28" t="str">
        <f>IF(ISBLANK(Table2[[#This Row],[device_model]]), "", Table2[[#This Row],[device_suggested_area]])</f>
        <v/>
      </c>
      <c r="BN102" s="29"/>
      <c r="BT102" s="28"/>
      <c r="BV10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3" spans="1:74" ht="16" customHeight="1" x14ac:dyDescent="0.2">
      <c r="A103" s="28">
        <v>1409</v>
      </c>
      <c r="B103" s="28" t="s">
        <v>26</v>
      </c>
      <c r="C103" s="28" t="s">
        <v>141</v>
      </c>
      <c r="D103" s="28" t="s">
        <v>281</v>
      </c>
      <c r="E103" s="28" t="s">
        <v>1304</v>
      </c>
      <c r="F103" s="34" t="str">
        <f>IF(ISBLANK(Table2[[#This Row],[unique_id]]), "", PROPER(SUBSTITUTE(Table2[[#This Row],[unique_id]], "_", " ")))</f>
        <v>Edwin Wakeup</v>
      </c>
      <c r="G103" s="28" t="s">
        <v>1302</v>
      </c>
      <c r="H103" s="28" t="s">
        <v>282</v>
      </c>
      <c r="I103" s="28" t="s">
        <v>123</v>
      </c>
      <c r="J103" s="28" t="s">
        <v>1307</v>
      </c>
      <c r="P103" s="29"/>
      <c r="Q103" s="28"/>
      <c r="U103" s="35"/>
      <c r="V103" s="35"/>
      <c r="W103" s="35"/>
      <c r="X103" s="28"/>
      <c r="AD103" s="29"/>
      <c r="AE103" s="29"/>
      <c r="AF103" s="29"/>
      <c r="AG103" s="29"/>
      <c r="AO103" s="29"/>
      <c r="AP103" s="29"/>
      <c r="AR103" s="28" t="str">
        <f>IF(ISBLANK(AQ103),  "", _xlfn.CONCAT("haas/entity/sensor/", LOWER(C103), "/", E103, "/config"))</f>
        <v/>
      </c>
      <c r="AS103" s="28" t="str">
        <f>IF(ISBLANK(AQ103),  "", _xlfn.CONCAT(LOWER(C103), "/", E103))</f>
        <v/>
      </c>
      <c r="BA103" s="28"/>
      <c r="BB103" s="30"/>
      <c r="BC103" s="38"/>
      <c r="BD103" s="28"/>
      <c r="BF10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3" s="28" t="str">
        <f>IF(ISBLANK(Table2[[#This Row],[device_model]]), "", Table2[[#This Row],[device_suggested_area]])</f>
        <v/>
      </c>
      <c r="BN103" s="29"/>
      <c r="BO103" s="28" t="s">
        <v>118</v>
      </c>
      <c r="BT103" s="28"/>
      <c r="BV10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4" spans="1:74" ht="16" customHeight="1" x14ac:dyDescent="0.2">
      <c r="A104" s="28">
        <v>1410</v>
      </c>
      <c r="B104" s="28" t="s">
        <v>26</v>
      </c>
      <c r="C104" s="28" t="s">
        <v>141</v>
      </c>
      <c r="D104" s="28" t="s">
        <v>281</v>
      </c>
      <c r="E104" s="28" t="s">
        <v>1305</v>
      </c>
      <c r="F104" s="34" t="str">
        <f>IF(ISBLANK(Table2[[#This Row],[unique_id]]), "", PROPER(SUBSTITUTE(Table2[[#This Row],[unique_id]], "_", " ")))</f>
        <v>Edwin Playtime</v>
      </c>
      <c r="G104" s="28" t="s">
        <v>1312</v>
      </c>
      <c r="H104" s="28" t="s">
        <v>282</v>
      </c>
      <c r="I104" s="28" t="s">
        <v>123</v>
      </c>
      <c r="J104" s="28" t="s">
        <v>1308</v>
      </c>
      <c r="P104" s="29"/>
      <c r="Q104" s="28"/>
      <c r="U104" s="35"/>
      <c r="V104" s="35"/>
      <c r="W104" s="35"/>
      <c r="X104" s="28"/>
      <c r="AD104" s="29"/>
      <c r="AE104" s="29"/>
      <c r="AF104" s="29"/>
      <c r="AG104" s="29"/>
      <c r="AO104" s="29"/>
      <c r="AP104" s="29"/>
      <c r="AR104" s="28" t="str">
        <f>IF(ISBLANK(AQ104),  "", _xlfn.CONCAT("haas/entity/sensor/", LOWER(C104), "/", E104, "/config"))</f>
        <v/>
      </c>
      <c r="AS104" s="28" t="str">
        <f>IF(ISBLANK(AQ104),  "", _xlfn.CONCAT(LOWER(C104), "/", E104))</f>
        <v/>
      </c>
      <c r="BA104" s="28"/>
      <c r="BB104" s="30"/>
      <c r="BC104" s="38"/>
      <c r="BD104" s="28"/>
      <c r="BF1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4" s="28" t="str">
        <f>IF(ISBLANK(Table2[[#This Row],[device_model]]), "", Table2[[#This Row],[device_suggested_area]])</f>
        <v/>
      </c>
      <c r="BN104" s="29"/>
      <c r="BO104" s="28" t="s">
        <v>118</v>
      </c>
      <c r="BT104" s="28"/>
      <c r="BV1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5" spans="1:74" ht="16" customHeight="1" x14ac:dyDescent="0.2">
      <c r="A105" s="28">
        <v>1411</v>
      </c>
      <c r="B105" s="28" t="s">
        <v>26</v>
      </c>
      <c r="C105" s="28" t="s">
        <v>141</v>
      </c>
      <c r="D105" s="28" t="s">
        <v>281</v>
      </c>
      <c r="E105" s="28" t="s">
        <v>1306</v>
      </c>
      <c r="F105" s="34" t="str">
        <f>IF(ISBLANK(Table2[[#This Row],[unique_id]]), "", PROPER(SUBSTITUTE(Table2[[#This Row],[unique_id]], "_", " ")))</f>
        <v>Edwin Goodnight</v>
      </c>
      <c r="G105" s="28" t="s">
        <v>1303</v>
      </c>
      <c r="H105" s="28" t="s">
        <v>282</v>
      </c>
      <c r="I105" s="28" t="s">
        <v>123</v>
      </c>
      <c r="J105" s="28" t="s">
        <v>1309</v>
      </c>
      <c r="P105" s="29"/>
      <c r="Q105" s="28"/>
      <c r="U105" s="35"/>
      <c r="V105" s="35"/>
      <c r="W105" s="35"/>
      <c r="X105" s="28"/>
      <c r="AD105" s="29"/>
      <c r="AE105" s="29"/>
      <c r="AF105" s="29"/>
      <c r="AG105" s="29"/>
      <c r="AO105" s="29"/>
      <c r="AP105" s="29"/>
      <c r="AR105" s="28" t="str">
        <f>IF(ISBLANK(AQ105),  "", _xlfn.CONCAT("haas/entity/sensor/", LOWER(C105), "/", E105, "/config"))</f>
        <v/>
      </c>
      <c r="AS105" s="28" t="str">
        <f>IF(ISBLANK(AQ105),  "", _xlfn.CONCAT(LOWER(C105), "/", E105))</f>
        <v/>
      </c>
      <c r="BA105" s="28"/>
      <c r="BB105" s="30"/>
      <c r="BC105" s="38"/>
      <c r="BD105" s="28"/>
      <c r="BF10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5" s="28" t="str">
        <f>IF(ISBLANK(Table2[[#This Row],[device_model]]), "", Table2[[#This Row],[device_suggested_area]])</f>
        <v/>
      </c>
      <c r="BN105" s="29"/>
      <c r="BO105" s="28" t="s">
        <v>118</v>
      </c>
      <c r="BT105" s="28"/>
      <c r="BV10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6" spans="1:74" s="52" customFormat="1" ht="16" customHeight="1" x14ac:dyDescent="0.2">
      <c r="A106" s="52">
        <v>1450</v>
      </c>
      <c r="B106" s="52" t="s">
        <v>543</v>
      </c>
      <c r="C106" s="52" t="s">
        <v>756</v>
      </c>
      <c r="D106" s="52" t="s">
        <v>139</v>
      </c>
      <c r="E106" s="53" t="s">
        <v>1316</v>
      </c>
      <c r="F106" s="54" t="str">
        <f>IF(ISBLANK(Table2[[#This Row],[unique_id]]), "", PROPER(SUBSTITUTE(Table2[[#This Row],[unique_id]], "_", " ")))</f>
        <v>Broken Template Kitchen Coffee Machine Plug Proxy</v>
      </c>
      <c r="G106" s="52" t="s">
        <v>126</v>
      </c>
      <c r="H106" s="52" t="s">
        <v>1256</v>
      </c>
      <c r="I106" s="52" t="s">
        <v>123</v>
      </c>
      <c r="P106" s="55" t="s">
        <v>736</v>
      </c>
      <c r="Q106" s="52" t="s">
        <v>155</v>
      </c>
      <c r="R106" s="52" t="s">
        <v>709</v>
      </c>
      <c r="S106" s="52" t="s">
        <v>719</v>
      </c>
      <c r="T106" s="52" t="str">
        <f>Table2[[#This Row],[friendly_name]]</f>
        <v>Coffee Machine</v>
      </c>
      <c r="U106" s="53" t="s">
        <v>1013</v>
      </c>
      <c r="V106" s="53"/>
      <c r="W106" s="53"/>
      <c r="AD106" s="55"/>
      <c r="AE106" s="55"/>
      <c r="AF106" s="55"/>
      <c r="AG106" s="55"/>
      <c r="AH106" s="55"/>
      <c r="AI106" s="55"/>
      <c r="AO106" s="55"/>
      <c r="AP106" s="55"/>
      <c r="BB106" s="56"/>
      <c r="BC106" s="52" t="s">
        <v>125</v>
      </c>
      <c r="BD106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BE106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F106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6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6" s="52" t="str">
        <f>IF(ISBLANK(Table2[[#This Row],[device_model]]), "", Table2[[#This Row],[device_suggested_area]])</f>
        <v>Kitchen</v>
      </c>
      <c r="BJ106" s="52" t="s">
        <v>126</v>
      </c>
      <c r="BK106" s="57" t="s">
        <v>331</v>
      </c>
      <c r="BL106" s="52" t="s">
        <v>221</v>
      </c>
      <c r="BN106" s="52" t="s">
        <v>332</v>
      </c>
      <c r="BO106" s="52" t="s">
        <v>195</v>
      </c>
      <c r="BV106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7" spans="1:74" s="52" customFormat="1" ht="16" customHeight="1" x14ac:dyDescent="0.2">
      <c r="A107" s="52">
        <v>1451</v>
      </c>
      <c r="B107" s="52" t="s">
        <v>543</v>
      </c>
      <c r="C107" s="52" t="s">
        <v>221</v>
      </c>
      <c r="D107" s="52" t="s">
        <v>125</v>
      </c>
      <c r="E107" s="52" t="s">
        <v>1317</v>
      </c>
      <c r="F107" s="54" t="str">
        <f>IF(ISBLANK(Table2[[#This Row],[unique_id]]), "", PROPER(SUBSTITUTE(Table2[[#This Row],[unique_id]], "_", " ")))</f>
        <v>Broken Kitchen Coffee Machine Plug</v>
      </c>
      <c r="G107" s="52" t="s">
        <v>126</v>
      </c>
      <c r="H107" s="52" t="s">
        <v>1256</v>
      </c>
      <c r="I107" s="52" t="s">
        <v>123</v>
      </c>
      <c r="J107" s="52" t="s">
        <v>126</v>
      </c>
      <c r="N107" s="52" t="s">
        <v>244</v>
      </c>
      <c r="P107" s="55" t="s">
        <v>736</v>
      </c>
      <c r="Q107" s="52" t="s">
        <v>155</v>
      </c>
      <c r="R107" s="52" t="s">
        <v>709</v>
      </c>
      <c r="S107" s="52" t="s">
        <v>719</v>
      </c>
      <c r="T107" s="52" t="str">
        <f>Table2[[#This Row],[friendly_name]]</f>
        <v>Coffee Machine</v>
      </c>
      <c r="U107" s="53" t="str">
        <f>"power_sensor_id: sensor." &amp; Table2[[#This Row],[unique_id]] &amp; "_current_consumption" &amp; CHAR(10) &amp; "force_energy_sensor_creation: true" &amp; CHAR(10)</f>
        <v xml:space="preserve">power_sensor_id: sensor.broken_kitchen_coffee_machine_plug_current_consumption
force_energy_sensor_creation: true
</v>
      </c>
      <c r="V107" s="53"/>
      <c r="W107" s="53"/>
      <c r="AD107" s="55"/>
      <c r="AE107" s="55"/>
      <c r="AF107" s="55"/>
      <c r="AG107" s="55"/>
      <c r="AH107" s="55"/>
      <c r="AI107" s="55"/>
      <c r="AM107" s="52" t="s">
        <v>234</v>
      </c>
      <c r="AO107" s="55"/>
      <c r="AP107" s="55"/>
      <c r="BB107" s="56"/>
      <c r="BD107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BE107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F107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7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7" s="52" t="str">
        <f>IF(ISBLANK(Table2[[#This Row],[device_model]]), "", Table2[[#This Row],[device_suggested_area]])</f>
        <v>Kitchen</v>
      </c>
      <c r="BJ107" s="52" t="s">
        <v>126</v>
      </c>
      <c r="BK107" s="52" t="s">
        <v>331</v>
      </c>
      <c r="BL107" s="52" t="s">
        <v>221</v>
      </c>
      <c r="BN107" s="52" t="s">
        <v>332</v>
      </c>
      <c r="BO107" s="52" t="s">
        <v>195</v>
      </c>
      <c r="BR107" s="52" t="s">
        <v>924</v>
      </c>
      <c r="BS107" s="52" t="s">
        <v>1186</v>
      </c>
      <c r="BT107" s="52" t="s">
        <v>317</v>
      </c>
      <c r="BU107" s="52" t="s">
        <v>1227</v>
      </c>
      <c r="BV107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"60:a4:b7:1f:71:0a"], ["ip", "10.0.4.76"]]</v>
      </c>
    </row>
    <row r="108" spans="1:74" ht="16" customHeight="1" x14ac:dyDescent="0.2">
      <c r="A108" s="28">
        <v>1452</v>
      </c>
      <c r="B108" s="28" t="s">
        <v>26</v>
      </c>
      <c r="C108" s="28" t="s">
        <v>756</v>
      </c>
      <c r="D108" s="28" t="s">
        <v>139</v>
      </c>
      <c r="E108" s="35" t="s">
        <v>912</v>
      </c>
      <c r="F108" s="34" t="str">
        <f>IF(ISBLANK(Table2[[#This Row],[unique_id]]), "", PROPER(SUBSTITUTE(Table2[[#This Row],[unique_id]], "_", " ")))</f>
        <v>Template Kitchen Coffee Machine Plug Proxy</v>
      </c>
      <c r="G108" s="28" t="s">
        <v>126</v>
      </c>
      <c r="H108" s="28" t="s">
        <v>1256</v>
      </c>
      <c r="I108" s="28" t="s">
        <v>123</v>
      </c>
      <c r="P108" s="29" t="s">
        <v>736</v>
      </c>
      <c r="Q108" s="28" t="s">
        <v>155</v>
      </c>
      <c r="R108" s="28" t="s">
        <v>709</v>
      </c>
      <c r="S108" s="28" t="s">
        <v>719</v>
      </c>
      <c r="T108" s="28" t="str">
        <f>Table2[[#This Row],[friendly_name]]</f>
        <v>Coffee Machine</v>
      </c>
      <c r="U108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V108" s="35"/>
      <c r="W108" s="35"/>
      <c r="X108" s="28"/>
      <c r="AD108" s="29"/>
      <c r="AE108" s="29"/>
      <c r="AF108" s="29"/>
      <c r="AG108" s="29"/>
      <c r="AO108" s="29"/>
      <c r="AP108" s="29"/>
      <c r="BA108" s="28"/>
      <c r="BB108" s="38"/>
      <c r="BC108" s="28" t="s">
        <v>125</v>
      </c>
      <c r="BD1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BE1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F1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8" s="28" t="str">
        <f>IF(ISBLANK(Table2[[#This Row],[device_model]]), "", Table2[[#This Row],[device_suggested_area]])</f>
        <v>Kitchen</v>
      </c>
      <c r="BJ108" s="28" t="s">
        <v>126</v>
      </c>
      <c r="BK108" s="28" t="s">
        <v>330</v>
      </c>
      <c r="BL108" s="28" t="s">
        <v>221</v>
      </c>
      <c r="BN108" s="28" t="s">
        <v>333</v>
      </c>
      <c r="BO108" s="28" t="s">
        <v>195</v>
      </c>
      <c r="BT108" s="28"/>
      <c r="BV1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9" spans="1:74" ht="16" customHeight="1" x14ac:dyDescent="0.2">
      <c r="A109" s="28">
        <v>1453</v>
      </c>
      <c r="B109" s="28" t="s">
        <v>26</v>
      </c>
      <c r="C109" s="28" t="s">
        <v>221</v>
      </c>
      <c r="D109" s="28" t="s">
        <v>125</v>
      </c>
      <c r="E109" s="28" t="s">
        <v>784</v>
      </c>
      <c r="F109" s="34" t="str">
        <f>IF(ISBLANK(Table2[[#This Row],[unique_id]]), "", PROPER(SUBSTITUTE(Table2[[#This Row],[unique_id]], "_", " ")))</f>
        <v>Kitchen Coffee Machine Plug</v>
      </c>
      <c r="G109" s="28" t="s">
        <v>126</v>
      </c>
      <c r="H109" s="28" t="s">
        <v>1256</v>
      </c>
      <c r="I109" s="28" t="s">
        <v>123</v>
      </c>
      <c r="J109" s="28" t="s">
        <v>126</v>
      </c>
      <c r="N109" s="28" t="s">
        <v>244</v>
      </c>
      <c r="P109" s="29" t="s">
        <v>736</v>
      </c>
      <c r="Q109" s="28" t="s">
        <v>155</v>
      </c>
      <c r="R109" s="28" t="s">
        <v>709</v>
      </c>
      <c r="S109" s="28" t="s">
        <v>719</v>
      </c>
      <c r="T109" s="28" t="str">
        <f>Table2[[#This Row],[friendly_name]]</f>
        <v>Coffee Machine</v>
      </c>
      <c r="U109" s="35" t="str">
        <f>_xlfn.CONCAT("power_sensor_id: sensor.", Table2[[#This Row],[unique_id]], "_current_consumption", CHAR(10), "force_energy_sensor_creation: true", CHAR(10))</f>
        <v xml:space="preserve">power_sensor_id: sensor.kitchen_coffee_machine_plug_current_consumption
force_energy_sensor_creation: true
</v>
      </c>
      <c r="V109" s="35"/>
      <c r="W109" s="35"/>
      <c r="X109" s="28"/>
      <c r="AD109" s="29"/>
      <c r="AE109" s="29"/>
      <c r="AF109" s="29"/>
      <c r="AG109" s="29"/>
      <c r="AM109" s="28" t="s">
        <v>234</v>
      </c>
      <c r="AO109" s="29"/>
      <c r="AP109" s="29"/>
      <c r="BA109" s="28"/>
      <c r="BB109" s="38"/>
      <c r="BD1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BE1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F1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09" s="28" t="str">
        <f>IF(ISBLANK(Table2[[#This Row],[device_model]]), "", Table2[[#This Row],[device_suggested_area]])</f>
        <v>Kitchen</v>
      </c>
      <c r="BJ109" s="28" t="s">
        <v>126</v>
      </c>
      <c r="BK109" s="28" t="s">
        <v>330</v>
      </c>
      <c r="BL109" s="28" t="s">
        <v>221</v>
      </c>
      <c r="BN109" s="28" t="s">
        <v>333</v>
      </c>
      <c r="BO109" s="28" t="s">
        <v>195</v>
      </c>
      <c r="BR109" s="28" t="s">
        <v>924</v>
      </c>
      <c r="BS109" s="28" t="s">
        <v>1186</v>
      </c>
      <c r="BT109" s="28" t="s">
        <v>324</v>
      </c>
      <c r="BU109" s="28" t="s">
        <v>1237</v>
      </c>
      <c r="BV1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"ac:84:c6:0d:20:9e"], ["ip", "10.0.4.84"]]</v>
      </c>
    </row>
    <row r="110" spans="1:74" ht="16" customHeight="1" x14ac:dyDescent="0.2">
      <c r="A110" s="28">
        <v>1500</v>
      </c>
      <c r="B110" s="28" t="s">
        <v>26</v>
      </c>
      <c r="C110" s="28" t="s">
        <v>124</v>
      </c>
      <c r="D110" s="28" t="s">
        <v>120</v>
      </c>
      <c r="E110" s="28" t="s">
        <v>381</v>
      </c>
      <c r="F110" s="34" t="str">
        <f>IF(ISBLANK(Table2[[#This Row],[unique_id]]), "", PROPER(SUBSTITUTE(Table2[[#This Row],[unique_id]], "_", " ")))</f>
        <v>Ada Fan</v>
      </c>
      <c r="G110" s="28" t="s">
        <v>121</v>
      </c>
      <c r="H110" s="28" t="s">
        <v>122</v>
      </c>
      <c r="I110" s="28" t="s">
        <v>123</v>
      </c>
      <c r="J110" s="28" t="s">
        <v>668</v>
      </c>
      <c r="N110" s="28" t="s">
        <v>127</v>
      </c>
      <c r="P110" s="29" t="s">
        <v>736</v>
      </c>
      <c r="Q110" s="28" t="s">
        <v>155</v>
      </c>
      <c r="R110" s="28" t="s">
        <v>708</v>
      </c>
      <c r="S110" s="28" t="str">
        <f>Table2[[#This Row],[entity_domain]]</f>
        <v>Fans</v>
      </c>
      <c r="T110" s="28" t="str">
        <f>_xlfn.CONCAT( Table2[[#This Row],[device_suggested_area]], " ",Table2[[#This Row],[powercalc_group_3]])</f>
        <v>Ada Fans</v>
      </c>
      <c r="U110" s="35" t="s">
        <v>703</v>
      </c>
      <c r="V110" s="35"/>
      <c r="W110" s="35"/>
      <c r="X110" s="28"/>
      <c r="AD110" s="29"/>
      <c r="AE110" s="29"/>
      <c r="AF110" s="29"/>
      <c r="AG110" s="29"/>
      <c r="AM110" s="28" t="s">
        <v>230</v>
      </c>
      <c r="AO110" s="29"/>
      <c r="AP110" s="29"/>
      <c r="BA110" s="28"/>
      <c r="BB110" s="38"/>
      <c r="BD1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senseme-ada-fan</v>
      </c>
      <c r="BE1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Fan</v>
      </c>
      <c r="BF1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0" s="28" t="str">
        <f>IF(ISBLANK(Table2[[#This Row],[device_model]]), "", Table2[[#This Row],[device_suggested_area]])</f>
        <v>Ada</v>
      </c>
      <c r="BJ110" s="28" t="s">
        <v>440</v>
      </c>
      <c r="BK110" s="28" t="s">
        <v>341</v>
      </c>
      <c r="BL110" s="28" t="s">
        <v>124</v>
      </c>
      <c r="BN110" s="28" t="s">
        <v>340</v>
      </c>
      <c r="BO110" s="28" t="s">
        <v>121</v>
      </c>
      <c r="BS110" s="28" t="s">
        <v>1186</v>
      </c>
      <c r="BT110" s="28" t="s">
        <v>342</v>
      </c>
      <c r="BU110" s="28" t="s">
        <v>1204</v>
      </c>
      <c r="BV1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"20:f8:5e:d7:19:e0"], ["ip", "10.0.4.60"]]</v>
      </c>
    </row>
    <row r="111" spans="1:74" ht="16" customHeight="1" x14ac:dyDescent="0.2">
      <c r="A111" s="28">
        <v>1501</v>
      </c>
      <c r="B111" s="28" t="s">
        <v>26</v>
      </c>
      <c r="C111" s="28" t="s">
        <v>124</v>
      </c>
      <c r="D111" s="28" t="s">
        <v>120</v>
      </c>
      <c r="E111" s="28" t="s">
        <v>382</v>
      </c>
      <c r="F111" s="34" t="str">
        <f>IF(ISBLANK(Table2[[#This Row],[unique_id]]), "", PROPER(SUBSTITUTE(Table2[[#This Row],[unique_id]], "_", " ")))</f>
        <v>Edwin Fan</v>
      </c>
      <c r="G111" s="28" t="s">
        <v>118</v>
      </c>
      <c r="H111" s="28" t="s">
        <v>122</v>
      </c>
      <c r="I111" s="28" t="s">
        <v>123</v>
      </c>
      <c r="J111" s="28" t="s">
        <v>668</v>
      </c>
      <c r="N111" s="28" t="s">
        <v>127</v>
      </c>
      <c r="P111" s="29" t="s">
        <v>736</v>
      </c>
      <c r="Q111" s="28" t="s">
        <v>155</v>
      </c>
      <c r="R111" s="28" t="s">
        <v>708</v>
      </c>
      <c r="S111" s="28" t="str">
        <f>Table2[[#This Row],[entity_domain]]</f>
        <v>Fans</v>
      </c>
      <c r="T111" s="28" t="str">
        <f>_xlfn.CONCAT( Table2[[#This Row],[device_suggested_area]], " ",Table2[[#This Row],[powercalc_group_3]])</f>
        <v>Edwin Fans</v>
      </c>
      <c r="U111" s="35" t="s">
        <v>703</v>
      </c>
      <c r="V111" s="35"/>
      <c r="W111" s="35"/>
      <c r="X111" s="28"/>
      <c r="AD111" s="29"/>
      <c r="AE111" s="29"/>
      <c r="AF111" s="29"/>
      <c r="AG111" s="29"/>
      <c r="AM111" s="28" t="s">
        <v>230</v>
      </c>
      <c r="AO111" s="29"/>
      <c r="AP111" s="29"/>
      <c r="BA111" s="28"/>
      <c r="BB111" s="38"/>
      <c r="BD1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senseme-edwin-fan</v>
      </c>
      <c r="BE1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Fan</v>
      </c>
      <c r="BF1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1" s="28" t="str">
        <f>IF(ISBLANK(Table2[[#This Row],[device_model]]), "", Table2[[#This Row],[device_suggested_area]])</f>
        <v>Edwin</v>
      </c>
      <c r="BJ111" s="28" t="s">
        <v>440</v>
      </c>
      <c r="BK111" s="28" t="s">
        <v>341</v>
      </c>
      <c r="BL111" s="28" t="s">
        <v>124</v>
      </c>
      <c r="BN111" s="28" t="s">
        <v>340</v>
      </c>
      <c r="BO111" s="28" t="s">
        <v>118</v>
      </c>
      <c r="BS111" s="28" t="s">
        <v>1186</v>
      </c>
      <c r="BT111" s="28" t="s">
        <v>343</v>
      </c>
      <c r="BU111" s="28" t="s">
        <v>1205</v>
      </c>
      <c r="BV1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"20:f8:5e:d7:26:1c"], ["ip", "10.0.4.61"]]</v>
      </c>
    </row>
    <row r="112" spans="1:74" ht="16" customHeight="1" x14ac:dyDescent="0.2">
      <c r="A112" s="28">
        <v>1502</v>
      </c>
      <c r="B112" s="28" t="s">
        <v>26</v>
      </c>
      <c r="C112" s="28" t="s">
        <v>124</v>
      </c>
      <c r="D112" s="28" t="s">
        <v>120</v>
      </c>
      <c r="E112" s="28" t="s">
        <v>383</v>
      </c>
      <c r="F112" s="34" t="str">
        <f>IF(ISBLANK(Table2[[#This Row],[unique_id]]), "", PROPER(SUBSTITUTE(Table2[[#This Row],[unique_id]], "_", " ")))</f>
        <v>Parents Fan</v>
      </c>
      <c r="G112" s="28" t="s">
        <v>181</v>
      </c>
      <c r="H112" s="28" t="s">
        <v>122</v>
      </c>
      <c r="I112" s="28" t="s">
        <v>123</v>
      </c>
      <c r="J112" s="28" t="s">
        <v>440</v>
      </c>
      <c r="N112" s="28" t="s">
        <v>127</v>
      </c>
      <c r="P112" s="29" t="s">
        <v>736</v>
      </c>
      <c r="Q112" s="28" t="s">
        <v>155</v>
      </c>
      <c r="R112" s="28" t="s">
        <v>708</v>
      </c>
      <c r="S112" s="28" t="str">
        <f>Table2[[#This Row],[entity_domain]]</f>
        <v>Fans</v>
      </c>
      <c r="T112" s="28" t="str">
        <f>_xlfn.CONCAT( Table2[[#This Row],[device_suggested_area]], " ",Table2[[#This Row],[powercalc_group_3]])</f>
        <v>Parents Fans</v>
      </c>
      <c r="U112" s="35" t="s">
        <v>703</v>
      </c>
      <c r="V112" s="35"/>
      <c r="W112" s="35"/>
      <c r="X112" s="28"/>
      <c r="AD112" s="29"/>
      <c r="AE112" s="29"/>
      <c r="AF112" s="29"/>
      <c r="AG112" s="29"/>
      <c r="AM112" s="28" t="s">
        <v>230</v>
      </c>
      <c r="AO112" s="29"/>
      <c r="AP112" s="29"/>
      <c r="BA112" s="28"/>
      <c r="BB112" s="38"/>
      <c r="BD1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senseme-parents-fan</v>
      </c>
      <c r="BE1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Fan</v>
      </c>
      <c r="BF1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2" s="28" t="str">
        <f>IF(ISBLANK(Table2[[#This Row],[device_model]]), "", Table2[[#This Row],[device_suggested_area]])</f>
        <v>Parents</v>
      </c>
      <c r="BJ112" s="28" t="s">
        <v>440</v>
      </c>
      <c r="BK112" s="28" t="s">
        <v>341</v>
      </c>
      <c r="BL112" s="28" t="s">
        <v>124</v>
      </c>
      <c r="BN112" s="28" t="s">
        <v>340</v>
      </c>
      <c r="BO112" s="28" t="s">
        <v>181</v>
      </c>
      <c r="BS112" s="28" t="s">
        <v>1186</v>
      </c>
      <c r="BT112" s="28" t="s">
        <v>346</v>
      </c>
      <c r="BU112" s="28" t="s">
        <v>1206</v>
      </c>
      <c r="BV1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"20:f8:5e:d8:a5:6b"], ["ip", "10.0.4.62"]]</v>
      </c>
    </row>
    <row r="113" spans="1:74" ht="16" customHeight="1" x14ac:dyDescent="0.2">
      <c r="A113" s="28">
        <v>1503</v>
      </c>
      <c r="B113" s="28" t="s">
        <v>26</v>
      </c>
      <c r="C113" s="28" t="s">
        <v>756</v>
      </c>
      <c r="D113" s="28" t="s">
        <v>139</v>
      </c>
      <c r="E113" s="35" t="s">
        <v>867</v>
      </c>
      <c r="F113" s="34" t="str">
        <f>IF(ISBLANK(Table2[[#This Row],[unique_id]]), "", PROPER(SUBSTITUTE(Table2[[#This Row],[unique_id]], "_", " ")))</f>
        <v>Template Kitchen Fan Plug Proxy</v>
      </c>
      <c r="G113" s="28" t="s">
        <v>195</v>
      </c>
      <c r="H113" s="28" t="s">
        <v>122</v>
      </c>
      <c r="I113" s="28" t="s">
        <v>123</v>
      </c>
      <c r="P113" s="29" t="s">
        <v>736</v>
      </c>
      <c r="Q113" s="28" t="s">
        <v>155</v>
      </c>
      <c r="R113" s="28" t="s">
        <v>708</v>
      </c>
      <c r="S113" s="28" t="str">
        <f>Table2[[#This Row],[entity_domain]]</f>
        <v>Fans</v>
      </c>
      <c r="T113" s="28" t="str">
        <f>_xlfn.CONCAT( Table2[[#This Row],[device_suggested_area]], " ",Table2[[#This Row],[powercalc_group_3]])</f>
        <v>Kitchen Fans</v>
      </c>
      <c r="U113" s="35" t="s">
        <v>1015</v>
      </c>
      <c r="V113" s="35"/>
      <c r="W113" s="35"/>
      <c r="X113" s="28"/>
      <c r="AD113" s="29"/>
      <c r="AE113" s="29"/>
      <c r="AF113" s="29"/>
      <c r="AG113" s="29"/>
      <c r="AO113" s="29"/>
      <c r="AP113" s="29"/>
      <c r="BA113" s="28"/>
      <c r="BB113" s="38"/>
      <c r="BC113" s="28" t="s">
        <v>120</v>
      </c>
      <c r="BD1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BE1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F1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3" s="28" t="str">
        <f>IF(ISBLANK(Table2[[#This Row],[device_model]]), "", Table2[[#This Row],[device_suggested_area]])</f>
        <v>Kitchen</v>
      </c>
      <c r="BJ113" s="28" t="s">
        <v>440</v>
      </c>
      <c r="BK113" s="28" t="s">
        <v>862</v>
      </c>
      <c r="BL113" s="28" t="s">
        <v>1053</v>
      </c>
      <c r="BN113" s="28" t="s">
        <v>835</v>
      </c>
      <c r="BO113" s="28" t="s">
        <v>195</v>
      </c>
      <c r="BT113" s="28"/>
      <c r="BV1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4" spans="1:74" ht="16" customHeight="1" x14ac:dyDescent="0.2">
      <c r="A114" s="28">
        <v>1504</v>
      </c>
      <c r="B114" s="28" t="s">
        <v>26</v>
      </c>
      <c r="C114" s="28" t="s">
        <v>658</v>
      </c>
      <c r="D114" s="28" t="s">
        <v>120</v>
      </c>
      <c r="E114" s="28" t="s">
        <v>779</v>
      </c>
      <c r="F114" s="34" t="str">
        <f>IF(ISBLANK(Table2[[#This Row],[unique_id]]), "", PROPER(SUBSTITUTE(Table2[[#This Row],[unique_id]], "_", " ")))</f>
        <v>Kitchen Fan Plug</v>
      </c>
      <c r="G114" s="28" t="s">
        <v>195</v>
      </c>
      <c r="H114" s="28" t="s">
        <v>122</v>
      </c>
      <c r="I114" s="28" t="s">
        <v>123</v>
      </c>
      <c r="J114" s="28" t="s">
        <v>440</v>
      </c>
      <c r="N114" s="28" t="s">
        <v>127</v>
      </c>
      <c r="P114" s="29" t="s">
        <v>736</v>
      </c>
      <c r="Q114" s="28" t="s">
        <v>155</v>
      </c>
      <c r="R114" s="28" t="s">
        <v>708</v>
      </c>
      <c r="S114" s="28" t="str">
        <f>Table2[[#This Row],[entity_domain]]</f>
        <v>Fans</v>
      </c>
      <c r="T114" s="28" t="str">
        <f>_xlfn.CONCAT( Table2[[#This Row],[device_suggested_area]], " ",Table2[[#This Row],[powercalc_group_3]])</f>
        <v>Kitchen Fans</v>
      </c>
      <c r="U114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sensor.kitchen_fan_plug_energy_power
energy_sensor_id: sensor.kitchen_fan_plug_energy_total
</v>
      </c>
      <c r="V114" s="35"/>
      <c r="W114" s="35"/>
      <c r="X114" s="28"/>
      <c r="AD114" s="29"/>
      <c r="AE114" s="29"/>
      <c r="AF114" s="29"/>
      <c r="AG114" s="29"/>
      <c r="AI114" s="40" t="s">
        <v>1501</v>
      </c>
      <c r="AM114" s="28" t="s">
        <v>230</v>
      </c>
      <c r="AN114" s="28">
        <v>10</v>
      </c>
      <c r="AO114" s="29" t="s">
        <v>34</v>
      </c>
      <c r="AP114" s="29" t="s">
        <v>844</v>
      </c>
      <c r="AQ114" s="28" t="s">
        <v>779</v>
      </c>
      <c r="AR114" s="28" t="str">
        <f>_xlfn.CONCAT("homeassistant/", Table2[[#This Row],[entity_namespace]], "/tasmota/",Table2[[#This Row],[unique_id]], "/config")</f>
        <v>homeassistant/fan/tasmota/kitchen_fan_plug/config</v>
      </c>
      <c r="AS114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tasmota/device/kitchen_fan_plug/stat/POWER</v>
      </c>
      <c r="AT114" s="28" t="str">
        <f>_xlfn.CONCAT("tasmota/device/",Table2[[#This Row],[unique_id]], "/cmnd/POWER")</f>
        <v>tasmota/device/kitchen_fan_plug/cmnd/POWER</v>
      </c>
      <c r="AU114" s="28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V114" s="28" t="s">
        <v>863</v>
      </c>
      <c r="AW114" s="28" t="s">
        <v>864</v>
      </c>
      <c r="AX114" s="28" t="s">
        <v>853</v>
      </c>
      <c r="AY114" s="28" t="s">
        <v>854</v>
      </c>
      <c r="AZ114" s="28" t="s">
        <v>917</v>
      </c>
      <c r="BA114" s="28">
        <v>1</v>
      </c>
      <c r="BB114" s="32" t="str">
        <f>HYPERLINK(_xlfn.CONCAT("http://", Table2[[#This Row],[connection_ip]], "/?"))</f>
        <v>http://10.0.4.104/?</v>
      </c>
      <c r="BD1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BE1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F1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</v>
      </c>
      <c r="BG1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4" s="28" t="str">
        <f>IF(ISBLANK(Table2[[#This Row],[device_model]]), "", Table2[[#This Row],[device_suggested_area]])</f>
        <v>Kitchen</v>
      </c>
      <c r="BJ114" s="28" t="s">
        <v>440</v>
      </c>
      <c r="BK114" s="28" t="s">
        <v>862</v>
      </c>
      <c r="BL114" s="28" t="s">
        <v>1053</v>
      </c>
      <c r="BN114" s="28" t="s">
        <v>835</v>
      </c>
      <c r="BO114" s="28" t="s">
        <v>195</v>
      </c>
      <c r="BS114" s="28" t="s">
        <v>1186</v>
      </c>
      <c r="BT114" s="28" t="s">
        <v>868</v>
      </c>
      <c r="BU114" s="28" t="s">
        <v>1208</v>
      </c>
      <c r="BV1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"c0:49:ef:d1:bc:60"], ["ip", "10.0.4.104"]]</v>
      </c>
    </row>
    <row r="115" spans="1:74" ht="16" customHeight="1" x14ac:dyDescent="0.2">
      <c r="A115" s="28">
        <v>1505</v>
      </c>
      <c r="B115" s="28" t="s">
        <v>26</v>
      </c>
      <c r="C115" s="28" t="s">
        <v>658</v>
      </c>
      <c r="D115" s="28" t="s">
        <v>27</v>
      </c>
      <c r="E115" s="28" t="s">
        <v>869</v>
      </c>
      <c r="F115" s="34" t="str">
        <f>IF(ISBLANK(Table2[[#This Row],[unique_id]]), "", PROPER(SUBSTITUTE(Table2[[#This Row],[unique_id]], "_", " ")))</f>
        <v>Kitchen Fan Plug Energy Power</v>
      </c>
      <c r="G115" s="28" t="s">
        <v>195</v>
      </c>
      <c r="H115" s="28" t="s">
        <v>122</v>
      </c>
      <c r="I115" s="28" t="s">
        <v>123</v>
      </c>
      <c r="P115" s="29"/>
      <c r="Q115" s="28"/>
      <c r="U115" s="35"/>
      <c r="V115" s="35"/>
      <c r="W115" s="35"/>
      <c r="X115" s="28"/>
      <c r="AD115" s="29"/>
      <c r="AE115" s="29"/>
      <c r="AF115" s="29"/>
      <c r="AG115" s="29"/>
      <c r="AJ115" s="28" t="s">
        <v>31</v>
      </c>
      <c r="AK115" s="28" t="s">
        <v>298</v>
      </c>
      <c r="AL115" s="28" t="s">
        <v>845</v>
      </c>
      <c r="AN115" s="28">
        <v>10</v>
      </c>
      <c r="AO115" s="29" t="s">
        <v>34</v>
      </c>
      <c r="AP115" s="29" t="s">
        <v>844</v>
      </c>
      <c r="AQ115" s="28" t="s">
        <v>779</v>
      </c>
      <c r="AR115" s="28" t="str">
        <f>_xlfn.CONCAT("homeassistant/", Table2[[#This Row],[entity_namespace]], "/tasmota/",Table2[[#This Row],[unique_id]], "/config")</f>
        <v>homeassistant/sensor/tasmota/kitchen_fan_plug_energy_power/config</v>
      </c>
      <c r="AS115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tasmota/device/kitchen_fan_plug/tele/SENSOR</v>
      </c>
      <c r="AU115" s="28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V115" s="28" t="s">
        <v>863</v>
      </c>
      <c r="AW115" s="28" t="s">
        <v>864</v>
      </c>
      <c r="AX115" s="28" t="s">
        <v>853</v>
      </c>
      <c r="AY115" s="28" t="s">
        <v>854</v>
      </c>
      <c r="AZ115" s="28" t="s">
        <v>1049</v>
      </c>
      <c r="BA115" s="28">
        <v>1</v>
      </c>
      <c r="BB115" s="32"/>
      <c r="BD1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BE1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F1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 Energy Power</v>
      </c>
      <c r="BG1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5" s="28" t="str">
        <f>IF(ISBLANK(Table2[[#This Row],[device_model]]), "", Table2[[#This Row],[device_suggested_area]])</f>
        <v>Kitchen</v>
      </c>
      <c r="BJ115" s="28" t="s">
        <v>440</v>
      </c>
      <c r="BK115" s="28" t="s">
        <v>862</v>
      </c>
      <c r="BL115" s="28" t="s">
        <v>1053</v>
      </c>
      <c r="BN115" s="28" t="s">
        <v>835</v>
      </c>
      <c r="BO115" s="28" t="s">
        <v>195</v>
      </c>
      <c r="BT115" s="28"/>
      <c r="BV1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6" spans="1:74" ht="16" customHeight="1" x14ac:dyDescent="0.2">
      <c r="A116" s="28">
        <v>1506</v>
      </c>
      <c r="B116" s="28" t="s">
        <v>26</v>
      </c>
      <c r="C116" s="28" t="s">
        <v>658</v>
      </c>
      <c r="D116" s="28" t="s">
        <v>27</v>
      </c>
      <c r="E116" s="28" t="s">
        <v>870</v>
      </c>
      <c r="F116" s="34" t="str">
        <f>IF(ISBLANK(Table2[[#This Row],[unique_id]]), "", PROPER(SUBSTITUTE(Table2[[#This Row],[unique_id]], "_", " ")))</f>
        <v>Kitchen Fan Plug Energy Total</v>
      </c>
      <c r="G116" s="28" t="s">
        <v>195</v>
      </c>
      <c r="H116" s="28" t="s">
        <v>122</v>
      </c>
      <c r="I116" s="28" t="s">
        <v>123</v>
      </c>
      <c r="P116" s="29"/>
      <c r="Q116" s="28"/>
      <c r="U116" s="35"/>
      <c r="V116" s="35"/>
      <c r="W116" s="35"/>
      <c r="X116" s="28"/>
      <c r="AD116" s="29"/>
      <c r="AE116" s="29"/>
      <c r="AF116" s="29"/>
      <c r="AG116" s="29"/>
      <c r="AJ116" s="28" t="s">
        <v>70</v>
      </c>
      <c r="AK116" s="28" t="s">
        <v>299</v>
      </c>
      <c r="AL116" s="28" t="s">
        <v>846</v>
      </c>
      <c r="AN116" s="28">
        <v>10</v>
      </c>
      <c r="AO116" s="29" t="s">
        <v>34</v>
      </c>
      <c r="AP116" s="29" t="s">
        <v>844</v>
      </c>
      <c r="AQ116" s="28" t="s">
        <v>779</v>
      </c>
      <c r="AR116" s="28" t="str">
        <f>_xlfn.CONCAT("homeassistant/", Table2[[#This Row],[entity_namespace]], "/tasmota/",Table2[[#This Row],[unique_id]], "/config")</f>
        <v>homeassistant/sensor/tasmota/kitchen_fan_plug_energy_total/config</v>
      </c>
      <c r="AS116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tasmota/device/kitchen_fan_plug/tele/SENSOR</v>
      </c>
      <c r="AU116" s="28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V116" s="28" t="s">
        <v>863</v>
      </c>
      <c r="AW116" s="28" t="s">
        <v>864</v>
      </c>
      <c r="AX116" s="28" t="s">
        <v>853</v>
      </c>
      <c r="AY116" s="28" t="s">
        <v>854</v>
      </c>
      <c r="AZ116" s="28" t="s">
        <v>1050</v>
      </c>
      <c r="BA116" s="28">
        <v>1</v>
      </c>
      <c r="BB116" s="32"/>
      <c r="BD1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BE1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F1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 Energy Total</v>
      </c>
      <c r="BG1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6" s="28" t="str">
        <f>IF(ISBLANK(Table2[[#This Row],[device_model]]), "", Table2[[#This Row],[device_suggested_area]])</f>
        <v>Kitchen</v>
      </c>
      <c r="BJ116" s="28" t="s">
        <v>440</v>
      </c>
      <c r="BK116" s="28" t="s">
        <v>862</v>
      </c>
      <c r="BL116" s="28" t="s">
        <v>1053</v>
      </c>
      <c r="BN116" s="28" t="s">
        <v>835</v>
      </c>
      <c r="BO116" s="28" t="s">
        <v>195</v>
      </c>
      <c r="BT116" s="28"/>
      <c r="BV1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7" spans="1:74" ht="16" customHeight="1" x14ac:dyDescent="0.2">
      <c r="A117" s="28">
        <v>1507</v>
      </c>
      <c r="B117" s="28" t="s">
        <v>26</v>
      </c>
      <c r="C117" s="28" t="s">
        <v>124</v>
      </c>
      <c r="D117" s="28" t="s">
        <v>120</v>
      </c>
      <c r="E117" s="28" t="s">
        <v>384</v>
      </c>
      <c r="F117" s="34" t="str">
        <f>IF(ISBLANK(Table2[[#This Row],[unique_id]]), "", PROPER(SUBSTITUTE(Table2[[#This Row],[unique_id]], "_", " ")))</f>
        <v>Lounge Fan</v>
      </c>
      <c r="G117" s="28" t="s">
        <v>183</v>
      </c>
      <c r="H117" s="28" t="s">
        <v>122</v>
      </c>
      <c r="I117" s="28" t="s">
        <v>123</v>
      </c>
      <c r="J117" s="28" t="s">
        <v>440</v>
      </c>
      <c r="N117" s="28" t="s">
        <v>127</v>
      </c>
      <c r="P117" s="29" t="s">
        <v>736</v>
      </c>
      <c r="Q117" s="28" t="s">
        <v>155</v>
      </c>
      <c r="R117" s="28" t="s">
        <v>708</v>
      </c>
      <c r="S117" s="28" t="str">
        <f>Table2[[#This Row],[entity_domain]]</f>
        <v>Fans</v>
      </c>
      <c r="T117" s="28" t="str">
        <f>_xlfn.CONCAT( Table2[[#This Row],[device_suggested_area]], " ",Table2[[#This Row],[powercalc_group_3]])</f>
        <v>Lounge Fans</v>
      </c>
      <c r="U117" s="35" t="s">
        <v>703</v>
      </c>
      <c r="V117" s="35"/>
      <c r="W117" s="35"/>
      <c r="X117" s="28"/>
      <c r="AD117" s="29"/>
      <c r="AE117" s="29"/>
      <c r="AF117" s="29"/>
      <c r="AG117" s="29"/>
      <c r="AM117" s="28" t="s">
        <v>230</v>
      </c>
      <c r="AO117" s="29"/>
      <c r="AP117" s="29"/>
      <c r="BA117" s="28"/>
      <c r="BB117" s="38"/>
      <c r="BD1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senseme-lounge-fan</v>
      </c>
      <c r="BE1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Fan</v>
      </c>
      <c r="BF1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7" s="28" t="str">
        <f>IF(ISBLANK(Table2[[#This Row],[device_model]]), "", Table2[[#This Row],[device_suggested_area]])</f>
        <v>Lounge</v>
      </c>
      <c r="BJ117" s="28" t="s">
        <v>440</v>
      </c>
      <c r="BK117" s="28" t="s">
        <v>341</v>
      </c>
      <c r="BL117" s="28" t="s">
        <v>124</v>
      </c>
      <c r="BN117" s="28" t="s">
        <v>340</v>
      </c>
      <c r="BO117" s="28" t="s">
        <v>183</v>
      </c>
      <c r="BS117" s="28" t="s">
        <v>1186</v>
      </c>
      <c r="BT117" s="28" t="s">
        <v>347</v>
      </c>
      <c r="BU117" s="28" t="s">
        <v>1209</v>
      </c>
      <c r="BV1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"20:f8:5e:d9:11:77"], ["ip", "10.0.4.63"]]</v>
      </c>
    </row>
    <row r="118" spans="1:74" ht="16" customHeight="1" x14ac:dyDescent="0.2">
      <c r="A118" s="28">
        <v>1508</v>
      </c>
      <c r="B118" s="28" t="s">
        <v>26</v>
      </c>
      <c r="C118" s="28" t="s">
        <v>124</v>
      </c>
      <c r="D118" s="28" t="s">
        <v>120</v>
      </c>
      <c r="E118" s="28" t="s">
        <v>385</v>
      </c>
      <c r="F118" s="34" t="str">
        <f>IF(ISBLANK(Table2[[#This Row],[unique_id]]), "", PROPER(SUBSTITUTE(Table2[[#This Row],[unique_id]], "_", " ")))</f>
        <v>Deck Fan</v>
      </c>
      <c r="G118" s="28" t="s">
        <v>328</v>
      </c>
      <c r="H118" s="28" t="s">
        <v>122</v>
      </c>
      <c r="I118" s="28" t="s">
        <v>123</v>
      </c>
      <c r="J118" s="28" t="s">
        <v>669</v>
      </c>
      <c r="N118" s="28" t="s">
        <v>127</v>
      </c>
      <c r="P118" s="29"/>
      <c r="Q118" s="28"/>
      <c r="U118" s="35"/>
      <c r="V118" s="35"/>
      <c r="W118" s="35"/>
      <c r="X118" s="28"/>
      <c r="AD118" s="29"/>
      <c r="AE118" s="29"/>
      <c r="AF118" s="29"/>
      <c r="AG118" s="29"/>
      <c r="AM118" s="28" t="s">
        <v>230</v>
      </c>
      <c r="AO118" s="29"/>
      <c r="AP118" s="29"/>
      <c r="BA118" s="28"/>
      <c r="BB118" s="38"/>
      <c r="BC118" s="29"/>
      <c r="BD1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8" s="28" t="str">
        <f>IF(ISBLANK(Table2[[#This Row],[device_model]]), "", Table2[[#This Row],[device_suggested_area]])</f>
        <v/>
      </c>
      <c r="BN118" s="29"/>
      <c r="BO118" s="28" t="s">
        <v>328</v>
      </c>
      <c r="BT118" s="28"/>
      <c r="BV1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9" spans="1:74" ht="16" customHeight="1" x14ac:dyDescent="0.2">
      <c r="A119" s="28">
        <v>1509</v>
      </c>
      <c r="B119" s="28" t="s">
        <v>26</v>
      </c>
      <c r="C119" s="28" t="s">
        <v>124</v>
      </c>
      <c r="D119" s="28" t="s">
        <v>120</v>
      </c>
      <c r="E119" s="28" t="s">
        <v>386</v>
      </c>
      <c r="F119" s="34" t="str">
        <f>IF(ISBLANK(Table2[[#This Row],[unique_id]]), "", PROPER(SUBSTITUTE(Table2[[#This Row],[unique_id]], "_", " ")))</f>
        <v>Deck East Fan</v>
      </c>
      <c r="G119" s="28" t="s">
        <v>204</v>
      </c>
      <c r="H119" s="28" t="s">
        <v>122</v>
      </c>
      <c r="I119" s="28" t="s">
        <v>123</v>
      </c>
      <c r="P119" s="29" t="s">
        <v>736</v>
      </c>
      <c r="Q119" s="28" t="s">
        <v>155</v>
      </c>
      <c r="R119" s="28" t="s">
        <v>708</v>
      </c>
      <c r="S119" s="28" t="str">
        <f>Table2[[#This Row],[entity_domain]]</f>
        <v>Fans</v>
      </c>
      <c r="T119" s="28" t="str">
        <f>_xlfn.CONCAT( Table2[[#This Row],[device_suggested_area]], " ",Table2[[#This Row],[powercalc_group_3]])</f>
        <v>Deck Fans</v>
      </c>
      <c r="U119" s="35" t="s">
        <v>703</v>
      </c>
      <c r="V119" s="35"/>
      <c r="W119" s="35"/>
      <c r="X119" s="28"/>
      <c r="AD119" s="29"/>
      <c r="AE119" s="29"/>
      <c r="AF119" s="29"/>
      <c r="AG119" s="29"/>
      <c r="AM119" s="28" t="s">
        <v>230</v>
      </c>
      <c r="AO119" s="29"/>
      <c r="AP119" s="29"/>
      <c r="BA119" s="28"/>
      <c r="BB119" s="38"/>
      <c r="BD1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senseme-deck-east-fan</v>
      </c>
      <c r="BE1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East Fan</v>
      </c>
      <c r="BF1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19" s="28" t="str">
        <f>IF(ISBLANK(Table2[[#This Row],[device_model]]), "", Table2[[#This Row],[device_suggested_area]])</f>
        <v>Deck</v>
      </c>
      <c r="BJ119" s="28" t="s">
        <v>963</v>
      </c>
      <c r="BK119" s="28" t="s">
        <v>341</v>
      </c>
      <c r="BL119" s="28" t="s">
        <v>124</v>
      </c>
      <c r="BN119" s="28" t="s">
        <v>340</v>
      </c>
      <c r="BO119" s="28" t="s">
        <v>328</v>
      </c>
      <c r="BS119" s="28" t="s">
        <v>1186</v>
      </c>
      <c r="BT119" s="28" t="s">
        <v>344</v>
      </c>
      <c r="BU119" s="28" t="s">
        <v>1210</v>
      </c>
      <c r="BV1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"20:f8:5e:1e:ea:a0"], ["ip", "10.0.4.64"]]</v>
      </c>
    </row>
    <row r="120" spans="1:74" ht="16" customHeight="1" x14ac:dyDescent="0.2">
      <c r="A120" s="28">
        <v>1510</v>
      </c>
      <c r="B120" s="28" t="s">
        <v>26</v>
      </c>
      <c r="C120" s="28" t="s">
        <v>124</v>
      </c>
      <c r="D120" s="28" t="s">
        <v>120</v>
      </c>
      <c r="E120" s="28" t="s">
        <v>387</v>
      </c>
      <c r="F120" s="34" t="str">
        <f>IF(ISBLANK(Table2[[#This Row],[unique_id]]), "", PROPER(SUBSTITUTE(Table2[[#This Row],[unique_id]], "_", " ")))</f>
        <v>Deck West Fan</v>
      </c>
      <c r="G120" s="28" t="s">
        <v>203</v>
      </c>
      <c r="H120" s="28" t="s">
        <v>122</v>
      </c>
      <c r="I120" s="28" t="s">
        <v>123</v>
      </c>
      <c r="P120" s="29" t="s">
        <v>736</v>
      </c>
      <c r="Q120" s="28" t="s">
        <v>155</v>
      </c>
      <c r="R120" s="28" t="s">
        <v>708</v>
      </c>
      <c r="S120" s="28" t="str">
        <f>Table2[[#This Row],[entity_domain]]</f>
        <v>Fans</v>
      </c>
      <c r="T120" s="28" t="str">
        <f>_xlfn.CONCAT( Table2[[#This Row],[device_suggested_area]], " ",Table2[[#This Row],[powercalc_group_3]])</f>
        <v>Deck Fans</v>
      </c>
      <c r="U120" s="35" t="s">
        <v>703</v>
      </c>
      <c r="V120" s="35"/>
      <c r="W120" s="35"/>
      <c r="X120" s="28"/>
      <c r="AD120" s="29"/>
      <c r="AE120" s="29"/>
      <c r="AF120" s="29"/>
      <c r="AG120" s="29"/>
      <c r="AM120" s="28" t="s">
        <v>230</v>
      </c>
      <c r="AO120" s="29"/>
      <c r="AP120" s="29"/>
      <c r="BA120" s="28"/>
      <c r="BB120" s="38"/>
      <c r="BD1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senseme-deck-west-fan</v>
      </c>
      <c r="BE1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West Fan</v>
      </c>
      <c r="BF1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20" s="28" t="str">
        <f>IF(ISBLANK(Table2[[#This Row],[device_model]]), "", Table2[[#This Row],[device_suggested_area]])</f>
        <v>Deck</v>
      </c>
      <c r="BJ120" s="28" t="s">
        <v>964</v>
      </c>
      <c r="BK120" s="28" t="s">
        <v>341</v>
      </c>
      <c r="BL120" s="28" t="s">
        <v>124</v>
      </c>
      <c r="BN120" s="28" t="s">
        <v>340</v>
      </c>
      <c r="BO120" s="28" t="s">
        <v>328</v>
      </c>
      <c r="BS120" s="28" t="s">
        <v>1186</v>
      </c>
      <c r="BT120" s="28" t="s">
        <v>345</v>
      </c>
      <c r="BU120" s="37" t="s">
        <v>1211</v>
      </c>
      <c r="BV1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"20:f8:5e:1e:da:35"], ["ip", "10.0.4.65"]]</v>
      </c>
    </row>
    <row r="121" spans="1:74" ht="16" customHeight="1" x14ac:dyDescent="0.2">
      <c r="A121" s="28">
        <v>1550</v>
      </c>
      <c r="B121" s="28" t="s">
        <v>26</v>
      </c>
      <c r="C121" s="28" t="s">
        <v>756</v>
      </c>
      <c r="D121" s="28" t="s">
        <v>139</v>
      </c>
      <c r="E121" s="41" t="s">
        <v>755</v>
      </c>
      <c r="F121" s="34" t="str">
        <f>IF(ISBLANK(Table2[[#This Row],[unique_id]]), "", PROPER(SUBSTITUTE(Table2[[#This Row],[unique_id]], "_", " ")))</f>
        <v>Template Dining Air Purifier Proxy</v>
      </c>
      <c r="G121" s="28" t="s">
        <v>182</v>
      </c>
      <c r="H121" s="28" t="s">
        <v>420</v>
      </c>
      <c r="I121" s="28" t="s">
        <v>123</v>
      </c>
      <c r="P121" s="29" t="s">
        <v>736</v>
      </c>
      <c r="Q121" s="28" t="s">
        <v>155</v>
      </c>
      <c r="R121" s="28" t="s">
        <v>708</v>
      </c>
      <c r="S121" s="28" t="s">
        <v>122</v>
      </c>
      <c r="T121" s="28" t="str">
        <f>_xlfn.CONCAT( Table2[[#This Row],[device_suggested_area]], " ",Table2[[#This Row],[powercalc_group_3]])</f>
        <v>Dining Fans</v>
      </c>
      <c r="U121" s="35" t="s">
        <v>757</v>
      </c>
      <c r="V121" s="35"/>
      <c r="W121" s="35"/>
      <c r="X121" s="28"/>
      <c r="AD121" s="29"/>
      <c r="AE121" s="29"/>
      <c r="AF121" s="29"/>
      <c r="AG121" s="40"/>
      <c r="AH121" s="40"/>
      <c r="AI121" s="40"/>
      <c r="AO121" s="29"/>
      <c r="AP121" s="29"/>
      <c r="BA121" s="28"/>
      <c r="BB121" s="42"/>
      <c r="BC121" s="28" t="s">
        <v>120</v>
      </c>
      <c r="BD1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dining-air-purifier</v>
      </c>
      <c r="BE1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Air Purifier</v>
      </c>
      <c r="BF1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1" s="28" t="str">
        <f>Table2[[#This Row],[device_suggested_area]]</f>
        <v>Dining</v>
      </c>
      <c r="BI121" s="28" t="str">
        <f>IF(ISBLANK(Table2[[#This Row],[device_model]]), "", Table2[[#This Row],[device_suggested_area]])</f>
        <v>Dining</v>
      </c>
      <c r="BJ121" s="28" t="s">
        <v>439</v>
      </c>
      <c r="BK121" s="28" t="s">
        <v>435</v>
      </c>
      <c r="BL121" s="28" t="s">
        <v>419</v>
      </c>
      <c r="BN121" s="28" t="s">
        <v>434</v>
      </c>
      <c r="BO121" s="28" t="s">
        <v>182</v>
      </c>
      <c r="BQ121" s="28" t="s">
        <v>650</v>
      </c>
      <c r="BT121" s="28"/>
      <c r="BV1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2" spans="1:74" ht="16" customHeight="1" x14ac:dyDescent="0.2">
      <c r="A122" s="28">
        <v>1551</v>
      </c>
      <c r="B122" s="28" t="s">
        <v>26</v>
      </c>
      <c r="C122" s="28" t="s">
        <v>419</v>
      </c>
      <c r="D122" s="28" t="s">
        <v>120</v>
      </c>
      <c r="E122" s="34" t="s">
        <v>492</v>
      </c>
      <c r="F122" s="34" t="str">
        <f>IF(ISBLANK(Table2[[#This Row],[unique_id]]), "", PROPER(SUBSTITUTE(Table2[[#This Row],[unique_id]], "_", " ")))</f>
        <v>Dining Air Purifier</v>
      </c>
      <c r="G122" s="28" t="s">
        <v>182</v>
      </c>
      <c r="H122" s="28" t="s">
        <v>420</v>
      </c>
      <c r="I122" s="28" t="s">
        <v>123</v>
      </c>
      <c r="J122" s="28" t="s">
        <v>439</v>
      </c>
      <c r="N122" s="28" t="s">
        <v>127</v>
      </c>
      <c r="P122" s="29"/>
      <c r="Q122" s="28"/>
      <c r="U122" s="35"/>
      <c r="V122" s="35"/>
      <c r="W122" s="35"/>
      <c r="X122" s="28"/>
      <c r="AD122" s="29"/>
      <c r="AE122" s="29" t="s">
        <v>455</v>
      </c>
      <c r="AF122" s="29"/>
      <c r="AG122" s="40" t="s">
        <v>704</v>
      </c>
      <c r="AH122" s="40"/>
      <c r="AI122" s="40"/>
      <c r="AM122" s="28" t="s">
        <v>421</v>
      </c>
      <c r="AO122" s="29"/>
      <c r="AP122" s="29"/>
      <c r="BA122" s="28"/>
      <c r="BB12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https://zigbee2mqtt.janeandgraham.com/#/device/0x9035eafffe82fef8</v>
      </c>
      <c r="BD1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dining-air-purifier</v>
      </c>
      <c r="BE1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Air Purifier</v>
      </c>
      <c r="BF1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2" s="28" t="str">
        <f>Table2[[#This Row],[device_suggested_area]]</f>
        <v>Dining</v>
      </c>
      <c r="BI122" s="28" t="str">
        <f>IF(ISBLANK(Table2[[#This Row],[device_model]]), "", Table2[[#This Row],[device_suggested_area]])</f>
        <v>Dining</v>
      </c>
      <c r="BJ122" s="28" t="s">
        <v>439</v>
      </c>
      <c r="BK122" s="28" t="s">
        <v>435</v>
      </c>
      <c r="BL122" s="28" t="s">
        <v>419</v>
      </c>
      <c r="BN122" s="28" t="s">
        <v>434</v>
      </c>
      <c r="BO122" s="28" t="s">
        <v>182</v>
      </c>
      <c r="BQ122" s="28" t="s">
        <v>650</v>
      </c>
      <c r="BT122" s="28" t="s">
        <v>493</v>
      </c>
      <c r="BV1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"0x9035eafffe82fef8"]]</v>
      </c>
    </row>
    <row r="123" spans="1:74" ht="16" customHeight="1" x14ac:dyDescent="0.2">
      <c r="A123" s="28">
        <v>1552</v>
      </c>
      <c r="B123" s="28" t="s">
        <v>26</v>
      </c>
      <c r="C123" s="28" t="s">
        <v>756</v>
      </c>
      <c r="D123" s="28" t="s">
        <v>139</v>
      </c>
      <c r="E123" s="41" t="s">
        <v>754</v>
      </c>
      <c r="F123" s="34" t="str">
        <f>IF(ISBLANK(Table2[[#This Row],[unique_id]]), "", PROPER(SUBSTITUTE(Table2[[#This Row],[unique_id]], "_", " ")))</f>
        <v>Template Lounge Air Purifier Proxy</v>
      </c>
      <c r="G123" s="28" t="s">
        <v>183</v>
      </c>
      <c r="H123" s="28" t="s">
        <v>420</v>
      </c>
      <c r="I123" s="28" t="s">
        <v>123</v>
      </c>
      <c r="P123" s="29" t="s">
        <v>736</v>
      </c>
      <c r="Q123" s="28" t="s">
        <v>155</v>
      </c>
      <c r="R123" s="28" t="s">
        <v>708</v>
      </c>
      <c r="S123" s="28" t="s">
        <v>122</v>
      </c>
      <c r="T123" s="28" t="str">
        <f>_xlfn.CONCAT( Table2[[#This Row],[device_suggested_area]], " ",Table2[[#This Row],[powercalc_group_3]])</f>
        <v>Lounge Fans</v>
      </c>
      <c r="U123" s="35" t="s">
        <v>757</v>
      </c>
      <c r="V123" s="35"/>
      <c r="W123" s="35"/>
      <c r="X123" s="28"/>
      <c r="AD123" s="29"/>
      <c r="AE123" s="29"/>
      <c r="AF123" s="29"/>
      <c r="AG123" s="40"/>
      <c r="AH123" s="40"/>
      <c r="AI123" s="40"/>
      <c r="AO123" s="29"/>
      <c r="AP123" s="29"/>
      <c r="BA123" s="28"/>
      <c r="BB123" s="42"/>
      <c r="BC123" s="28" t="s">
        <v>120</v>
      </c>
      <c r="BD1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lounge-air-purifier</v>
      </c>
      <c r="BE1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Air Purifier</v>
      </c>
      <c r="BF1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3" s="28" t="str">
        <f>Table2[[#This Row],[device_suggested_area]]</f>
        <v>Lounge</v>
      </c>
      <c r="BI123" s="28" t="str">
        <f>IF(ISBLANK(Table2[[#This Row],[device_model]]), "", Table2[[#This Row],[device_suggested_area]])</f>
        <v>Lounge</v>
      </c>
      <c r="BJ123" s="28" t="s">
        <v>439</v>
      </c>
      <c r="BK123" s="28" t="s">
        <v>435</v>
      </c>
      <c r="BL123" s="28" t="s">
        <v>419</v>
      </c>
      <c r="BN123" s="28" t="s">
        <v>434</v>
      </c>
      <c r="BO123" s="28" t="s">
        <v>183</v>
      </c>
      <c r="BQ123" s="28" t="s">
        <v>650</v>
      </c>
      <c r="BT123" s="28"/>
      <c r="BV1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4" spans="1:74" ht="16" customHeight="1" x14ac:dyDescent="0.2">
      <c r="A124" s="28">
        <v>1553</v>
      </c>
      <c r="B124" s="28" t="s">
        <v>26</v>
      </c>
      <c r="C124" s="28" t="s">
        <v>419</v>
      </c>
      <c r="D124" s="28" t="s">
        <v>120</v>
      </c>
      <c r="E124" s="34" t="s">
        <v>423</v>
      </c>
      <c r="F124" s="34" t="str">
        <f>IF(ISBLANK(Table2[[#This Row],[unique_id]]), "", PROPER(SUBSTITUTE(Table2[[#This Row],[unique_id]], "_", " ")))</f>
        <v>Lounge Air Purifier</v>
      </c>
      <c r="G124" s="28" t="s">
        <v>183</v>
      </c>
      <c r="H124" s="28" t="s">
        <v>420</v>
      </c>
      <c r="I124" s="28" t="s">
        <v>123</v>
      </c>
      <c r="J124" s="28" t="s">
        <v>439</v>
      </c>
      <c r="N124" s="28" t="s">
        <v>127</v>
      </c>
      <c r="P124" s="29"/>
      <c r="Q124" s="28"/>
      <c r="U124" s="35"/>
      <c r="V124" s="35"/>
      <c r="W124" s="35"/>
      <c r="X124" s="28"/>
      <c r="AD124" s="29"/>
      <c r="AE124" s="29" t="s">
        <v>455</v>
      </c>
      <c r="AF124" s="29"/>
      <c r="AG124" s="40" t="s">
        <v>704</v>
      </c>
      <c r="AH124" s="40"/>
      <c r="AI124" s="40"/>
      <c r="AM124" s="28" t="s">
        <v>421</v>
      </c>
      <c r="AO124" s="29"/>
      <c r="AP124" s="29"/>
      <c r="BA124" s="28"/>
      <c r="BB12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https://zigbee2mqtt.janeandgraham.com/#/device/0x9035eafffe404425</v>
      </c>
      <c r="BD1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lounge-air-purifier</v>
      </c>
      <c r="BE1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Air Purifier</v>
      </c>
      <c r="BF1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4" s="28" t="str">
        <f>Table2[[#This Row],[device_suggested_area]]</f>
        <v>Lounge</v>
      </c>
      <c r="BI124" s="28" t="str">
        <f>IF(ISBLANK(Table2[[#This Row],[device_model]]), "", Table2[[#This Row],[device_suggested_area]])</f>
        <v>Lounge</v>
      </c>
      <c r="BJ124" s="28" t="s">
        <v>439</v>
      </c>
      <c r="BK124" s="28" t="s">
        <v>435</v>
      </c>
      <c r="BL124" s="28" t="s">
        <v>419</v>
      </c>
      <c r="BN124" s="28" t="s">
        <v>434</v>
      </c>
      <c r="BO124" s="28" t="s">
        <v>183</v>
      </c>
      <c r="BQ124" s="28" t="s">
        <v>650</v>
      </c>
      <c r="BT124" s="28" t="s">
        <v>445</v>
      </c>
      <c r="BV1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"0x9035eafffe404425"]]</v>
      </c>
    </row>
    <row r="125" spans="1:74" ht="16" customHeight="1" x14ac:dyDescent="0.2">
      <c r="A125" s="28">
        <v>1554</v>
      </c>
      <c r="B125" s="28" t="s">
        <v>26</v>
      </c>
      <c r="C125" s="28" t="s">
        <v>756</v>
      </c>
      <c r="D125" s="28" t="s">
        <v>139</v>
      </c>
      <c r="E125" s="41" t="s">
        <v>1161</v>
      </c>
      <c r="F125" s="34" t="str">
        <f>IF(ISBLANK(Table2[[#This Row],[unique_id]]), "", PROPER(SUBSTITUTE(Table2[[#This Row],[unique_id]], "_", " ")))</f>
        <v>Template Parents Air Purifier Proxy</v>
      </c>
      <c r="G125" s="28" t="s">
        <v>181</v>
      </c>
      <c r="H125" s="28" t="s">
        <v>420</v>
      </c>
      <c r="I125" s="28" t="s">
        <v>123</v>
      </c>
      <c r="P125" s="29" t="s">
        <v>736</v>
      </c>
      <c r="Q125" s="28" t="s">
        <v>155</v>
      </c>
      <c r="R125" s="28" t="s">
        <v>708</v>
      </c>
      <c r="S125" s="28" t="s">
        <v>122</v>
      </c>
      <c r="T125" s="28" t="str">
        <f>_xlfn.CONCAT( Table2[[#This Row],[device_suggested_area]], " ",Table2[[#This Row],[powercalc_group_3]])</f>
        <v>Parents Fans</v>
      </c>
      <c r="U125" s="35" t="s">
        <v>757</v>
      </c>
      <c r="V125" s="35"/>
      <c r="W125" s="35"/>
      <c r="X125" s="28"/>
      <c r="AD125" s="29"/>
      <c r="AE125" s="29"/>
      <c r="AF125" s="29"/>
      <c r="AG125" s="40"/>
      <c r="AH125" s="40"/>
      <c r="AI125" s="40"/>
      <c r="AO125" s="29"/>
      <c r="AP125" s="29"/>
      <c r="BA125" s="28"/>
      <c r="BB125" s="42"/>
      <c r="BC125" s="28" t="s">
        <v>120</v>
      </c>
      <c r="BD1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parents-air-purifier</v>
      </c>
      <c r="BE1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Air Purifier</v>
      </c>
      <c r="BF1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5" s="28" t="str">
        <f>Table2[[#This Row],[device_suggested_area]]</f>
        <v>Parents</v>
      </c>
      <c r="BI125" s="28" t="str">
        <f>IF(ISBLANK(Table2[[#This Row],[device_model]]), "", Table2[[#This Row],[device_suggested_area]])</f>
        <v>Parents</v>
      </c>
      <c r="BJ125" s="28" t="s">
        <v>439</v>
      </c>
      <c r="BK125" s="28" t="s">
        <v>435</v>
      </c>
      <c r="BL125" s="28" t="s">
        <v>419</v>
      </c>
      <c r="BN125" s="28" t="s">
        <v>434</v>
      </c>
      <c r="BO125" s="28" t="s">
        <v>181</v>
      </c>
      <c r="BQ125" s="28" t="s">
        <v>650</v>
      </c>
      <c r="BT125" s="28"/>
      <c r="BV1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6" spans="1:74" ht="16" customHeight="1" x14ac:dyDescent="0.2">
      <c r="A126" s="28">
        <v>1555</v>
      </c>
      <c r="B126" s="28" t="s">
        <v>26</v>
      </c>
      <c r="C126" s="28" t="s">
        <v>419</v>
      </c>
      <c r="D126" s="28" t="s">
        <v>120</v>
      </c>
      <c r="E126" s="34" t="s">
        <v>1162</v>
      </c>
      <c r="F126" s="34" t="str">
        <f>IF(ISBLANK(Table2[[#This Row],[unique_id]]), "", PROPER(SUBSTITUTE(Table2[[#This Row],[unique_id]], "_", " ")))</f>
        <v>Parents Air Purifier</v>
      </c>
      <c r="G126" s="28" t="s">
        <v>181</v>
      </c>
      <c r="H126" s="28" t="s">
        <v>420</v>
      </c>
      <c r="I126" s="28" t="s">
        <v>123</v>
      </c>
      <c r="J126" s="28" t="s">
        <v>439</v>
      </c>
      <c r="N126" s="28" t="s">
        <v>127</v>
      </c>
      <c r="P126" s="29"/>
      <c r="Q126" s="28"/>
      <c r="U126" s="35"/>
      <c r="V126" s="35"/>
      <c r="W126" s="35"/>
      <c r="X126" s="28"/>
      <c r="AD126" s="29"/>
      <c r="AE126" s="29" t="s">
        <v>455</v>
      </c>
      <c r="AF126" s="29"/>
      <c r="AG126" s="40" t="s">
        <v>704</v>
      </c>
      <c r="AH126" s="40"/>
      <c r="AI126" s="40"/>
      <c r="AM126" s="28" t="s">
        <v>421</v>
      </c>
      <c r="AO126" s="29"/>
      <c r="AP126" s="29"/>
      <c r="BA126" s="28"/>
      <c r="BB12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https://zigbee2mqtt.janeandgraham.com/#/device/0x1c34f1fffe7f7e96</v>
      </c>
      <c r="BD1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parents-air-purifier</v>
      </c>
      <c r="BE1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Air Purifier</v>
      </c>
      <c r="BF1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6" s="28" t="str">
        <f>Table2[[#This Row],[device_suggested_area]]</f>
        <v>Parents</v>
      </c>
      <c r="BI126" s="28" t="str">
        <f>IF(ISBLANK(Table2[[#This Row],[device_model]]), "", Table2[[#This Row],[device_suggested_area]])</f>
        <v>Parents</v>
      </c>
      <c r="BJ126" s="28" t="s">
        <v>439</v>
      </c>
      <c r="BK126" s="28" t="s">
        <v>435</v>
      </c>
      <c r="BL126" s="28" t="s">
        <v>419</v>
      </c>
      <c r="BN126" s="28" t="s">
        <v>434</v>
      </c>
      <c r="BO126" s="28" t="s">
        <v>181</v>
      </c>
      <c r="BQ126" s="28" t="s">
        <v>650</v>
      </c>
      <c r="BT126" s="28" t="s">
        <v>1254</v>
      </c>
      <c r="BV1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"0x1c34f1fffe7f7e96"]]</v>
      </c>
    </row>
    <row r="127" spans="1:74" ht="16" customHeight="1" x14ac:dyDescent="0.2">
      <c r="A127" s="28">
        <v>1556</v>
      </c>
      <c r="B127" s="28" t="s">
        <v>26</v>
      </c>
      <c r="C127" s="28" t="s">
        <v>756</v>
      </c>
      <c r="D127" s="28" t="s">
        <v>139</v>
      </c>
      <c r="E127" s="41" t="s">
        <v>1160</v>
      </c>
      <c r="F127" s="34" t="str">
        <f>IF(ISBLANK(Table2[[#This Row],[unique_id]]), "", PROPER(SUBSTITUTE(Table2[[#This Row],[unique_id]], "_", " ")))</f>
        <v>Template Kitchen Air Purifier Proxy</v>
      </c>
      <c r="G127" s="28" t="s">
        <v>195</v>
      </c>
      <c r="H127" s="28" t="s">
        <v>420</v>
      </c>
      <c r="I127" s="28" t="s">
        <v>123</v>
      </c>
      <c r="P127" s="29" t="s">
        <v>736</v>
      </c>
      <c r="Q127" s="28" t="s">
        <v>155</v>
      </c>
      <c r="R127" s="28" t="s">
        <v>708</v>
      </c>
      <c r="S127" s="28" t="s">
        <v>122</v>
      </c>
      <c r="T127" s="28" t="str">
        <f>_xlfn.CONCAT( Table2[[#This Row],[device_suggested_area]], " ",Table2[[#This Row],[powercalc_group_3]])</f>
        <v>Kitchen Fans</v>
      </c>
      <c r="U127" s="35" t="s">
        <v>757</v>
      </c>
      <c r="V127" s="35"/>
      <c r="W127" s="35"/>
      <c r="X127" s="28"/>
      <c r="AD127" s="29"/>
      <c r="AE127" s="29"/>
      <c r="AF127" s="29"/>
      <c r="AG127" s="40"/>
      <c r="AH127" s="40"/>
      <c r="AI127" s="40"/>
      <c r="AO127" s="29"/>
      <c r="AP127" s="29"/>
      <c r="BA127" s="28"/>
      <c r="BB127" s="42"/>
      <c r="BC127" s="28" t="s">
        <v>120</v>
      </c>
      <c r="BD1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BE1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F1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7" s="28" t="str">
        <f>Table2[[#This Row],[device_suggested_area]]</f>
        <v>Kitchen</v>
      </c>
      <c r="BI127" s="28" t="str">
        <f>IF(ISBLANK(Table2[[#This Row],[device_model]]), "", Table2[[#This Row],[device_suggested_area]])</f>
        <v>Kitchen</v>
      </c>
      <c r="BJ127" s="28" t="s">
        <v>439</v>
      </c>
      <c r="BK127" s="28" t="s">
        <v>435</v>
      </c>
      <c r="BL127" s="28" t="s">
        <v>419</v>
      </c>
      <c r="BN127" s="28" t="s">
        <v>434</v>
      </c>
      <c r="BO127" s="28" t="s">
        <v>195</v>
      </c>
      <c r="BQ127" s="28" t="s">
        <v>650</v>
      </c>
      <c r="BT127" s="28"/>
      <c r="BV1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8" spans="1:74" ht="16" customHeight="1" x14ac:dyDescent="0.2">
      <c r="A128" s="28">
        <v>1557</v>
      </c>
      <c r="B128" s="28" t="s">
        <v>26</v>
      </c>
      <c r="C128" s="28" t="s">
        <v>419</v>
      </c>
      <c r="D128" s="28" t="s">
        <v>120</v>
      </c>
      <c r="E128" s="34" t="s">
        <v>1159</v>
      </c>
      <c r="F128" s="34" t="str">
        <f>IF(ISBLANK(Table2[[#This Row],[unique_id]]), "", PROPER(SUBSTITUTE(Table2[[#This Row],[unique_id]], "_", " ")))</f>
        <v>Kitchen Air Purifier</v>
      </c>
      <c r="G128" s="28" t="s">
        <v>195</v>
      </c>
      <c r="H128" s="28" t="s">
        <v>420</v>
      </c>
      <c r="I128" s="28" t="s">
        <v>123</v>
      </c>
      <c r="J128" s="28" t="s">
        <v>439</v>
      </c>
      <c r="N128" s="28" t="s">
        <v>127</v>
      </c>
      <c r="P128" s="29"/>
      <c r="Q128" s="28"/>
      <c r="U128" s="35"/>
      <c r="V128" s="35"/>
      <c r="W128" s="35"/>
      <c r="X128" s="28"/>
      <c r="AD128" s="29"/>
      <c r="AE128" s="29" t="s">
        <v>455</v>
      </c>
      <c r="AF128" s="29"/>
      <c r="AG128" s="40" t="s">
        <v>704</v>
      </c>
      <c r="AH128" s="40"/>
      <c r="AI128" s="40"/>
      <c r="AM128" s="28" t="s">
        <v>421</v>
      </c>
      <c r="AO128" s="29"/>
      <c r="AP128" s="29"/>
      <c r="BA128" s="28"/>
      <c r="BB12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https://zigbee2mqtt.janeandgraham.com/#/device/0x8c65a3fffef0c92d</v>
      </c>
      <c r="BD1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BE1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F1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8" s="28" t="str">
        <f>Table2[[#This Row],[device_suggested_area]]</f>
        <v>Kitchen</v>
      </c>
      <c r="BI128" s="28" t="str">
        <f>IF(ISBLANK(Table2[[#This Row],[device_model]]), "", Table2[[#This Row],[device_suggested_area]])</f>
        <v>Kitchen</v>
      </c>
      <c r="BJ128" s="28" t="s">
        <v>439</v>
      </c>
      <c r="BK128" s="28" t="s">
        <v>435</v>
      </c>
      <c r="BL128" s="28" t="s">
        <v>419</v>
      </c>
      <c r="BN128" s="28" t="s">
        <v>434</v>
      </c>
      <c r="BO128" s="28" t="s">
        <v>195</v>
      </c>
      <c r="BQ128" s="28" t="s">
        <v>650</v>
      </c>
      <c r="BT128" s="28" t="s">
        <v>1350</v>
      </c>
      <c r="BV1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"0x8c65a3fffef0c92d"]]</v>
      </c>
    </row>
    <row r="129" spans="1:74" ht="16" customHeight="1" x14ac:dyDescent="0.2">
      <c r="A129" s="28">
        <v>1558</v>
      </c>
      <c r="B129" s="28" t="s">
        <v>543</v>
      </c>
      <c r="C129" s="28" t="s">
        <v>756</v>
      </c>
      <c r="D129" s="28" t="s">
        <v>139</v>
      </c>
      <c r="E129" s="41" t="s">
        <v>1348</v>
      </c>
      <c r="F129" s="34" t="str">
        <f>IF(ISBLANK(Table2[[#This Row],[unique_id]]), "", PROPER(SUBSTITUTE(Table2[[#This Row],[unique_id]], "_", " ")))</f>
        <v>Template Kitchen Air Purifier Proxy Old</v>
      </c>
      <c r="G129" s="28" t="s">
        <v>195</v>
      </c>
      <c r="H129" s="28" t="s">
        <v>420</v>
      </c>
      <c r="I129" s="28" t="s">
        <v>123</v>
      </c>
      <c r="P129" s="29" t="s">
        <v>736</v>
      </c>
      <c r="Q129" s="28" t="s">
        <v>155</v>
      </c>
      <c r="R129" s="28" t="s">
        <v>708</v>
      </c>
      <c r="S129" s="28" t="s">
        <v>122</v>
      </c>
      <c r="T129" s="28" t="str">
        <f>_xlfn.CONCAT( Table2[[#This Row],[device_suggested_area]], " ",Table2[[#This Row],[powercalc_group_3]])</f>
        <v>Kitchen Fans</v>
      </c>
      <c r="U129" s="35" t="s">
        <v>757</v>
      </c>
      <c r="V129" s="35"/>
      <c r="W129" s="35"/>
      <c r="X129" s="28"/>
      <c r="AD129" s="29"/>
      <c r="AE129" s="29"/>
      <c r="AF129" s="29"/>
      <c r="AG129" s="40"/>
      <c r="AH129" s="40"/>
      <c r="AI129" s="40"/>
      <c r="AO129" s="29"/>
      <c r="AP129" s="29"/>
      <c r="BA129" s="28"/>
      <c r="BB129" s="42"/>
      <c r="BC129" s="28" t="s">
        <v>120</v>
      </c>
      <c r="BD1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BE1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F1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29" s="28" t="str">
        <f>Table2[[#This Row],[device_suggested_area]]</f>
        <v>Kitchen</v>
      </c>
      <c r="BI129" s="28" t="str">
        <f>IF(ISBLANK(Table2[[#This Row],[device_model]]), "", Table2[[#This Row],[device_suggested_area]])</f>
        <v>Kitchen</v>
      </c>
      <c r="BJ129" s="28" t="s">
        <v>439</v>
      </c>
      <c r="BK129" s="28" t="s">
        <v>435</v>
      </c>
      <c r="BL129" s="28" t="s">
        <v>419</v>
      </c>
      <c r="BN129" s="28" t="s">
        <v>434</v>
      </c>
      <c r="BO129" s="28" t="s">
        <v>195</v>
      </c>
      <c r="BQ129" s="28" t="s">
        <v>650</v>
      </c>
      <c r="BT129" s="28"/>
      <c r="BV1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0" spans="1:74" ht="16" customHeight="1" x14ac:dyDescent="0.2">
      <c r="A130" s="28">
        <v>1559</v>
      </c>
      <c r="B130" s="28" t="s">
        <v>543</v>
      </c>
      <c r="C130" s="28" t="s">
        <v>419</v>
      </c>
      <c r="D130" s="28" t="s">
        <v>120</v>
      </c>
      <c r="E130" s="34" t="s">
        <v>1349</v>
      </c>
      <c r="F130" s="34" t="str">
        <f>IF(ISBLANK(Table2[[#This Row],[unique_id]]), "", PROPER(SUBSTITUTE(Table2[[#This Row],[unique_id]], "_", " ")))</f>
        <v>Kitchen Air Purifier Old</v>
      </c>
      <c r="G130" s="28" t="s">
        <v>195</v>
      </c>
      <c r="H130" s="28" t="s">
        <v>420</v>
      </c>
      <c r="I130" s="28" t="s">
        <v>123</v>
      </c>
      <c r="J130" s="28" t="s">
        <v>439</v>
      </c>
      <c r="N130" s="28" t="s">
        <v>127</v>
      </c>
      <c r="P130" s="29"/>
      <c r="Q130" s="28"/>
      <c r="U130" s="35"/>
      <c r="V130" s="35"/>
      <c r="W130" s="35"/>
      <c r="X130" s="28"/>
      <c r="AD130" s="29"/>
      <c r="AE130" s="29" t="s">
        <v>455</v>
      </c>
      <c r="AF130" s="29"/>
      <c r="AG130" s="40" t="s">
        <v>704</v>
      </c>
      <c r="AH130" s="40"/>
      <c r="AI130" s="40"/>
      <c r="AM130" s="28" t="s">
        <v>421</v>
      </c>
      <c r="AO130" s="29"/>
      <c r="AP130" s="29"/>
      <c r="BA130" s="28"/>
      <c r="BB13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https://zigbee2mqtt.janeandgraham.com/#/device/0x9035eafffe27e819</v>
      </c>
      <c r="BD1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BE1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F1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30" s="28" t="str">
        <f>Table2[[#This Row],[device_suggested_area]]</f>
        <v>Kitchen</v>
      </c>
      <c r="BI130" s="28" t="str">
        <f>IF(ISBLANK(Table2[[#This Row],[device_model]]), "", Table2[[#This Row],[device_suggested_area]])</f>
        <v>Kitchen</v>
      </c>
      <c r="BJ130" s="28" t="s">
        <v>439</v>
      </c>
      <c r="BK130" s="28" t="s">
        <v>435</v>
      </c>
      <c r="BL130" s="28" t="s">
        <v>419</v>
      </c>
      <c r="BN130" s="28" t="s">
        <v>434</v>
      </c>
      <c r="BO130" s="28" t="s">
        <v>195</v>
      </c>
      <c r="BQ130" s="28" t="s">
        <v>650</v>
      </c>
      <c r="BT130" s="28" t="s">
        <v>1163</v>
      </c>
      <c r="BV1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"0x9035eafffe27e819"]]</v>
      </c>
    </row>
    <row r="131" spans="1:74" ht="16" customHeight="1" x14ac:dyDescent="0.2">
      <c r="A131" s="28">
        <v>1560</v>
      </c>
      <c r="B131" s="28" t="s">
        <v>26</v>
      </c>
      <c r="C131" s="28" t="s">
        <v>1247</v>
      </c>
      <c r="E131" s="43"/>
      <c r="F131" s="28" t="str">
        <f>IF(ISBLANK(Table2[[#This Row],[unique_id]]), "", PROPER(SUBSTITUTE(Table2[[#This Row],[unique_id]], "_", " ")))</f>
        <v/>
      </c>
      <c r="P131" s="29"/>
      <c r="Q131" s="28"/>
      <c r="U131" s="35"/>
      <c r="V131" s="35"/>
      <c r="W131" s="35"/>
      <c r="X131" s="28"/>
      <c r="AD131" s="29"/>
      <c r="AE131" s="29"/>
      <c r="AF131" s="29"/>
      <c r="AG131" s="29"/>
      <c r="AO131" s="29"/>
      <c r="AP131" s="29"/>
      <c r="AR131" s="28" t="str">
        <f>IF(ISBLANK(AQ131),  "", _xlfn.CONCAT("haas/entity/sensor/", LOWER(C131), "/", E131, "/config"))</f>
        <v/>
      </c>
      <c r="AS131" s="28" t="str">
        <f>IF(ISBLANK(AQ131),  "", _xlfn.CONCAT(LOWER(C131), "/", E131))</f>
        <v/>
      </c>
      <c r="BA131" s="28"/>
      <c r="BB131" s="38"/>
      <c r="BC131" s="38"/>
      <c r="BD13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dyson-mobile-air-purifier</v>
      </c>
      <c r="BE13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Dyson Mobile Air Purifier</v>
      </c>
      <c r="BF1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H131" s="28" t="s">
        <v>1247</v>
      </c>
      <c r="BI131" s="28" t="str">
        <f>IF(ISBLANK(Table2[[#This Row],[device_model]]), "", Table2[[#This Row],[device_suggested_area]])</f>
        <v>Home</v>
      </c>
      <c r="BJ131" s="28" t="s">
        <v>1251</v>
      </c>
      <c r="BK131" s="28" t="s">
        <v>1248</v>
      </c>
      <c r="BL131" s="28" t="s">
        <v>1247</v>
      </c>
      <c r="BN131" s="28" t="s">
        <v>1249</v>
      </c>
      <c r="BO131" s="28" t="s">
        <v>155</v>
      </c>
      <c r="BS131" s="28" t="s">
        <v>1185</v>
      </c>
      <c r="BT131" s="44" t="s">
        <v>1250</v>
      </c>
      <c r="BV1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"c8:ff:77:d6:89:10"]]</v>
      </c>
    </row>
    <row r="132" spans="1:74" ht="16" customHeight="1" x14ac:dyDescent="0.2">
      <c r="A132" s="28">
        <v>1561</v>
      </c>
      <c r="B132" s="28" t="s">
        <v>26</v>
      </c>
      <c r="C132" s="28" t="s">
        <v>409</v>
      </c>
      <c r="D132" s="28" t="s">
        <v>304</v>
      </c>
      <c r="E132" s="28" t="s">
        <v>303</v>
      </c>
      <c r="F132" s="34" t="str">
        <f>IF(ISBLANK(Table2[[#This Row],[unique_id]]), "", PROPER(SUBSTITUTE(Table2[[#This Row],[unique_id]], "_", " ")))</f>
        <v>Column Break</v>
      </c>
      <c r="G132" s="28" t="s">
        <v>300</v>
      </c>
      <c r="H132" s="28" t="s">
        <v>420</v>
      </c>
      <c r="I132" s="28" t="s">
        <v>123</v>
      </c>
      <c r="N132" s="28" t="s">
        <v>301</v>
      </c>
      <c r="O132" s="28" t="s">
        <v>302</v>
      </c>
      <c r="P132" s="29"/>
      <c r="Q132" s="28"/>
      <c r="U132" s="35"/>
      <c r="V132" s="35"/>
      <c r="W132" s="35"/>
      <c r="X132" s="28"/>
      <c r="AD132" s="29"/>
      <c r="AE132" s="29"/>
      <c r="AF132" s="29"/>
      <c r="AG132" s="29"/>
      <c r="AO132" s="29"/>
      <c r="AP132" s="29"/>
      <c r="BA132" s="28"/>
      <c r="BB132" s="38"/>
      <c r="BC132" s="29"/>
      <c r="BD1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32" s="28" t="str">
        <f>IF(ISBLANK(Table2[[#This Row],[device_model]]), "", Table2[[#This Row],[device_suggested_area]])</f>
        <v/>
      </c>
      <c r="BN132" s="29"/>
      <c r="BT132" s="28"/>
      <c r="BU132" s="37"/>
      <c r="BV1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3" spans="1:74" ht="16" customHeight="1" x14ac:dyDescent="0.2">
      <c r="A133" s="28">
        <v>1600</v>
      </c>
      <c r="B133" s="28" t="s">
        <v>26</v>
      </c>
      <c r="C133" s="28" t="s">
        <v>124</v>
      </c>
      <c r="D133" s="28" t="s">
        <v>128</v>
      </c>
      <c r="E133" s="28" t="s">
        <v>381</v>
      </c>
      <c r="F133" s="34" t="str">
        <f>IF(ISBLANK(Table2[[#This Row],[unique_id]]), "", PROPER(SUBSTITUTE(Table2[[#This Row],[unique_id]], "_", " ")))</f>
        <v>Ada Fan</v>
      </c>
      <c r="G133" s="28" t="s">
        <v>131</v>
      </c>
      <c r="H133" s="28" t="s">
        <v>130</v>
      </c>
      <c r="I133" s="28" t="s">
        <v>123</v>
      </c>
      <c r="J133" s="28" t="s">
        <v>670</v>
      </c>
      <c r="N133" s="28" t="s">
        <v>127</v>
      </c>
      <c r="P133" s="29" t="s">
        <v>736</v>
      </c>
      <c r="Q133" s="28" t="s">
        <v>155</v>
      </c>
      <c r="R133" s="28" t="s">
        <v>708</v>
      </c>
      <c r="S133" s="28" t="str">
        <f>Table2[[#This Row],[entity_domain]]</f>
        <v>Lights</v>
      </c>
      <c r="T133" s="28" t="str">
        <f>_xlfn.CONCAT( Table2[[#This Row],[device_suggested_area]], " ",Table2[[#This Row],[powercalc_group_3]])</f>
        <v>Ada Lights</v>
      </c>
      <c r="U133" s="35" t="s">
        <v>721</v>
      </c>
      <c r="V133" s="35"/>
      <c r="W133" s="35"/>
      <c r="X133" s="28"/>
      <c r="AD133" s="29"/>
      <c r="AE133" s="29"/>
      <c r="AF133" s="29"/>
      <c r="AG133" s="29"/>
      <c r="AM133" s="28" t="s">
        <v>263</v>
      </c>
      <c r="AO133" s="29"/>
      <c r="AP133" s="29"/>
      <c r="BA133" s="28"/>
      <c r="BB133" s="38"/>
      <c r="BC133" s="29"/>
      <c r="BD1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33" s="28" t="str">
        <f>IF(ISBLANK(Table2[[#This Row],[device_model]]), "", Table2[[#This Row],[device_suggested_area]])</f>
        <v/>
      </c>
      <c r="BN133" s="29"/>
      <c r="BO133" s="28" t="s">
        <v>121</v>
      </c>
      <c r="BT133" s="28"/>
      <c r="BV1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4" spans="1:74" ht="16" customHeight="1" x14ac:dyDescent="0.2">
      <c r="A134" s="28">
        <v>1601</v>
      </c>
      <c r="B134" s="28" t="s">
        <v>26</v>
      </c>
      <c r="C134" s="28" t="s">
        <v>348</v>
      </c>
      <c r="D134" s="28" t="s">
        <v>128</v>
      </c>
      <c r="E134" s="28" t="s">
        <v>278</v>
      </c>
      <c r="F134" s="34" t="str">
        <f>IF(ISBLANK(Table2[[#This Row],[unique_id]]), "", PROPER(SUBSTITUTE(Table2[[#This Row],[unique_id]], "_", " ")))</f>
        <v>Ada Lamp</v>
      </c>
      <c r="G134" s="28" t="s">
        <v>184</v>
      </c>
      <c r="H134" s="28" t="s">
        <v>130</v>
      </c>
      <c r="I134" s="28" t="s">
        <v>123</v>
      </c>
      <c r="K134" s="28" t="s">
        <v>833</v>
      </c>
      <c r="N134" s="28" t="s">
        <v>127</v>
      </c>
      <c r="P134" s="29"/>
      <c r="Q134" s="28"/>
      <c r="U134" s="35"/>
      <c r="V134" s="35"/>
      <c r="W134" s="35"/>
      <c r="X134" s="28"/>
      <c r="AD134" s="29"/>
      <c r="AE134" s="29" t="s">
        <v>456</v>
      </c>
      <c r="AF134" s="45">
        <v>100</v>
      </c>
      <c r="AG134" s="40" t="s">
        <v>706</v>
      </c>
      <c r="AH134" s="40" t="s">
        <v>919</v>
      </c>
      <c r="AI134" s="40"/>
      <c r="AM134" s="28" t="s">
        <v>263</v>
      </c>
      <c r="AO134" s="29"/>
      <c r="AP134" s="29"/>
      <c r="BA134" s="28"/>
      <c r="BB13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https://zigbee2mqtt.janeandgraham.com/#/group/100</v>
      </c>
      <c r="BD13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ada-lamp</v>
      </c>
      <c r="BE13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Lamp</v>
      </c>
      <c r="BF1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34" s="28" t="str">
        <f>Table2[[#This Row],[device_suggested_area]]</f>
        <v>Ada</v>
      </c>
      <c r="BI134" s="28" t="str">
        <f>IF(ISBLANK(Table2[[#This Row],[device_model]]), "", Table2[[#This Row],[device_suggested_area]])</f>
        <v>Ada</v>
      </c>
      <c r="BJ134" s="28" t="s">
        <v>488</v>
      </c>
      <c r="BK134" s="28" t="s">
        <v>529</v>
      </c>
      <c r="BL134" s="28" t="s">
        <v>348</v>
      </c>
      <c r="BM134" s="28" t="s">
        <v>1345</v>
      </c>
      <c r="BN134" s="28" t="s">
        <v>526</v>
      </c>
      <c r="BO134" s="28" t="s">
        <v>121</v>
      </c>
      <c r="BQ134" s="28" t="s">
        <v>650</v>
      </c>
      <c r="BT134" s="28"/>
      <c r="BV1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5" spans="1:74" ht="16" customHeight="1" x14ac:dyDescent="0.2">
      <c r="A135" s="28">
        <v>1602</v>
      </c>
      <c r="B135" s="28" t="s">
        <v>26</v>
      </c>
      <c r="C135" s="28" t="s">
        <v>348</v>
      </c>
      <c r="D135" s="28" t="s">
        <v>128</v>
      </c>
      <c r="E135" s="28" t="s">
        <v>871</v>
      </c>
      <c r="F135" s="34" t="str">
        <f>IF(ISBLANK(Table2[[#This Row],[unique_id]]), "", PROPER(SUBSTITUTE(Table2[[#This Row],[unique_id]], "_", " ")))</f>
        <v>Ada Lamp Bulb 1</v>
      </c>
      <c r="H135" s="28" t="s">
        <v>130</v>
      </c>
      <c r="P135" s="29" t="s">
        <v>736</v>
      </c>
      <c r="Q135" s="28" t="s">
        <v>155</v>
      </c>
      <c r="R135" s="28" t="s">
        <v>708</v>
      </c>
      <c r="S135" s="28" t="str">
        <f>Table2[[#This Row],[entity_domain]]</f>
        <v>Lights</v>
      </c>
      <c r="T135" s="28" t="str">
        <f>_xlfn.CONCAT( Table2[[#This Row],[device_suggested_area]], " ",Table2[[#This Row],[powercalc_group_3]])</f>
        <v>Ada Lights</v>
      </c>
      <c r="U135" s="35"/>
      <c r="V135" s="35"/>
      <c r="W135" s="35"/>
      <c r="X135" s="28"/>
      <c r="AD135" s="29"/>
      <c r="AE135" s="29" t="s">
        <v>455</v>
      </c>
      <c r="AF135" s="45">
        <v>100</v>
      </c>
      <c r="AG135" s="40" t="s">
        <v>704</v>
      </c>
      <c r="AH135" s="40" t="s">
        <v>919</v>
      </c>
      <c r="AI135" s="40"/>
      <c r="AO135" s="29"/>
      <c r="AP135" s="29"/>
      <c r="BA135" s="28"/>
      <c r="BB13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https://zigbee2mqtt.janeandgraham.com/#/device/0x0017880103433075</v>
      </c>
      <c r="BD1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ada-lamp-bulb-1</v>
      </c>
      <c r="BE1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Lamp Bulb 1</v>
      </c>
      <c r="BF1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35" s="28" t="str">
        <f>Table2[[#This Row],[device_suggested_area]]</f>
        <v>Ada</v>
      </c>
      <c r="BI135" s="28" t="str">
        <f>IF(ISBLANK(Table2[[#This Row],[device_model]]), "", Table2[[#This Row],[device_suggested_area]])</f>
        <v>Ada</v>
      </c>
      <c r="BJ135" s="28" t="s">
        <v>941</v>
      </c>
      <c r="BK135" s="28" t="s">
        <v>529</v>
      </c>
      <c r="BL135" s="28" t="s">
        <v>348</v>
      </c>
      <c r="BM135" s="28" t="s">
        <v>1345</v>
      </c>
      <c r="BN135" s="28" t="s">
        <v>526</v>
      </c>
      <c r="BO135" s="28" t="s">
        <v>121</v>
      </c>
      <c r="BQ135" s="28" t="s">
        <v>650</v>
      </c>
      <c r="BT135" s="28" t="s">
        <v>461</v>
      </c>
      <c r="BV1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"0x0017880103433075"]]</v>
      </c>
    </row>
    <row r="136" spans="1:74" ht="16" customHeight="1" x14ac:dyDescent="0.2">
      <c r="A136" s="28">
        <v>1603</v>
      </c>
      <c r="B136" s="28" t="s">
        <v>543</v>
      </c>
      <c r="C136" s="28" t="s">
        <v>348</v>
      </c>
      <c r="D136" s="28" t="s">
        <v>128</v>
      </c>
      <c r="E136" s="28" t="s">
        <v>279</v>
      </c>
      <c r="F136" s="34" t="str">
        <f>IF(ISBLANK(Table2[[#This Row],[unique_id]]), "", PROPER(SUBSTITUTE(Table2[[#This Row],[unique_id]], "_", " ")))</f>
        <v>Edwin Lamp</v>
      </c>
      <c r="G136" s="28" t="s">
        <v>194</v>
      </c>
      <c r="H136" s="28" t="s">
        <v>130</v>
      </c>
      <c r="I136" s="28" t="s">
        <v>123</v>
      </c>
      <c r="K136" s="28" t="s">
        <v>833</v>
      </c>
      <c r="N136" s="28" t="s">
        <v>127</v>
      </c>
      <c r="P136" s="29"/>
      <c r="Q136" s="28"/>
      <c r="U136" s="35"/>
      <c r="V136" s="35"/>
      <c r="W136" s="35"/>
      <c r="X136" s="28"/>
      <c r="AD136" s="29"/>
      <c r="AE136" s="29" t="s">
        <v>456</v>
      </c>
      <c r="AF136" s="45">
        <v>101</v>
      </c>
      <c r="AG136" s="40" t="s">
        <v>706</v>
      </c>
      <c r="AH136" s="40" t="s">
        <v>919</v>
      </c>
      <c r="AI136" s="40"/>
      <c r="AM136" s="28" t="s">
        <v>263</v>
      </c>
      <c r="AO136" s="29"/>
      <c r="AP136" s="29"/>
      <c r="BA136" s="28"/>
      <c r="BB13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https://zigbee2mqtt.janeandgraham.com/#/group/101</v>
      </c>
      <c r="BD1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edwin-lamp</v>
      </c>
      <c r="BE1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Lamp</v>
      </c>
      <c r="BF1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36" s="28" t="str">
        <f>Table2[[#This Row],[device_suggested_area]]</f>
        <v>Edwin</v>
      </c>
      <c r="BI136" s="28" t="str">
        <f>IF(ISBLANK(Table2[[#This Row],[device_model]]), "", Table2[[#This Row],[device_suggested_area]])</f>
        <v>Edwin</v>
      </c>
      <c r="BJ136" s="28" t="s">
        <v>488</v>
      </c>
      <c r="BK136" s="28" t="s">
        <v>529</v>
      </c>
      <c r="BL136" s="28" t="s">
        <v>348</v>
      </c>
      <c r="BM136" s="28" t="s">
        <v>1345</v>
      </c>
      <c r="BN136" s="28" t="s">
        <v>526</v>
      </c>
      <c r="BO136" s="28" t="s">
        <v>118</v>
      </c>
      <c r="BQ136" s="28" t="s">
        <v>650</v>
      </c>
      <c r="BT136" s="28"/>
      <c r="BV1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7" spans="1:74" ht="16" customHeight="1" x14ac:dyDescent="0.2">
      <c r="A137" s="28">
        <v>1604</v>
      </c>
      <c r="B137" s="28" t="s">
        <v>543</v>
      </c>
      <c r="C137" s="28" t="s">
        <v>348</v>
      </c>
      <c r="D137" s="28" t="s">
        <v>128</v>
      </c>
      <c r="E137" s="28" t="s">
        <v>872</v>
      </c>
      <c r="F137" s="34" t="str">
        <f>IF(ISBLANK(Table2[[#This Row],[unique_id]]), "", PROPER(SUBSTITUTE(Table2[[#This Row],[unique_id]], "_", " ")))</f>
        <v>Edwin Lamp Bulb 1</v>
      </c>
      <c r="H137" s="28" t="s">
        <v>130</v>
      </c>
      <c r="P137" s="29" t="s">
        <v>736</v>
      </c>
      <c r="Q137" s="28" t="s">
        <v>155</v>
      </c>
      <c r="R137" s="28" t="s">
        <v>708</v>
      </c>
      <c r="S137" s="28" t="str">
        <f>Table2[[#This Row],[entity_domain]]</f>
        <v>Lights</v>
      </c>
      <c r="T137" s="28" t="str">
        <f>_xlfn.CONCAT( Table2[[#This Row],[device_suggested_area]], " ",Table2[[#This Row],[powercalc_group_3]])</f>
        <v>Edwin Lights</v>
      </c>
      <c r="U137" s="35"/>
      <c r="V137" s="35"/>
      <c r="W137" s="35"/>
      <c r="X137" s="28"/>
      <c r="AD137" s="29"/>
      <c r="AE137" s="29" t="s">
        <v>455</v>
      </c>
      <c r="AF137" s="45">
        <v>101</v>
      </c>
      <c r="AG137" s="40" t="s">
        <v>704</v>
      </c>
      <c r="AH137" s="40" t="s">
        <v>919</v>
      </c>
      <c r="AI137" s="40"/>
      <c r="AO137" s="29"/>
      <c r="AP137" s="29"/>
      <c r="BA137" s="28"/>
      <c r="BB13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https://zigbee2mqtt.janeandgraham.com/#/device/0x0017880102b8fd87</v>
      </c>
      <c r="BD1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edwin-lamp-bulb-1</v>
      </c>
      <c r="BE1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Lamp Bulb 1</v>
      </c>
      <c r="BF1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37" s="28" t="str">
        <f>Table2[[#This Row],[device_suggested_area]]</f>
        <v>Edwin</v>
      </c>
      <c r="BI137" s="28" t="str">
        <f>IF(ISBLANK(Table2[[#This Row],[device_model]]), "", Table2[[#This Row],[device_suggested_area]])</f>
        <v>Edwin</v>
      </c>
      <c r="BJ137" s="28" t="s">
        <v>941</v>
      </c>
      <c r="BK137" s="28" t="s">
        <v>529</v>
      </c>
      <c r="BL137" s="28" t="s">
        <v>348</v>
      </c>
      <c r="BM137" s="28" t="s">
        <v>1345</v>
      </c>
      <c r="BN137" s="28" t="s">
        <v>526</v>
      </c>
      <c r="BO137" s="28" t="s">
        <v>118</v>
      </c>
      <c r="BQ137" s="28" t="s">
        <v>650</v>
      </c>
      <c r="BT137" s="28" t="s">
        <v>486</v>
      </c>
      <c r="BV1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"0x0017880102b8fd87"]]</v>
      </c>
    </row>
    <row r="138" spans="1:74" ht="16" customHeight="1" x14ac:dyDescent="0.2">
      <c r="A138" s="28">
        <v>1605</v>
      </c>
      <c r="B138" s="28" t="s">
        <v>26</v>
      </c>
      <c r="C138" s="28" t="s">
        <v>124</v>
      </c>
      <c r="D138" s="28" t="s">
        <v>128</v>
      </c>
      <c r="E138" s="28" t="s">
        <v>382</v>
      </c>
      <c r="F138" s="34" t="str">
        <f>IF(ISBLANK(Table2[[#This Row],[unique_id]]), "", PROPER(SUBSTITUTE(Table2[[#This Row],[unique_id]], "_", " ")))</f>
        <v>Edwin Fan</v>
      </c>
      <c r="G138" s="28" t="s">
        <v>179</v>
      </c>
      <c r="H138" s="28" t="s">
        <v>130</v>
      </c>
      <c r="I138" s="28" t="s">
        <v>123</v>
      </c>
      <c r="J138" s="28" t="s">
        <v>670</v>
      </c>
      <c r="N138" s="28" t="s">
        <v>127</v>
      </c>
      <c r="P138" s="29" t="s">
        <v>736</v>
      </c>
      <c r="Q138" s="28" t="s">
        <v>155</v>
      </c>
      <c r="R138" s="28" t="s">
        <v>708</v>
      </c>
      <c r="S138" s="28" t="str">
        <f>Table2[[#This Row],[entity_domain]]</f>
        <v>Lights</v>
      </c>
      <c r="T138" s="28" t="str">
        <f>_xlfn.CONCAT( Table2[[#This Row],[device_suggested_area]], " ",Table2[[#This Row],[powercalc_group_3]])</f>
        <v>Edwin Lights</v>
      </c>
      <c r="U138" s="35" t="s">
        <v>722</v>
      </c>
      <c r="V138" s="35"/>
      <c r="W138" s="35"/>
      <c r="X138" s="28"/>
      <c r="AD138" s="29"/>
      <c r="AE138" s="29"/>
      <c r="AF138" s="29"/>
      <c r="AG138" s="29"/>
      <c r="AM138" s="28" t="s">
        <v>263</v>
      </c>
      <c r="AO138" s="29"/>
      <c r="AP138" s="29"/>
      <c r="BA138" s="28"/>
      <c r="BB138" s="38"/>
      <c r="BC138" s="29"/>
      <c r="BD1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38" s="28" t="str">
        <f>IF(ISBLANK(Table2[[#This Row],[device_model]]), "", Table2[[#This Row],[device_suggested_area]])</f>
        <v/>
      </c>
      <c r="BN138" s="29"/>
      <c r="BO138" s="28" t="s">
        <v>118</v>
      </c>
      <c r="BT138" s="28"/>
      <c r="BV1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9" spans="1:74" ht="16" customHeight="1" x14ac:dyDescent="0.2">
      <c r="A139" s="28">
        <v>1606</v>
      </c>
      <c r="B139" s="28" t="s">
        <v>26</v>
      </c>
      <c r="C139" s="28" t="s">
        <v>348</v>
      </c>
      <c r="D139" s="28" t="s">
        <v>128</v>
      </c>
      <c r="E139" s="28" t="s">
        <v>380</v>
      </c>
      <c r="F139" s="34" t="str">
        <f>IF(ISBLANK(Table2[[#This Row],[unique_id]]), "", PROPER(SUBSTITUTE(Table2[[#This Row],[unique_id]], "_", " ")))</f>
        <v>Edwin Night Light</v>
      </c>
      <c r="G139" s="28" t="s">
        <v>379</v>
      </c>
      <c r="H139" s="28" t="s">
        <v>130</v>
      </c>
      <c r="I139" s="28" t="s">
        <v>123</v>
      </c>
      <c r="J139" s="28" t="s">
        <v>489</v>
      </c>
      <c r="K139" s="28" t="s">
        <v>830</v>
      </c>
      <c r="N139" s="28" t="s">
        <v>127</v>
      </c>
      <c r="P139" s="29"/>
      <c r="Q139" s="28"/>
      <c r="U139" s="35"/>
      <c r="V139" s="35"/>
      <c r="W139" s="35"/>
      <c r="X139" s="28"/>
      <c r="AD139" s="29"/>
      <c r="AE139" s="29" t="s">
        <v>456</v>
      </c>
      <c r="AF139" s="45">
        <v>102</v>
      </c>
      <c r="AG139" s="40" t="s">
        <v>706</v>
      </c>
      <c r="AH139" s="40" t="s">
        <v>1286</v>
      </c>
      <c r="AI139" s="40"/>
      <c r="AM139" s="28" t="s">
        <v>263</v>
      </c>
      <c r="AO139" s="29"/>
      <c r="AP139" s="29"/>
      <c r="BA139" s="28"/>
      <c r="BB13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https://zigbee2mqtt.janeandgraham.com/#/group/102</v>
      </c>
      <c r="BD1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edwin-night-light</v>
      </c>
      <c r="BE1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Night Light</v>
      </c>
      <c r="BF1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39" s="28" t="str">
        <f>Table2[[#This Row],[device_suggested_area]]</f>
        <v>Edwin</v>
      </c>
      <c r="BI139" s="28" t="str">
        <f>IF(ISBLANK(Table2[[#This Row],[device_model]]), "", Table2[[#This Row],[device_suggested_area]])</f>
        <v>Edwin</v>
      </c>
      <c r="BJ139" s="28" t="s">
        <v>489</v>
      </c>
      <c r="BK139" s="28" t="s">
        <v>453</v>
      </c>
      <c r="BL139" s="28" t="s">
        <v>348</v>
      </c>
      <c r="BM139" s="28" t="s">
        <v>1345</v>
      </c>
      <c r="BN139" s="28" t="s">
        <v>454</v>
      </c>
      <c r="BO139" s="28" t="s">
        <v>118</v>
      </c>
      <c r="BQ139" s="28" t="s">
        <v>650</v>
      </c>
      <c r="BT139" s="28"/>
      <c r="BV1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0" spans="1:74" ht="16" customHeight="1" x14ac:dyDescent="0.2">
      <c r="A140" s="28">
        <v>1607</v>
      </c>
      <c r="B140" s="28" t="s">
        <v>26</v>
      </c>
      <c r="C140" s="28" t="s">
        <v>348</v>
      </c>
      <c r="D140" s="28" t="s">
        <v>128</v>
      </c>
      <c r="E140" s="28" t="s">
        <v>873</v>
      </c>
      <c r="F140" s="34" t="str">
        <f>IF(ISBLANK(Table2[[#This Row],[unique_id]]), "", PROPER(SUBSTITUTE(Table2[[#This Row],[unique_id]], "_", " ")))</f>
        <v>Edwin Night Light Bulb 1</v>
      </c>
      <c r="H140" s="28" t="s">
        <v>130</v>
      </c>
      <c r="P140" s="29" t="s">
        <v>736</v>
      </c>
      <c r="Q140" s="28" t="s">
        <v>155</v>
      </c>
      <c r="R140" s="28" t="s">
        <v>708</v>
      </c>
      <c r="S140" s="28" t="str">
        <f>Table2[[#This Row],[entity_domain]]</f>
        <v>Lights</v>
      </c>
      <c r="T140" s="28" t="str">
        <f>_xlfn.CONCAT( Table2[[#This Row],[device_suggested_area]], " ",Table2[[#This Row],[powercalc_group_3]])</f>
        <v>Edwin Lights</v>
      </c>
      <c r="U140" s="35"/>
      <c r="V140" s="35"/>
      <c r="W140" s="35"/>
      <c r="X140" s="28"/>
      <c r="AD140" s="29"/>
      <c r="AE140" s="29" t="s">
        <v>455</v>
      </c>
      <c r="AF140" s="45">
        <v>102</v>
      </c>
      <c r="AG140" s="40" t="s">
        <v>704</v>
      </c>
      <c r="AH140" s="40" t="s">
        <v>1286</v>
      </c>
      <c r="AI140" s="40"/>
      <c r="AO140" s="29"/>
      <c r="AP140" s="29"/>
      <c r="BA140" s="28"/>
      <c r="BB14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https://zigbee2mqtt.janeandgraham.com/#/device/0x001788010343c36f</v>
      </c>
      <c r="BD1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edwin-night-light-bulb-1</v>
      </c>
      <c r="BE1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Night Light Bulb 1</v>
      </c>
      <c r="BF1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0" s="28" t="str">
        <f>Table2[[#This Row],[device_suggested_area]]</f>
        <v>Edwin</v>
      </c>
      <c r="BI140" s="28" t="str">
        <f>IF(ISBLANK(Table2[[#This Row],[device_model]]), "", Table2[[#This Row],[device_suggested_area]])</f>
        <v>Edwin</v>
      </c>
      <c r="BJ140" s="28" t="s">
        <v>942</v>
      </c>
      <c r="BK140" s="28" t="s">
        <v>453</v>
      </c>
      <c r="BL140" s="28" t="s">
        <v>348</v>
      </c>
      <c r="BM140" s="28" t="s">
        <v>1345</v>
      </c>
      <c r="BN140" s="28" t="s">
        <v>454</v>
      </c>
      <c r="BO140" s="28" t="s">
        <v>118</v>
      </c>
      <c r="BQ140" s="28" t="s">
        <v>650</v>
      </c>
      <c r="BT140" s="28" t="s">
        <v>462</v>
      </c>
      <c r="BV1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"0x001788010343c36f"]]</v>
      </c>
    </row>
    <row r="141" spans="1:74" ht="16" customHeight="1" x14ac:dyDescent="0.2">
      <c r="A141" s="28">
        <v>1608</v>
      </c>
      <c r="B141" s="28" t="s">
        <v>26</v>
      </c>
      <c r="C141" s="28" t="s">
        <v>348</v>
      </c>
      <c r="D141" s="28" t="s">
        <v>128</v>
      </c>
      <c r="E141" s="28" t="s">
        <v>267</v>
      </c>
      <c r="F141" s="34" t="str">
        <f>IF(ISBLANK(Table2[[#This Row],[unique_id]]), "", PROPER(SUBSTITUTE(Table2[[#This Row],[unique_id]], "_", " ")))</f>
        <v>Hallway Main</v>
      </c>
      <c r="G141" s="28" t="s">
        <v>189</v>
      </c>
      <c r="H141" s="28" t="s">
        <v>130</v>
      </c>
      <c r="I141" s="28" t="s">
        <v>123</v>
      </c>
      <c r="J141" s="28" t="s">
        <v>672</v>
      </c>
      <c r="K141" s="28" t="s">
        <v>865</v>
      </c>
      <c r="N141" s="28" t="s">
        <v>127</v>
      </c>
      <c r="P141" s="29"/>
      <c r="Q141" s="28"/>
      <c r="U141" s="35"/>
      <c r="V141" s="35"/>
      <c r="W141" s="35"/>
      <c r="X141" s="28"/>
      <c r="AD141" s="29"/>
      <c r="AE141" s="29" t="s">
        <v>456</v>
      </c>
      <c r="AF141" s="45">
        <v>103</v>
      </c>
      <c r="AG141" s="40" t="s">
        <v>706</v>
      </c>
      <c r="AH141" s="40" t="s">
        <v>920</v>
      </c>
      <c r="AI141" s="40"/>
      <c r="AM141" s="28" t="s">
        <v>263</v>
      </c>
      <c r="AO141" s="29"/>
      <c r="AP141" s="29"/>
      <c r="BA141" s="28"/>
      <c r="BB14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https://zigbee2mqtt.janeandgraham.com/#/group/103</v>
      </c>
      <c r="BD14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</v>
      </c>
      <c r="BE14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</v>
      </c>
      <c r="BF14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1" s="28" t="str">
        <f>Table2[[#This Row],[device_suggested_area]]</f>
        <v>Hallway</v>
      </c>
      <c r="BI141" s="28" t="str">
        <f>IF(ISBLANK(Table2[[#This Row],[device_model]]), "", Table2[[#This Row],[device_suggested_area]])</f>
        <v>Hallway</v>
      </c>
      <c r="BJ141" s="28" t="s">
        <v>943</v>
      </c>
      <c r="BK141" s="28" t="s">
        <v>453</v>
      </c>
      <c r="BL141" s="28" t="s">
        <v>348</v>
      </c>
      <c r="BM141" s="28" t="s">
        <v>1345</v>
      </c>
      <c r="BN141" s="28" t="s">
        <v>454</v>
      </c>
      <c r="BO141" s="28" t="s">
        <v>375</v>
      </c>
      <c r="BT141" s="28"/>
      <c r="BV14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2" spans="1:74" ht="16" customHeight="1" x14ac:dyDescent="0.2">
      <c r="A142" s="28">
        <v>1609</v>
      </c>
      <c r="B142" s="28" t="s">
        <v>26</v>
      </c>
      <c r="C142" s="28" t="s">
        <v>348</v>
      </c>
      <c r="D142" s="28" t="s">
        <v>128</v>
      </c>
      <c r="E142" s="28" t="s">
        <v>874</v>
      </c>
      <c r="F142" s="34" t="str">
        <f>IF(ISBLANK(Table2[[#This Row],[unique_id]]), "", PROPER(SUBSTITUTE(Table2[[#This Row],[unique_id]], "_", " ")))</f>
        <v>Hallway Main Bulb 1</v>
      </c>
      <c r="H142" s="28" t="s">
        <v>130</v>
      </c>
      <c r="P142" s="29" t="s">
        <v>736</v>
      </c>
      <c r="Q142" s="28" t="s">
        <v>155</v>
      </c>
      <c r="R142" s="28" t="s">
        <v>708</v>
      </c>
      <c r="S142" s="28" t="str">
        <f>Table2[[#This Row],[entity_domain]]</f>
        <v>Lights</v>
      </c>
      <c r="T142" s="28" t="str">
        <f>_xlfn.CONCAT( Table2[[#This Row],[device_suggested_area]], " ",Table2[[#This Row],[powercalc_group_3]])</f>
        <v>Hallway Lights</v>
      </c>
      <c r="U142" s="35"/>
      <c r="V142" s="35"/>
      <c r="W142" s="35"/>
      <c r="X142" s="28"/>
      <c r="AD142" s="29"/>
      <c r="AE142" s="29" t="s">
        <v>455</v>
      </c>
      <c r="AF142" s="45">
        <v>103</v>
      </c>
      <c r="AG142" s="40" t="s">
        <v>704</v>
      </c>
      <c r="AH142" s="40" t="s">
        <v>920</v>
      </c>
      <c r="AI142" s="40"/>
      <c r="AO142" s="29"/>
      <c r="AP142" s="29"/>
      <c r="BA142" s="28"/>
      <c r="BB14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https://zigbee2mqtt.janeandgraham.com/#/device/0x00178801043283b0</v>
      </c>
      <c r="BD14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hallway-main-bulb-1</v>
      </c>
      <c r="BE14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1</v>
      </c>
      <c r="BF14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2" s="28" t="str">
        <f>Table2[[#This Row],[device_suggested_area]]</f>
        <v>Hallway</v>
      </c>
      <c r="BI142" s="28" t="str">
        <f>IF(ISBLANK(Table2[[#This Row],[device_model]]), "", Table2[[#This Row],[device_suggested_area]])</f>
        <v>Hallway</v>
      </c>
      <c r="BJ142" s="28" t="s">
        <v>944</v>
      </c>
      <c r="BK142" s="28" t="s">
        <v>453</v>
      </c>
      <c r="BL142" s="28" t="s">
        <v>348</v>
      </c>
      <c r="BM142" s="28" t="s">
        <v>1345</v>
      </c>
      <c r="BN142" s="28" t="s">
        <v>454</v>
      </c>
      <c r="BO142" s="28" t="s">
        <v>375</v>
      </c>
      <c r="BT142" s="28" t="s">
        <v>463</v>
      </c>
      <c r="BV14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"0x00178801043283b0"]]</v>
      </c>
    </row>
    <row r="143" spans="1:74" ht="16" customHeight="1" x14ac:dyDescent="0.2">
      <c r="A143" s="28">
        <v>1610</v>
      </c>
      <c r="B143" s="28" t="s">
        <v>26</v>
      </c>
      <c r="C143" s="28" t="s">
        <v>348</v>
      </c>
      <c r="D143" s="28" t="s">
        <v>128</v>
      </c>
      <c r="E143" s="28" t="s">
        <v>875</v>
      </c>
      <c r="F143" s="34" t="str">
        <f>IF(ISBLANK(Table2[[#This Row],[unique_id]]), "", PROPER(SUBSTITUTE(Table2[[#This Row],[unique_id]], "_", " ")))</f>
        <v>Hallway Main Bulb 2</v>
      </c>
      <c r="H143" s="28" t="s">
        <v>130</v>
      </c>
      <c r="P143" s="29" t="s">
        <v>736</v>
      </c>
      <c r="Q143" s="28" t="s">
        <v>155</v>
      </c>
      <c r="R143" s="28" t="s">
        <v>708</v>
      </c>
      <c r="S143" s="28" t="str">
        <f>Table2[[#This Row],[entity_domain]]</f>
        <v>Lights</v>
      </c>
      <c r="T143" s="28" t="str">
        <f>_xlfn.CONCAT( Table2[[#This Row],[device_suggested_area]], " ",Table2[[#This Row],[powercalc_group_3]])</f>
        <v>Hallway Lights</v>
      </c>
      <c r="U143" s="35"/>
      <c r="V143" s="35"/>
      <c r="W143" s="35"/>
      <c r="X143" s="28"/>
      <c r="AD143" s="29"/>
      <c r="AE143" s="29" t="s">
        <v>455</v>
      </c>
      <c r="AF143" s="45">
        <v>103</v>
      </c>
      <c r="AG143" s="40" t="s">
        <v>704</v>
      </c>
      <c r="AH143" s="40" t="s">
        <v>920</v>
      </c>
      <c r="AI143" s="40"/>
      <c r="AO143" s="29"/>
      <c r="AP143" s="29"/>
      <c r="BA143" s="28"/>
      <c r="BB14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https://zigbee2mqtt.janeandgraham.com/#/device/0x0017880104329975</v>
      </c>
      <c r="BD1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hallway-main-bulb-2</v>
      </c>
      <c r="BE1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2</v>
      </c>
      <c r="BF1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3" s="28" t="str">
        <f>Table2[[#This Row],[device_suggested_area]]</f>
        <v>Hallway</v>
      </c>
      <c r="BI143" s="28" t="str">
        <f>IF(ISBLANK(Table2[[#This Row],[device_model]]), "", Table2[[#This Row],[device_suggested_area]])</f>
        <v>Hallway</v>
      </c>
      <c r="BJ143" s="28" t="s">
        <v>945</v>
      </c>
      <c r="BK143" s="28" t="s">
        <v>453</v>
      </c>
      <c r="BL143" s="28" t="s">
        <v>348</v>
      </c>
      <c r="BM143" s="28" t="s">
        <v>1345</v>
      </c>
      <c r="BN143" s="28" t="s">
        <v>454</v>
      </c>
      <c r="BO143" s="28" t="s">
        <v>375</v>
      </c>
      <c r="BT143" s="28" t="s">
        <v>464</v>
      </c>
      <c r="BV1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"0x0017880104329975"]]</v>
      </c>
    </row>
    <row r="144" spans="1:74" ht="16" customHeight="1" x14ac:dyDescent="0.2">
      <c r="A144" s="28">
        <v>1611</v>
      </c>
      <c r="B144" s="28" t="s">
        <v>26</v>
      </c>
      <c r="C144" s="28" t="s">
        <v>348</v>
      </c>
      <c r="D144" s="28" t="s">
        <v>128</v>
      </c>
      <c r="E144" s="28" t="s">
        <v>876</v>
      </c>
      <c r="F144" s="34" t="str">
        <f>IF(ISBLANK(Table2[[#This Row],[unique_id]]), "", PROPER(SUBSTITUTE(Table2[[#This Row],[unique_id]], "_", " ")))</f>
        <v>Hallway Main Bulb 3</v>
      </c>
      <c r="H144" s="28" t="s">
        <v>130</v>
      </c>
      <c r="P144" s="29" t="s">
        <v>736</v>
      </c>
      <c r="Q144" s="28" t="s">
        <v>155</v>
      </c>
      <c r="R144" s="28" t="s">
        <v>708</v>
      </c>
      <c r="S144" s="28" t="str">
        <f>Table2[[#This Row],[entity_domain]]</f>
        <v>Lights</v>
      </c>
      <c r="T144" s="28" t="str">
        <f>_xlfn.CONCAT( Table2[[#This Row],[device_suggested_area]], " ",Table2[[#This Row],[powercalc_group_3]])</f>
        <v>Hallway Lights</v>
      </c>
      <c r="U144" s="35"/>
      <c r="V144" s="35"/>
      <c r="W144" s="35"/>
      <c r="X144" s="28"/>
      <c r="AD144" s="29"/>
      <c r="AE144" s="29" t="s">
        <v>455</v>
      </c>
      <c r="AF144" s="45">
        <v>103</v>
      </c>
      <c r="AG144" s="40" t="s">
        <v>704</v>
      </c>
      <c r="AH144" s="40" t="s">
        <v>920</v>
      </c>
      <c r="AI144" s="40"/>
      <c r="AO144" s="29"/>
      <c r="AP144" s="29"/>
      <c r="BA144" s="28"/>
      <c r="BB14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https://zigbee2mqtt.janeandgraham.com/#/device/0x001788010432996f</v>
      </c>
      <c r="BD1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hallway-main-bulb-3</v>
      </c>
      <c r="BE1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3</v>
      </c>
      <c r="BF1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4" s="28" t="str">
        <f>Table2[[#This Row],[device_suggested_area]]</f>
        <v>Hallway</v>
      </c>
      <c r="BI144" s="28" t="str">
        <f>IF(ISBLANK(Table2[[#This Row],[device_model]]), "", Table2[[#This Row],[device_suggested_area]])</f>
        <v>Hallway</v>
      </c>
      <c r="BJ144" s="28" t="s">
        <v>946</v>
      </c>
      <c r="BK144" s="28" t="s">
        <v>453</v>
      </c>
      <c r="BL144" s="28" t="s">
        <v>348</v>
      </c>
      <c r="BM144" s="28" t="s">
        <v>1345</v>
      </c>
      <c r="BN144" s="28" t="s">
        <v>454</v>
      </c>
      <c r="BO144" s="28" t="s">
        <v>375</v>
      </c>
      <c r="BT144" s="28" t="s">
        <v>465</v>
      </c>
      <c r="BV1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"0x001788010432996f"]]</v>
      </c>
    </row>
    <row r="145" spans="1:74" ht="16" customHeight="1" x14ac:dyDescent="0.2">
      <c r="A145" s="28">
        <v>1612</v>
      </c>
      <c r="B145" s="28" t="s">
        <v>26</v>
      </c>
      <c r="C145" s="28" t="s">
        <v>348</v>
      </c>
      <c r="D145" s="28" t="s">
        <v>128</v>
      </c>
      <c r="E145" s="28" t="s">
        <v>877</v>
      </c>
      <c r="F145" s="34" t="str">
        <f>IF(ISBLANK(Table2[[#This Row],[unique_id]]), "", PROPER(SUBSTITUTE(Table2[[#This Row],[unique_id]], "_", " ")))</f>
        <v>Hallway Main Bulb 4</v>
      </c>
      <c r="H145" s="28" t="s">
        <v>130</v>
      </c>
      <c r="P145" s="29" t="s">
        <v>736</v>
      </c>
      <c r="Q145" s="28" t="s">
        <v>155</v>
      </c>
      <c r="R145" s="28" t="s">
        <v>708</v>
      </c>
      <c r="S145" s="28" t="str">
        <f>Table2[[#This Row],[entity_domain]]</f>
        <v>Lights</v>
      </c>
      <c r="T145" s="28" t="str">
        <f>_xlfn.CONCAT( Table2[[#This Row],[device_suggested_area]], " ",Table2[[#This Row],[powercalc_group_3]])</f>
        <v>Hallway Lights</v>
      </c>
      <c r="U145" s="35"/>
      <c r="V145" s="35"/>
      <c r="W145" s="35"/>
      <c r="X145" s="28"/>
      <c r="AD145" s="29"/>
      <c r="AE145" s="29" t="s">
        <v>455</v>
      </c>
      <c r="AF145" s="45">
        <v>103</v>
      </c>
      <c r="AG145" s="40" t="s">
        <v>704</v>
      </c>
      <c r="AH145" s="40" t="s">
        <v>920</v>
      </c>
      <c r="AI145" s="40"/>
      <c r="AO145" s="29"/>
      <c r="AP145" s="29"/>
      <c r="BA145" s="28"/>
      <c r="BB14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https://zigbee2mqtt.janeandgraham.com/#/device/0x001788010444db4e</v>
      </c>
      <c r="BD1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hallway-main-bulb-4</v>
      </c>
      <c r="BE1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4</v>
      </c>
      <c r="BF1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5" s="28" t="str">
        <f>Table2[[#This Row],[device_suggested_area]]</f>
        <v>Hallway</v>
      </c>
      <c r="BI145" s="28" t="str">
        <f>IF(ISBLANK(Table2[[#This Row],[device_model]]), "", Table2[[#This Row],[device_suggested_area]])</f>
        <v>Hallway</v>
      </c>
      <c r="BJ145" s="28" t="s">
        <v>947</v>
      </c>
      <c r="BK145" s="28" t="s">
        <v>453</v>
      </c>
      <c r="BL145" s="28" t="s">
        <v>348</v>
      </c>
      <c r="BM145" s="28" t="s">
        <v>1345</v>
      </c>
      <c r="BN145" s="28" t="s">
        <v>454</v>
      </c>
      <c r="BO145" s="28" t="s">
        <v>375</v>
      </c>
      <c r="BT145" s="28" t="s">
        <v>466</v>
      </c>
      <c r="BV1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"0x001788010444db4e"]]</v>
      </c>
    </row>
    <row r="146" spans="1:74" ht="16" customHeight="1" x14ac:dyDescent="0.2">
      <c r="A146" s="28">
        <v>1613</v>
      </c>
      <c r="B146" s="28" t="s">
        <v>26</v>
      </c>
      <c r="C146" s="28" t="s">
        <v>419</v>
      </c>
      <c r="D146" s="28" t="s">
        <v>128</v>
      </c>
      <c r="E146" s="28" t="s">
        <v>801</v>
      </c>
      <c r="F146" s="34" t="str">
        <f>IF(ISBLANK(Table2[[#This Row],[unique_id]]), "", PROPER(SUBSTITUTE(Table2[[#This Row],[unique_id]], "_", " ")))</f>
        <v>Hallway Sconces</v>
      </c>
      <c r="G146" s="28" t="s">
        <v>803</v>
      </c>
      <c r="H146" s="28" t="s">
        <v>130</v>
      </c>
      <c r="I146" s="28" t="s">
        <v>123</v>
      </c>
      <c r="J146" s="28" t="s">
        <v>793</v>
      </c>
      <c r="K146" s="28" t="s">
        <v>865</v>
      </c>
      <c r="N146" s="28" t="s">
        <v>127</v>
      </c>
      <c r="P146" s="29"/>
      <c r="Q146" s="28"/>
      <c r="U146" s="35"/>
      <c r="V146" s="35"/>
      <c r="W146" s="35"/>
      <c r="X146" s="28"/>
      <c r="AD146" s="29"/>
      <c r="AE146" s="29" t="s">
        <v>456</v>
      </c>
      <c r="AF146" s="45">
        <v>120</v>
      </c>
      <c r="AG146" s="40" t="s">
        <v>706</v>
      </c>
      <c r="AH146" s="29" t="s">
        <v>1468</v>
      </c>
      <c r="AM146" s="28" t="s">
        <v>263</v>
      </c>
      <c r="AO146" s="29"/>
      <c r="AP146" s="29"/>
      <c r="BA146" s="28"/>
      <c r="BB146" s="38"/>
      <c r="BD1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</v>
      </c>
      <c r="BE1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</v>
      </c>
      <c r="BF1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6" s="28" t="str">
        <f>Table2[[#This Row],[device_suggested_area]]</f>
        <v>Hallway</v>
      </c>
      <c r="BI146" s="28" t="str">
        <f>IF(ISBLANK(Table2[[#This Row],[device_model]]), "", Table2[[#This Row],[device_suggested_area]])</f>
        <v>Hallway</v>
      </c>
      <c r="BJ146" s="28" t="s">
        <v>793</v>
      </c>
      <c r="BK146" s="28" t="s">
        <v>796</v>
      </c>
      <c r="BL146" s="28" t="s">
        <v>419</v>
      </c>
      <c r="BN146" s="28" t="s">
        <v>794</v>
      </c>
      <c r="BO146" s="28" t="s">
        <v>375</v>
      </c>
      <c r="BT146" s="28"/>
      <c r="BV1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7" spans="1:74" ht="16" customHeight="1" x14ac:dyDescent="0.2">
      <c r="A147" s="28">
        <v>1614</v>
      </c>
      <c r="B147" s="28" t="s">
        <v>26</v>
      </c>
      <c r="C147" s="28" t="s">
        <v>419</v>
      </c>
      <c r="D147" s="28" t="s">
        <v>128</v>
      </c>
      <c r="E147" s="28" t="s">
        <v>802</v>
      </c>
      <c r="F147" s="34" t="str">
        <f>IF(ISBLANK(Table2[[#This Row],[unique_id]]), "", PROPER(SUBSTITUTE(Table2[[#This Row],[unique_id]], "_", " ")))</f>
        <v>Hallway Sconces Bulb 1</v>
      </c>
      <c r="H147" s="28" t="s">
        <v>130</v>
      </c>
      <c r="P147" s="29" t="s">
        <v>736</v>
      </c>
      <c r="Q147" s="28" t="s">
        <v>155</v>
      </c>
      <c r="R147" s="28" t="s">
        <v>708</v>
      </c>
      <c r="S147" s="28" t="str">
        <f>Table2[[#This Row],[entity_domain]]</f>
        <v>Lights</v>
      </c>
      <c r="T147" s="28" t="str">
        <f>_xlfn.CONCAT( Table2[[#This Row],[device_suggested_area]], " ",Table2[[#This Row],[powercalc_group_3]])</f>
        <v>Hallway Lights</v>
      </c>
      <c r="U147" s="35"/>
      <c r="V147" s="35"/>
      <c r="W147" s="35"/>
      <c r="X147" s="28"/>
      <c r="AD147" s="29"/>
      <c r="AE147" s="29" t="s">
        <v>455</v>
      </c>
      <c r="AF147" s="45">
        <v>120</v>
      </c>
      <c r="AG147" s="40" t="s">
        <v>704</v>
      </c>
      <c r="AH147" s="29" t="s">
        <v>1468</v>
      </c>
      <c r="AO147" s="29"/>
      <c r="AP147" s="29"/>
      <c r="BA147" s="28"/>
      <c r="BB147" s="38"/>
      <c r="BD1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hallway-sconces-bulb-1</v>
      </c>
      <c r="BE1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 Bulb 1</v>
      </c>
      <c r="BF1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7" s="28" t="str">
        <f>Table2[[#This Row],[device_suggested_area]]</f>
        <v>Hallway</v>
      </c>
      <c r="BI147" s="28" t="str">
        <f>IF(ISBLANK(Table2[[#This Row],[device_model]]), "", Table2[[#This Row],[device_suggested_area]])</f>
        <v>Hallway</v>
      </c>
      <c r="BJ147" s="28" t="s">
        <v>930</v>
      </c>
      <c r="BK147" s="28" t="s">
        <v>796</v>
      </c>
      <c r="BL147" s="28" t="s">
        <v>419</v>
      </c>
      <c r="BN147" s="28" t="s">
        <v>794</v>
      </c>
      <c r="BO147" s="28" t="s">
        <v>375</v>
      </c>
      <c r="BT147" s="28" t="s">
        <v>804</v>
      </c>
      <c r="BV1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"0x2c1165fffe12d5c4"]]</v>
      </c>
    </row>
    <row r="148" spans="1:74" ht="16" customHeight="1" x14ac:dyDescent="0.2">
      <c r="A148" s="28">
        <v>1615</v>
      </c>
      <c r="B148" s="28" t="s">
        <v>26</v>
      </c>
      <c r="C148" s="28" t="s">
        <v>419</v>
      </c>
      <c r="D148" s="28" t="s">
        <v>128</v>
      </c>
      <c r="E148" s="28" t="s">
        <v>1147</v>
      </c>
      <c r="F148" s="34" t="str">
        <f>IF(ISBLANK(Table2[[#This Row],[unique_id]]), "", PROPER(SUBSTITUTE(Table2[[#This Row],[unique_id]], "_", " ")))</f>
        <v>Hallway Sconces Bulb 2</v>
      </c>
      <c r="H148" s="28" t="s">
        <v>130</v>
      </c>
      <c r="P148" s="29" t="s">
        <v>736</v>
      </c>
      <c r="Q148" s="28" t="s">
        <v>155</v>
      </c>
      <c r="R148" s="28" t="s">
        <v>708</v>
      </c>
      <c r="S148" s="28" t="str">
        <f>Table2[[#This Row],[entity_domain]]</f>
        <v>Lights</v>
      </c>
      <c r="T148" s="28" t="str">
        <f>_xlfn.CONCAT( Table2[[#This Row],[device_suggested_area]], " ",Table2[[#This Row],[powercalc_group_3]])</f>
        <v>Hallway Lights</v>
      </c>
      <c r="U148" s="35"/>
      <c r="V148" s="35"/>
      <c r="W148" s="35"/>
      <c r="X148" s="28"/>
      <c r="AD148" s="29"/>
      <c r="AE148" s="29" t="s">
        <v>455</v>
      </c>
      <c r="AF148" s="45">
        <v>120</v>
      </c>
      <c r="AG148" s="40" t="s">
        <v>704</v>
      </c>
      <c r="AH148" s="29" t="s">
        <v>1468</v>
      </c>
      <c r="AO148" s="29"/>
      <c r="AP148" s="29"/>
      <c r="BA148" s="28"/>
      <c r="BB148" s="38"/>
      <c r="BD1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hallway-sconces-bulb-2</v>
      </c>
      <c r="BE1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 Bulb 2</v>
      </c>
      <c r="BF1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8" s="28" t="str">
        <f>Table2[[#This Row],[device_suggested_area]]</f>
        <v>Hallway</v>
      </c>
      <c r="BI148" s="28" t="str">
        <f>IF(ISBLANK(Table2[[#This Row],[device_model]]), "", Table2[[#This Row],[device_suggested_area]])</f>
        <v>Hallway</v>
      </c>
      <c r="BJ148" s="28" t="s">
        <v>931</v>
      </c>
      <c r="BK148" s="28" t="s">
        <v>796</v>
      </c>
      <c r="BL148" s="28" t="s">
        <v>419</v>
      </c>
      <c r="BN148" s="28" t="s">
        <v>794</v>
      </c>
      <c r="BO148" s="28" t="s">
        <v>375</v>
      </c>
      <c r="BT148" s="28" t="s">
        <v>805</v>
      </c>
      <c r="BV1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"0x2c1165fffe109407"]]</v>
      </c>
    </row>
    <row r="149" spans="1:74" ht="16" customHeight="1" x14ac:dyDescent="0.2">
      <c r="A149" s="28">
        <v>1616</v>
      </c>
      <c r="B149" s="28" t="s">
        <v>26</v>
      </c>
      <c r="C149" s="28" t="s">
        <v>348</v>
      </c>
      <c r="D149" s="28" t="s">
        <v>128</v>
      </c>
      <c r="E149" s="28" t="s">
        <v>268</v>
      </c>
      <c r="F149" s="34" t="str">
        <f>IF(ISBLANK(Table2[[#This Row],[unique_id]]), "", PROPER(SUBSTITUTE(Table2[[#This Row],[unique_id]], "_", " ")))</f>
        <v>Dining Main</v>
      </c>
      <c r="G149" s="28" t="s">
        <v>129</v>
      </c>
      <c r="H149" s="28" t="s">
        <v>130</v>
      </c>
      <c r="I149" s="28" t="s">
        <v>123</v>
      </c>
      <c r="J149" s="28" t="s">
        <v>672</v>
      </c>
      <c r="K149" s="28" t="s">
        <v>829</v>
      </c>
      <c r="N149" s="28" t="s">
        <v>127</v>
      </c>
      <c r="P149" s="29"/>
      <c r="Q149" s="28"/>
      <c r="U149" s="35"/>
      <c r="V149" s="35"/>
      <c r="W149" s="35"/>
      <c r="X149" s="28"/>
      <c r="AD149" s="29"/>
      <c r="AE149" s="29" t="s">
        <v>456</v>
      </c>
      <c r="AF149" s="45">
        <v>104</v>
      </c>
      <c r="AG149" s="40" t="s">
        <v>706</v>
      </c>
      <c r="AH149" s="40" t="s">
        <v>919</v>
      </c>
      <c r="AI149" s="40"/>
      <c r="AM149" s="28" t="s">
        <v>263</v>
      </c>
      <c r="AO149" s="29"/>
      <c r="AP149" s="29"/>
      <c r="BA149" s="28"/>
      <c r="BB14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https://zigbee2mqtt.janeandgraham.com/#/group/104</v>
      </c>
      <c r="BD1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</v>
      </c>
      <c r="BE1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</v>
      </c>
      <c r="BF1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49" s="28" t="str">
        <f>Table2[[#This Row],[device_suggested_area]]</f>
        <v>Dining</v>
      </c>
      <c r="BI149" s="28" t="str">
        <f>IF(ISBLANK(Table2[[#This Row],[device_model]]), "", Table2[[#This Row],[device_suggested_area]])</f>
        <v>Dining</v>
      </c>
      <c r="BJ149" s="28" t="s">
        <v>943</v>
      </c>
      <c r="BK149" s="28" t="s">
        <v>453</v>
      </c>
      <c r="BL149" s="28" t="s">
        <v>348</v>
      </c>
      <c r="BM149" s="28" t="s">
        <v>1345</v>
      </c>
      <c r="BN149" s="28" t="s">
        <v>454</v>
      </c>
      <c r="BO149" s="28" t="s">
        <v>182</v>
      </c>
      <c r="BT149" s="28"/>
      <c r="BV1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50" spans="1:74" ht="16" customHeight="1" x14ac:dyDescent="0.2">
      <c r="A150" s="28">
        <v>1617</v>
      </c>
      <c r="B150" s="28" t="s">
        <v>26</v>
      </c>
      <c r="C150" s="28" t="s">
        <v>348</v>
      </c>
      <c r="D150" s="28" t="s">
        <v>128</v>
      </c>
      <c r="E150" s="28" t="s">
        <v>878</v>
      </c>
      <c r="F150" s="34" t="str">
        <f>IF(ISBLANK(Table2[[#This Row],[unique_id]]), "", PROPER(SUBSTITUTE(Table2[[#This Row],[unique_id]], "_", " ")))</f>
        <v>Dining Main Bulb 1</v>
      </c>
      <c r="H150" s="28" t="s">
        <v>130</v>
      </c>
      <c r="P150" s="29" t="s">
        <v>736</v>
      </c>
      <c r="Q150" s="28" t="s">
        <v>155</v>
      </c>
      <c r="R150" s="28" t="s">
        <v>708</v>
      </c>
      <c r="S150" s="28" t="str">
        <f>Table2[[#This Row],[entity_domain]]</f>
        <v>Lights</v>
      </c>
      <c r="T150" s="28" t="str">
        <f>_xlfn.CONCAT( Table2[[#This Row],[device_suggested_area]], " ",Table2[[#This Row],[powercalc_group_3]])</f>
        <v>Dining Lights</v>
      </c>
      <c r="U150" s="35"/>
      <c r="V150" s="35"/>
      <c r="W150" s="35"/>
      <c r="X150" s="28"/>
      <c r="AD150" s="29"/>
      <c r="AE150" s="29" t="s">
        <v>455</v>
      </c>
      <c r="AF150" s="45">
        <v>104</v>
      </c>
      <c r="AG150" s="40" t="s">
        <v>704</v>
      </c>
      <c r="AH150" s="40" t="s">
        <v>919</v>
      </c>
      <c r="AI150" s="40"/>
      <c r="AO150" s="29"/>
      <c r="AP150" s="29"/>
      <c r="BA150" s="28"/>
      <c r="BB15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https://zigbee2mqtt.janeandgraham.com/#/device/0x00178801039f69d5</v>
      </c>
      <c r="BD1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dining-main-bulb-1</v>
      </c>
      <c r="BE1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1</v>
      </c>
      <c r="BF1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0" s="28" t="str">
        <f>Table2[[#This Row],[device_suggested_area]]</f>
        <v>Dining</v>
      </c>
      <c r="BI150" s="28" t="str">
        <f>IF(ISBLANK(Table2[[#This Row],[device_model]]), "", Table2[[#This Row],[device_suggested_area]])</f>
        <v>Dining</v>
      </c>
      <c r="BJ150" s="28" t="s">
        <v>944</v>
      </c>
      <c r="BK150" s="28" t="s">
        <v>453</v>
      </c>
      <c r="BL150" s="28" t="s">
        <v>348</v>
      </c>
      <c r="BM150" s="28" t="s">
        <v>1345</v>
      </c>
      <c r="BN150" s="28" t="s">
        <v>454</v>
      </c>
      <c r="BO150" s="28" t="s">
        <v>182</v>
      </c>
      <c r="BT150" s="28" t="s">
        <v>467</v>
      </c>
      <c r="BV1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"0x00178801039f69d5"]]</v>
      </c>
    </row>
    <row r="151" spans="1:74" ht="16" customHeight="1" x14ac:dyDescent="0.2">
      <c r="A151" s="28">
        <v>1618</v>
      </c>
      <c r="B151" s="28" t="s">
        <v>26</v>
      </c>
      <c r="C151" s="28" t="s">
        <v>348</v>
      </c>
      <c r="D151" s="28" t="s">
        <v>128</v>
      </c>
      <c r="E151" s="28" t="s">
        <v>879</v>
      </c>
      <c r="F151" s="34" t="str">
        <f>IF(ISBLANK(Table2[[#This Row],[unique_id]]), "", PROPER(SUBSTITUTE(Table2[[#This Row],[unique_id]], "_", " ")))</f>
        <v>Dining Main Bulb 2</v>
      </c>
      <c r="H151" s="28" t="s">
        <v>130</v>
      </c>
      <c r="P151" s="29" t="s">
        <v>736</v>
      </c>
      <c r="Q151" s="28" t="s">
        <v>155</v>
      </c>
      <c r="R151" s="28" t="s">
        <v>708</v>
      </c>
      <c r="S151" s="28" t="str">
        <f>Table2[[#This Row],[entity_domain]]</f>
        <v>Lights</v>
      </c>
      <c r="T151" s="28" t="str">
        <f>_xlfn.CONCAT( Table2[[#This Row],[device_suggested_area]], " ",Table2[[#This Row],[powercalc_group_3]])</f>
        <v>Dining Lights</v>
      </c>
      <c r="U151" s="35"/>
      <c r="V151" s="35"/>
      <c r="W151" s="35"/>
      <c r="X151" s="28"/>
      <c r="AD151" s="29"/>
      <c r="AE151" s="29" t="s">
        <v>455</v>
      </c>
      <c r="AF151" s="45">
        <v>104</v>
      </c>
      <c r="AG151" s="40" t="s">
        <v>704</v>
      </c>
      <c r="AH151" s="40" t="s">
        <v>919</v>
      </c>
      <c r="AI151" s="40"/>
      <c r="AO151" s="29"/>
      <c r="AP151" s="29"/>
      <c r="BA151" s="28"/>
      <c r="BB15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https://zigbee2mqtt.janeandgraham.com/#/device/0x00178801039f56c4</v>
      </c>
      <c r="BD1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dining-main-bulb-2</v>
      </c>
      <c r="BE1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2</v>
      </c>
      <c r="BF1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1" s="28" t="str">
        <f>Table2[[#This Row],[device_suggested_area]]</f>
        <v>Dining</v>
      </c>
      <c r="BI151" s="28" t="str">
        <f>IF(ISBLANK(Table2[[#This Row],[device_model]]), "", Table2[[#This Row],[device_suggested_area]])</f>
        <v>Dining</v>
      </c>
      <c r="BJ151" s="28" t="s">
        <v>945</v>
      </c>
      <c r="BK151" s="28" t="s">
        <v>453</v>
      </c>
      <c r="BL151" s="28" t="s">
        <v>348</v>
      </c>
      <c r="BM151" s="28" t="s">
        <v>1345</v>
      </c>
      <c r="BN151" s="28" t="s">
        <v>454</v>
      </c>
      <c r="BO151" s="28" t="s">
        <v>182</v>
      </c>
      <c r="BT151" s="28" t="s">
        <v>468</v>
      </c>
      <c r="BV1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"0x00178801039f56c4"]]</v>
      </c>
    </row>
    <row r="152" spans="1:74" ht="16" customHeight="1" x14ac:dyDescent="0.2">
      <c r="A152" s="28">
        <v>1619</v>
      </c>
      <c r="B152" s="28" t="s">
        <v>26</v>
      </c>
      <c r="C152" s="28" t="s">
        <v>348</v>
      </c>
      <c r="D152" s="28" t="s">
        <v>128</v>
      </c>
      <c r="E152" s="28" t="s">
        <v>880</v>
      </c>
      <c r="F152" s="34" t="str">
        <f>IF(ISBLANK(Table2[[#This Row],[unique_id]]), "", PROPER(SUBSTITUTE(Table2[[#This Row],[unique_id]], "_", " ")))</f>
        <v>Dining Main Bulb 3</v>
      </c>
      <c r="H152" s="28" t="s">
        <v>130</v>
      </c>
      <c r="P152" s="29" t="s">
        <v>736</v>
      </c>
      <c r="Q152" s="28" t="s">
        <v>155</v>
      </c>
      <c r="R152" s="28" t="s">
        <v>708</v>
      </c>
      <c r="S152" s="28" t="str">
        <f>Table2[[#This Row],[entity_domain]]</f>
        <v>Lights</v>
      </c>
      <c r="T152" s="28" t="str">
        <f>_xlfn.CONCAT( Table2[[#This Row],[device_suggested_area]], " ",Table2[[#This Row],[powercalc_group_3]])</f>
        <v>Dining Lights</v>
      </c>
      <c r="U152" s="35"/>
      <c r="V152" s="35"/>
      <c r="W152" s="35"/>
      <c r="X152" s="28"/>
      <c r="AD152" s="29"/>
      <c r="AE152" s="29" t="s">
        <v>455</v>
      </c>
      <c r="AF152" s="45">
        <v>104</v>
      </c>
      <c r="AG152" s="40" t="s">
        <v>704</v>
      </c>
      <c r="AH152" s="40" t="s">
        <v>919</v>
      </c>
      <c r="AI152" s="40"/>
      <c r="AO152" s="29"/>
      <c r="AP152" s="29"/>
      <c r="BA152" s="28"/>
      <c r="BB15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https://zigbee2mqtt.janeandgraham.com/#/device/0x00178801039f584a</v>
      </c>
      <c r="BD1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dining-main-bulb-3</v>
      </c>
      <c r="BE1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3</v>
      </c>
      <c r="BF1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2" s="28" t="str">
        <f>Table2[[#This Row],[device_suggested_area]]</f>
        <v>Dining</v>
      </c>
      <c r="BI152" s="28" t="str">
        <f>IF(ISBLANK(Table2[[#This Row],[device_model]]), "", Table2[[#This Row],[device_suggested_area]])</f>
        <v>Dining</v>
      </c>
      <c r="BJ152" s="28" t="s">
        <v>946</v>
      </c>
      <c r="BK152" s="28" t="s">
        <v>453</v>
      </c>
      <c r="BL152" s="28" t="s">
        <v>348</v>
      </c>
      <c r="BM152" s="28" t="s">
        <v>1345</v>
      </c>
      <c r="BN152" s="28" t="s">
        <v>454</v>
      </c>
      <c r="BO152" s="28" t="s">
        <v>182</v>
      </c>
      <c r="BT152" s="28" t="s">
        <v>469</v>
      </c>
      <c r="BV1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"0x00178801039f584a"]]</v>
      </c>
    </row>
    <row r="153" spans="1:74" ht="16" customHeight="1" x14ac:dyDescent="0.2">
      <c r="A153" s="28">
        <v>1620</v>
      </c>
      <c r="B153" s="28" t="s">
        <v>26</v>
      </c>
      <c r="C153" s="28" t="s">
        <v>348</v>
      </c>
      <c r="D153" s="28" t="s">
        <v>128</v>
      </c>
      <c r="E153" s="28" t="s">
        <v>881</v>
      </c>
      <c r="F153" s="34" t="str">
        <f>IF(ISBLANK(Table2[[#This Row],[unique_id]]), "", PROPER(SUBSTITUTE(Table2[[#This Row],[unique_id]], "_", " ")))</f>
        <v>Dining Main Bulb 4</v>
      </c>
      <c r="H153" s="28" t="s">
        <v>130</v>
      </c>
      <c r="P153" s="29" t="s">
        <v>736</v>
      </c>
      <c r="Q153" s="28" t="s">
        <v>155</v>
      </c>
      <c r="R153" s="28" t="s">
        <v>708</v>
      </c>
      <c r="S153" s="28" t="str">
        <f>Table2[[#This Row],[entity_domain]]</f>
        <v>Lights</v>
      </c>
      <c r="T153" s="28" t="str">
        <f>_xlfn.CONCAT( Table2[[#This Row],[device_suggested_area]], " ",Table2[[#This Row],[powercalc_group_3]])</f>
        <v>Dining Lights</v>
      </c>
      <c r="U153" s="35"/>
      <c r="V153" s="35"/>
      <c r="W153" s="35"/>
      <c r="X153" s="28"/>
      <c r="AD153" s="29"/>
      <c r="AE153" s="29" t="s">
        <v>455</v>
      </c>
      <c r="AF153" s="45">
        <v>104</v>
      </c>
      <c r="AG153" s="40" t="s">
        <v>704</v>
      </c>
      <c r="AH153" s="40" t="s">
        <v>919</v>
      </c>
      <c r="AI153" s="40"/>
      <c r="AO153" s="29"/>
      <c r="AP153" s="29"/>
      <c r="BA153" s="28"/>
      <c r="BB15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https://zigbee2mqtt.janeandgraham.com/#/device/0x00178801039f69d4</v>
      </c>
      <c r="BD1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dining-main-bulb-4</v>
      </c>
      <c r="BE1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4</v>
      </c>
      <c r="BF1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3" s="28" t="str">
        <f>Table2[[#This Row],[device_suggested_area]]</f>
        <v>Dining</v>
      </c>
      <c r="BI153" s="28" t="str">
        <f>IF(ISBLANK(Table2[[#This Row],[device_model]]), "", Table2[[#This Row],[device_suggested_area]])</f>
        <v>Dining</v>
      </c>
      <c r="BJ153" s="28" t="s">
        <v>947</v>
      </c>
      <c r="BK153" s="28" t="s">
        <v>453</v>
      </c>
      <c r="BL153" s="28" t="s">
        <v>348</v>
      </c>
      <c r="BM153" s="28" t="s">
        <v>1345</v>
      </c>
      <c r="BN153" s="28" t="s">
        <v>454</v>
      </c>
      <c r="BO153" s="28" t="s">
        <v>182</v>
      </c>
      <c r="BT153" s="28" t="s">
        <v>470</v>
      </c>
      <c r="BV1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"0x00178801039f69d4"]]</v>
      </c>
    </row>
    <row r="154" spans="1:74" ht="16" customHeight="1" x14ac:dyDescent="0.2">
      <c r="A154" s="28">
        <v>1621</v>
      </c>
      <c r="B154" s="28" t="s">
        <v>26</v>
      </c>
      <c r="C154" s="28" t="s">
        <v>348</v>
      </c>
      <c r="D154" s="28" t="s">
        <v>128</v>
      </c>
      <c r="E154" s="28" t="s">
        <v>882</v>
      </c>
      <c r="F154" s="34" t="str">
        <f>IF(ISBLANK(Table2[[#This Row],[unique_id]]), "", PROPER(SUBSTITUTE(Table2[[#This Row],[unique_id]], "_", " ")))</f>
        <v>Dining Main Bulb 5</v>
      </c>
      <c r="H154" s="28" t="s">
        <v>130</v>
      </c>
      <c r="P154" s="29" t="s">
        <v>736</v>
      </c>
      <c r="Q154" s="28" t="s">
        <v>155</v>
      </c>
      <c r="R154" s="28" t="s">
        <v>708</v>
      </c>
      <c r="S154" s="28" t="str">
        <f>Table2[[#This Row],[entity_domain]]</f>
        <v>Lights</v>
      </c>
      <c r="T154" s="28" t="str">
        <f>_xlfn.CONCAT( Table2[[#This Row],[device_suggested_area]], " ",Table2[[#This Row],[powercalc_group_3]])</f>
        <v>Dining Lights</v>
      </c>
      <c r="U154" s="35"/>
      <c r="V154" s="35"/>
      <c r="W154" s="35"/>
      <c r="X154" s="28"/>
      <c r="AD154" s="29"/>
      <c r="AE154" s="29" t="s">
        <v>455</v>
      </c>
      <c r="AF154" s="45">
        <v>104</v>
      </c>
      <c r="AG154" s="40" t="s">
        <v>704</v>
      </c>
      <c r="AH154" s="40" t="s">
        <v>919</v>
      </c>
      <c r="AI154" s="40"/>
      <c r="AO154" s="29"/>
      <c r="AP154" s="29"/>
      <c r="BA154" s="28"/>
      <c r="BB15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https://zigbee2mqtt.janeandgraham.com/#/device/0x00178801039f574e</v>
      </c>
      <c r="BD1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dining-main-bulb-5</v>
      </c>
      <c r="BE1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5</v>
      </c>
      <c r="BF1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4" s="28" t="str">
        <f>Table2[[#This Row],[device_suggested_area]]</f>
        <v>Dining</v>
      </c>
      <c r="BI154" s="28" t="str">
        <f>IF(ISBLANK(Table2[[#This Row],[device_model]]), "", Table2[[#This Row],[device_suggested_area]])</f>
        <v>Dining</v>
      </c>
      <c r="BJ154" s="28" t="s">
        <v>948</v>
      </c>
      <c r="BK154" s="28" t="s">
        <v>453</v>
      </c>
      <c r="BL154" s="28" t="s">
        <v>348</v>
      </c>
      <c r="BM154" s="28" t="s">
        <v>1345</v>
      </c>
      <c r="BN154" s="28" t="s">
        <v>454</v>
      </c>
      <c r="BO154" s="28" t="s">
        <v>182</v>
      </c>
      <c r="BT154" s="28" t="s">
        <v>471</v>
      </c>
      <c r="BV1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"0x00178801039f574e"]]</v>
      </c>
    </row>
    <row r="155" spans="1:74" ht="16" customHeight="1" x14ac:dyDescent="0.2">
      <c r="A155" s="28">
        <v>1622</v>
      </c>
      <c r="B155" s="28" t="s">
        <v>26</v>
      </c>
      <c r="C155" s="28" t="s">
        <v>348</v>
      </c>
      <c r="D155" s="28" t="s">
        <v>128</v>
      </c>
      <c r="E155" s="28" t="s">
        <v>883</v>
      </c>
      <c r="F155" s="34" t="str">
        <f>IF(ISBLANK(Table2[[#This Row],[unique_id]]), "", PROPER(SUBSTITUTE(Table2[[#This Row],[unique_id]], "_", " ")))</f>
        <v>Dining Main Bulb 6</v>
      </c>
      <c r="H155" s="28" t="s">
        <v>130</v>
      </c>
      <c r="P155" s="29" t="s">
        <v>736</v>
      </c>
      <c r="Q155" s="28" t="s">
        <v>155</v>
      </c>
      <c r="R155" s="28" t="s">
        <v>708</v>
      </c>
      <c r="S155" s="28" t="str">
        <f>Table2[[#This Row],[entity_domain]]</f>
        <v>Lights</v>
      </c>
      <c r="T155" s="28" t="str">
        <f>_xlfn.CONCAT( Table2[[#This Row],[device_suggested_area]], " ",Table2[[#This Row],[powercalc_group_3]])</f>
        <v>Dining Lights</v>
      </c>
      <c r="U155" s="35"/>
      <c r="V155" s="35"/>
      <c r="W155" s="35"/>
      <c r="X155" s="28"/>
      <c r="AD155" s="29"/>
      <c r="AE155" s="29" t="s">
        <v>455</v>
      </c>
      <c r="AF155" s="45">
        <v>104</v>
      </c>
      <c r="AG155" s="40" t="s">
        <v>704</v>
      </c>
      <c r="AH155" s="40" t="s">
        <v>919</v>
      </c>
      <c r="AI155" s="40"/>
      <c r="AO155" s="29"/>
      <c r="AP155" s="29"/>
      <c r="BA155" s="28"/>
      <c r="BB15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https://zigbee2mqtt.janeandgraham.com/#/device/0x00178801039f4eed</v>
      </c>
      <c r="BD1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dining-main-bulb-6</v>
      </c>
      <c r="BE1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6</v>
      </c>
      <c r="BF1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5" s="28" t="str">
        <f>Table2[[#This Row],[device_suggested_area]]</f>
        <v>Dining</v>
      </c>
      <c r="BI155" s="28" t="str">
        <f>IF(ISBLANK(Table2[[#This Row],[device_model]]), "", Table2[[#This Row],[device_suggested_area]])</f>
        <v>Dining</v>
      </c>
      <c r="BJ155" s="28" t="s">
        <v>949</v>
      </c>
      <c r="BK155" s="28" t="s">
        <v>453</v>
      </c>
      <c r="BL155" s="28" t="s">
        <v>348</v>
      </c>
      <c r="BM155" s="28" t="s">
        <v>1345</v>
      </c>
      <c r="BN155" s="28" t="s">
        <v>454</v>
      </c>
      <c r="BO155" s="28" t="s">
        <v>182</v>
      </c>
      <c r="BT155" s="28" t="s">
        <v>472</v>
      </c>
      <c r="BV1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"0x00178801039f4eed"]]</v>
      </c>
    </row>
    <row r="156" spans="1:74" ht="16" customHeight="1" x14ac:dyDescent="0.2">
      <c r="A156" s="28">
        <v>1623</v>
      </c>
      <c r="B156" s="28" t="s">
        <v>26</v>
      </c>
      <c r="C156" s="28" t="s">
        <v>348</v>
      </c>
      <c r="D156" s="28" t="s">
        <v>128</v>
      </c>
      <c r="E156" s="28" t="s">
        <v>269</v>
      </c>
      <c r="F156" s="34" t="str">
        <f>IF(ISBLANK(Table2[[#This Row],[unique_id]]), "", PROPER(SUBSTITUTE(Table2[[#This Row],[unique_id]], "_", " ")))</f>
        <v>Lounge Main</v>
      </c>
      <c r="G156" s="28" t="s">
        <v>196</v>
      </c>
      <c r="H156" s="28" t="s">
        <v>130</v>
      </c>
      <c r="I156" s="28" t="s">
        <v>123</v>
      </c>
      <c r="J156" s="28" t="s">
        <v>672</v>
      </c>
      <c r="K156" s="28" t="s">
        <v>829</v>
      </c>
      <c r="N156" s="28" t="s">
        <v>127</v>
      </c>
      <c r="P156" s="29"/>
      <c r="Q156" s="28"/>
      <c r="U156" s="35"/>
      <c r="V156" s="35"/>
      <c r="W156" s="35"/>
      <c r="X156" s="28"/>
      <c r="AD156" s="29"/>
      <c r="AE156" s="29" t="s">
        <v>456</v>
      </c>
      <c r="AF156" s="45">
        <v>105</v>
      </c>
      <c r="AG156" s="40" t="s">
        <v>706</v>
      </c>
      <c r="AH156" s="40" t="s">
        <v>919</v>
      </c>
      <c r="AI156" s="40"/>
      <c r="AM156" s="28" t="s">
        <v>263</v>
      </c>
      <c r="AO156" s="29"/>
      <c r="AP156" s="29"/>
      <c r="BA156" s="28"/>
      <c r="BB15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https://zigbee2mqtt.janeandgraham.com/#/group/105</v>
      </c>
      <c r="BD1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</v>
      </c>
      <c r="BE1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</v>
      </c>
      <c r="BF1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6" s="28" t="str">
        <f>Table2[[#This Row],[device_suggested_area]]</f>
        <v>Lounge</v>
      </c>
      <c r="BI156" s="28" t="str">
        <f>IF(ISBLANK(Table2[[#This Row],[device_model]]), "", Table2[[#This Row],[device_suggested_area]])</f>
        <v>Lounge</v>
      </c>
      <c r="BJ156" s="28" t="s">
        <v>943</v>
      </c>
      <c r="BK156" s="28" t="s">
        <v>453</v>
      </c>
      <c r="BL156" s="28" t="s">
        <v>348</v>
      </c>
      <c r="BM156" s="28" t="s">
        <v>1345</v>
      </c>
      <c r="BN156" s="28" t="s">
        <v>454</v>
      </c>
      <c r="BO156" s="28" t="s">
        <v>183</v>
      </c>
      <c r="BT156" s="28"/>
      <c r="BV1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57" spans="1:74" ht="16" customHeight="1" x14ac:dyDescent="0.2">
      <c r="A157" s="28">
        <v>1624</v>
      </c>
      <c r="B157" s="28" t="s">
        <v>26</v>
      </c>
      <c r="C157" s="28" t="s">
        <v>348</v>
      </c>
      <c r="D157" s="28" t="s">
        <v>128</v>
      </c>
      <c r="E157" s="28" t="s">
        <v>884</v>
      </c>
      <c r="F157" s="34" t="str">
        <f>IF(ISBLANK(Table2[[#This Row],[unique_id]]), "", PROPER(SUBSTITUTE(Table2[[#This Row],[unique_id]], "_", " ")))</f>
        <v>Lounge Main Bulb 1</v>
      </c>
      <c r="H157" s="28" t="s">
        <v>130</v>
      </c>
      <c r="P157" s="29" t="s">
        <v>736</v>
      </c>
      <c r="Q157" s="28" t="s">
        <v>155</v>
      </c>
      <c r="R157" s="28" t="s">
        <v>708</v>
      </c>
      <c r="S157" s="28" t="str">
        <f>Table2[[#This Row],[entity_domain]]</f>
        <v>Lights</v>
      </c>
      <c r="T157" s="28" t="str">
        <f>_xlfn.CONCAT( Table2[[#This Row],[device_suggested_area]], " ",Table2[[#This Row],[powercalc_group_3]])</f>
        <v>Lounge Lights</v>
      </c>
      <c r="U157" s="35"/>
      <c r="V157" s="35"/>
      <c r="W157" s="35"/>
      <c r="X157" s="28"/>
      <c r="AD157" s="29"/>
      <c r="AE157" s="29" t="s">
        <v>455</v>
      </c>
      <c r="AF157" s="45">
        <v>105</v>
      </c>
      <c r="AG157" s="40" t="s">
        <v>704</v>
      </c>
      <c r="AH157" s="40" t="s">
        <v>919</v>
      </c>
      <c r="AI157" s="40"/>
      <c r="AO157" s="29"/>
      <c r="AP157" s="29"/>
      <c r="BA157" s="28"/>
      <c r="BB15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https://zigbee2mqtt.janeandgraham.com/#/device/0x00178801039f6b78</v>
      </c>
      <c r="BD1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lounge-main-bulb-1</v>
      </c>
      <c r="BE1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1</v>
      </c>
      <c r="BF1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7" s="28" t="str">
        <f>Table2[[#This Row],[device_suggested_area]]</f>
        <v>Lounge</v>
      </c>
      <c r="BI157" s="28" t="str">
        <f>IF(ISBLANK(Table2[[#This Row],[device_model]]), "", Table2[[#This Row],[device_suggested_area]])</f>
        <v>Lounge</v>
      </c>
      <c r="BJ157" s="28" t="s">
        <v>944</v>
      </c>
      <c r="BK157" s="28" t="s">
        <v>453</v>
      </c>
      <c r="BL157" s="28" t="s">
        <v>348</v>
      </c>
      <c r="BM157" s="28" t="s">
        <v>1345</v>
      </c>
      <c r="BN157" s="28" t="s">
        <v>454</v>
      </c>
      <c r="BO157" s="28" t="s">
        <v>183</v>
      </c>
      <c r="BT157" s="28" t="s">
        <v>473</v>
      </c>
      <c r="BV1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"0x00178801039f6b78"]]</v>
      </c>
    </row>
    <row r="158" spans="1:74" ht="16" customHeight="1" x14ac:dyDescent="0.2">
      <c r="A158" s="28">
        <v>1625</v>
      </c>
      <c r="B158" s="28" t="s">
        <v>26</v>
      </c>
      <c r="C158" s="28" t="s">
        <v>348</v>
      </c>
      <c r="D158" s="28" t="s">
        <v>128</v>
      </c>
      <c r="E158" s="28" t="s">
        <v>885</v>
      </c>
      <c r="F158" s="34" t="str">
        <f>IF(ISBLANK(Table2[[#This Row],[unique_id]]), "", PROPER(SUBSTITUTE(Table2[[#This Row],[unique_id]], "_", " ")))</f>
        <v>Lounge Main Bulb 2</v>
      </c>
      <c r="H158" s="28" t="s">
        <v>130</v>
      </c>
      <c r="P158" s="29" t="s">
        <v>736</v>
      </c>
      <c r="Q158" s="28" t="s">
        <v>155</v>
      </c>
      <c r="R158" s="28" t="s">
        <v>708</v>
      </c>
      <c r="S158" s="28" t="str">
        <f>Table2[[#This Row],[entity_domain]]</f>
        <v>Lights</v>
      </c>
      <c r="T158" s="28" t="str">
        <f>_xlfn.CONCAT( Table2[[#This Row],[device_suggested_area]], " ",Table2[[#This Row],[powercalc_group_3]])</f>
        <v>Lounge Lights</v>
      </c>
      <c r="U158" s="35"/>
      <c r="V158" s="35"/>
      <c r="W158" s="35"/>
      <c r="X158" s="28"/>
      <c r="AD158" s="29"/>
      <c r="AE158" s="29" t="s">
        <v>455</v>
      </c>
      <c r="AF158" s="45">
        <v>105</v>
      </c>
      <c r="AG158" s="40" t="s">
        <v>704</v>
      </c>
      <c r="AH158" s="40" t="s">
        <v>919</v>
      </c>
      <c r="AI158" s="40"/>
      <c r="AO158" s="29"/>
      <c r="AP158" s="29"/>
      <c r="BA158" s="28"/>
      <c r="BB15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https://zigbee2mqtt.janeandgraham.com/#/device/0x001788010444ef85</v>
      </c>
      <c r="BD1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lounge-main-bulb-2</v>
      </c>
      <c r="BE1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2</v>
      </c>
      <c r="BF1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8" s="28" t="str">
        <f>Table2[[#This Row],[device_suggested_area]]</f>
        <v>Lounge</v>
      </c>
      <c r="BI158" s="28" t="str">
        <f>IF(ISBLANK(Table2[[#This Row],[device_model]]), "", Table2[[#This Row],[device_suggested_area]])</f>
        <v>Lounge</v>
      </c>
      <c r="BJ158" s="28" t="s">
        <v>945</v>
      </c>
      <c r="BK158" s="28" t="s">
        <v>453</v>
      </c>
      <c r="BL158" s="28" t="s">
        <v>348</v>
      </c>
      <c r="BM158" s="28" t="s">
        <v>1345</v>
      </c>
      <c r="BN158" s="28" t="s">
        <v>454</v>
      </c>
      <c r="BO158" s="28" t="s">
        <v>183</v>
      </c>
      <c r="BT158" s="28" t="s">
        <v>474</v>
      </c>
      <c r="BV1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"0x001788010444ef85"]]</v>
      </c>
    </row>
    <row r="159" spans="1:74" ht="16" customHeight="1" x14ac:dyDescent="0.2">
      <c r="A159" s="28">
        <v>1626</v>
      </c>
      <c r="B159" s="28" t="s">
        <v>26</v>
      </c>
      <c r="C159" s="28" t="s">
        <v>348</v>
      </c>
      <c r="D159" s="28" t="s">
        <v>128</v>
      </c>
      <c r="E159" s="28" t="s">
        <v>886</v>
      </c>
      <c r="F159" s="34" t="str">
        <f>IF(ISBLANK(Table2[[#This Row],[unique_id]]), "", PROPER(SUBSTITUTE(Table2[[#This Row],[unique_id]], "_", " ")))</f>
        <v>Lounge Main Bulb 3</v>
      </c>
      <c r="H159" s="28" t="s">
        <v>130</v>
      </c>
      <c r="P159" s="29" t="s">
        <v>736</v>
      </c>
      <c r="Q159" s="28" t="s">
        <v>155</v>
      </c>
      <c r="R159" s="28" t="s">
        <v>708</v>
      </c>
      <c r="S159" s="28" t="str">
        <f>Table2[[#This Row],[entity_domain]]</f>
        <v>Lights</v>
      </c>
      <c r="T159" s="28" t="str">
        <f>_xlfn.CONCAT( Table2[[#This Row],[device_suggested_area]], " ",Table2[[#This Row],[powercalc_group_3]])</f>
        <v>Lounge Lights</v>
      </c>
      <c r="U159" s="35"/>
      <c r="V159" s="35"/>
      <c r="W159" s="35"/>
      <c r="X159" s="28"/>
      <c r="AD159" s="29"/>
      <c r="AE159" s="29" t="s">
        <v>455</v>
      </c>
      <c r="AF159" s="45">
        <v>105</v>
      </c>
      <c r="AG159" s="40" t="s">
        <v>704</v>
      </c>
      <c r="AH159" s="40" t="s">
        <v>919</v>
      </c>
      <c r="AI159" s="40"/>
      <c r="AO159" s="29"/>
      <c r="AP159" s="29"/>
      <c r="BA159" s="28"/>
      <c r="BB15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https://zigbee2mqtt.janeandgraham.com/#/device/0x00178801039f6b4a</v>
      </c>
      <c r="BD1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lounge-main-bulb-3</v>
      </c>
      <c r="BE1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3</v>
      </c>
      <c r="BF1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59" s="28" t="str">
        <f>Table2[[#This Row],[device_suggested_area]]</f>
        <v>Lounge</v>
      </c>
      <c r="BI159" s="28" t="str">
        <f>IF(ISBLANK(Table2[[#This Row],[device_model]]), "", Table2[[#This Row],[device_suggested_area]])</f>
        <v>Lounge</v>
      </c>
      <c r="BJ159" s="28" t="s">
        <v>946</v>
      </c>
      <c r="BK159" s="28" t="s">
        <v>453</v>
      </c>
      <c r="BL159" s="28" t="s">
        <v>348</v>
      </c>
      <c r="BM159" s="28" t="s">
        <v>1345</v>
      </c>
      <c r="BN159" s="28" t="s">
        <v>454</v>
      </c>
      <c r="BO159" s="28" t="s">
        <v>183</v>
      </c>
      <c r="BT159" s="28" t="s">
        <v>475</v>
      </c>
      <c r="BV1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"0x00178801039f6b4a"]]</v>
      </c>
    </row>
    <row r="160" spans="1:74" ht="16" customHeight="1" x14ac:dyDescent="0.2">
      <c r="A160" s="28">
        <v>1627</v>
      </c>
      <c r="B160" s="28" t="s">
        <v>26</v>
      </c>
      <c r="C160" s="28" t="s">
        <v>124</v>
      </c>
      <c r="D160" s="28" t="s">
        <v>128</v>
      </c>
      <c r="E160" s="28" t="s">
        <v>384</v>
      </c>
      <c r="F160" s="34" t="str">
        <f>IF(ISBLANK(Table2[[#This Row],[unique_id]]), "", PROPER(SUBSTITUTE(Table2[[#This Row],[unique_id]], "_", " ")))</f>
        <v>Lounge Fan</v>
      </c>
      <c r="G160" s="28" t="s">
        <v>180</v>
      </c>
      <c r="H160" s="28" t="s">
        <v>130</v>
      </c>
      <c r="I160" s="28" t="s">
        <v>123</v>
      </c>
      <c r="J160" s="28" t="s">
        <v>673</v>
      </c>
      <c r="N160" s="28" t="s">
        <v>127</v>
      </c>
      <c r="P160" s="29" t="s">
        <v>736</v>
      </c>
      <c r="Q160" s="28" t="s">
        <v>155</v>
      </c>
      <c r="R160" s="28" t="s">
        <v>708</v>
      </c>
      <c r="S160" s="28" t="str">
        <f>Table2[[#This Row],[entity_domain]]</f>
        <v>Lights</v>
      </c>
      <c r="T160" s="28" t="str">
        <f>_xlfn.CONCAT( Table2[[#This Row],[device_suggested_area]], " ",Table2[[#This Row],[powercalc_group_3]])</f>
        <v>Lounge Lights</v>
      </c>
      <c r="U160" s="35" t="s">
        <v>723</v>
      </c>
      <c r="V160" s="35"/>
      <c r="W160" s="35"/>
      <c r="X160" s="28"/>
      <c r="AD160" s="29"/>
      <c r="AE160" s="29"/>
      <c r="AF160" s="29"/>
      <c r="AG160" s="29"/>
      <c r="AM160" s="28" t="s">
        <v>263</v>
      </c>
      <c r="AO160" s="29"/>
      <c r="AP160" s="29"/>
      <c r="BA160" s="28"/>
      <c r="BB160" s="38"/>
      <c r="BC160" s="29"/>
      <c r="BD1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1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1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60" s="28" t="str">
        <f>IF(ISBLANK(Table2[[#This Row],[device_model]]), "", Table2[[#This Row],[device_suggested_area]])</f>
        <v/>
      </c>
      <c r="BN160" s="29"/>
      <c r="BO160" s="28" t="s">
        <v>183</v>
      </c>
      <c r="BQ160" s="28" t="s">
        <v>650</v>
      </c>
      <c r="BT160" s="28"/>
      <c r="BV1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1" spans="1:74" ht="16" customHeight="1" x14ac:dyDescent="0.2">
      <c r="A161" s="28">
        <v>1628</v>
      </c>
      <c r="B161" s="28" t="s">
        <v>26</v>
      </c>
      <c r="C161" s="28" t="s">
        <v>348</v>
      </c>
      <c r="D161" s="28" t="s">
        <v>128</v>
      </c>
      <c r="E161" s="28" t="s">
        <v>519</v>
      </c>
      <c r="F161" s="34" t="str">
        <f>IF(ISBLANK(Table2[[#This Row],[unique_id]]), "", PROPER(SUBSTITUTE(Table2[[#This Row],[unique_id]], "_", " ")))</f>
        <v>Lounge Lamp</v>
      </c>
      <c r="G161" s="34" t="str">
        <f>IF(ISBLANK(Table2[[#This Row],[unique_id]]), "", PROPER(SUBSTITUTE(Table2[[#This Row],[unique_id]], "_", " ")))</f>
        <v>Lounge Lamp</v>
      </c>
      <c r="H161" s="28" t="s">
        <v>130</v>
      </c>
      <c r="I161" s="28" t="s">
        <v>123</v>
      </c>
      <c r="J161" s="28" t="s">
        <v>488</v>
      </c>
      <c r="K161" s="28" t="s">
        <v>833</v>
      </c>
      <c r="N161" s="28" t="s">
        <v>127</v>
      </c>
      <c r="P161" s="29"/>
      <c r="Q161" s="28"/>
      <c r="U161" s="35"/>
      <c r="V161" s="35"/>
      <c r="W161" s="35"/>
      <c r="X161" s="28"/>
      <c r="AD161" s="29"/>
      <c r="AE161" s="29" t="s">
        <v>456</v>
      </c>
      <c r="AF161" s="45">
        <v>123</v>
      </c>
      <c r="AG161" s="40" t="s">
        <v>706</v>
      </c>
      <c r="AH161" s="40" t="s">
        <v>919</v>
      </c>
      <c r="AI161" s="40"/>
      <c r="AM161" s="28" t="s">
        <v>263</v>
      </c>
      <c r="AO161" s="29"/>
      <c r="AP161" s="29"/>
      <c r="BA161" s="28"/>
      <c r="BB16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https://zigbee2mqtt.janeandgraham.com/#/group/123</v>
      </c>
      <c r="BD1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lounge-lamp</v>
      </c>
      <c r="BE1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Lamp</v>
      </c>
      <c r="BF1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1" s="28" t="str">
        <f>Table2[[#This Row],[device_suggested_area]]</f>
        <v>Lounge</v>
      </c>
      <c r="BI161" s="28" t="str">
        <f>IF(ISBLANK(Table2[[#This Row],[device_model]]), "", Table2[[#This Row],[device_suggested_area]])</f>
        <v>Lounge</v>
      </c>
      <c r="BJ161" s="28" t="s">
        <v>488</v>
      </c>
      <c r="BK161" s="28" t="s">
        <v>1432</v>
      </c>
      <c r="BL161" s="28" t="s">
        <v>348</v>
      </c>
      <c r="BM161" s="28" t="s">
        <v>1345</v>
      </c>
      <c r="BN161" s="28" t="s">
        <v>454</v>
      </c>
      <c r="BO161" s="28" t="s">
        <v>183</v>
      </c>
      <c r="BQ161" s="28" t="s">
        <v>650</v>
      </c>
      <c r="BT161" s="28"/>
      <c r="BV1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2" spans="1:74" ht="16" customHeight="1" x14ac:dyDescent="0.2">
      <c r="A162" s="28">
        <v>1629</v>
      </c>
      <c r="B162" s="28" t="s">
        <v>26</v>
      </c>
      <c r="C162" s="28" t="s">
        <v>348</v>
      </c>
      <c r="D162" s="28" t="s">
        <v>128</v>
      </c>
      <c r="E162" s="28" t="s">
        <v>887</v>
      </c>
      <c r="F162" s="34" t="str">
        <f>IF(ISBLANK(Table2[[#This Row],[unique_id]]), "", PROPER(SUBSTITUTE(Table2[[#This Row],[unique_id]], "_", " ")))</f>
        <v>Lounge Lamp Bulb 1</v>
      </c>
      <c r="H162" s="28" t="s">
        <v>130</v>
      </c>
      <c r="P162" s="29" t="s">
        <v>736</v>
      </c>
      <c r="Q162" s="28" t="s">
        <v>155</v>
      </c>
      <c r="R162" s="28" t="s">
        <v>708</v>
      </c>
      <c r="S162" s="28" t="str">
        <f>Table2[[#This Row],[entity_domain]]</f>
        <v>Lights</v>
      </c>
      <c r="T162" s="28" t="str">
        <f>_xlfn.CONCAT( Table2[[#This Row],[device_suggested_area]], " ",Table2[[#This Row],[powercalc_group_3]])</f>
        <v>Lounge Lights</v>
      </c>
      <c r="U162" s="35"/>
      <c r="V162" s="35"/>
      <c r="W162" s="35"/>
      <c r="X162" s="28"/>
      <c r="AD162" s="29"/>
      <c r="AE162" s="29" t="s">
        <v>455</v>
      </c>
      <c r="AF162" s="45">
        <v>123</v>
      </c>
      <c r="AG162" s="40" t="s">
        <v>704</v>
      </c>
      <c r="AH162" s="40" t="s">
        <v>1286</v>
      </c>
      <c r="AI162" s="40"/>
      <c r="AO162" s="29"/>
      <c r="AP162" s="29"/>
      <c r="BA162" s="28"/>
      <c r="BB16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https://zigbee2mqtt.janeandgraham.com/#/device/0x001788010ec76d57</v>
      </c>
      <c r="BD1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lounge-lamp-bulb-1</v>
      </c>
      <c r="BE1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Lamp Bulb 1</v>
      </c>
      <c r="BF1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2" s="28" t="str">
        <f>Table2[[#This Row],[device_suggested_area]]</f>
        <v>Lounge</v>
      </c>
      <c r="BI162" s="28" t="str">
        <f>IF(ISBLANK(Table2[[#This Row],[device_model]]), "", Table2[[#This Row],[device_suggested_area]])</f>
        <v>Lounge</v>
      </c>
      <c r="BJ162" s="28" t="s">
        <v>941</v>
      </c>
      <c r="BK162" s="28" t="s">
        <v>1432</v>
      </c>
      <c r="BL162" s="28" t="s">
        <v>348</v>
      </c>
      <c r="BM162" s="28" t="s">
        <v>1345</v>
      </c>
      <c r="BN162" s="28" t="s">
        <v>454</v>
      </c>
      <c r="BO162" s="28" t="s">
        <v>183</v>
      </c>
      <c r="BQ162" s="28" t="s">
        <v>650</v>
      </c>
      <c r="BT162" s="28" t="s">
        <v>1430</v>
      </c>
      <c r="BV1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"0x001788010ec76d57"]]</v>
      </c>
    </row>
    <row r="163" spans="1:74" ht="16" customHeight="1" x14ac:dyDescent="0.2">
      <c r="A163" s="28">
        <v>1630</v>
      </c>
      <c r="B163" s="28" t="s">
        <v>26</v>
      </c>
      <c r="C163" s="28" t="s">
        <v>348</v>
      </c>
      <c r="D163" s="28" t="s">
        <v>128</v>
      </c>
      <c r="E163" s="28" t="s">
        <v>1425</v>
      </c>
      <c r="F163" s="34" t="str">
        <f>IF(ISBLANK(Table2[[#This Row],[unique_id]]), "", PROPER(SUBSTITUTE(Table2[[#This Row],[unique_id]], "_", " ")))</f>
        <v>Lounge Reading</v>
      </c>
      <c r="G163" s="28" t="s">
        <v>1436</v>
      </c>
      <c r="H163" s="28" t="s">
        <v>130</v>
      </c>
      <c r="I163" s="28" t="s">
        <v>123</v>
      </c>
      <c r="J163" s="28" t="s">
        <v>1428</v>
      </c>
      <c r="K163" s="28" t="s">
        <v>833</v>
      </c>
      <c r="N163" s="28" t="s">
        <v>127</v>
      </c>
      <c r="P163" s="29"/>
      <c r="Q163" s="28"/>
      <c r="U163" s="35"/>
      <c r="V163" s="35"/>
      <c r="W163" s="35"/>
      <c r="X163" s="28"/>
      <c r="AD163" s="29"/>
      <c r="AE163" s="29" t="s">
        <v>456</v>
      </c>
      <c r="AF163" s="45">
        <v>114</v>
      </c>
      <c r="AG163" s="40" t="s">
        <v>706</v>
      </c>
      <c r="AH163" s="40" t="s">
        <v>919</v>
      </c>
      <c r="AI163" s="40"/>
      <c r="AM163" s="28" t="s">
        <v>263</v>
      </c>
      <c r="AO163" s="29"/>
      <c r="AP163" s="29"/>
      <c r="BA163" s="28"/>
      <c r="BB16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https://zigbee2mqtt.janeandgraham.com/#/group/114</v>
      </c>
      <c r="BD1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lounge-reading</v>
      </c>
      <c r="BE1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Reading</v>
      </c>
      <c r="BF1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3" s="28" t="str">
        <f>Table2[[#This Row],[device_suggested_area]]</f>
        <v>Lounge</v>
      </c>
      <c r="BI163" s="28" t="str">
        <f>IF(ISBLANK(Table2[[#This Row],[device_model]]), "", Table2[[#This Row],[device_suggested_area]])</f>
        <v>Lounge</v>
      </c>
      <c r="BJ163" s="28" t="s">
        <v>1428</v>
      </c>
      <c r="BK163" s="28" t="s">
        <v>1431</v>
      </c>
      <c r="BL163" s="28" t="s">
        <v>348</v>
      </c>
      <c r="BM163" s="28" t="s">
        <v>1345</v>
      </c>
      <c r="BN163" s="28" t="s">
        <v>454</v>
      </c>
      <c r="BO163" s="28" t="s">
        <v>183</v>
      </c>
      <c r="BQ163" s="28" t="s">
        <v>650</v>
      </c>
      <c r="BT163" s="28"/>
      <c r="BV1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4" spans="1:74" ht="16" customHeight="1" x14ac:dyDescent="0.2">
      <c r="A164" s="28">
        <v>1631</v>
      </c>
      <c r="B164" s="28" t="s">
        <v>26</v>
      </c>
      <c r="C164" s="28" t="s">
        <v>348</v>
      </c>
      <c r="D164" s="28" t="s">
        <v>128</v>
      </c>
      <c r="E164" s="28" t="s">
        <v>1426</v>
      </c>
      <c r="F164" s="34" t="str">
        <f>IF(ISBLANK(Table2[[#This Row],[unique_id]]), "", PROPER(SUBSTITUTE(Table2[[#This Row],[unique_id]], "_", " ")))</f>
        <v>Lounge Reading Bulb 1</v>
      </c>
      <c r="H164" s="28" t="s">
        <v>130</v>
      </c>
      <c r="P164" s="29" t="s">
        <v>736</v>
      </c>
      <c r="Q164" s="28" t="s">
        <v>155</v>
      </c>
      <c r="R164" s="28" t="s">
        <v>708</v>
      </c>
      <c r="S164" s="28" t="str">
        <f>Table2[[#This Row],[entity_domain]]</f>
        <v>Lights</v>
      </c>
      <c r="T164" s="28" t="str">
        <f>_xlfn.CONCAT( Table2[[#This Row],[device_suggested_area]], " ",Table2[[#This Row],[powercalc_group_3]])</f>
        <v>Lounge Lights</v>
      </c>
      <c r="U164" s="35"/>
      <c r="V164" s="35"/>
      <c r="W164" s="35"/>
      <c r="X164" s="28"/>
      <c r="AD164" s="29"/>
      <c r="AE164" s="29" t="s">
        <v>455</v>
      </c>
      <c r="AF164" s="45">
        <v>114</v>
      </c>
      <c r="AG164" s="40" t="s">
        <v>704</v>
      </c>
      <c r="AH164" s="40" t="s">
        <v>1286</v>
      </c>
      <c r="AI164" s="40"/>
      <c r="AO164" s="29"/>
      <c r="AP164" s="29"/>
      <c r="BA164" s="28"/>
      <c r="BB16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https://zigbee2mqtt.janeandgraham.com/#/device/0x0017880106bc4f2d</v>
      </c>
      <c r="BD1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lounge-reading-bulb-1</v>
      </c>
      <c r="BE1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Reading Bulb 1</v>
      </c>
      <c r="BF1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4" s="28" t="str">
        <f>Table2[[#This Row],[device_suggested_area]]</f>
        <v>Lounge</v>
      </c>
      <c r="BI164" s="28" t="str">
        <f>IF(ISBLANK(Table2[[#This Row],[device_model]]), "", Table2[[#This Row],[device_suggested_area]])</f>
        <v>Lounge</v>
      </c>
      <c r="BJ164" s="28" t="s">
        <v>1429</v>
      </c>
      <c r="BK164" s="28" t="s">
        <v>1431</v>
      </c>
      <c r="BL164" s="28" t="s">
        <v>348</v>
      </c>
      <c r="BM164" s="28" t="s">
        <v>1345</v>
      </c>
      <c r="BN164" s="28" t="s">
        <v>454</v>
      </c>
      <c r="BO164" s="28" t="s">
        <v>183</v>
      </c>
      <c r="BQ164" s="28" t="s">
        <v>650</v>
      </c>
      <c r="BT164" s="28" t="s">
        <v>521</v>
      </c>
      <c r="BV1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"0x0017880106bc4f2d"]]</v>
      </c>
    </row>
    <row r="165" spans="1:74" ht="16" customHeight="1" x14ac:dyDescent="0.2">
      <c r="A165" s="28">
        <v>1632</v>
      </c>
      <c r="B165" s="28" t="s">
        <v>26</v>
      </c>
      <c r="C165" s="28" t="s">
        <v>348</v>
      </c>
      <c r="D165" s="28" t="s">
        <v>128</v>
      </c>
      <c r="E165" s="28" t="s">
        <v>270</v>
      </c>
      <c r="F165" s="34" t="str">
        <f>IF(ISBLANK(Table2[[#This Row],[unique_id]]), "", PROPER(SUBSTITUTE(Table2[[#This Row],[unique_id]], "_", " ")))</f>
        <v>Parents Main</v>
      </c>
      <c r="G165" s="28" t="s">
        <v>185</v>
      </c>
      <c r="H165" s="28" t="s">
        <v>130</v>
      </c>
      <c r="I165" s="28" t="s">
        <v>123</v>
      </c>
      <c r="J165" s="37" t="s">
        <v>672</v>
      </c>
      <c r="K165" s="28" t="s">
        <v>832</v>
      </c>
      <c r="N165" s="28" t="s">
        <v>127</v>
      </c>
      <c r="P165" s="29"/>
      <c r="Q165" s="28"/>
      <c r="U165" s="35"/>
      <c r="V165" s="35"/>
      <c r="W165" s="35"/>
      <c r="X165" s="28"/>
      <c r="AD165" s="29"/>
      <c r="AE165" s="29" t="s">
        <v>456</v>
      </c>
      <c r="AF165" s="45">
        <v>106</v>
      </c>
      <c r="AG165" s="40" t="s">
        <v>706</v>
      </c>
      <c r="AH165" s="40" t="s">
        <v>920</v>
      </c>
      <c r="AI165" s="40"/>
      <c r="AM165" s="28" t="s">
        <v>263</v>
      </c>
      <c r="AO165" s="29"/>
      <c r="AP165" s="29"/>
      <c r="BA165" s="28"/>
      <c r="BB16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https://zigbee2mqtt.janeandgraham.com/#/group/106</v>
      </c>
      <c r="BD1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</v>
      </c>
      <c r="BE1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</v>
      </c>
      <c r="BF1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5" s="28" t="str">
        <f>Table2[[#This Row],[device_suggested_area]]</f>
        <v>Parents</v>
      </c>
      <c r="BI165" s="28" t="str">
        <f>IF(ISBLANK(Table2[[#This Row],[device_model]]), "", Table2[[#This Row],[device_suggested_area]])</f>
        <v>Parents</v>
      </c>
      <c r="BJ165" s="28" t="s">
        <v>943</v>
      </c>
      <c r="BK165" s="28" t="s">
        <v>453</v>
      </c>
      <c r="BL165" s="28" t="s">
        <v>348</v>
      </c>
      <c r="BM165" s="28" t="s">
        <v>1345</v>
      </c>
      <c r="BN165" s="28" t="s">
        <v>454</v>
      </c>
      <c r="BO165" s="28" t="s">
        <v>181</v>
      </c>
      <c r="BT165" s="28"/>
      <c r="BV1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6" spans="1:74" ht="16" customHeight="1" x14ac:dyDescent="0.2">
      <c r="A166" s="28">
        <v>1633</v>
      </c>
      <c r="B166" s="28" t="s">
        <v>26</v>
      </c>
      <c r="C166" s="28" t="s">
        <v>348</v>
      </c>
      <c r="D166" s="28" t="s">
        <v>128</v>
      </c>
      <c r="E166" s="28" t="s">
        <v>888</v>
      </c>
      <c r="F166" s="34" t="str">
        <f>IF(ISBLANK(Table2[[#This Row],[unique_id]]), "", PROPER(SUBSTITUTE(Table2[[#This Row],[unique_id]], "_", " ")))</f>
        <v>Parents Main Bulb 1</v>
      </c>
      <c r="H166" s="28" t="s">
        <v>130</v>
      </c>
      <c r="P166" s="29" t="s">
        <v>736</v>
      </c>
      <c r="Q166" s="28" t="s">
        <v>155</v>
      </c>
      <c r="R166" s="28" t="s">
        <v>708</v>
      </c>
      <c r="S166" s="28" t="str">
        <f>Table2[[#This Row],[entity_domain]]</f>
        <v>Lights</v>
      </c>
      <c r="T166" s="28" t="str">
        <f>_xlfn.CONCAT( Table2[[#This Row],[device_suggested_area]], " ",Table2[[#This Row],[powercalc_group_3]])</f>
        <v>Parents Lights</v>
      </c>
      <c r="U166" s="35"/>
      <c r="V166" s="35"/>
      <c r="W166" s="35"/>
      <c r="X166" s="28"/>
      <c r="AD166" s="29"/>
      <c r="AE166" s="29" t="s">
        <v>455</v>
      </c>
      <c r="AF166" s="45">
        <v>106</v>
      </c>
      <c r="AG166" s="40" t="s">
        <v>704</v>
      </c>
      <c r="AH166" s="40" t="s">
        <v>920</v>
      </c>
      <c r="AI166" s="40"/>
      <c r="AO166" s="29"/>
      <c r="AP166" s="29"/>
      <c r="BA166" s="28"/>
      <c r="BB16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https://zigbee2mqtt.janeandgraham.com/#/device/0x00178801039f585a</v>
      </c>
      <c r="BD1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parents-main-bulb-1</v>
      </c>
      <c r="BE1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1</v>
      </c>
      <c r="BF1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6" s="28" t="str">
        <f>Table2[[#This Row],[device_suggested_area]]</f>
        <v>Parents</v>
      </c>
      <c r="BI166" s="28" t="str">
        <f>IF(ISBLANK(Table2[[#This Row],[device_model]]), "", Table2[[#This Row],[device_suggested_area]])</f>
        <v>Parents</v>
      </c>
      <c r="BJ166" s="28" t="s">
        <v>944</v>
      </c>
      <c r="BK166" s="28" t="s">
        <v>453</v>
      </c>
      <c r="BL166" s="28" t="s">
        <v>348</v>
      </c>
      <c r="BM166" s="28" t="s">
        <v>1345</v>
      </c>
      <c r="BN166" s="28" t="s">
        <v>454</v>
      </c>
      <c r="BO166" s="28" t="s">
        <v>181</v>
      </c>
      <c r="BT166" s="28" t="s">
        <v>452</v>
      </c>
      <c r="BV1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"0x00178801039f585a"]]</v>
      </c>
    </row>
    <row r="167" spans="1:74" ht="16" customHeight="1" x14ac:dyDescent="0.2">
      <c r="A167" s="28">
        <v>1634</v>
      </c>
      <c r="B167" s="28" t="s">
        <v>26</v>
      </c>
      <c r="C167" s="28" t="s">
        <v>348</v>
      </c>
      <c r="D167" s="28" t="s">
        <v>128</v>
      </c>
      <c r="E167" s="28" t="s">
        <v>889</v>
      </c>
      <c r="F167" s="34" t="str">
        <f>IF(ISBLANK(Table2[[#This Row],[unique_id]]), "", PROPER(SUBSTITUTE(Table2[[#This Row],[unique_id]], "_", " ")))</f>
        <v>Parents Main Bulb 2</v>
      </c>
      <c r="H167" s="28" t="s">
        <v>130</v>
      </c>
      <c r="P167" s="29" t="s">
        <v>736</v>
      </c>
      <c r="Q167" s="28" t="s">
        <v>155</v>
      </c>
      <c r="R167" s="28" t="s">
        <v>708</v>
      </c>
      <c r="S167" s="28" t="str">
        <f>Table2[[#This Row],[entity_domain]]</f>
        <v>Lights</v>
      </c>
      <c r="T167" s="28" t="str">
        <f>_xlfn.CONCAT( Table2[[#This Row],[device_suggested_area]], " ",Table2[[#This Row],[powercalc_group_3]])</f>
        <v>Parents Lights</v>
      </c>
      <c r="U167" s="35"/>
      <c r="V167" s="35"/>
      <c r="W167" s="35"/>
      <c r="X167" s="28"/>
      <c r="AD167" s="29"/>
      <c r="AE167" s="29" t="s">
        <v>455</v>
      </c>
      <c r="AF167" s="45">
        <v>106</v>
      </c>
      <c r="AG167" s="40" t="s">
        <v>704</v>
      </c>
      <c r="AH167" s="40" t="s">
        <v>920</v>
      </c>
      <c r="AI167" s="40"/>
      <c r="AO167" s="29"/>
      <c r="AP167" s="29"/>
      <c r="BA167" s="28"/>
      <c r="BB16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https://zigbee2mqtt.janeandgraham.com/#/device/0x00178801039f69d1</v>
      </c>
      <c r="BD1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parents-main-bulb-2</v>
      </c>
      <c r="BE1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2</v>
      </c>
      <c r="BF1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7" s="28" t="str">
        <f>Table2[[#This Row],[device_suggested_area]]</f>
        <v>Parents</v>
      </c>
      <c r="BI167" s="28" t="str">
        <f>IF(ISBLANK(Table2[[#This Row],[device_model]]), "", Table2[[#This Row],[device_suggested_area]])</f>
        <v>Parents</v>
      </c>
      <c r="BJ167" s="28" t="s">
        <v>945</v>
      </c>
      <c r="BK167" s="28" t="s">
        <v>453</v>
      </c>
      <c r="BL167" s="28" t="s">
        <v>348</v>
      </c>
      <c r="BM167" s="28" t="s">
        <v>1345</v>
      </c>
      <c r="BN167" s="28" t="s">
        <v>454</v>
      </c>
      <c r="BO167" s="28" t="s">
        <v>181</v>
      </c>
      <c r="BT167" s="28" t="s">
        <v>458</v>
      </c>
      <c r="BV1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"0x00178801039f69d1"]]</v>
      </c>
    </row>
    <row r="168" spans="1:74" ht="16" customHeight="1" x14ac:dyDescent="0.2">
      <c r="A168" s="28">
        <v>1635</v>
      </c>
      <c r="B168" s="28" t="s">
        <v>26</v>
      </c>
      <c r="C168" s="28" t="s">
        <v>348</v>
      </c>
      <c r="D168" s="28" t="s">
        <v>128</v>
      </c>
      <c r="E168" s="28" t="s">
        <v>890</v>
      </c>
      <c r="F168" s="34" t="str">
        <f>IF(ISBLANK(Table2[[#This Row],[unique_id]]), "", PROPER(SUBSTITUTE(Table2[[#This Row],[unique_id]], "_", " ")))</f>
        <v>Parents Main Bulb 3</v>
      </c>
      <c r="H168" s="28" t="s">
        <v>130</v>
      </c>
      <c r="P168" s="29" t="s">
        <v>736</v>
      </c>
      <c r="Q168" s="28" t="s">
        <v>155</v>
      </c>
      <c r="R168" s="28" t="s">
        <v>708</v>
      </c>
      <c r="S168" s="28" t="str">
        <f>Table2[[#This Row],[entity_domain]]</f>
        <v>Lights</v>
      </c>
      <c r="T168" s="28" t="str">
        <f>_xlfn.CONCAT( Table2[[#This Row],[device_suggested_area]], " ",Table2[[#This Row],[powercalc_group_3]])</f>
        <v>Parents Lights</v>
      </c>
      <c r="U168" s="35"/>
      <c r="V168" s="35"/>
      <c r="W168" s="35"/>
      <c r="X168" s="28"/>
      <c r="AD168" s="29"/>
      <c r="AE168" s="29" t="s">
        <v>455</v>
      </c>
      <c r="AF168" s="45">
        <v>106</v>
      </c>
      <c r="AG168" s="40" t="s">
        <v>704</v>
      </c>
      <c r="AH168" s="40" t="s">
        <v>920</v>
      </c>
      <c r="AI168" s="40"/>
      <c r="AO168" s="29"/>
      <c r="AP168" s="29"/>
      <c r="BA168" s="28"/>
      <c r="BB16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https://zigbee2mqtt.janeandgraham.com/#/device/0x001788010432a064</v>
      </c>
      <c r="BD16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parents-main-bulb-3</v>
      </c>
      <c r="BE1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3</v>
      </c>
      <c r="BF1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8" s="28" t="str">
        <f>Table2[[#This Row],[device_suggested_area]]</f>
        <v>Parents</v>
      </c>
      <c r="BI168" s="28" t="str">
        <f>IF(ISBLANK(Table2[[#This Row],[device_model]]), "", Table2[[#This Row],[device_suggested_area]])</f>
        <v>Parents</v>
      </c>
      <c r="BJ168" s="28" t="s">
        <v>946</v>
      </c>
      <c r="BK168" s="28" t="s">
        <v>453</v>
      </c>
      <c r="BL168" s="28" t="s">
        <v>348</v>
      </c>
      <c r="BM168" s="28" t="s">
        <v>1345</v>
      </c>
      <c r="BN168" s="28" t="s">
        <v>454</v>
      </c>
      <c r="BO168" s="28" t="s">
        <v>181</v>
      </c>
      <c r="BT168" s="28" t="s">
        <v>459</v>
      </c>
      <c r="BV1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"0x001788010432a064"]]</v>
      </c>
    </row>
    <row r="169" spans="1:74" ht="16" customHeight="1" x14ac:dyDescent="0.2">
      <c r="A169" s="28">
        <v>1636</v>
      </c>
      <c r="B169" s="28" t="s">
        <v>26</v>
      </c>
      <c r="C169" s="28" t="s">
        <v>419</v>
      </c>
      <c r="D169" s="28" t="s">
        <v>128</v>
      </c>
      <c r="E169" s="28" t="s">
        <v>814</v>
      </c>
      <c r="F169" s="34" t="str">
        <f>IF(ISBLANK(Table2[[#This Row],[unique_id]]), "", PROPER(SUBSTITUTE(Table2[[#This Row],[unique_id]], "_", " ")))</f>
        <v>Parents Jane Bedside</v>
      </c>
      <c r="G169" s="28" t="s">
        <v>812</v>
      </c>
      <c r="H169" s="28" t="s">
        <v>130</v>
      </c>
      <c r="I169" s="28" t="s">
        <v>123</v>
      </c>
      <c r="J169" s="28" t="s">
        <v>827</v>
      </c>
      <c r="K169" s="28" t="s">
        <v>831</v>
      </c>
      <c r="N169" s="28" t="s">
        <v>127</v>
      </c>
      <c r="P169" s="29"/>
      <c r="Q169" s="28"/>
      <c r="U169" s="35"/>
      <c r="V169" s="35"/>
      <c r="W169" s="35"/>
      <c r="X169" s="28"/>
      <c r="AD169" s="29"/>
      <c r="AE169" s="29" t="s">
        <v>456</v>
      </c>
      <c r="AF169" s="45">
        <v>119</v>
      </c>
      <c r="AG169" s="40" t="s">
        <v>706</v>
      </c>
      <c r="AH169" s="29" t="s">
        <v>1468</v>
      </c>
      <c r="AM169" s="28" t="s">
        <v>263</v>
      </c>
      <c r="AO169" s="29"/>
      <c r="AP169" s="29"/>
      <c r="BA169" s="28"/>
      <c r="BB169" s="38"/>
      <c r="BD16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parents-jane-bedside</v>
      </c>
      <c r="BE1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Jane Bedside</v>
      </c>
      <c r="BF1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69" s="28" t="str">
        <f>Table2[[#This Row],[device_suggested_area]]</f>
        <v>Parents</v>
      </c>
      <c r="BI169" s="28" t="str">
        <f>IF(ISBLANK(Table2[[#This Row],[device_model]]), "", Table2[[#This Row],[device_suggested_area]])</f>
        <v>Parents</v>
      </c>
      <c r="BJ169" s="28" t="s">
        <v>812</v>
      </c>
      <c r="BK169" s="28" t="s">
        <v>796</v>
      </c>
      <c r="BL169" s="28" t="s">
        <v>419</v>
      </c>
      <c r="BN169" s="28" t="s">
        <v>794</v>
      </c>
      <c r="BO169" s="28" t="s">
        <v>181</v>
      </c>
      <c r="BQ169" s="28" t="s">
        <v>650</v>
      </c>
      <c r="BT169" s="28"/>
      <c r="BV1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0" spans="1:74" ht="16" customHeight="1" x14ac:dyDescent="0.2">
      <c r="A170" s="28">
        <v>1637</v>
      </c>
      <c r="B170" s="28" t="s">
        <v>26</v>
      </c>
      <c r="C170" s="28" t="s">
        <v>419</v>
      </c>
      <c r="D170" s="28" t="s">
        <v>128</v>
      </c>
      <c r="E170" s="28" t="s">
        <v>815</v>
      </c>
      <c r="F170" s="34" t="str">
        <f>IF(ISBLANK(Table2[[#This Row],[unique_id]]), "", PROPER(SUBSTITUTE(Table2[[#This Row],[unique_id]], "_", " ")))</f>
        <v>Parents Jane Bedside Bulb 1</v>
      </c>
      <c r="H170" s="28" t="s">
        <v>130</v>
      </c>
      <c r="P170" s="29" t="s">
        <v>736</v>
      </c>
      <c r="Q170" s="28" t="s">
        <v>155</v>
      </c>
      <c r="R170" s="28" t="s">
        <v>708</v>
      </c>
      <c r="S170" s="28" t="str">
        <f>Table2[[#This Row],[entity_domain]]</f>
        <v>Lights</v>
      </c>
      <c r="T170" s="28" t="str">
        <f>_xlfn.CONCAT( Table2[[#This Row],[device_suggested_area]], " ",Table2[[#This Row],[powercalc_group_3]])</f>
        <v>Parents Lights</v>
      </c>
      <c r="U170" s="35"/>
      <c r="V170" s="35"/>
      <c r="W170" s="35"/>
      <c r="X170" s="28"/>
      <c r="AD170" s="29"/>
      <c r="AE170" s="29" t="s">
        <v>455</v>
      </c>
      <c r="AF170" s="45">
        <v>119</v>
      </c>
      <c r="AG170" s="40" t="s">
        <v>704</v>
      </c>
      <c r="AH170" s="29" t="s">
        <v>1468</v>
      </c>
      <c r="AO170" s="29"/>
      <c r="AP170" s="29"/>
      <c r="BA170" s="28"/>
      <c r="BB170" s="38"/>
      <c r="BD17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parents-jane-bedside-bulb-1</v>
      </c>
      <c r="BE1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Jane Bedside Bulb 1</v>
      </c>
      <c r="BF1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0" s="28" t="str">
        <f>Table2[[#This Row],[device_suggested_area]]</f>
        <v>Parents</v>
      </c>
      <c r="BI170" s="28" t="str">
        <f>IF(ISBLANK(Table2[[#This Row],[device_model]]), "", Table2[[#This Row],[device_suggested_area]])</f>
        <v>Parents</v>
      </c>
      <c r="BJ170" s="28" t="s">
        <v>932</v>
      </c>
      <c r="BK170" s="28" t="s">
        <v>796</v>
      </c>
      <c r="BL170" s="28" t="s">
        <v>419</v>
      </c>
      <c r="BN170" s="28" t="s">
        <v>794</v>
      </c>
      <c r="BO170" s="28" t="s">
        <v>181</v>
      </c>
      <c r="BQ170" s="28" t="s">
        <v>650</v>
      </c>
      <c r="BT170" s="28" t="s">
        <v>800</v>
      </c>
      <c r="BV1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"0x2c1165fffeb07271"]]</v>
      </c>
    </row>
    <row r="171" spans="1:74" ht="16" customHeight="1" x14ac:dyDescent="0.2">
      <c r="A171" s="28">
        <v>1638</v>
      </c>
      <c r="B171" s="28" t="s">
        <v>26</v>
      </c>
      <c r="C171" s="28" t="s">
        <v>419</v>
      </c>
      <c r="D171" s="28" t="s">
        <v>128</v>
      </c>
      <c r="E171" s="28" t="s">
        <v>816</v>
      </c>
      <c r="F171" s="34" t="str">
        <f>IF(ISBLANK(Table2[[#This Row],[unique_id]]), "", PROPER(SUBSTITUTE(Table2[[#This Row],[unique_id]], "_", " ")))</f>
        <v>Parents Graham Bedside</v>
      </c>
      <c r="G171" s="28" t="s">
        <v>813</v>
      </c>
      <c r="H171" s="28" t="s">
        <v>130</v>
      </c>
      <c r="I171" s="28" t="s">
        <v>123</v>
      </c>
      <c r="J171" s="28" t="s">
        <v>828</v>
      </c>
      <c r="K171" s="28" t="s">
        <v>831</v>
      </c>
      <c r="N171" s="28" t="s">
        <v>127</v>
      </c>
      <c r="P171" s="29"/>
      <c r="Q171" s="28"/>
      <c r="U171" s="35"/>
      <c r="V171" s="35"/>
      <c r="W171" s="35"/>
      <c r="X171" s="28"/>
      <c r="AD171" s="29"/>
      <c r="AE171" s="29" t="s">
        <v>456</v>
      </c>
      <c r="AF171" s="45">
        <v>122</v>
      </c>
      <c r="AG171" s="40" t="s">
        <v>706</v>
      </c>
      <c r="AH171" s="29" t="s">
        <v>1468</v>
      </c>
      <c r="AM171" s="28" t="s">
        <v>263</v>
      </c>
      <c r="AO171" s="29"/>
      <c r="AP171" s="29"/>
      <c r="BA171" s="28"/>
      <c r="BB171" s="38"/>
      <c r="BD17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parents-graham-bedside</v>
      </c>
      <c r="BE1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Graham Bedside</v>
      </c>
      <c r="BF1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1" s="28" t="str">
        <f>Table2[[#This Row],[device_suggested_area]]</f>
        <v>Parents</v>
      </c>
      <c r="BI171" s="28" t="str">
        <f>IF(ISBLANK(Table2[[#This Row],[device_model]]), "", Table2[[#This Row],[device_suggested_area]])</f>
        <v>Parents</v>
      </c>
      <c r="BJ171" s="28" t="s">
        <v>813</v>
      </c>
      <c r="BK171" s="28" t="s">
        <v>796</v>
      </c>
      <c r="BL171" s="28" t="s">
        <v>419</v>
      </c>
      <c r="BN171" s="28" t="s">
        <v>794</v>
      </c>
      <c r="BO171" s="28" t="s">
        <v>181</v>
      </c>
      <c r="BQ171" s="28" t="s">
        <v>650</v>
      </c>
      <c r="BT171" s="28"/>
      <c r="BV1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2" spans="1:74" ht="16" customHeight="1" x14ac:dyDescent="0.2">
      <c r="A172" s="28">
        <v>1639</v>
      </c>
      <c r="B172" s="28" t="s">
        <v>26</v>
      </c>
      <c r="C172" s="28" t="s">
        <v>419</v>
      </c>
      <c r="D172" s="28" t="s">
        <v>128</v>
      </c>
      <c r="E172" s="28" t="s">
        <v>817</v>
      </c>
      <c r="F172" s="34" t="str">
        <f>IF(ISBLANK(Table2[[#This Row],[unique_id]]), "", PROPER(SUBSTITUTE(Table2[[#This Row],[unique_id]], "_", " ")))</f>
        <v>Parents Graham Bedside Bulb 1</v>
      </c>
      <c r="H172" s="28" t="s">
        <v>130</v>
      </c>
      <c r="P172" s="29" t="s">
        <v>736</v>
      </c>
      <c r="Q172" s="28" t="s">
        <v>155</v>
      </c>
      <c r="R172" s="28" t="s">
        <v>708</v>
      </c>
      <c r="S172" s="28" t="str">
        <f>Table2[[#This Row],[entity_domain]]</f>
        <v>Lights</v>
      </c>
      <c r="T172" s="28" t="str">
        <f>_xlfn.CONCAT( Table2[[#This Row],[device_suggested_area]], " ",Table2[[#This Row],[powercalc_group_3]])</f>
        <v>Parents Lights</v>
      </c>
      <c r="U172" s="35"/>
      <c r="V172" s="35"/>
      <c r="W172" s="35"/>
      <c r="X172" s="28"/>
      <c r="AD172" s="29"/>
      <c r="AE172" s="29" t="s">
        <v>455</v>
      </c>
      <c r="AF172" s="45">
        <v>122</v>
      </c>
      <c r="AG172" s="40" t="s">
        <v>704</v>
      </c>
      <c r="AH172" s="29" t="s">
        <v>1468</v>
      </c>
      <c r="AO172" s="29"/>
      <c r="AP172" s="29"/>
      <c r="BA172" s="28"/>
      <c r="BB172" s="38"/>
      <c r="BD1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parents-graham-bedside-bulb-1</v>
      </c>
      <c r="BE1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Graham Bedside Bulb 1</v>
      </c>
      <c r="BF1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2" s="28" t="str">
        <f>Table2[[#This Row],[device_suggested_area]]</f>
        <v>Parents</v>
      </c>
      <c r="BI172" s="28" t="str">
        <f>IF(ISBLANK(Table2[[#This Row],[device_model]]), "", Table2[[#This Row],[device_suggested_area]])</f>
        <v>Parents</v>
      </c>
      <c r="BJ172" s="28" t="s">
        <v>933</v>
      </c>
      <c r="BK172" s="28" t="s">
        <v>796</v>
      </c>
      <c r="BL172" s="28" t="s">
        <v>419</v>
      </c>
      <c r="BN172" s="28" t="s">
        <v>794</v>
      </c>
      <c r="BO172" s="28" t="s">
        <v>181</v>
      </c>
      <c r="BQ172" s="28" t="s">
        <v>650</v>
      </c>
      <c r="BT172" s="28" t="s">
        <v>799</v>
      </c>
      <c r="BV1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"0x2c1165fffea8c4d8"]]</v>
      </c>
    </row>
    <row r="173" spans="1:74" ht="16" customHeight="1" x14ac:dyDescent="0.2">
      <c r="A173" s="28">
        <v>1640</v>
      </c>
      <c r="B173" s="28" t="s">
        <v>26</v>
      </c>
      <c r="C173" s="28" t="s">
        <v>348</v>
      </c>
      <c r="D173" s="28" t="s">
        <v>128</v>
      </c>
      <c r="E173" s="28" t="s">
        <v>689</v>
      </c>
      <c r="F173" s="34" t="str">
        <f>IF(ISBLANK(Table2[[#This Row],[unique_id]]), "", PROPER(SUBSTITUTE(Table2[[#This Row],[unique_id]], "_", " ")))</f>
        <v>Study Lamp</v>
      </c>
      <c r="G173" s="28" t="s">
        <v>690</v>
      </c>
      <c r="H173" s="28" t="s">
        <v>130</v>
      </c>
      <c r="I173" s="28" t="s">
        <v>123</v>
      </c>
      <c r="K173" s="28" t="s">
        <v>833</v>
      </c>
      <c r="N173" s="28" t="s">
        <v>127</v>
      </c>
      <c r="P173" s="29"/>
      <c r="Q173" s="28"/>
      <c r="U173" s="35"/>
      <c r="V173" s="35"/>
      <c r="W173" s="35"/>
      <c r="X173" s="28"/>
      <c r="AD173" s="29"/>
      <c r="AE173" s="29" t="s">
        <v>456</v>
      </c>
      <c r="AF173" s="45">
        <v>117</v>
      </c>
      <c r="AG173" s="40" t="s">
        <v>706</v>
      </c>
      <c r="AH173" s="40" t="s">
        <v>919</v>
      </c>
      <c r="AI173" s="40"/>
      <c r="AM173" s="28" t="s">
        <v>263</v>
      </c>
      <c r="AO173" s="29"/>
      <c r="AP173" s="29"/>
      <c r="BA173" s="28"/>
      <c r="BB17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https://zigbee2mqtt.janeandgraham.com/#/group/117</v>
      </c>
      <c r="BD1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study-lamp</v>
      </c>
      <c r="BE1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Lamp</v>
      </c>
      <c r="BF1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3" s="28" t="str">
        <f>Table2[[#This Row],[device_suggested_area]]</f>
        <v>Study</v>
      </c>
      <c r="BI173" s="28" t="str">
        <f>IF(ISBLANK(Table2[[#This Row],[device_model]]), "", Table2[[#This Row],[device_suggested_area]])</f>
        <v>Study</v>
      </c>
      <c r="BJ173" s="28" t="s">
        <v>488</v>
      </c>
      <c r="BK173" s="28" t="s">
        <v>453</v>
      </c>
      <c r="BL173" s="28" t="s">
        <v>348</v>
      </c>
      <c r="BM173" s="28" t="s">
        <v>1345</v>
      </c>
      <c r="BN173" s="28" t="s">
        <v>454</v>
      </c>
      <c r="BO173" s="28" t="s">
        <v>327</v>
      </c>
      <c r="BQ173" s="28" t="s">
        <v>650</v>
      </c>
      <c r="BT173" s="28"/>
      <c r="BV1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4" spans="1:74" ht="16" customHeight="1" x14ac:dyDescent="0.2">
      <c r="A174" s="28">
        <v>1641</v>
      </c>
      <c r="B174" s="28" t="s">
        <v>26</v>
      </c>
      <c r="C174" s="28" t="s">
        <v>348</v>
      </c>
      <c r="D174" s="28" t="s">
        <v>128</v>
      </c>
      <c r="E174" s="28" t="s">
        <v>891</v>
      </c>
      <c r="F174" s="34" t="str">
        <f>IF(ISBLANK(Table2[[#This Row],[unique_id]]), "", PROPER(SUBSTITUTE(Table2[[#This Row],[unique_id]], "_", " ")))</f>
        <v>Study Lamp Bulb 1</v>
      </c>
      <c r="H174" s="28" t="s">
        <v>130</v>
      </c>
      <c r="P174" s="29" t="s">
        <v>736</v>
      </c>
      <c r="Q174" s="28" t="s">
        <v>155</v>
      </c>
      <c r="R174" s="28" t="s">
        <v>708</v>
      </c>
      <c r="S174" s="28" t="str">
        <f>Table2[[#This Row],[entity_domain]]</f>
        <v>Lights</v>
      </c>
      <c r="T174" s="28" t="str">
        <f>_xlfn.CONCAT( Table2[[#This Row],[device_suggested_area]], " ",Table2[[#This Row],[powercalc_group_3]])</f>
        <v>Study Lights</v>
      </c>
      <c r="U174" s="35"/>
      <c r="V174" s="35"/>
      <c r="W174" s="35"/>
      <c r="X174" s="28"/>
      <c r="AD174" s="29"/>
      <c r="AE174" s="29" t="s">
        <v>455</v>
      </c>
      <c r="AF174" s="45">
        <v>117</v>
      </c>
      <c r="AG174" s="40" t="s">
        <v>704</v>
      </c>
      <c r="AH174" s="40" t="s">
        <v>919</v>
      </c>
      <c r="AI174" s="40"/>
      <c r="AO174" s="29"/>
      <c r="AP174" s="29"/>
      <c r="BA174" s="28"/>
      <c r="BB17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https://zigbee2mqtt.janeandgraham.com/#/device/0x00178801040e2034</v>
      </c>
      <c r="BD1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study-lamp-bulb-1</v>
      </c>
      <c r="BE1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Lamp Bulb 1</v>
      </c>
      <c r="BF1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4" s="28" t="str">
        <f>Table2[[#This Row],[device_suggested_area]]</f>
        <v>Study</v>
      </c>
      <c r="BI174" s="28" t="str">
        <f>IF(ISBLANK(Table2[[#This Row],[device_model]]), "", Table2[[#This Row],[device_suggested_area]])</f>
        <v>Study</v>
      </c>
      <c r="BJ174" s="28" t="s">
        <v>941</v>
      </c>
      <c r="BK174" s="28" t="s">
        <v>453</v>
      </c>
      <c r="BL174" s="28" t="s">
        <v>348</v>
      </c>
      <c r="BM174" s="28" t="s">
        <v>1345</v>
      </c>
      <c r="BN174" s="28" t="s">
        <v>454</v>
      </c>
      <c r="BO174" s="28" t="s">
        <v>327</v>
      </c>
      <c r="BQ174" s="28" t="s">
        <v>650</v>
      </c>
      <c r="BT174" s="28" t="s">
        <v>691</v>
      </c>
      <c r="BV1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"0x00178801040e2034"]]</v>
      </c>
    </row>
    <row r="175" spans="1:74" ht="16" customHeight="1" x14ac:dyDescent="0.2">
      <c r="A175" s="28">
        <v>1642</v>
      </c>
      <c r="B175" s="28" t="s">
        <v>26</v>
      </c>
      <c r="C175" s="28" t="s">
        <v>348</v>
      </c>
      <c r="D175" s="28" t="s">
        <v>128</v>
      </c>
      <c r="E175" s="28" t="s">
        <v>271</v>
      </c>
      <c r="F175" s="34" t="str">
        <f>IF(ISBLANK(Table2[[#This Row],[unique_id]]), "", PROPER(SUBSTITUTE(Table2[[#This Row],[unique_id]], "_", " ")))</f>
        <v>Kitchen Main</v>
      </c>
      <c r="G175" s="28" t="s">
        <v>191</v>
      </c>
      <c r="H175" s="28" t="s">
        <v>130</v>
      </c>
      <c r="I175" s="28" t="s">
        <v>123</v>
      </c>
      <c r="J175" s="37" t="s">
        <v>672</v>
      </c>
      <c r="K175" s="28" t="s">
        <v>829</v>
      </c>
      <c r="N175" s="28" t="s">
        <v>127</v>
      </c>
      <c r="P175" s="29"/>
      <c r="Q175" s="28"/>
      <c r="U175" s="35"/>
      <c r="V175" s="35"/>
      <c r="W175" s="35"/>
      <c r="X175" s="28"/>
      <c r="AD175" s="29"/>
      <c r="AE175" s="29" t="s">
        <v>456</v>
      </c>
      <c r="AF175" s="45">
        <v>107</v>
      </c>
      <c r="AG175" s="40" t="s">
        <v>706</v>
      </c>
      <c r="AH175" s="40" t="s">
        <v>919</v>
      </c>
      <c r="AI175" s="40"/>
      <c r="AM175" s="28" t="s">
        <v>263</v>
      </c>
      <c r="AO175" s="29"/>
      <c r="AP175" s="29"/>
      <c r="BA175" s="28"/>
      <c r="BB17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https://zigbee2mqtt.janeandgraham.com/#/group/107</v>
      </c>
      <c r="BD1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</v>
      </c>
      <c r="BE1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</v>
      </c>
      <c r="BF1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5" s="28" t="str">
        <f>Table2[[#This Row],[device_suggested_area]]</f>
        <v>Kitchen</v>
      </c>
      <c r="BI175" s="28" t="str">
        <f>IF(ISBLANK(Table2[[#This Row],[device_model]]), "", Table2[[#This Row],[device_suggested_area]])</f>
        <v>Kitchen</v>
      </c>
      <c r="BJ175" s="28" t="s">
        <v>943</v>
      </c>
      <c r="BK175" s="28" t="s">
        <v>529</v>
      </c>
      <c r="BL175" s="28" t="s">
        <v>348</v>
      </c>
      <c r="BM175" s="28" t="s">
        <v>1345</v>
      </c>
      <c r="BN175" s="28" t="s">
        <v>526</v>
      </c>
      <c r="BO175" s="28" t="s">
        <v>195</v>
      </c>
      <c r="BT175" s="28"/>
      <c r="BV1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6" spans="1:74" ht="16" customHeight="1" x14ac:dyDescent="0.2">
      <c r="A176" s="28">
        <v>1643</v>
      </c>
      <c r="B176" s="28" t="s">
        <v>26</v>
      </c>
      <c r="C176" s="28" t="s">
        <v>348</v>
      </c>
      <c r="D176" s="28" t="s">
        <v>128</v>
      </c>
      <c r="E176" s="28" t="s">
        <v>892</v>
      </c>
      <c r="F176" s="34" t="str">
        <f>IF(ISBLANK(Table2[[#This Row],[unique_id]]), "", PROPER(SUBSTITUTE(Table2[[#This Row],[unique_id]], "_", " ")))</f>
        <v>Kitchen Main Bulb 1</v>
      </c>
      <c r="H176" s="28" t="s">
        <v>130</v>
      </c>
      <c r="P176" s="29" t="s">
        <v>736</v>
      </c>
      <c r="Q176" s="28" t="s">
        <v>155</v>
      </c>
      <c r="R176" s="28" t="s">
        <v>708</v>
      </c>
      <c r="S176" s="28" t="str">
        <f>Table2[[#This Row],[entity_domain]]</f>
        <v>Lights</v>
      </c>
      <c r="T176" s="28" t="str">
        <f>_xlfn.CONCAT( Table2[[#This Row],[device_suggested_area]], " ",Table2[[#This Row],[powercalc_group_3]])</f>
        <v>Kitchen Lights</v>
      </c>
      <c r="U176" s="35"/>
      <c r="V176" s="35"/>
      <c r="W176" s="35"/>
      <c r="X176" s="28"/>
      <c r="AD176" s="29"/>
      <c r="AE176" s="29" t="s">
        <v>455</v>
      </c>
      <c r="AF176" s="45">
        <v>107</v>
      </c>
      <c r="AG176" s="40" t="s">
        <v>704</v>
      </c>
      <c r="AH176" s="40" t="s">
        <v>919</v>
      </c>
      <c r="AI176" s="40"/>
      <c r="AO176" s="29"/>
      <c r="AP176" s="29"/>
      <c r="BA176" s="28"/>
      <c r="BB17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https://zigbee2mqtt.janeandgraham.com/#/device/0x00178801040f8db2</v>
      </c>
      <c r="BD1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kitchen-main-bulb-1</v>
      </c>
      <c r="BE1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1</v>
      </c>
      <c r="BF1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6" s="28" t="str">
        <f>Table2[[#This Row],[device_suggested_area]]</f>
        <v>Kitchen</v>
      </c>
      <c r="BI176" s="28" t="str">
        <f>IF(ISBLANK(Table2[[#This Row],[device_model]]), "", Table2[[#This Row],[device_suggested_area]])</f>
        <v>Kitchen</v>
      </c>
      <c r="BJ176" s="28" t="s">
        <v>944</v>
      </c>
      <c r="BK176" s="28" t="s">
        <v>529</v>
      </c>
      <c r="BL176" s="28" t="s">
        <v>348</v>
      </c>
      <c r="BM176" s="28" t="s">
        <v>1345</v>
      </c>
      <c r="BN176" s="28" t="s">
        <v>526</v>
      </c>
      <c r="BO176" s="28" t="s">
        <v>195</v>
      </c>
      <c r="BT176" s="28" t="s">
        <v>476</v>
      </c>
      <c r="BV1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"0x00178801040f8db2"]]</v>
      </c>
    </row>
    <row r="177" spans="1:74" ht="16" customHeight="1" x14ac:dyDescent="0.2">
      <c r="A177" s="28">
        <v>1644</v>
      </c>
      <c r="B177" s="28" t="s">
        <v>26</v>
      </c>
      <c r="C177" s="28" t="s">
        <v>348</v>
      </c>
      <c r="D177" s="28" t="s">
        <v>128</v>
      </c>
      <c r="E177" s="28" t="s">
        <v>893</v>
      </c>
      <c r="F177" s="34" t="str">
        <f>IF(ISBLANK(Table2[[#This Row],[unique_id]]), "", PROPER(SUBSTITUTE(Table2[[#This Row],[unique_id]], "_", " ")))</f>
        <v>Kitchen Main Bulb 2</v>
      </c>
      <c r="H177" s="28" t="s">
        <v>130</v>
      </c>
      <c r="P177" s="29" t="s">
        <v>736</v>
      </c>
      <c r="Q177" s="28" t="s">
        <v>155</v>
      </c>
      <c r="R177" s="28" t="s">
        <v>708</v>
      </c>
      <c r="S177" s="28" t="str">
        <f>Table2[[#This Row],[entity_domain]]</f>
        <v>Lights</v>
      </c>
      <c r="T177" s="28" t="str">
        <f>_xlfn.CONCAT( Table2[[#This Row],[device_suggested_area]], " ",Table2[[#This Row],[powercalc_group_3]])</f>
        <v>Kitchen Lights</v>
      </c>
      <c r="U177" s="35"/>
      <c r="V177" s="35"/>
      <c r="W177" s="35"/>
      <c r="X177" s="28"/>
      <c r="AD177" s="29"/>
      <c r="AE177" s="29" t="s">
        <v>455</v>
      </c>
      <c r="AF177" s="45">
        <v>107</v>
      </c>
      <c r="AG177" s="40" t="s">
        <v>704</v>
      </c>
      <c r="AH177" s="40" t="s">
        <v>919</v>
      </c>
      <c r="AI177" s="40"/>
      <c r="AO177" s="29"/>
      <c r="AP177" s="29"/>
      <c r="BA177" s="28"/>
      <c r="BB17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https://zigbee2mqtt.janeandgraham.com/#/device/0x001788010343c34f</v>
      </c>
      <c r="BD1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kitchen-main-bulb-2</v>
      </c>
      <c r="BE1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2</v>
      </c>
      <c r="BF1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7" s="28" t="str">
        <f>Table2[[#This Row],[device_suggested_area]]</f>
        <v>Kitchen</v>
      </c>
      <c r="BI177" s="28" t="str">
        <f>IF(ISBLANK(Table2[[#This Row],[device_model]]), "", Table2[[#This Row],[device_suggested_area]])</f>
        <v>Kitchen</v>
      </c>
      <c r="BJ177" s="28" t="s">
        <v>945</v>
      </c>
      <c r="BK177" s="28" t="s">
        <v>529</v>
      </c>
      <c r="BL177" s="28" t="s">
        <v>348</v>
      </c>
      <c r="BM177" s="28" t="s">
        <v>1345</v>
      </c>
      <c r="BN177" s="28" t="s">
        <v>526</v>
      </c>
      <c r="BO177" s="28" t="s">
        <v>195</v>
      </c>
      <c r="BT177" s="28" t="s">
        <v>477</v>
      </c>
      <c r="BV1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"0x001788010343c34f"]]</v>
      </c>
    </row>
    <row r="178" spans="1:74" ht="16" customHeight="1" x14ac:dyDescent="0.2">
      <c r="A178" s="28">
        <v>1645</v>
      </c>
      <c r="B178" s="28" t="s">
        <v>26</v>
      </c>
      <c r="C178" s="28" t="s">
        <v>348</v>
      </c>
      <c r="D178" s="28" t="s">
        <v>128</v>
      </c>
      <c r="E178" s="28" t="s">
        <v>894</v>
      </c>
      <c r="F178" s="34" t="str">
        <f>IF(ISBLANK(Table2[[#This Row],[unique_id]]), "", PROPER(SUBSTITUTE(Table2[[#This Row],[unique_id]], "_", " ")))</f>
        <v>Kitchen Main Bulb 3</v>
      </c>
      <c r="H178" s="28" t="s">
        <v>130</v>
      </c>
      <c r="P178" s="29" t="s">
        <v>736</v>
      </c>
      <c r="Q178" s="28" t="s">
        <v>155</v>
      </c>
      <c r="R178" s="28" t="s">
        <v>708</v>
      </c>
      <c r="S178" s="28" t="str">
        <f>Table2[[#This Row],[entity_domain]]</f>
        <v>Lights</v>
      </c>
      <c r="T178" s="28" t="str">
        <f>_xlfn.CONCAT( Table2[[#This Row],[device_suggested_area]], " ",Table2[[#This Row],[powercalc_group_3]])</f>
        <v>Kitchen Lights</v>
      </c>
      <c r="U178" s="35"/>
      <c r="V178" s="35"/>
      <c r="W178" s="35"/>
      <c r="X178" s="28"/>
      <c r="AD178" s="29"/>
      <c r="AE178" s="29" t="s">
        <v>455</v>
      </c>
      <c r="AF178" s="45">
        <v>107</v>
      </c>
      <c r="AG178" s="40" t="s">
        <v>704</v>
      </c>
      <c r="AH178" s="40" t="s">
        <v>919</v>
      </c>
      <c r="AI178" s="40"/>
      <c r="AO178" s="29"/>
      <c r="AP178" s="29"/>
      <c r="BA178" s="28"/>
      <c r="BB17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https://zigbee2mqtt.janeandgraham.com/#/device/0x001788010343c147</v>
      </c>
      <c r="BD17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kitchen-main-bulb-3</v>
      </c>
      <c r="BE1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3</v>
      </c>
      <c r="BF1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8" s="28" t="str">
        <f>Table2[[#This Row],[device_suggested_area]]</f>
        <v>Kitchen</v>
      </c>
      <c r="BI178" s="28" t="str">
        <f>IF(ISBLANK(Table2[[#This Row],[device_model]]), "", Table2[[#This Row],[device_suggested_area]])</f>
        <v>Kitchen</v>
      </c>
      <c r="BJ178" s="28" t="s">
        <v>946</v>
      </c>
      <c r="BK178" s="28" t="s">
        <v>529</v>
      </c>
      <c r="BL178" s="28" t="s">
        <v>348</v>
      </c>
      <c r="BM178" s="28" t="s">
        <v>1345</v>
      </c>
      <c r="BN178" s="28" t="s">
        <v>526</v>
      </c>
      <c r="BO178" s="28" t="s">
        <v>195</v>
      </c>
      <c r="BT178" s="28" t="s">
        <v>478</v>
      </c>
      <c r="BV1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"0x001788010343c147"]]</v>
      </c>
    </row>
    <row r="179" spans="1:74" ht="16" customHeight="1" x14ac:dyDescent="0.2">
      <c r="A179" s="28">
        <v>1646</v>
      </c>
      <c r="B179" s="28" t="s">
        <v>26</v>
      </c>
      <c r="C179" s="28" t="s">
        <v>348</v>
      </c>
      <c r="D179" s="28" t="s">
        <v>128</v>
      </c>
      <c r="E179" s="28" t="s">
        <v>895</v>
      </c>
      <c r="F179" s="34" t="str">
        <f>IF(ISBLANK(Table2[[#This Row],[unique_id]]), "", PROPER(SUBSTITUTE(Table2[[#This Row],[unique_id]], "_", " ")))</f>
        <v>Kitchen Main Bulb 4</v>
      </c>
      <c r="H179" s="28" t="s">
        <v>130</v>
      </c>
      <c r="P179" s="29" t="s">
        <v>736</v>
      </c>
      <c r="Q179" s="28" t="s">
        <v>155</v>
      </c>
      <c r="R179" s="28" t="s">
        <v>708</v>
      </c>
      <c r="S179" s="28" t="str">
        <f>Table2[[#This Row],[entity_domain]]</f>
        <v>Lights</v>
      </c>
      <c r="T179" s="28" t="str">
        <f>_xlfn.CONCAT( Table2[[#This Row],[device_suggested_area]], " ",Table2[[#This Row],[powercalc_group_3]])</f>
        <v>Kitchen Lights</v>
      </c>
      <c r="U179" s="35"/>
      <c r="V179" s="35"/>
      <c r="W179" s="35"/>
      <c r="X179" s="28"/>
      <c r="AD179" s="29"/>
      <c r="AE179" s="29" t="s">
        <v>455</v>
      </c>
      <c r="AF179" s="45">
        <v>107</v>
      </c>
      <c r="AG179" s="40" t="s">
        <v>704</v>
      </c>
      <c r="AH179" s="40" t="s">
        <v>919</v>
      </c>
      <c r="AI179" s="40"/>
      <c r="AO179" s="29"/>
      <c r="AP179" s="29"/>
      <c r="BA179" s="28"/>
      <c r="BB17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https://zigbee2mqtt.janeandgraham.com/#/device/0x001788010343b9d8</v>
      </c>
      <c r="BD17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kitchen-main-bulb-4</v>
      </c>
      <c r="BE1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4</v>
      </c>
      <c r="BF1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79" s="28" t="str">
        <f>Table2[[#This Row],[device_suggested_area]]</f>
        <v>Kitchen</v>
      </c>
      <c r="BI179" s="28" t="str">
        <f>IF(ISBLANK(Table2[[#This Row],[device_model]]), "", Table2[[#This Row],[device_suggested_area]])</f>
        <v>Kitchen</v>
      </c>
      <c r="BJ179" s="28" t="s">
        <v>947</v>
      </c>
      <c r="BK179" s="28" t="s">
        <v>529</v>
      </c>
      <c r="BL179" s="28" t="s">
        <v>348</v>
      </c>
      <c r="BM179" s="28" t="s">
        <v>1345</v>
      </c>
      <c r="BN179" s="28" t="s">
        <v>526</v>
      </c>
      <c r="BO179" s="28" t="s">
        <v>195</v>
      </c>
      <c r="BT179" s="28" t="s">
        <v>479</v>
      </c>
      <c r="BV1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"0x001788010343b9d8"]]</v>
      </c>
    </row>
    <row r="180" spans="1:74" ht="16" customHeight="1" x14ac:dyDescent="0.2">
      <c r="A180" s="28">
        <v>1647</v>
      </c>
      <c r="B180" s="28" t="s">
        <v>26</v>
      </c>
      <c r="C180" s="28" t="s">
        <v>658</v>
      </c>
      <c r="D180" s="28" t="s">
        <v>128</v>
      </c>
      <c r="E180" s="28" t="s">
        <v>1155</v>
      </c>
      <c r="F180" s="34" t="str">
        <f>IF(ISBLANK(Table2[[#This Row],[unique_id]]), "", PROPER(SUBSTITUTE(Table2[[#This Row],[unique_id]], "_", " ")))</f>
        <v>Kitchen Bench Lights Plug</v>
      </c>
      <c r="G180" s="28" t="s">
        <v>1156</v>
      </c>
      <c r="H180" s="28" t="s">
        <v>130</v>
      </c>
      <c r="I180" s="28" t="s">
        <v>123</v>
      </c>
      <c r="J180" s="28" t="s">
        <v>1158</v>
      </c>
      <c r="N180" s="28" t="s">
        <v>127</v>
      </c>
      <c r="P180" s="29" t="s">
        <v>736</v>
      </c>
      <c r="Q180" s="28" t="s">
        <v>155</v>
      </c>
      <c r="R180" s="28" t="s">
        <v>708</v>
      </c>
      <c r="S180" s="28" t="str">
        <f>Table2[[#This Row],[entity_domain]]</f>
        <v>Lights</v>
      </c>
      <c r="T180" s="28" t="str">
        <f>_xlfn.CONCAT( Table2[[#This Row],[device_suggested_area]], " ",Table2[[#This Row],[powercalc_group_3]])</f>
        <v>Kitchen Lights</v>
      </c>
      <c r="U180" s="35" t="s">
        <v>925</v>
      </c>
      <c r="V180" s="35"/>
      <c r="W180" s="35"/>
      <c r="X180" s="28"/>
      <c r="AD180" s="29"/>
      <c r="AE180" s="29"/>
      <c r="AF180" s="29"/>
      <c r="AG180" s="29"/>
      <c r="AI180" s="29" t="s">
        <v>1502</v>
      </c>
      <c r="AM180" s="28" t="s">
        <v>263</v>
      </c>
      <c r="AN180" s="28">
        <v>10</v>
      </c>
      <c r="AO180" s="29" t="s">
        <v>34</v>
      </c>
      <c r="AP180" s="29" t="s">
        <v>844</v>
      </c>
      <c r="AQ180" s="28" t="s">
        <v>1155</v>
      </c>
      <c r="AR180" s="28" t="str">
        <f>_xlfn.CONCAT("homeassistant/", Table2[[#This Row],[entity_namespace]], "/tasmota/",Table2[[#This Row],[unique_id]], "/config")</f>
        <v>homeassistant/light/tasmota/kitchen_bench_lights_plug/config</v>
      </c>
      <c r="AS180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tasmota/device/kitchen_bench_lights_plug/stat/POWER</v>
      </c>
      <c r="AT180" s="28" t="str">
        <f>_xlfn.CONCAT("tasmota/device/",Table2[[#This Row],[unique_id]], "/cmnd/POWER")</f>
        <v>tasmota/device/kitchen_bench_lights_plug/cmnd/POWER</v>
      </c>
      <c r="AU180" s="28" t="str">
        <f>_xlfn.CONCAT("tasmota/device/", ,SUBSTITUTE(SUBSTITUTE(SUBSTITUTE(SUBSTITUTE(Table2[[#This Row],[unique_id]], "_energy_power", ""), "_energy_total", ""), "_temperature", ""), "_humidity", ""), "/tele/LWT")</f>
        <v>tasmota/device/kitchen_bench_lights_plug/tele/LWT</v>
      </c>
      <c r="AV180" s="28" t="s">
        <v>863</v>
      </c>
      <c r="AW180" s="28" t="s">
        <v>864</v>
      </c>
      <c r="AX180" s="28" t="s">
        <v>853</v>
      </c>
      <c r="AY180" s="28" t="s">
        <v>854</v>
      </c>
      <c r="AZ180" s="28" t="s">
        <v>917</v>
      </c>
      <c r="BA180" s="28">
        <v>1</v>
      </c>
      <c r="BB180" s="32" t="str">
        <f>HYPERLINK(_xlfn.CONCAT("http://", Table2[[#This Row],[connection_ip]], "/?"))</f>
        <v>http://10.0.4.103/?</v>
      </c>
      <c r="BD18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sonoff-kitchen-bench-lights</v>
      </c>
      <c r="BE1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Bench Lights</v>
      </c>
      <c r="BF1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Bench Lights Kitchen Bench Lights Plug</v>
      </c>
      <c r="BG1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180" s="28" t="str">
        <f>IF(ISBLANK(Table2[[#This Row],[device_model]]), "", Table2[[#This Row],[device_suggested_area]])</f>
        <v>Kitchen</v>
      </c>
      <c r="BJ180" s="28" t="s">
        <v>1157</v>
      </c>
      <c r="BK180" s="28" t="s">
        <v>715</v>
      </c>
      <c r="BL180" s="28" t="s">
        <v>1053</v>
      </c>
      <c r="BN180" s="28" t="s">
        <v>835</v>
      </c>
      <c r="BO180" s="28" t="s">
        <v>195</v>
      </c>
      <c r="BS180" s="28" t="s">
        <v>1186</v>
      </c>
      <c r="BT180" s="28" t="s">
        <v>866</v>
      </c>
      <c r="BU180" s="28" t="s">
        <v>1212</v>
      </c>
      <c r="BV1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"4c:eb:d6:b5:f4:6c"], ["ip", "10.0.4.103"]]</v>
      </c>
    </row>
    <row r="181" spans="1:74" ht="16" customHeight="1" x14ac:dyDescent="0.2">
      <c r="A181" s="28">
        <v>1648</v>
      </c>
      <c r="B181" s="28" t="s">
        <v>26</v>
      </c>
      <c r="C181" s="28" t="s">
        <v>348</v>
      </c>
      <c r="D181" s="28" t="s">
        <v>128</v>
      </c>
      <c r="E181" s="28" t="s">
        <v>272</v>
      </c>
      <c r="F181" s="34" t="str">
        <f>IF(ISBLANK(Table2[[#This Row],[unique_id]]), "", PROPER(SUBSTITUTE(Table2[[#This Row],[unique_id]], "_", " ")))</f>
        <v>Laundry Main</v>
      </c>
      <c r="G181" s="28" t="s">
        <v>193</v>
      </c>
      <c r="H181" s="28" t="s">
        <v>130</v>
      </c>
      <c r="I181" s="28" t="s">
        <v>123</v>
      </c>
      <c r="J181" s="28" t="s">
        <v>671</v>
      </c>
      <c r="K181" s="28" t="s">
        <v>829</v>
      </c>
      <c r="N181" s="28" t="s">
        <v>127</v>
      </c>
      <c r="P181" s="29"/>
      <c r="Q181" s="28"/>
      <c r="U181" s="35"/>
      <c r="V181" s="35"/>
      <c r="W181" s="35"/>
      <c r="X181" s="28"/>
      <c r="AD181" s="29"/>
      <c r="AE181" s="29" t="s">
        <v>456</v>
      </c>
      <c r="AF181" s="45">
        <v>108</v>
      </c>
      <c r="AG181" s="40" t="s">
        <v>706</v>
      </c>
      <c r="AH181" s="40" t="s">
        <v>919</v>
      </c>
      <c r="AI181" s="40"/>
      <c r="AM181" s="28" t="s">
        <v>263</v>
      </c>
      <c r="AO181" s="29"/>
      <c r="AP181" s="29"/>
      <c r="BA181" s="28"/>
      <c r="BB18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https://zigbee2mqtt.janeandgraham.com/#/group/108</v>
      </c>
      <c r="BD18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laundry-main</v>
      </c>
      <c r="BE1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Main</v>
      </c>
      <c r="BF1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1" s="28" t="str">
        <f>Table2[[#This Row],[device_suggested_area]]</f>
        <v>Laundry</v>
      </c>
      <c r="BI181" s="28" t="str">
        <f>IF(ISBLANK(Table2[[#This Row],[device_model]]), "", Table2[[#This Row],[device_suggested_area]])</f>
        <v>Laundry</v>
      </c>
      <c r="BJ181" s="28" t="s">
        <v>943</v>
      </c>
      <c r="BK181" s="28" t="s">
        <v>453</v>
      </c>
      <c r="BL181" s="28" t="s">
        <v>348</v>
      </c>
      <c r="BM181" s="28" t="s">
        <v>1345</v>
      </c>
      <c r="BN181" s="28" t="s">
        <v>454</v>
      </c>
      <c r="BO181" s="28" t="s">
        <v>202</v>
      </c>
      <c r="BT181" s="28"/>
      <c r="BV1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2" spans="1:74" ht="16" customHeight="1" x14ac:dyDescent="0.2">
      <c r="A182" s="28">
        <v>1649</v>
      </c>
      <c r="B182" s="28" t="s">
        <v>26</v>
      </c>
      <c r="C182" s="28" t="s">
        <v>348</v>
      </c>
      <c r="D182" s="28" t="s">
        <v>128</v>
      </c>
      <c r="E182" s="28" t="s">
        <v>896</v>
      </c>
      <c r="F182" s="34" t="str">
        <f>IF(ISBLANK(Table2[[#This Row],[unique_id]]), "", PROPER(SUBSTITUTE(Table2[[#This Row],[unique_id]], "_", " ")))</f>
        <v>Laundry Main Bulb 1</v>
      </c>
      <c r="H182" s="28" t="s">
        <v>130</v>
      </c>
      <c r="P182" s="29" t="s">
        <v>736</v>
      </c>
      <c r="Q182" s="28" t="s">
        <v>155</v>
      </c>
      <c r="R182" s="28" t="s">
        <v>708</v>
      </c>
      <c r="S182" s="28" t="str">
        <f>Table2[[#This Row],[entity_domain]]</f>
        <v>Lights</v>
      </c>
      <c r="T182" s="28" t="str">
        <f>_xlfn.CONCAT( Table2[[#This Row],[device_suggested_area]], " ",Table2[[#This Row],[powercalc_group_3]])</f>
        <v>Laundry Lights</v>
      </c>
      <c r="U182" s="35"/>
      <c r="V182" s="35"/>
      <c r="W182" s="35"/>
      <c r="X182" s="28"/>
      <c r="AD182" s="29"/>
      <c r="AE182" s="29" t="s">
        <v>455</v>
      </c>
      <c r="AF182" s="45">
        <v>108</v>
      </c>
      <c r="AG182" s="40" t="s">
        <v>704</v>
      </c>
      <c r="AH182" s="40" t="s">
        <v>919</v>
      </c>
      <c r="AI182" s="40"/>
      <c r="AO182" s="29"/>
      <c r="AP182" s="29"/>
      <c r="BA182" s="28"/>
      <c r="BB18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https://zigbee2mqtt.janeandgraham.com/#/device/0x0017880104eaa288</v>
      </c>
      <c r="BD1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laundry-main-bulb-1</v>
      </c>
      <c r="BE1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Main Bulb 1</v>
      </c>
      <c r="BF1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2" s="28" t="str">
        <f>Table2[[#This Row],[device_suggested_area]]</f>
        <v>Laundry</v>
      </c>
      <c r="BI182" s="28" t="str">
        <f>IF(ISBLANK(Table2[[#This Row],[device_model]]), "", Table2[[#This Row],[device_suggested_area]])</f>
        <v>Laundry</v>
      </c>
      <c r="BJ182" s="28" t="s">
        <v>944</v>
      </c>
      <c r="BK182" s="28" t="s">
        <v>453</v>
      </c>
      <c r="BL182" s="28" t="s">
        <v>348</v>
      </c>
      <c r="BM182" s="28" t="s">
        <v>1345</v>
      </c>
      <c r="BN182" s="28" t="s">
        <v>454</v>
      </c>
      <c r="BO182" s="28" t="s">
        <v>202</v>
      </c>
      <c r="BT182" s="28" t="s">
        <v>480</v>
      </c>
      <c r="BV1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"0x0017880104eaa288"]]</v>
      </c>
    </row>
    <row r="183" spans="1:74" ht="16" customHeight="1" x14ac:dyDescent="0.2">
      <c r="A183" s="28">
        <v>1650</v>
      </c>
      <c r="B183" s="28" t="s">
        <v>26</v>
      </c>
      <c r="C183" s="28" t="s">
        <v>348</v>
      </c>
      <c r="D183" s="28" t="s">
        <v>128</v>
      </c>
      <c r="E183" s="28" t="s">
        <v>273</v>
      </c>
      <c r="F183" s="34" t="str">
        <f>IF(ISBLANK(Table2[[#This Row],[unique_id]]), "", PROPER(SUBSTITUTE(Table2[[#This Row],[unique_id]], "_", " ")))</f>
        <v>Pantry Main</v>
      </c>
      <c r="G183" s="28" t="s">
        <v>192</v>
      </c>
      <c r="H183" s="28" t="s">
        <v>130</v>
      </c>
      <c r="I183" s="28" t="s">
        <v>123</v>
      </c>
      <c r="J183" s="28" t="s">
        <v>671</v>
      </c>
      <c r="K183" s="28" t="s">
        <v>829</v>
      </c>
      <c r="N183" s="28" t="s">
        <v>127</v>
      </c>
      <c r="P183" s="29"/>
      <c r="Q183" s="28"/>
      <c r="U183" s="35"/>
      <c r="V183" s="35"/>
      <c r="W183" s="35"/>
      <c r="X183" s="28"/>
      <c r="AD183" s="29"/>
      <c r="AE183" s="29" t="s">
        <v>456</v>
      </c>
      <c r="AF183" s="45">
        <v>109</v>
      </c>
      <c r="AG183" s="40" t="s">
        <v>706</v>
      </c>
      <c r="AH183" s="40" t="s">
        <v>919</v>
      </c>
      <c r="AI183" s="40"/>
      <c r="AM183" s="28" t="s">
        <v>263</v>
      </c>
      <c r="AO183" s="29"/>
      <c r="AP183" s="29"/>
      <c r="BA183" s="28"/>
      <c r="BB18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https://zigbee2mqtt.janeandgraham.com/#/group/109</v>
      </c>
      <c r="BD1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pantry-main</v>
      </c>
      <c r="BE1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Main</v>
      </c>
      <c r="BF1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3" s="28" t="str">
        <f>Table2[[#This Row],[device_suggested_area]]</f>
        <v>Pantry</v>
      </c>
      <c r="BI183" s="28" t="str">
        <f>IF(ISBLANK(Table2[[#This Row],[device_model]]), "", Table2[[#This Row],[device_suggested_area]])</f>
        <v>Pantry</v>
      </c>
      <c r="BJ183" s="28" t="s">
        <v>943</v>
      </c>
      <c r="BK183" s="28" t="s">
        <v>453</v>
      </c>
      <c r="BL183" s="28" t="s">
        <v>348</v>
      </c>
      <c r="BM183" s="28" t="s">
        <v>1345</v>
      </c>
      <c r="BN183" s="28" t="s">
        <v>454</v>
      </c>
      <c r="BO183" s="28" t="s">
        <v>200</v>
      </c>
      <c r="BT183" s="28"/>
      <c r="BV1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4" spans="1:74" ht="16" customHeight="1" x14ac:dyDescent="0.2">
      <c r="A184" s="28">
        <v>1651</v>
      </c>
      <c r="B184" s="28" t="s">
        <v>26</v>
      </c>
      <c r="C184" s="28" t="s">
        <v>348</v>
      </c>
      <c r="D184" s="28" t="s">
        <v>128</v>
      </c>
      <c r="E184" s="28" t="s">
        <v>897</v>
      </c>
      <c r="F184" s="34" t="str">
        <f>IF(ISBLANK(Table2[[#This Row],[unique_id]]), "", PROPER(SUBSTITUTE(Table2[[#This Row],[unique_id]], "_", " ")))</f>
        <v>Pantry Main Bulb 1</v>
      </c>
      <c r="H184" s="28" t="s">
        <v>130</v>
      </c>
      <c r="P184" s="29" t="s">
        <v>736</v>
      </c>
      <c r="Q184" s="28" t="s">
        <v>155</v>
      </c>
      <c r="R184" s="28" t="s">
        <v>708</v>
      </c>
      <c r="S184" s="28" t="str">
        <f>Table2[[#This Row],[entity_domain]]</f>
        <v>Lights</v>
      </c>
      <c r="T184" s="28" t="str">
        <f>_xlfn.CONCAT( Table2[[#This Row],[device_suggested_area]], " ",Table2[[#This Row],[powercalc_group_3]])</f>
        <v>Pantry Lights</v>
      </c>
      <c r="U184" s="35"/>
      <c r="V184" s="35"/>
      <c r="W184" s="35"/>
      <c r="X184" s="28"/>
      <c r="AD184" s="29"/>
      <c r="AE184" s="29" t="s">
        <v>455</v>
      </c>
      <c r="AF184" s="45">
        <v>109</v>
      </c>
      <c r="AG184" s="40" t="s">
        <v>704</v>
      </c>
      <c r="AH184" s="40" t="s">
        <v>919</v>
      </c>
      <c r="AI184" s="40"/>
      <c r="AO184" s="29"/>
      <c r="AP184" s="29"/>
      <c r="BA184" s="28"/>
      <c r="BB18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https://zigbee2mqtt.janeandgraham.com/#/device/0x0017880104eaa272</v>
      </c>
      <c r="BD1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pantry-main-bulb-1</v>
      </c>
      <c r="BE1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Main Bulb 1</v>
      </c>
      <c r="BF1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4" s="28" t="str">
        <f>Table2[[#This Row],[device_suggested_area]]</f>
        <v>Pantry</v>
      </c>
      <c r="BI184" s="28" t="str">
        <f>IF(ISBLANK(Table2[[#This Row],[device_model]]), "", Table2[[#This Row],[device_suggested_area]])</f>
        <v>Pantry</v>
      </c>
      <c r="BJ184" s="28" t="s">
        <v>944</v>
      </c>
      <c r="BK184" s="28" t="s">
        <v>453</v>
      </c>
      <c r="BL184" s="28" t="s">
        <v>348</v>
      </c>
      <c r="BM184" s="28" t="s">
        <v>1345</v>
      </c>
      <c r="BN184" s="28" t="s">
        <v>454</v>
      </c>
      <c r="BO184" s="28" t="s">
        <v>200</v>
      </c>
      <c r="BT184" s="28" t="s">
        <v>481</v>
      </c>
      <c r="BV1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"0x0017880104eaa272"]]</v>
      </c>
    </row>
    <row r="185" spans="1:74" ht="16" customHeight="1" x14ac:dyDescent="0.2">
      <c r="A185" s="28">
        <v>1652</v>
      </c>
      <c r="B185" s="28" t="s">
        <v>26</v>
      </c>
      <c r="C185" s="28" t="s">
        <v>348</v>
      </c>
      <c r="D185" s="28" t="s">
        <v>128</v>
      </c>
      <c r="E185" s="28" t="s">
        <v>274</v>
      </c>
      <c r="F185" s="34" t="str">
        <f>IF(ISBLANK(Table2[[#This Row],[unique_id]]), "", PROPER(SUBSTITUTE(Table2[[#This Row],[unique_id]], "_", " ")))</f>
        <v>Office Main</v>
      </c>
      <c r="G185" s="28" t="s">
        <v>188</v>
      </c>
      <c r="H185" s="28" t="s">
        <v>130</v>
      </c>
      <c r="I185" s="28" t="s">
        <v>123</v>
      </c>
      <c r="J185" s="28" t="s">
        <v>671</v>
      </c>
      <c r="N185" s="28" t="s">
        <v>127</v>
      </c>
      <c r="P185" s="29"/>
      <c r="Q185" s="28"/>
      <c r="U185" s="35"/>
      <c r="V185" s="35"/>
      <c r="W185" s="35"/>
      <c r="X185" s="28"/>
      <c r="AD185" s="29"/>
      <c r="AE185" s="29" t="s">
        <v>456</v>
      </c>
      <c r="AF185" s="45">
        <v>110</v>
      </c>
      <c r="AG185" s="40" t="s">
        <v>706</v>
      </c>
      <c r="AH185" s="40" t="s">
        <v>921</v>
      </c>
      <c r="AI185" s="40"/>
      <c r="AM185" s="28" t="s">
        <v>263</v>
      </c>
      <c r="AO185" s="29"/>
      <c r="AP185" s="29"/>
      <c r="BA185" s="28"/>
      <c r="BB18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https://zigbee2mqtt.janeandgraham.com/#/group/110</v>
      </c>
      <c r="BD1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office-main</v>
      </c>
      <c r="BE1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Main</v>
      </c>
      <c r="BF1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5" s="28" t="str">
        <f>Table2[[#This Row],[device_suggested_area]]</f>
        <v>Office</v>
      </c>
      <c r="BI185" s="28" t="str">
        <f>IF(ISBLANK(Table2[[#This Row],[device_model]]), "", Table2[[#This Row],[device_suggested_area]])</f>
        <v>Office</v>
      </c>
      <c r="BJ185" s="28" t="s">
        <v>943</v>
      </c>
      <c r="BK185" s="28" t="s">
        <v>529</v>
      </c>
      <c r="BL185" s="28" t="s">
        <v>348</v>
      </c>
      <c r="BM185" s="28" t="s">
        <v>1345</v>
      </c>
      <c r="BN185" s="28" t="s">
        <v>526</v>
      </c>
      <c r="BO185" s="28" t="s">
        <v>201</v>
      </c>
      <c r="BT185" s="28"/>
      <c r="BV1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6" spans="1:74" ht="16" customHeight="1" x14ac:dyDescent="0.2">
      <c r="A186" s="28">
        <v>1653</v>
      </c>
      <c r="B186" s="28" t="s">
        <v>26</v>
      </c>
      <c r="C186" s="28" t="s">
        <v>348</v>
      </c>
      <c r="D186" s="28" t="s">
        <v>128</v>
      </c>
      <c r="E186" s="28" t="s">
        <v>898</v>
      </c>
      <c r="F186" s="34" t="str">
        <f>IF(ISBLANK(Table2[[#This Row],[unique_id]]), "", PROPER(SUBSTITUTE(Table2[[#This Row],[unique_id]], "_", " ")))</f>
        <v>Office Main Bulb 1</v>
      </c>
      <c r="H186" s="28" t="s">
        <v>130</v>
      </c>
      <c r="P186" s="29" t="s">
        <v>736</v>
      </c>
      <c r="Q186" s="28" t="s">
        <v>155</v>
      </c>
      <c r="R186" s="28" t="s">
        <v>708</v>
      </c>
      <c r="S186" s="28" t="str">
        <f>Table2[[#This Row],[entity_domain]]</f>
        <v>Lights</v>
      </c>
      <c r="T186" s="28" t="str">
        <f>_xlfn.CONCAT( Table2[[#This Row],[device_suggested_area]], " ",Table2[[#This Row],[powercalc_group_3]])</f>
        <v>Office Lights</v>
      </c>
      <c r="U186" s="35"/>
      <c r="V186" s="35"/>
      <c r="W186" s="35"/>
      <c r="X186" s="28"/>
      <c r="AD186" s="29"/>
      <c r="AE186" s="29" t="s">
        <v>455</v>
      </c>
      <c r="AF186" s="45">
        <v>110</v>
      </c>
      <c r="AG186" s="40" t="s">
        <v>704</v>
      </c>
      <c r="AH186" s="40" t="s">
        <v>921</v>
      </c>
      <c r="AI186" s="40"/>
      <c r="AO186" s="29"/>
      <c r="AP186" s="29"/>
      <c r="BA186" s="28"/>
      <c r="BB18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https://zigbee2mqtt.janeandgraham.com/#/device/0x00178801040edfae</v>
      </c>
      <c r="BD1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office-main-bulb-1</v>
      </c>
      <c r="BE1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Main Bulb 1</v>
      </c>
      <c r="BF1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6" s="28" t="str">
        <f>Table2[[#This Row],[device_suggested_area]]</f>
        <v>Office</v>
      </c>
      <c r="BI186" s="28" t="str">
        <f>IF(ISBLANK(Table2[[#This Row],[device_model]]), "", Table2[[#This Row],[device_suggested_area]])</f>
        <v>Office</v>
      </c>
      <c r="BJ186" s="28" t="s">
        <v>944</v>
      </c>
      <c r="BK186" s="28" t="s">
        <v>529</v>
      </c>
      <c r="BL186" s="28" t="s">
        <v>348</v>
      </c>
      <c r="BM186" s="28" t="s">
        <v>1345</v>
      </c>
      <c r="BN186" s="28" t="s">
        <v>526</v>
      </c>
      <c r="BO186" s="28" t="s">
        <v>201</v>
      </c>
      <c r="BT186" s="28" t="s">
        <v>482</v>
      </c>
      <c r="BV1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"0x00178801040edfae"]]</v>
      </c>
    </row>
    <row r="187" spans="1:74" ht="16" customHeight="1" x14ac:dyDescent="0.2">
      <c r="A187" s="28">
        <v>1654</v>
      </c>
      <c r="B187" s="28" t="s">
        <v>26</v>
      </c>
      <c r="C187" s="28" t="s">
        <v>348</v>
      </c>
      <c r="D187" s="28" t="s">
        <v>128</v>
      </c>
      <c r="E187" s="28" t="s">
        <v>275</v>
      </c>
      <c r="F187" s="34" t="str">
        <f>IF(ISBLANK(Table2[[#This Row],[unique_id]]), "", PROPER(SUBSTITUTE(Table2[[#This Row],[unique_id]], "_", " ")))</f>
        <v>Bathroom Main</v>
      </c>
      <c r="G187" s="28" t="s">
        <v>187</v>
      </c>
      <c r="H187" s="28" t="s">
        <v>130</v>
      </c>
      <c r="I187" s="28" t="s">
        <v>123</v>
      </c>
      <c r="J187" s="28" t="s">
        <v>671</v>
      </c>
      <c r="K187" s="28" t="s">
        <v>832</v>
      </c>
      <c r="N187" s="28" t="s">
        <v>127</v>
      </c>
      <c r="P187" s="29"/>
      <c r="Q187" s="28"/>
      <c r="U187" s="35"/>
      <c r="V187" s="35"/>
      <c r="W187" s="35"/>
      <c r="X187" s="28"/>
      <c r="AD187" s="29"/>
      <c r="AE187" s="29" t="s">
        <v>456</v>
      </c>
      <c r="AF187" s="45">
        <v>111</v>
      </c>
      <c r="AG187" s="40" t="s">
        <v>706</v>
      </c>
      <c r="AH187" s="40" t="s">
        <v>920</v>
      </c>
      <c r="AI187" s="40"/>
      <c r="AM187" s="28" t="s">
        <v>263</v>
      </c>
      <c r="AO187" s="29"/>
      <c r="AP187" s="29"/>
      <c r="BA187" s="28"/>
      <c r="BB18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https://zigbee2mqtt.janeandgraham.com/#/group/111</v>
      </c>
      <c r="BD1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bathroom-main</v>
      </c>
      <c r="BE1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Main</v>
      </c>
      <c r="BF1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7" s="28" t="str">
        <f>Table2[[#This Row],[device_suggested_area]]</f>
        <v>Bathroom</v>
      </c>
      <c r="BI187" s="28" t="str">
        <f>IF(ISBLANK(Table2[[#This Row],[device_model]]), "", Table2[[#This Row],[device_suggested_area]])</f>
        <v>Bathroom</v>
      </c>
      <c r="BJ187" s="28" t="s">
        <v>943</v>
      </c>
      <c r="BK187" s="28" t="s">
        <v>453</v>
      </c>
      <c r="BL187" s="28" t="s">
        <v>348</v>
      </c>
      <c r="BM187" s="28" t="s">
        <v>1345</v>
      </c>
      <c r="BN187" s="28" t="s">
        <v>454</v>
      </c>
      <c r="BO187" s="28" t="s">
        <v>329</v>
      </c>
      <c r="BT187" s="28"/>
      <c r="BV1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8" spans="1:74" ht="16" customHeight="1" x14ac:dyDescent="0.2">
      <c r="A188" s="28">
        <v>1655</v>
      </c>
      <c r="B188" s="28" t="s">
        <v>26</v>
      </c>
      <c r="C188" s="28" t="s">
        <v>348</v>
      </c>
      <c r="D188" s="28" t="s">
        <v>128</v>
      </c>
      <c r="E188" s="28" t="s">
        <v>899</v>
      </c>
      <c r="F188" s="34" t="str">
        <f>IF(ISBLANK(Table2[[#This Row],[unique_id]]), "", PROPER(SUBSTITUTE(Table2[[#This Row],[unique_id]], "_", " ")))</f>
        <v>Bathroom Main Bulb 1</v>
      </c>
      <c r="H188" s="28" t="s">
        <v>130</v>
      </c>
      <c r="P188" s="29" t="s">
        <v>736</v>
      </c>
      <c r="Q188" s="28" t="s">
        <v>155</v>
      </c>
      <c r="R188" s="28" t="s">
        <v>708</v>
      </c>
      <c r="S188" s="28" t="str">
        <f>Table2[[#This Row],[entity_domain]]</f>
        <v>Lights</v>
      </c>
      <c r="T188" s="28" t="str">
        <f>_xlfn.CONCAT( Table2[[#This Row],[device_suggested_area]], " ",Table2[[#This Row],[powercalc_group_3]])</f>
        <v>Bathroom Lights</v>
      </c>
      <c r="U188" s="35"/>
      <c r="V188" s="35"/>
      <c r="W188" s="35"/>
      <c r="X188" s="28"/>
      <c r="AD188" s="29"/>
      <c r="AE188" s="29" t="s">
        <v>455</v>
      </c>
      <c r="AF188" s="45">
        <v>111</v>
      </c>
      <c r="AG188" s="40" t="s">
        <v>704</v>
      </c>
      <c r="AH188" s="40" t="s">
        <v>920</v>
      </c>
      <c r="AI188" s="40"/>
      <c r="AO188" s="29"/>
      <c r="AP188" s="29"/>
      <c r="BA188" s="28"/>
      <c r="BB18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https://zigbee2mqtt.janeandgraham.com/#/device/0x00178801040edcad</v>
      </c>
      <c r="BD1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bathroom-main-bulb-1</v>
      </c>
      <c r="BE1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Main Bulb 1</v>
      </c>
      <c r="BF1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8" s="28" t="str">
        <f>Table2[[#This Row],[device_suggested_area]]</f>
        <v>Bathroom</v>
      </c>
      <c r="BI188" s="28" t="str">
        <f>IF(ISBLANK(Table2[[#This Row],[device_model]]), "", Table2[[#This Row],[device_suggested_area]])</f>
        <v>Bathroom</v>
      </c>
      <c r="BJ188" s="28" t="s">
        <v>944</v>
      </c>
      <c r="BK188" s="28" t="s">
        <v>453</v>
      </c>
      <c r="BL188" s="28" t="s">
        <v>348</v>
      </c>
      <c r="BM188" s="28" t="s">
        <v>1345</v>
      </c>
      <c r="BN188" s="28" t="s">
        <v>454</v>
      </c>
      <c r="BO188" s="28" t="s">
        <v>329</v>
      </c>
      <c r="BT188" s="28" t="s">
        <v>483</v>
      </c>
      <c r="BV1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"0x00178801040edcad"]]</v>
      </c>
    </row>
    <row r="189" spans="1:74" ht="16" customHeight="1" x14ac:dyDescent="0.2">
      <c r="A189" s="28">
        <v>1656</v>
      </c>
      <c r="B189" s="28" t="s">
        <v>26</v>
      </c>
      <c r="C189" s="28" t="s">
        <v>419</v>
      </c>
      <c r="D189" s="28" t="s">
        <v>128</v>
      </c>
      <c r="E189" s="28" t="s">
        <v>806</v>
      </c>
      <c r="F189" s="34" t="str">
        <f>IF(ISBLANK(Table2[[#This Row],[unique_id]]), "", PROPER(SUBSTITUTE(Table2[[#This Row],[unique_id]], "_", " ")))</f>
        <v>Bathroom Sconces</v>
      </c>
      <c r="G189" s="28" t="s">
        <v>809</v>
      </c>
      <c r="H189" s="28" t="s">
        <v>130</v>
      </c>
      <c r="I189" s="28" t="s">
        <v>123</v>
      </c>
      <c r="J189" s="28" t="s">
        <v>793</v>
      </c>
      <c r="K189" s="28" t="s">
        <v>831</v>
      </c>
      <c r="N189" s="28" t="s">
        <v>127</v>
      </c>
      <c r="P189" s="29"/>
      <c r="Q189" s="28"/>
      <c r="U189" s="35"/>
      <c r="V189" s="35"/>
      <c r="W189" s="35"/>
      <c r="X189" s="28"/>
      <c r="AD189" s="29"/>
      <c r="AE189" s="29" t="s">
        <v>456</v>
      </c>
      <c r="AF189" s="45">
        <v>121</v>
      </c>
      <c r="AG189" s="40" t="s">
        <v>706</v>
      </c>
      <c r="AH189" s="29" t="s">
        <v>1468</v>
      </c>
      <c r="AM189" s="28" t="s">
        <v>263</v>
      </c>
      <c r="AO189" s="29"/>
      <c r="AP189" s="29"/>
      <c r="BA189" s="28"/>
      <c r="BB189" s="38"/>
      <c r="BD1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</v>
      </c>
      <c r="BE1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</v>
      </c>
      <c r="BF1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89" s="28" t="str">
        <f>Table2[[#This Row],[device_suggested_area]]</f>
        <v>Bathroom</v>
      </c>
      <c r="BI189" s="28" t="str">
        <f>IF(ISBLANK(Table2[[#This Row],[device_model]]), "", Table2[[#This Row],[device_suggested_area]])</f>
        <v>Bathroom</v>
      </c>
      <c r="BJ189" s="28" t="s">
        <v>793</v>
      </c>
      <c r="BK189" s="28" t="s">
        <v>796</v>
      </c>
      <c r="BL189" s="28" t="s">
        <v>419</v>
      </c>
      <c r="BN189" s="28" t="s">
        <v>794</v>
      </c>
      <c r="BO189" s="28" t="s">
        <v>329</v>
      </c>
      <c r="BT189" s="28"/>
      <c r="BV1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0" spans="1:74" ht="16" customHeight="1" x14ac:dyDescent="0.2">
      <c r="A190" s="28">
        <v>1657</v>
      </c>
      <c r="B190" s="28" t="s">
        <v>26</v>
      </c>
      <c r="C190" s="28" t="s">
        <v>419</v>
      </c>
      <c r="D190" s="28" t="s">
        <v>128</v>
      </c>
      <c r="E190" s="28" t="s">
        <v>807</v>
      </c>
      <c r="F190" s="34" t="str">
        <f>IF(ISBLANK(Table2[[#This Row],[unique_id]]), "", PROPER(SUBSTITUTE(Table2[[#This Row],[unique_id]], "_", " ")))</f>
        <v>Bathroom Sconces Bulb 1</v>
      </c>
      <c r="H190" s="28" t="s">
        <v>130</v>
      </c>
      <c r="P190" s="29" t="s">
        <v>736</v>
      </c>
      <c r="Q190" s="28" t="s">
        <v>155</v>
      </c>
      <c r="R190" s="28" t="s">
        <v>708</v>
      </c>
      <c r="S190" s="28" t="str">
        <f>Table2[[#This Row],[entity_domain]]</f>
        <v>Lights</v>
      </c>
      <c r="T190" s="28" t="str">
        <f>_xlfn.CONCAT( Table2[[#This Row],[device_suggested_area]], " ",Table2[[#This Row],[powercalc_group_3]])</f>
        <v>Bathroom Lights</v>
      </c>
      <c r="U190" s="35"/>
      <c r="V190" s="35"/>
      <c r="W190" s="35"/>
      <c r="X190" s="28"/>
      <c r="AD190" s="29"/>
      <c r="AE190" s="29" t="s">
        <v>455</v>
      </c>
      <c r="AF190" s="45">
        <v>121</v>
      </c>
      <c r="AG190" s="40" t="s">
        <v>704</v>
      </c>
      <c r="AH190" s="29" t="s">
        <v>1468</v>
      </c>
      <c r="AO190" s="29"/>
      <c r="AP190" s="29"/>
      <c r="BA190" s="28"/>
      <c r="BB190" s="38"/>
      <c r="BD1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bathroom-sconces-bulb-1</v>
      </c>
      <c r="BE1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 Bulb 1</v>
      </c>
      <c r="BF1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0" s="28" t="str">
        <f>Table2[[#This Row],[device_suggested_area]]</f>
        <v>Bathroom</v>
      </c>
      <c r="BI190" s="28" t="str">
        <f>IF(ISBLANK(Table2[[#This Row],[device_model]]), "", Table2[[#This Row],[device_suggested_area]])</f>
        <v>Bathroom</v>
      </c>
      <c r="BJ190" s="28" t="s">
        <v>930</v>
      </c>
      <c r="BK190" s="28" t="s">
        <v>796</v>
      </c>
      <c r="BL190" s="28" t="s">
        <v>419</v>
      </c>
      <c r="BN190" s="28" t="s">
        <v>794</v>
      </c>
      <c r="BO190" s="28" t="s">
        <v>329</v>
      </c>
      <c r="BT190" s="28" t="s">
        <v>810</v>
      </c>
      <c r="BV1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"0x2c1165fffe2787f0"]]</v>
      </c>
    </row>
    <row r="191" spans="1:74" ht="16" customHeight="1" x14ac:dyDescent="0.2">
      <c r="A191" s="28">
        <v>1658</v>
      </c>
      <c r="B191" s="28" t="s">
        <v>26</v>
      </c>
      <c r="C191" s="28" t="s">
        <v>419</v>
      </c>
      <c r="D191" s="28" t="s">
        <v>128</v>
      </c>
      <c r="E191" s="28" t="s">
        <v>808</v>
      </c>
      <c r="F191" s="34" t="str">
        <f>IF(ISBLANK(Table2[[#This Row],[unique_id]]), "", PROPER(SUBSTITUTE(Table2[[#This Row],[unique_id]], "_", " ")))</f>
        <v>Bathroom Sconces Bulb 2</v>
      </c>
      <c r="H191" s="28" t="s">
        <v>130</v>
      </c>
      <c r="P191" s="29" t="s">
        <v>736</v>
      </c>
      <c r="Q191" s="28" t="s">
        <v>155</v>
      </c>
      <c r="R191" s="28" t="s">
        <v>708</v>
      </c>
      <c r="S191" s="28" t="str">
        <f>Table2[[#This Row],[entity_domain]]</f>
        <v>Lights</v>
      </c>
      <c r="T191" s="28" t="str">
        <f>_xlfn.CONCAT( Table2[[#This Row],[device_suggested_area]], " ",Table2[[#This Row],[powercalc_group_3]])</f>
        <v>Bathroom Lights</v>
      </c>
      <c r="U191" s="35"/>
      <c r="V191" s="35"/>
      <c r="W191" s="35"/>
      <c r="X191" s="28"/>
      <c r="AD191" s="29"/>
      <c r="AE191" s="29" t="s">
        <v>455</v>
      </c>
      <c r="AF191" s="45">
        <v>121</v>
      </c>
      <c r="AG191" s="40" t="s">
        <v>704</v>
      </c>
      <c r="AH191" s="29" t="s">
        <v>1468</v>
      </c>
      <c r="AO191" s="29"/>
      <c r="AP191" s="29"/>
      <c r="BA191" s="28"/>
      <c r="BB191" s="38"/>
      <c r="BD19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bathroom-sconces-bulb-2</v>
      </c>
      <c r="BE19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 Bulb 2</v>
      </c>
      <c r="BF19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1" s="28" t="str">
        <f>Table2[[#This Row],[device_suggested_area]]</f>
        <v>Bathroom</v>
      </c>
      <c r="BI191" s="28" t="str">
        <f>IF(ISBLANK(Table2[[#This Row],[device_model]]), "", Table2[[#This Row],[device_suggested_area]])</f>
        <v>Bathroom</v>
      </c>
      <c r="BJ191" s="28" t="s">
        <v>931</v>
      </c>
      <c r="BK191" s="28" t="s">
        <v>796</v>
      </c>
      <c r="BL191" s="28" t="s">
        <v>419</v>
      </c>
      <c r="BN191" s="28" t="s">
        <v>794</v>
      </c>
      <c r="BO191" s="28" t="s">
        <v>329</v>
      </c>
      <c r="BT191" s="28" t="s">
        <v>811</v>
      </c>
      <c r="BV19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"0x2c1165fffe18e424"]]</v>
      </c>
    </row>
    <row r="192" spans="1:74" ht="16" customHeight="1" x14ac:dyDescent="0.2">
      <c r="A192" s="28">
        <v>1659</v>
      </c>
      <c r="B192" s="28" t="s">
        <v>26</v>
      </c>
      <c r="C192" s="28" t="s">
        <v>348</v>
      </c>
      <c r="D192" s="28" t="s">
        <v>128</v>
      </c>
      <c r="E192" s="28" t="s">
        <v>276</v>
      </c>
      <c r="F192" s="34" t="str">
        <f>IF(ISBLANK(Table2[[#This Row],[unique_id]]), "", PROPER(SUBSTITUTE(Table2[[#This Row],[unique_id]], "_", " ")))</f>
        <v>Ensuite Main</v>
      </c>
      <c r="G192" s="28" t="s">
        <v>186</v>
      </c>
      <c r="H192" s="28" t="s">
        <v>130</v>
      </c>
      <c r="I192" s="28" t="s">
        <v>123</v>
      </c>
      <c r="J192" s="28" t="s">
        <v>671</v>
      </c>
      <c r="K192" s="28" t="s">
        <v>832</v>
      </c>
      <c r="N192" s="28" t="s">
        <v>127</v>
      </c>
      <c r="P192" s="29"/>
      <c r="Q192" s="28"/>
      <c r="U192" s="35"/>
      <c r="V192" s="35"/>
      <c r="W192" s="35"/>
      <c r="X192" s="28"/>
      <c r="AD192" s="29"/>
      <c r="AE192" s="29" t="s">
        <v>456</v>
      </c>
      <c r="AF192" s="45">
        <v>112</v>
      </c>
      <c r="AG192" s="40" t="s">
        <v>706</v>
      </c>
      <c r="AH192" s="40" t="s">
        <v>920</v>
      </c>
      <c r="AI192" s="40"/>
      <c r="AM192" s="28" t="s">
        <v>263</v>
      </c>
      <c r="AO192" s="29"/>
      <c r="AP192" s="29"/>
      <c r="BA192" s="28"/>
      <c r="BB19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https://zigbee2mqtt.janeandgraham.com/#/group/112</v>
      </c>
      <c r="BD1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ensuite-main</v>
      </c>
      <c r="BE1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Main</v>
      </c>
      <c r="BF1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2" s="28" t="str">
        <f>Table2[[#This Row],[device_suggested_area]]</f>
        <v>Ensuite</v>
      </c>
      <c r="BI192" s="28" t="str">
        <f>IF(ISBLANK(Table2[[#This Row],[device_model]]), "", Table2[[#This Row],[device_suggested_area]])</f>
        <v>Ensuite</v>
      </c>
      <c r="BJ192" s="28" t="s">
        <v>943</v>
      </c>
      <c r="BK192" s="28" t="s">
        <v>529</v>
      </c>
      <c r="BL192" s="28" t="s">
        <v>348</v>
      </c>
      <c r="BM192" s="28" t="s">
        <v>1345</v>
      </c>
      <c r="BN192" s="28" t="s">
        <v>526</v>
      </c>
      <c r="BO192" s="28" t="s">
        <v>365</v>
      </c>
      <c r="BT192" s="28"/>
      <c r="BV1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3" spans="1:74" ht="16" customHeight="1" x14ac:dyDescent="0.2">
      <c r="A193" s="28">
        <v>1660</v>
      </c>
      <c r="B193" s="28" t="s">
        <v>26</v>
      </c>
      <c r="C193" s="28" t="s">
        <v>348</v>
      </c>
      <c r="D193" s="28" t="s">
        <v>128</v>
      </c>
      <c r="E193" s="28" t="s">
        <v>900</v>
      </c>
      <c r="F193" s="34" t="str">
        <f>IF(ISBLANK(Table2[[#This Row],[unique_id]]), "", PROPER(SUBSTITUTE(Table2[[#This Row],[unique_id]], "_", " ")))</f>
        <v>Ensuite Main Bulb 1</v>
      </c>
      <c r="H193" s="28" t="s">
        <v>130</v>
      </c>
      <c r="P193" s="29" t="s">
        <v>736</v>
      </c>
      <c r="Q193" s="28" t="s">
        <v>155</v>
      </c>
      <c r="R193" s="28" t="s">
        <v>708</v>
      </c>
      <c r="S193" s="28" t="str">
        <f>Table2[[#This Row],[entity_domain]]</f>
        <v>Lights</v>
      </c>
      <c r="T193" s="28" t="str">
        <f>_xlfn.CONCAT( Table2[[#This Row],[device_suggested_area]], " ",Table2[[#This Row],[powercalc_group_3]])</f>
        <v>Ensuite Lights</v>
      </c>
      <c r="U193" s="35"/>
      <c r="V193" s="35"/>
      <c r="W193" s="35"/>
      <c r="X193" s="28"/>
      <c r="AD193" s="29"/>
      <c r="AE193" s="29" t="s">
        <v>455</v>
      </c>
      <c r="AF193" s="45">
        <v>112</v>
      </c>
      <c r="AG193" s="40" t="s">
        <v>704</v>
      </c>
      <c r="AH193" s="40" t="s">
        <v>920</v>
      </c>
      <c r="AI193" s="40"/>
      <c r="AO193" s="29"/>
      <c r="AP193" s="29"/>
      <c r="BA193" s="28"/>
      <c r="BB19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https://zigbee2mqtt.janeandgraham.com/#/device/0x00178801040eddb2</v>
      </c>
      <c r="BD1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ensuite-main-bulb-1</v>
      </c>
      <c r="BE1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Main Bulb 1</v>
      </c>
      <c r="BF1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3" s="28" t="str">
        <f>Table2[[#This Row],[device_suggested_area]]</f>
        <v>Ensuite</v>
      </c>
      <c r="BI193" s="28" t="str">
        <f>IF(ISBLANK(Table2[[#This Row],[device_model]]), "", Table2[[#This Row],[device_suggested_area]])</f>
        <v>Ensuite</v>
      </c>
      <c r="BJ193" s="28" t="s">
        <v>944</v>
      </c>
      <c r="BK193" s="28" t="s">
        <v>529</v>
      </c>
      <c r="BL193" s="28" t="s">
        <v>348</v>
      </c>
      <c r="BM193" s="28" t="s">
        <v>1345</v>
      </c>
      <c r="BN193" s="28" t="s">
        <v>526</v>
      </c>
      <c r="BO193" s="28" t="s">
        <v>365</v>
      </c>
      <c r="BT193" s="28" t="s">
        <v>484</v>
      </c>
      <c r="BV1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"0x00178801040eddb2"]]</v>
      </c>
    </row>
    <row r="194" spans="1:74" ht="16" customHeight="1" x14ac:dyDescent="0.2">
      <c r="A194" s="28">
        <v>1661</v>
      </c>
      <c r="B194" s="28" t="s">
        <v>26</v>
      </c>
      <c r="C194" s="28" t="s">
        <v>419</v>
      </c>
      <c r="D194" s="28" t="s">
        <v>128</v>
      </c>
      <c r="E194" s="28" t="s">
        <v>788</v>
      </c>
      <c r="F194" s="34" t="str">
        <f>IF(ISBLANK(Table2[[#This Row],[unique_id]]), "", PROPER(SUBSTITUTE(Table2[[#This Row],[unique_id]], "_", " ")))</f>
        <v>Ensuite Sconces</v>
      </c>
      <c r="G194" s="28" t="s">
        <v>792</v>
      </c>
      <c r="H194" s="28" t="s">
        <v>130</v>
      </c>
      <c r="I194" s="28" t="s">
        <v>123</v>
      </c>
      <c r="J194" s="28" t="s">
        <v>793</v>
      </c>
      <c r="K194" s="28" t="s">
        <v>831</v>
      </c>
      <c r="N194" s="28" t="s">
        <v>127</v>
      </c>
      <c r="P194" s="29"/>
      <c r="Q194" s="28"/>
      <c r="U194" s="35"/>
      <c r="V194" s="35"/>
      <c r="W194" s="35"/>
      <c r="X194" s="28"/>
      <c r="AD194" s="29"/>
      <c r="AE194" s="29" t="s">
        <v>456</v>
      </c>
      <c r="AF194" s="45">
        <v>118</v>
      </c>
      <c r="AG194" s="40" t="s">
        <v>706</v>
      </c>
      <c r="AH194" s="29" t="s">
        <v>1468</v>
      </c>
      <c r="AM194" s="28" t="s">
        <v>263</v>
      </c>
      <c r="AO194" s="29"/>
      <c r="AP194" s="29"/>
      <c r="BA194" s="28"/>
      <c r="BB194" s="38"/>
      <c r="BD19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</v>
      </c>
      <c r="BE19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</v>
      </c>
      <c r="BF1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4" s="28" t="str">
        <f>Table2[[#This Row],[device_suggested_area]]</f>
        <v>Ensuite</v>
      </c>
      <c r="BI194" s="28" t="str">
        <f>IF(ISBLANK(Table2[[#This Row],[device_model]]), "", Table2[[#This Row],[device_suggested_area]])</f>
        <v>Ensuite</v>
      </c>
      <c r="BJ194" s="28" t="s">
        <v>793</v>
      </c>
      <c r="BK194" s="28" t="s">
        <v>796</v>
      </c>
      <c r="BL194" s="28" t="s">
        <v>419</v>
      </c>
      <c r="BN194" s="28" t="s">
        <v>794</v>
      </c>
      <c r="BO194" s="28" t="s">
        <v>365</v>
      </c>
      <c r="BT194" s="28"/>
      <c r="BV1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5" spans="1:74" ht="16" customHeight="1" x14ac:dyDescent="0.2">
      <c r="A195" s="28">
        <v>1662</v>
      </c>
      <c r="B195" s="28" t="s">
        <v>26</v>
      </c>
      <c r="C195" s="28" t="s">
        <v>419</v>
      </c>
      <c r="D195" s="28" t="s">
        <v>128</v>
      </c>
      <c r="E195" s="28" t="s">
        <v>789</v>
      </c>
      <c r="F195" s="34" t="str">
        <f>IF(ISBLANK(Table2[[#This Row],[unique_id]]), "", PROPER(SUBSTITUTE(Table2[[#This Row],[unique_id]], "_", " ")))</f>
        <v>Ensuite Sconces Bulb 1</v>
      </c>
      <c r="H195" s="28" t="s">
        <v>130</v>
      </c>
      <c r="P195" s="29" t="s">
        <v>736</v>
      </c>
      <c r="Q195" s="28" t="s">
        <v>155</v>
      </c>
      <c r="R195" s="28" t="s">
        <v>708</v>
      </c>
      <c r="S195" s="28" t="str">
        <f>Table2[[#This Row],[entity_domain]]</f>
        <v>Lights</v>
      </c>
      <c r="T195" s="28" t="str">
        <f>_xlfn.CONCAT( Table2[[#This Row],[device_suggested_area]], " ",Table2[[#This Row],[powercalc_group_3]])</f>
        <v>Ensuite Lights</v>
      </c>
      <c r="U195" s="35"/>
      <c r="V195" s="35"/>
      <c r="W195" s="35"/>
      <c r="X195" s="28"/>
      <c r="AD195" s="29"/>
      <c r="AE195" s="29" t="s">
        <v>455</v>
      </c>
      <c r="AF195" s="45">
        <v>118</v>
      </c>
      <c r="AG195" s="40" t="s">
        <v>704</v>
      </c>
      <c r="AH195" s="29" t="s">
        <v>1468</v>
      </c>
      <c r="AO195" s="29"/>
      <c r="AP195" s="29"/>
      <c r="BA195" s="28"/>
      <c r="BB195" s="38"/>
      <c r="BD1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ensuite-sconces-bulb-1</v>
      </c>
      <c r="BE1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1</v>
      </c>
      <c r="BF1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5" s="28" t="str">
        <f>Table2[[#This Row],[device_suggested_area]]</f>
        <v>Ensuite</v>
      </c>
      <c r="BI195" s="28" t="str">
        <f>IF(ISBLANK(Table2[[#This Row],[device_model]]), "", Table2[[#This Row],[device_suggested_area]])</f>
        <v>Ensuite</v>
      </c>
      <c r="BJ195" s="28" t="s">
        <v>930</v>
      </c>
      <c r="BK195" s="28" t="s">
        <v>796</v>
      </c>
      <c r="BL195" s="28" t="s">
        <v>419</v>
      </c>
      <c r="BN195" s="28" t="s">
        <v>794</v>
      </c>
      <c r="BO195" s="28" t="s">
        <v>365</v>
      </c>
      <c r="BT195" s="28" t="s">
        <v>795</v>
      </c>
      <c r="BV1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"0x2c1165fffe168c7e"]]</v>
      </c>
    </row>
    <row r="196" spans="1:74" ht="16" customHeight="1" x14ac:dyDescent="0.2">
      <c r="A196" s="28">
        <v>1663</v>
      </c>
      <c r="B196" s="28" t="s">
        <v>26</v>
      </c>
      <c r="C196" s="28" t="s">
        <v>419</v>
      </c>
      <c r="D196" s="28" t="s">
        <v>128</v>
      </c>
      <c r="E196" s="28" t="s">
        <v>790</v>
      </c>
      <c r="F196" s="34" t="str">
        <f>IF(ISBLANK(Table2[[#This Row],[unique_id]]), "", PROPER(SUBSTITUTE(Table2[[#This Row],[unique_id]], "_", " ")))</f>
        <v>Ensuite Sconces Bulb 2</v>
      </c>
      <c r="H196" s="28" t="s">
        <v>130</v>
      </c>
      <c r="P196" s="29" t="s">
        <v>736</v>
      </c>
      <c r="Q196" s="28" t="s">
        <v>155</v>
      </c>
      <c r="R196" s="28" t="s">
        <v>708</v>
      </c>
      <c r="S196" s="28" t="str">
        <f>Table2[[#This Row],[entity_domain]]</f>
        <v>Lights</v>
      </c>
      <c r="T196" s="28" t="str">
        <f>_xlfn.CONCAT( Table2[[#This Row],[device_suggested_area]], " ",Table2[[#This Row],[powercalc_group_3]])</f>
        <v>Ensuite Lights</v>
      </c>
      <c r="U196" s="35"/>
      <c r="V196" s="35"/>
      <c r="W196" s="35"/>
      <c r="X196" s="28"/>
      <c r="AD196" s="29"/>
      <c r="AE196" s="29" t="s">
        <v>455</v>
      </c>
      <c r="AF196" s="45">
        <v>118</v>
      </c>
      <c r="AG196" s="40" t="s">
        <v>704</v>
      </c>
      <c r="AH196" s="29" t="s">
        <v>1468</v>
      </c>
      <c r="AO196" s="29"/>
      <c r="AP196" s="29"/>
      <c r="BA196" s="28"/>
      <c r="BB196" s="38"/>
      <c r="BD1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ensuite-sconces-bulb-2</v>
      </c>
      <c r="BE1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2</v>
      </c>
      <c r="BF1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6" s="28" t="str">
        <f>Table2[[#This Row],[device_suggested_area]]</f>
        <v>Ensuite</v>
      </c>
      <c r="BI196" s="28" t="str">
        <f>IF(ISBLANK(Table2[[#This Row],[device_model]]), "", Table2[[#This Row],[device_suggested_area]])</f>
        <v>Ensuite</v>
      </c>
      <c r="BJ196" s="28" t="s">
        <v>931</v>
      </c>
      <c r="BK196" s="28" t="s">
        <v>796</v>
      </c>
      <c r="BL196" s="28" t="s">
        <v>419</v>
      </c>
      <c r="BN196" s="28" t="s">
        <v>794</v>
      </c>
      <c r="BO196" s="28" t="s">
        <v>365</v>
      </c>
      <c r="BT196" s="28" t="s">
        <v>797</v>
      </c>
      <c r="BV1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"0x2c1165fffea5cd4b"]]</v>
      </c>
    </row>
    <row r="197" spans="1:74" ht="16" customHeight="1" x14ac:dyDescent="0.2">
      <c r="A197" s="28">
        <v>1664</v>
      </c>
      <c r="B197" s="28" t="s">
        <v>26</v>
      </c>
      <c r="C197" s="28" t="s">
        <v>419</v>
      </c>
      <c r="D197" s="28" t="s">
        <v>128</v>
      </c>
      <c r="E197" s="28" t="s">
        <v>791</v>
      </c>
      <c r="F197" s="34" t="str">
        <f>IF(ISBLANK(Table2[[#This Row],[unique_id]]), "", PROPER(SUBSTITUTE(Table2[[#This Row],[unique_id]], "_", " ")))</f>
        <v>Ensuite Sconces Bulb 3</v>
      </c>
      <c r="H197" s="28" t="s">
        <v>130</v>
      </c>
      <c r="P197" s="29" t="s">
        <v>736</v>
      </c>
      <c r="Q197" s="28" t="s">
        <v>155</v>
      </c>
      <c r="R197" s="28" t="s">
        <v>708</v>
      </c>
      <c r="S197" s="28" t="str">
        <f>Table2[[#This Row],[entity_domain]]</f>
        <v>Lights</v>
      </c>
      <c r="T197" s="28" t="str">
        <f>_xlfn.CONCAT( Table2[[#This Row],[device_suggested_area]], " ",Table2[[#This Row],[powercalc_group_3]])</f>
        <v>Ensuite Lights</v>
      </c>
      <c r="U197" s="35"/>
      <c r="V197" s="35"/>
      <c r="W197" s="35"/>
      <c r="X197" s="28"/>
      <c r="AD197" s="29"/>
      <c r="AE197" s="29" t="s">
        <v>455</v>
      </c>
      <c r="AF197" s="45">
        <v>118</v>
      </c>
      <c r="AG197" s="40" t="s">
        <v>704</v>
      </c>
      <c r="AH197" s="29" t="s">
        <v>1468</v>
      </c>
      <c r="AO197" s="29"/>
      <c r="AP197" s="29"/>
      <c r="BA197" s="28"/>
      <c r="BB197" s="38"/>
      <c r="BD1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ensuite-sconces-bulb-3</v>
      </c>
      <c r="BE1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3</v>
      </c>
      <c r="BF1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7" s="28" t="str">
        <f>Table2[[#This Row],[device_suggested_area]]</f>
        <v>Ensuite</v>
      </c>
      <c r="BI197" s="28" t="str">
        <f>IF(ISBLANK(Table2[[#This Row],[device_model]]), "", Table2[[#This Row],[device_suggested_area]])</f>
        <v>Ensuite</v>
      </c>
      <c r="BJ197" s="28" t="s">
        <v>934</v>
      </c>
      <c r="BK197" s="28" t="s">
        <v>796</v>
      </c>
      <c r="BL197" s="28" t="s">
        <v>419</v>
      </c>
      <c r="BN197" s="28" t="s">
        <v>794</v>
      </c>
      <c r="BO197" s="28" t="s">
        <v>365</v>
      </c>
      <c r="BT197" s="28" t="s">
        <v>798</v>
      </c>
      <c r="BV1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"0x2c1165fffea89f5f"]]</v>
      </c>
    </row>
    <row r="198" spans="1:74" ht="16" customHeight="1" x14ac:dyDescent="0.2">
      <c r="A198" s="28">
        <v>1665</v>
      </c>
      <c r="B198" s="28" t="s">
        <v>26</v>
      </c>
      <c r="C198" s="28" t="s">
        <v>348</v>
      </c>
      <c r="D198" s="28" t="s">
        <v>128</v>
      </c>
      <c r="E198" s="28" t="s">
        <v>277</v>
      </c>
      <c r="F198" s="34" t="str">
        <f>IF(ISBLANK(Table2[[#This Row],[unique_id]]), "", PROPER(SUBSTITUTE(Table2[[#This Row],[unique_id]], "_", " ")))</f>
        <v>Wardrobe Main</v>
      </c>
      <c r="G198" s="28" t="s">
        <v>190</v>
      </c>
      <c r="H198" s="28" t="s">
        <v>130</v>
      </c>
      <c r="I198" s="28" t="s">
        <v>123</v>
      </c>
      <c r="J198" s="28" t="s">
        <v>671</v>
      </c>
      <c r="K198" s="37" t="s">
        <v>829</v>
      </c>
      <c r="L198" s="37"/>
      <c r="N198" s="28" t="s">
        <v>127</v>
      </c>
      <c r="P198" s="29"/>
      <c r="Q198" s="28"/>
      <c r="U198" s="35"/>
      <c r="V198" s="35"/>
      <c r="W198" s="35"/>
      <c r="X198" s="28"/>
      <c r="AD198" s="29"/>
      <c r="AE198" s="29" t="s">
        <v>456</v>
      </c>
      <c r="AF198" s="45">
        <v>113</v>
      </c>
      <c r="AG198" s="40" t="s">
        <v>706</v>
      </c>
      <c r="AH198" s="40" t="s">
        <v>919</v>
      </c>
      <c r="AI198" s="40"/>
      <c r="AM198" s="28" t="s">
        <v>263</v>
      </c>
      <c r="AO198" s="29"/>
      <c r="AP198" s="29"/>
      <c r="BA198" s="28"/>
      <c r="BB19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https://zigbee2mqtt.janeandgraham.com/#/group/113</v>
      </c>
      <c r="BD1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wardrobe-main</v>
      </c>
      <c r="BE1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Main</v>
      </c>
      <c r="BF1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8" s="28" t="str">
        <f>Table2[[#This Row],[device_suggested_area]]</f>
        <v>Wardrobe</v>
      </c>
      <c r="BI198" s="28" t="str">
        <f>IF(ISBLANK(Table2[[#This Row],[device_model]]), "", Table2[[#This Row],[device_suggested_area]])</f>
        <v>Wardrobe</v>
      </c>
      <c r="BJ198" s="28" t="s">
        <v>943</v>
      </c>
      <c r="BK198" s="28" t="s">
        <v>529</v>
      </c>
      <c r="BL198" s="28" t="s">
        <v>348</v>
      </c>
      <c r="BM198" s="28" t="s">
        <v>1345</v>
      </c>
      <c r="BN198" s="28" t="s">
        <v>526</v>
      </c>
      <c r="BO198" s="28" t="s">
        <v>460</v>
      </c>
      <c r="BT198" s="28"/>
      <c r="BV1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9" spans="1:74" ht="16" customHeight="1" x14ac:dyDescent="0.2">
      <c r="A199" s="28">
        <v>1666</v>
      </c>
      <c r="B199" s="28" t="s">
        <v>26</v>
      </c>
      <c r="C199" s="28" t="s">
        <v>348</v>
      </c>
      <c r="D199" s="28" t="s">
        <v>128</v>
      </c>
      <c r="E199" s="28" t="s">
        <v>901</v>
      </c>
      <c r="F199" s="34" t="str">
        <f>IF(ISBLANK(Table2[[#This Row],[unique_id]]), "", PROPER(SUBSTITUTE(Table2[[#This Row],[unique_id]], "_", " ")))</f>
        <v>Wardrobe Main Bulb 1</v>
      </c>
      <c r="H199" s="28" t="s">
        <v>130</v>
      </c>
      <c r="P199" s="29" t="s">
        <v>736</v>
      </c>
      <c r="Q199" s="28" t="s">
        <v>155</v>
      </c>
      <c r="R199" s="28" t="s">
        <v>708</v>
      </c>
      <c r="S199" s="28" t="str">
        <f>Table2[[#This Row],[entity_domain]]</f>
        <v>Lights</v>
      </c>
      <c r="T199" s="28" t="str">
        <f>_xlfn.CONCAT( Table2[[#This Row],[device_suggested_area]], " ",Table2[[#This Row],[powercalc_group_3]])</f>
        <v>Wardrobe Lights</v>
      </c>
      <c r="U199" s="35"/>
      <c r="V199" s="35"/>
      <c r="W199" s="35"/>
      <c r="X199" s="28"/>
      <c r="AD199" s="29"/>
      <c r="AE199" s="29" t="s">
        <v>455</v>
      </c>
      <c r="AF199" s="45">
        <v>113</v>
      </c>
      <c r="AG199" s="40" t="s">
        <v>704</v>
      </c>
      <c r="AH199" s="40" t="s">
        <v>919</v>
      </c>
      <c r="AI199" s="40"/>
      <c r="AO199" s="29"/>
      <c r="AP199" s="29"/>
      <c r="BA199" s="28"/>
      <c r="BB19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https://zigbee2mqtt.janeandgraham.com/#/device/0x00178801040ede93</v>
      </c>
      <c r="BD1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wardrobe-main-bulb-1</v>
      </c>
      <c r="BE1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Main Bulb 1</v>
      </c>
      <c r="BF1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1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199" s="28" t="str">
        <f>Table2[[#This Row],[device_suggested_area]]</f>
        <v>Wardrobe</v>
      </c>
      <c r="BI199" s="28" t="str">
        <f>IF(ISBLANK(Table2[[#This Row],[device_model]]), "", Table2[[#This Row],[device_suggested_area]])</f>
        <v>Wardrobe</v>
      </c>
      <c r="BJ199" s="28" t="s">
        <v>944</v>
      </c>
      <c r="BK199" s="28" t="s">
        <v>529</v>
      </c>
      <c r="BL199" s="28" t="s">
        <v>348</v>
      </c>
      <c r="BM199" s="28" t="s">
        <v>1345</v>
      </c>
      <c r="BN199" s="28" t="s">
        <v>526</v>
      </c>
      <c r="BO199" s="28" t="s">
        <v>460</v>
      </c>
      <c r="BT199" s="28" t="s">
        <v>485</v>
      </c>
      <c r="BV1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"0x00178801040ede93"]]</v>
      </c>
    </row>
    <row r="200" spans="1:74" s="52" customFormat="1" ht="16" customHeight="1" x14ac:dyDescent="0.2">
      <c r="A200" s="28">
        <v>1667</v>
      </c>
      <c r="B200" s="52" t="s">
        <v>543</v>
      </c>
      <c r="C200" s="52" t="s">
        <v>756</v>
      </c>
      <c r="D200" s="52" t="s">
        <v>139</v>
      </c>
      <c r="E200" s="53" t="s">
        <v>1318</v>
      </c>
      <c r="F200" s="54" t="str">
        <f>IF(ISBLANK(Table2[[#This Row],[unique_id]]), "", PROPER(SUBSTITUTE(Table2[[#This Row],[unique_id]], "_", " ")))</f>
        <v>Broken Template Deck Festoons Plug Proxy</v>
      </c>
      <c r="G200" s="52" t="s">
        <v>266</v>
      </c>
      <c r="H200" s="52" t="s">
        <v>130</v>
      </c>
      <c r="I200" s="52" t="s">
        <v>123</v>
      </c>
      <c r="P200" s="55" t="s">
        <v>736</v>
      </c>
      <c r="U200" s="53" t="str">
        <f>_xlfn.CONCAT("standby_power: 0.5", CHAR(10), "unavailable_power: 0", CHAR(10), "fixed:", CHAR(10), "  power: 0.9", CHAR(10))</f>
        <v xml:space="preserve">standby_power: 0.5
unavailable_power: 0
fixed:
  power: 0.9
</v>
      </c>
      <c r="V200" s="53"/>
      <c r="W200" s="53"/>
      <c r="AD200" s="55"/>
      <c r="AE200" s="55"/>
      <c r="AF200" s="55"/>
      <c r="AG200" s="55"/>
      <c r="AH200" s="55"/>
      <c r="AI200" s="55"/>
      <c r="AO200" s="55"/>
      <c r="AP200" s="55"/>
      <c r="BB200" s="56"/>
      <c r="BC200" s="52" t="s">
        <v>125</v>
      </c>
      <c r="BD20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tplink-deck-festoons</v>
      </c>
      <c r="BE20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F20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0" s="52" t="str">
        <f>IF(ISBLANK(Table2[[#This Row],[device_model]]), "", Table2[[#This Row],[device_suggested_area]])</f>
        <v>Deck</v>
      </c>
      <c r="BJ200" s="52" t="s">
        <v>675</v>
      </c>
      <c r="BK200" s="52" t="s">
        <v>331</v>
      </c>
      <c r="BL200" s="52" t="s">
        <v>221</v>
      </c>
      <c r="BN200" s="52" t="s">
        <v>332</v>
      </c>
      <c r="BO200" s="52" t="s">
        <v>328</v>
      </c>
      <c r="BV20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1" spans="1:74" s="52" customFormat="1" ht="16" customHeight="1" x14ac:dyDescent="0.2">
      <c r="A201" s="28">
        <v>1668</v>
      </c>
      <c r="B201" s="52" t="s">
        <v>543</v>
      </c>
      <c r="C201" s="52" t="s">
        <v>221</v>
      </c>
      <c r="D201" s="52" t="s">
        <v>125</v>
      </c>
      <c r="E201" s="52" t="s">
        <v>1319</v>
      </c>
      <c r="F201" s="54" t="str">
        <f>IF(ISBLANK(Table2[[#This Row],[unique_id]]), "", PROPER(SUBSTITUTE(Table2[[#This Row],[unique_id]], "_", " ")))</f>
        <v>Broken Deck Festoons Plug</v>
      </c>
      <c r="G201" s="52" t="s">
        <v>266</v>
      </c>
      <c r="H201" s="52" t="s">
        <v>130</v>
      </c>
      <c r="I201" s="52" t="s">
        <v>123</v>
      </c>
      <c r="P201" s="55" t="s">
        <v>736</v>
      </c>
      <c r="U201" s="53" t="str">
        <f>_xlfn.CONCAT("power_sensor_id: sensor.", Table2[[#This Row],[unique_id]], "_current_consumption", CHAR(10), "force_energy_sensor_creation: true", CHAR(10))</f>
        <v xml:space="preserve">power_sensor_id: sensor.broken_deck_festoons_plug_current_consumption
force_energy_sensor_creation: true
</v>
      </c>
      <c r="V201" s="53"/>
      <c r="W201" s="53"/>
      <c r="AD201" s="55"/>
      <c r="AE201" s="55"/>
      <c r="AF201" s="55"/>
      <c r="AG201" s="55"/>
      <c r="AH201" s="55"/>
      <c r="AI201" s="55"/>
      <c r="AM201" s="52" t="s">
        <v>263</v>
      </c>
      <c r="AO201" s="55"/>
      <c r="AP201" s="55"/>
      <c r="BB201" s="56"/>
      <c r="BD20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tplink-deck-festoons</v>
      </c>
      <c r="BE20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F20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1" s="52" t="str">
        <f>IF(ISBLANK(Table2[[#This Row],[device_model]]), "", Table2[[#This Row],[device_suggested_area]])</f>
        <v>Deck</v>
      </c>
      <c r="BJ201" s="52" t="s">
        <v>675</v>
      </c>
      <c r="BK201" s="52" t="s">
        <v>331</v>
      </c>
      <c r="BL201" s="52" t="s">
        <v>221</v>
      </c>
      <c r="BN201" s="52" t="s">
        <v>332</v>
      </c>
      <c r="BO201" s="52" t="s">
        <v>328</v>
      </c>
      <c r="BR201" s="52" t="s">
        <v>923</v>
      </c>
      <c r="BS201" s="52" t="s">
        <v>1186</v>
      </c>
      <c r="BT201" s="52" t="s">
        <v>525</v>
      </c>
      <c r="BU201" s="52" t="s">
        <v>1213</v>
      </c>
      <c r="BV20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"5c:a6:e6:25:58:f1"], ["ip", "10.0.4.88"]]</v>
      </c>
    </row>
    <row r="202" spans="1:74" ht="16" customHeight="1" x14ac:dyDescent="0.2">
      <c r="A202" s="28">
        <v>1669</v>
      </c>
      <c r="B202" s="28" t="s">
        <v>26</v>
      </c>
      <c r="C202" s="28" t="s">
        <v>756</v>
      </c>
      <c r="D202" s="28" t="s">
        <v>139</v>
      </c>
      <c r="E202" s="35" t="s">
        <v>902</v>
      </c>
      <c r="F202" s="34" t="str">
        <f>IF(ISBLANK(Table2[[#This Row],[unique_id]]), "", PROPER(SUBSTITUTE(Table2[[#This Row],[unique_id]], "_", " ")))</f>
        <v>Template Deck Festoons Plug Proxy</v>
      </c>
      <c r="G202" s="28" t="s">
        <v>195</v>
      </c>
      <c r="H202" s="28" t="s">
        <v>130</v>
      </c>
      <c r="I202" s="28" t="s">
        <v>123</v>
      </c>
      <c r="P202" s="29" t="s">
        <v>736</v>
      </c>
      <c r="Q202" s="28" t="s">
        <v>155</v>
      </c>
      <c r="R202" s="28" t="s">
        <v>708</v>
      </c>
      <c r="S202" s="28" t="str">
        <f>Table2[[#This Row],[entity_domain]]</f>
        <v>Lights</v>
      </c>
      <c r="T202" s="28" t="str">
        <f>_xlfn.CONCAT( Table2[[#This Row],[device_suggested_area]], " ",Table2[[#This Row],[powercalc_group_3]])</f>
        <v>Deck Lights</v>
      </c>
      <c r="U202" s="35" t="s">
        <v>1015</v>
      </c>
      <c r="V202" s="35"/>
      <c r="W202" s="35"/>
      <c r="X202" s="28"/>
      <c r="AD202" s="29"/>
      <c r="AE202" s="29"/>
      <c r="AF202" s="29"/>
      <c r="AG202" s="29"/>
      <c r="AO202" s="29"/>
      <c r="AP202" s="29"/>
      <c r="BA202" s="28"/>
      <c r="BB202" s="38"/>
      <c r="BC202" s="28" t="s">
        <v>128</v>
      </c>
      <c r="BD20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BE20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F20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2" s="28" t="str">
        <f>IF(ISBLANK(Table2[[#This Row],[device_model]]), "", Table2[[#This Row],[device_suggested_area]])</f>
        <v>Deck</v>
      </c>
      <c r="BJ202" s="28" t="s">
        <v>675</v>
      </c>
      <c r="BK202" s="28" t="s">
        <v>1054</v>
      </c>
      <c r="BL202" s="28" t="s">
        <v>1053</v>
      </c>
      <c r="BN202" s="28" t="s">
        <v>835</v>
      </c>
      <c r="BO202" s="28" t="s">
        <v>328</v>
      </c>
      <c r="BT202" s="28"/>
      <c r="BV20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3" spans="1:74" ht="16" customHeight="1" x14ac:dyDescent="0.2">
      <c r="A203" s="28">
        <v>1670</v>
      </c>
      <c r="B203" s="28" t="s">
        <v>26</v>
      </c>
      <c r="C203" s="28" t="s">
        <v>658</v>
      </c>
      <c r="D203" s="28" t="s">
        <v>128</v>
      </c>
      <c r="E203" s="28" t="s">
        <v>780</v>
      </c>
      <c r="F203" s="34" t="str">
        <f>IF(ISBLANK(Table2[[#This Row],[unique_id]]), "", PROPER(SUBSTITUTE(Table2[[#This Row],[unique_id]], "_", " ")))</f>
        <v>Deck Festoons Plug</v>
      </c>
      <c r="G203" s="28" t="s">
        <v>266</v>
      </c>
      <c r="H203" s="28" t="s">
        <v>130</v>
      </c>
      <c r="I203" s="28" t="s">
        <v>123</v>
      </c>
      <c r="J203" s="28" t="s">
        <v>675</v>
      </c>
      <c r="N203" s="28" t="s">
        <v>127</v>
      </c>
      <c r="P203" s="29" t="s">
        <v>736</v>
      </c>
      <c r="Q203" s="28" t="s">
        <v>155</v>
      </c>
      <c r="R203" s="28" t="s">
        <v>708</v>
      </c>
      <c r="S203" s="28" t="str">
        <f>Table2[[#This Row],[entity_domain]]</f>
        <v>Lights</v>
      </c>
      <c r="T203" s="28" t="str">
        <f>_xlfn.CONCAT( Table2[[#This Row],[device_suggested_area]], " ",Table2[[#This Row],[powercalc_group_3]])</f>
        <v>Deck Lights</v>
      </c>
      <c r="U203" s="35" t="s">
        <v>997</v>
      </c>
      <c r="V203" s="35"/>
      <c r="W203" s="35"/>
      <c r="X203" s="28"/>
      <c r="AD203" s="29"/>
      <c r="AE203" s="29"/>
      <c r="AF203" s="29"/>
      <c r="AG203" s="29"/>
      <c r="AI203" s="40" t="s">
        <v>1503</v>
      </c>
      <c r="AM203" s="28" t="s">
        <v>263</v>
      </c>
      <c r="AN203" s="28">
        <v>10</v>
      </c>
      <c r="AO203" s="29" t="s">
        <v>34</v>
      </c>
      <c r="AP203" s="29" t="s">
        <v>844</v>
      </c>
      <c r="AQ203" s="28" t="s">
        <v>780</v>
      </c>
      <c r="AR203" s="28" t="str">
        <f>_xlfn.CONCAT("homeassistant/", Table2[[#This Row],[entity_namespace]], "/tasmota/",Table2[[#This Row],[unique_id]], "/config")</f>
        <v>homeassistant/light/tasmota/deck_festoons_plug/config</v>
      </c>
      <c r="AS203" s="28" t="str">
        <f>IF(ISBLANK(Table2[[#This Row],[unique_id_device]]), "", _xlfn.CONCAT("tasmota/device/", Table2[[#This Row],[unique_id_device]], IF(Table2[[#This Row],[entity_namespace]]="sensor", "/tele/SENSOR", "/stat/POWER")))</f>
        <v>tasmota/device/deck_festoons_plug/stat/POWER</v>
      </c>
      <c r="AT203" s="28" t="str">
        <f>_xlfn.CONCAT("tasmota/device/",Table2[[#This Row],[unique_id]], "/cmnd/POWER")</f>
        <v>tasmota/device/deck_festoons_plug/cmnd/POWER</v>
      </c>
      <c r="AU203" s="28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V203" s="28" t="s">
        <v>863</v>
      </c>
      <c r="AW203" s="28" t="s">
        <v>864</v>
      </c>
      <c r="AX203" s="28" t="s">
        <v>853</v>
      </c>
      <c r="AY203" s="28" t="s">
        <v>854</v>
      </c>
      <c r="AZ203" s="28" t="s">
        <v>917</v>
      </c>
      <c r="BA203" s="28">
        <v>1</v>
      </c>
      <c r="BB203" s="32" t="str">
        <f>HYPERLINK(_xlfn.CONCAT("http://", Table2[[#This Row],[connection_ip]], "/?"))</f>
        <v>http://10.0.4.107/?</v>
      </c>
      <c r="BD20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BE20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F20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</v>
      </c>
      <c r="BG20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3" s="28" t="str">
        <f>IF(ISBLANK(Table2[[#This Row],[device_model]]), "", Table2[[#This Row],[device_suggested_area]])</f>
        <v>Deck</v>
      </c>
      <c r="BJ203" s="28" t="s">
        <v>675</v>
      </c>
      <c r="BK203" s="28" t="s">
        <v>1054</v>
      </c>
      <c r="BL203" s="28" t="s">
        <v>1053</v>
      </c>
      <c r="BN203" s="28" t="s">
        <v>835</v>
      </c>
      <c r="BO203" s="28" t="s">
        <v>328</v>
      </c>
      <c r="BS203" s="28" t="s">
        <v>1186</v>
      </c>
      <c r="BT203" s="28" t="s">
        <v>999</v>
      </c>
      <c r="BU203" s="28" t="s">
        <v>1214</v>
      </c>
      <c r="BV20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"34:86:5d:fd:11:e4"], ["ip", "10.0.4.107"]]</v>
      </c>
    </row>
    <row r="204" spans="1:74" ht="16" customHeight="1" x14ac:dyDescent="0.2">
      <c r="A204" s="28">
        <v>1671</v>
      </c>
      <c r="B204" s="28" t="s">
        <v>26</v>
      </c>
      <c r="C204" s="28" t="s">
        <v>658</v>
      </c>
      <c r="D204" s="28" t="s">
        <v>27</v>
      </c>
      <c r="E204" s="28" t="s">
        <v>994</v>
      </c>
      <c r="F204" s="34" t="str">
        <f>IF(ISBLANK(Table2[[#This Row],[unique_id]]), "", PROPER(SUBSTITUTE(Table2[[#This Row],[unique_id]], "_", " ")))</f>
        <v>Deck Festoons Plug Humidity</v>
      </c>
      <c r="G204" s="28" t="s">
        <v>266</v>
      </c>
      <c r="H204" s="28" t="s">
        <v>130</v>
      </c>
      <c r="I204" s="28" t="s">
        <v>123</v>
      </c>
      <c r="P204" s="29"/>
      <c r="Q204" s="28"/>
      <c r="U204" s="35"/>
      <c r="V204" s="35"/>
      <c r="W204" s="35"/>
      <c r="X204" s="28"/>
      <c r="AD204" s="29"/>
      <c r="AE204" s="29"/>
      <c r="AF204" s="29"/>
      <c r="AG204" s="29"/>
      <c r="AJ204" s="28" t="s">
        <v>31</v>
      </c>
      <c r="AK204" s="28" t="s">
        <v>32</v>
      </c>
      <c r="AL204" s="28" t="s">
        <v>33</v>
      </c>
      <c r="AN204" s="28">
        <v>10</v>
      </c>
      <c r="AO204" s="29" t="s">
        <v>34</v>
      </c>
      <c r="AP204" s="29" t="s">
        <v>844</v>
      </c>
      <c r="AQ204" s="28" t="s">
        <v>780</v>
      </c>
      <c r="AR204" s="28" t="str">
        <f>_xlfn.CONCAT("homeassistant/", Table2[[#This Row],[entity_namespace]], "/tasmota/",Table2[[#This Row],[unique_id]], "/config")</f>
        <v>homeassistant/sensor/tasmota/deck_festoons_plug_humidity/config</v>
      </c>
      <c r="AS204" s="28" t="str">
        <f>IF(ISBLANK(Table2[[#This Row],[unique_id_device]]), "", _xlfn.CONCAT("tasmota/device/", Table2[[#This Row],[unique_id_device]], IF(Table2[[#This Row],[entity_namespace]]="sensor", "/tele/SENSOR", "/stat/POWER")))</f>
        <v>tasmota/device/deck_festoons_plug/tele/SENSOR</v>
      </c>
      <c r="AU204" s="28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V204" s="28" t="s">
        <v>863</v>
      </c>
      <c r="AW204" s="28" t="s">
        <v>864</v>
      </c>
      <c r="AX204" s="28" t="s">
        <v>853</v>
      </c>
      <c r="AY204" s="28" t="s">
        <v>854</v>
      </c>
      <c r="AZ204" s="28" t="s">
        <v>1135</v>
      </c>
      <c r="BA204" s="28">
        <v>1</v>
      </c>
      <c r="BB204" s="32"/>
      <c r="BD20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BE20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F2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 Humidity</v>
      </c>
      <c r="BG2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4" s="28" t="str">
        <f>IF(ISBLANK(Table2[[#This Row],[device_model]]), "", Table2[[#This Row],[device_suggested_area]])</f>
        <v>Deck</v>
      </c>
      <c r="BJ204" s="28" t="s">
        <v>675</v>
      </c>
      <c r="BK204" s="28" t="s">
        <v>1054</v>
      </c>
      <c r="BL204" s="28" t="s">
        <v>1053</v>
      </c>
      <c r="BN204" s="28" t="s">
        <v>835</v>
      </c>
      <c r="BO204" s="28" t="s">
        <v>328</v>
      </c>
      <c r="BT204" s="28"/>
      <c r="BV2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5" spans="1:74" s="52" customFormat="1" ht="16" customHeight="1" x14ac:dyDescent="0.2">
      <c r="A205" s="28">
        <v>1672</v>
      </c>
      <c r="B205" s="52" t="s">
        <v>543</v>
      </c>
      <c r="C205" s="52" t="s">
        <v>756</v>
      </c>
      <c r="D205" s="52" t="s">
        <v>139</v>
      </c>
      <c r="E205" s="53" t="s">
        <v>1320</v>
      </c>
      <c r="F205" s="54" t="str">
        <f>IF(ISBLANK(Table2[[#This Row],[unique_id]]), "", PROPER(SUBSTITUTE(Table2[[#This Row],[unique_id]], "_", " ")))</f>
        <v>Broken Template Landing Festoons Plug Proxy</v>
      </c>
      <c r="G205" s="52" t="s">
        <v>522</v>
      </c>
      <c r="H205" s="52" t="s">
        <v>130</v>
      </c>
      <c r="I205" s="52" t="s">
        <v>123</v>
      </c>
      <c r="P205" s="55" t="s">
        <v>736</v>
      </c>
      <c r="U205" s="53" t="str">
        <f>_xlfn.CONCAT("standby_power: 0.5", CHAR(10), "unavailable_power: 0", CHAR(10), "fixed:", CHAR(10), "  power: 0.9", CHAR(10))</f>
        <v xml:space="preserve">standby_power: 0.5
unavailable_power: 0
fixed:
  power: 0.9
</v>
      </c>
      <c r="V205" s="53"/>
      <c r="W205" s="53"/>
      <c r="AD205" s="55"/>
      <c r="AE205" s="55"/>
      <c r="AF205" s="55"/>
      <c r="AG205" s="55"/>
      <c r="AH205" s="55"/>
      <c r="AI205" s="55"/>
      <c r="AO205" s="55"/>
      <c r="AP205" s="55"/>
      <c r="BB205" s="56"/>
      <c r="BC205" s="52" t="s">
        <v>125</v>
      </c>
      <c r="BD205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tplink-landing-festoons</v>
      </c>
      <c r="BE205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F205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5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5" s="52" t="str">
        <f>IF(ISBLANK(Table2[[#This Row],[device_model]]), "", Table2[[#This Row],[device_suggested_area]])</f>
        <v>Landing</v>
      </c>
      <c r="BJ205" s="52" t="s">
        <v>675</v>
      </c>
      <c r="BK205" s="52" t="s">
        <v>331</v>
      </c>
      <c r="BL205" s="52" t="s">
        <v>221</v>
      </c>
      <c r="BN205" s="52" t="s">
        <v>332</v>
      </c>
      <c r="BO205" s="52" t="s">
        <v>523</v>
      </c>
      <c r="BV205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6" spans="1:74" s="52" customFormat="1" ht="16" customHeight="1" x14ac:dyDescent="0.2">
      <c r="A206" s="28">
        <v>1673</v>
      </c>
      <c r="B206" s="52" t="s">
        <v>543</v>
      </c>
      <c r="C206" s="52" t="s">
        <v>221</v>
      </c>
      <c r="D206" s="52" t="s">
        <v>125</v>
      </c>
      <c r="E206" s="52" t="s">
        <v>1321</v>
      </c>
      <c r="F206" s="54" t="str">
        <f>IF(ISBLANK(Table2[[#This Row],[unique_id]]), "", PROPER(SUBSTITUTE(Table2[[#This Row],[unique_id]], "_", " ")))</f>
        <v>Broken Landing Festoons Plug</v>
      </c>
      <c r="G206" s="52" t="s">
        <v>522</v>
      </c>
      <c r="H206" s="52" t="s">
        <v>130</v>
      </c>
      <c r="I206" s="52" t="s">
        <v>123</v>
      </c>
      <c r="P206" s="55" t="s">
        <v>736</v>
      </c>
      <c r="U206" s="53" t="str">
        <f>_xlfn.CONCAT("power_sensor_id: sensor.", Table2[[#This Row],[unique_id]], "_current_consumption", CHAR(10), "force_energy_sensor_creation: true", CHAR(10))</f>
        <v xml:space="preserve">power_sensor_id: sensor.broken_landing_festoons_plug_current_consumption
force_energy_sensor_creation: true
</v>
      </c>
      <c r="V206" s="53"/>
      <c r="W206" s="53"/>
      <c r="AD206" s="55"/>
      <c r="AE206" s="55"/>
      <c r="AF206" s="55"/>
      <c r="AG206" s="55"/>
      <c r="AH206" s="55"/>
      <c r="AI206" s="55"/>
      <c r="AM206" s="52" t="s">
        <v>263</v>
      </c>
      <c r="AO206" s="55"/>
      <c r="AP206" s="55"/>
      <c r="BB206" s="56"/>
      <c r="BD206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tplink-landing-festoons</v>
      </c>
      <c r="BE206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F206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6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6" s="52" t="str">
        <f>IF(ISBLANK(Table2[[#This Row],[device_model]]), "", Table2[[#This Row],[device_suggested_area]])</f>
        <v>Landing</v>
      </c>
      <c r="BJ206" s="52" t="s">
        <v>675</v>
      </c>
      <c r="BK206" s="52" t="s">
        <v>331</v>
      </c>
      <c r="BL206" s="52" t="s">
        <v>221</v>
      </c>
      <c r="BN206" s="52" t="s">
        <v>332</v>
      </c>
      <c r="BO206" s="52" t="s">
        <v>523</v>
      </c>
      <c r="BR206" s="52" t="s">
        <v>923</v>
      </c>
      <c r="BS206" s="52" t="s">
        <v>1186</v>
      </c>
      <c r="BT206" s="52" t="s">
        <v>524</v>
      </c>
      <c r="BU206" s="52" t="s">
        <v>1215</v>
      </c>
      <c r="BV206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"5c:a6:e6:25:5a:0c"], ["ip", "10.0.4.89"]]</v>
      </c>
    </row>
    <row r="207" spans="1:74" ht="16" customHeight="1" x14ac:dyDescent="0.2">
      <c r="A207" s="28">
        <v>1674</v>
      </c>
      <c r="B207" s="28" t="s">
        <v>26</v>
      </c>
      <c r="C207" s="28" t="s">
        <v>756</v>
      </c>
      <c r="D207" s="28" t="s">
        <v>139</v>
      </c>
      <c r="E207" s="35" t="s">
        <v>903</v>
      </c>
      <c r="F207" s="34" t="str">
        <f>IF(ISBLANK(Table2[[#This Row],[unique_id]]), "", PROPER(SUBSTITUTE(Table2[[#This Row],[unique_id]], "_", " ")))</f>
        <v>Template Landing Festoons Plug Proxy</v>
      </c>
      <c r="G207" s="28" t="s">
        <v>195</v>
      </c>
      <c r="H207" s="28" t="s">
        <v>130</v>
      </c>
      <c r="I207" s="28" t="s">
        <v>123</v>
      </c>
      <c r="P207" s="29" t="s">
        <v>736</v>
      </c>
      <c r="Q207" s="28" t="s">
        <v>155</v>
      </c>
      <c r="R207" s="28" t="s">
        <v>708</v>
      </c>
      <c r="S207" s="28" t="str">
        <f>Table2[[#This Row],[entity_domain]]</f>
        <v>Lights</v>
      </c>
      <c r="T207" s="28" t="str">
        <f>_xlfn.CONCAT( Table2[[#This Row],[device_suggested_area]], " ",Table2[[#This Row],[powercalc_group_3]])</f>
        <v>Landing Lights</v>
      </c>
      <c r="U207" s="35" t="s">
        <v>1015</v>
      </c>
      <c r="V207" s="35"/>
      <c r="W207" s="35"/>
      <c r="X207" s="28"/>
      <c r="AD207" s="29"/>
      <c r="AE207" s="29"/>
      <c r="AF207" s="29"/>
      <c r="AG207" s="29"/>
      <c r="AO207" s="29"/>
      <c r="AP207" s="29"/>
      <c r="BA207" s="28"/>
      <c r="BB207" s="38"/>
      <c r="BC207" s="28" t="s">
        <v>128</v>
      </c>
      <c r="BD20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BE20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F20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7" s="28" t="str">
        <f>IF(ISBLANK(Table2[[#This Row],[device_model]]), "", Table2[[#This Row],[device_suggested_area]])</f>
        <v>Landing</v>
      </c>
      <c r="BJ207" s="28" t="s">
        <v>675</v>
      </c>
      <c r="BK207" s="28" t="s">
        <v>1055</v>
      </c>
      <c r="BL207" s="28" t="s">
        <v>1053</v>
      </c>
      <c r="BN207" s="28" t="s">
        <v>835</v>
      </c>
      <c r="BO207" s="28" t="s">
        <v>523</v>
      </c>
      <c r="BT207" s="28"/>
      <c r="BV20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8" spans="1:74" ht="16" customHeight="1" x14ac:dyDescent="0.2">
      <c r="A208" s="28">
        <v>1675</v>
      </c>
      <c r="B208" s="28" t="s">
        <v>26</v>
      </c>
      <c r="C208" s="28" t="s">
        <v>658</v>
      </c>
      <c r="D208" s="28" t="s">
        <v>128</v>
      </c>
      <c r="E208" s="28" t="s">
        <v>781</v>
      </c>
      <c r="F208" s="34" t="str">
        <f>IF(ISBLANK(Table2[[#This Row],[unique_id]]), "", PROPER(SUBSTITUTE(Table2[[#This Row],[unique_id]], "_", " ")))</f>
        <v>Landing Festoons Plug</v>
      </c>
      <c r="G208" s="28" t="s">
        <v>522</v>
      </c>
      <c r="H208" s="28" t="s">
        <v>130</v>
      </c>
      <c r="I208" s="28" t="s">
        <v>123</v>
      </c>
      <c r="J208" s="28" t="s">
        <v>675</v>
      </c>
      <c r="N208" s="28" t="s">
        <v>127</v>
      </c>
      <c r="P208" s="29" t="s">
        <v>736</v>
      </c>
      <c r="Q208" s="28" t="s">
        <v>155</v>
      </c>
      <c r="R208" s="28" t="s">
        <v>708</v>
      </c>
      <c r="S208" s="28" t="str">
        <f>Table2[[#This Row],[entity_domain]]</f>
        <v>Lights</v>
      </c>
      <c r="T208" s="28" t="str">
        <f>_xlfn.CONCAT( Table2[[#This Row],[device_suggested_area]], " ",Table2[[#This Row],[powercalc_group_3]])</f>
        <v>Landing Lights</v>
      </c>
      <c r="U208" s="35" t="s">
        <v>996</v>
      </c>
      <c r="V208" s="35"/>
      <c r="W208" s="35"/>
      <c r="X208" s="28"/>
      <c r="AD208" s="29"/>
      <c r="AE208" s="29"/>
      <c r="AF208" s="29"/>
      <c r="AG208" s="29"/>
      <c r="AI208" s="40" t="s">
        <v>1503</v>
      </c>
      <c r="AM208" s="28" t="s">
        <v>263</v>
      </c>
      <c r="AN208" s="28">
        <v>10</v>
      </c>
      <c r="AO208" s="29" t="s">
        <v>34</v>
      </c>
      <c r="AP208" s="29" t="s">
        <v>844</v>
      </c>
      <c r="AQ208" s="28" t="s">
        <v>781</v>
      </c>
      <c r="AR208" s="28" t="str">
        <f>_xlfn.CONCAT("homeassistant/", Table2[[#This Row],[entity_namespace]], "/tasmota/",Table2[[#This Row],[unique_id]], "/config")</f>
        <v>homeassistant/light/tasmota/landing_festoons_plug/config</v>
      </c>
      <c r="AS208" s="28" t="str">
        <f>IF(ISBLANK(Table2[[#This Row],[unique_id_device]]), "", _xlfn.CONCAT("tasmota/device/", Table2[[#This Row],[unique_id_device]], IF(Table2[[#This Row],[entity_namespace]]="sensor", "/tele/SENSOR", "/stat/POWER")))</f>
        <v>tasmota/device/landing_festoons_plug/stat/POWER</v>
      </c>
      <c r="AT208" s="28" t="str">
        <f>_xlfn.CONCAT("tasmota/device/",Table2[[#This Row],[unique_id]], "/cmnd/POWER")</f>
        <v>tasmota/device/landing_festoons_plug/cmnd/POWER</v>
      </c>
      <c r="AU208" s="28" t="str">
        <f>_xlfn.CONCAT("tasmota/device/", ,SUBSTITUTE(SUBSTITUTE(SUBSTITUTE(SUBSTITUTE(Table2[[#This Row],[unique_id]], "_energy_power", ""), "_energy_total", ""), "_temperature", ""), "_humidity", ""), "/tele/LWT")</f>
        <v>tasmota/device/landing_festoons_plug/tele/LWT</v>
      </c>
      <c r="AV208" s="28" t="s">
        <v>863</v>
      </c>
      <c r="AW208" s="28" t="s">
        <v>864</v>
      </c>
      <c r="AX208" s="28" t="s">
        <v>853</v>
      </c>
      <c r="AY208" s="28" t="s">
        <v>854</v>
      </c>
      <c r="AZ208" s="28" t="s">
        <v>917</v>
      </c>
      <c r="BA208" s="28">
        <v>1</v>
      </c>
      <c r="BB208" s="32" t="str">
        <f>HYPERLINK(_xlfn.CONCAT("http://", Table2[[#This Row],[connection_ip]], "/?"))</f>
        <v>http://10.0.4.108/?</v>
      </c>
      <c r="BD2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BE2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F2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Landing Festoons Landing Festoons Plug</v>
      </c>
      <c r="BG2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08" s="28" t="str">
        <f>IF(ISBLANK(Table2[[#This Row],[device_model]]), "", Table2[[#This Row],[device_suggested_area]])</f>
        <v>Landing</v>
      </c>
      <c r="BJ208" s="28" t="s">
        <v>675</v>
      </c>
      <c r="BK208" s="28" t="s">
        <v>1055</v>
      </c>
      <c r="BL208" s="28" t="s">
        <v>1053</v>
      </c>
      <c r="BN208" s="28" t="s">
        <v>835</v>
      </c>
      <c r="BO208" s="28" t="s">
        <v>523</v>
      </c>
      <c r="BS208" s="28" t="s">
        <v>1186</v>
      </c>
      <c r="BT208" s="28" t="s">
        <v>998</v>
      </c>
      <c r="BU208" s="28" t="s">
        <v>1216</v>
      </c>
      <c r="BV2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"34:86:5d:fc:b2:20"], ["ip", "10.0.4.108"]]</v>
      </c>
    </row>
    <row r="209" spans="1:74" ht="16" customHeight="1" x14ac:dyDescent="0.2">
      <c r="A209" s="28">
        <v>1676</v>
      </c>
      <c r="B209" s="28" t="s">
        <v>543</v>
      </c>
      <c r="C209" s="28" t="s">
        <v>348</v>
      </c>
      <c r="D209" s="28" t="s">
        <v>128</v>
      </c>
      <c r="E209" s="28" t="s">
        <v>538</v>
      </c>
      <c r="F209" s="34" t="str">
        <f>IF(ISBLANK(Table2[[#This Row],[unique_id]]), "", PROPER(SUBSTITUTE(Table2[[#This Row],[unique_id]], "_", " ")))</f>
        <v>Garden Pedestals</v>
      </c>
      <c r="G209" s="28" t="s">
        <v>539</v>
      </c>
      <c r="H209" s="28" t="s">
        <v>130</v>
      </c>
      <c r="I209" s="28" t="s">
        <v>123</v>
      </c>
      <c r="J209" s="28" t="s">
        <v>674</v>
      </c>
      <c r="P209" s="29"/>
      <c r="Q209" s="28"/>
      <c r="U209" s="35"/>
      <c r="V209" s="35"/>
      <c r="W209" s="35"/>
      <c r="X209" s="28"/>
      <c r="AD209" s="29"/>
      <c r="AE209" s="29" t="s">
        <v>456</v>
      </c>
      <c r="AF209" s="45">
        <v>115</v>
      </c>
      <c r="AG209" s="40" t="s">
        <v>707</v>
      </c>
      <c r="AH209" s="40"/>
      <c r="AI209" s="40"/>
      <c r="AM209" s="28" t="s">
        <v>263</v>
      </c>
      <c r="AO209" s="29"/>
      <c r="AP209" s="29"/>
      <c r="BA209" s="28"/>
      <c r="BB20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https://zigbee2mqtt.janeandgraham.com/#/group/115</v>
      </c>
      <c r="BD2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</v>
      </c>
      <c r="BE2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</v>
      </c>
      <c r="BF2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09" s="28" t="str">
        <f>Table2[[#This Row],[device_suggested_area]]</f>
        <v>Garden</v>
      </c>
      <c r="BI209" s="28" t="str">
        <f>IF(ISBLANK(Table2[[#This Row],[device_model]]), "", Table2[[#This Row],[device_suggested_area]])</f>
        <v>Garden</v>
      </c>
      <c r="BJ209" s="28" t="s">
        <v>674</v>
      </c>
      <c r="BK209" s="28" t="s">
        <v>530</v>
      </c>
      <c r="BL209" s="28" t="s">
        <v>348</v>
      </c>
      <c r="BM209" s="28" t="s">
        <v>1345</v>
      </c>
      <c r="BN209" s="28" t="s">
        <v>528</v>
      </c>
      <c r="BO209" s="28" t="s">
        <v>540</v>
      </c>
      <c r="BT209" s="28"/>
      <c r="BV2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0" spans="1:74" ht="16" customHeight="1" x14ac:dyDescent="0.2">
      <c r="A210" s="28">
        <v>1677</v>
      </c>
      <c r="B210" s="28" t="s">
        <v>543</v>
      </c>
      <c r="C210" s="28" t="s">
        <v>348</v>
      </c>
      <c r="D210" s="28" t="s">
        <v>128</v>
      </c>
      <c r="E210" s="28" t="s">
        <v>904</v>
      </c>
      <c r="F210" s="34" t="str">
        <f>IF(ISBLANK(Table2[[#This Row],[unique_id]]), "", PROPER(SUBSTITUTE(Table2[[#This Row],[unique_id]], "_", " ")))</f>
        <v>Garden Pedestals Bulb 1</v>
      </c>
      <c r="H210" s="28" t="s">
        <v>130</v>
      </c>
      <c r="P210" s="29"/>
      <c r="Q210" s="28" t="s">
        <v>155</v>
      </c>
      <c r="R210" s="28" t="s">
        <v>708</v>
      </c>
      <c r="S210" s="28" t="str">
        <f>Table2[[#This Row],[entity_domain]]</f>
        <v>Lights</v>
      </c>
      <c r="T210" s="28" t="str">
        <f>_xlfn.CONCAT( Table2[[#This Row],[device_suggested_area]], " ",Table2[[#This Row],[powercalc_group_3]])</f>
        <v>Garden Lights</v>
      </c>
      <c r="U210" s="35"/>
      <c r="V210" s="35"/>
      <c r="W210" s="35"/>
      <c r="X210" s="28"/>
      <c r="AD210" s="29"/>
      <c r="AE210" s="29" t="s">
        <v>455</v>
      </c>
      <c r="AF210" s="45">
        <v>115</v>
      </c>
      <c r="AG210" s="40" t="s">
        <v>704</v>
      </c>
      <c r="AH210" s="40"/>
      <c r="AI210" s="40"/>
      <c r="AO210" s="29"/>
      <c r="AP210" s="29"/>
      <c r="BA210" s="28"/>
      <c r="BB21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https://zigbee2mqtt.janeandgraham.com/#/device/0x001788010c692175</v>
      </c>
      <c r="BD2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garden-pedestals-bulb-1</v>
      </c>
      <c r="BE2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1</v>
      </c>
      <c r="BF2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0" s="28" t="str">
        <f>Table2[[#This Row],[device_suggested_area]]</f>
        <v>Garden</v>
      </c>
      <c r="BI210" s="28" t="str">
        <f>IF(ISBLANK(Table2[[#This Row],[device_model]]), "", Table2[[#This Row],[device_suggested_area]])</f>
        <v>Garden</v>
      </c>
      <c r="BJ210" s="28" t="s">
        <v>950</v>
      </c>
      <c r="BK210" s="28" t="s">
        <v>530</v>
      </c>
      <c r="BL210" s="28" t="s">
        <v>348</v>
      </c>
      <c r="BM210" s="28" t="s">
        <v>1345</v>
      </c>
      <c r="BN210" s="28" t="s">
        <v>528</v>
      </c>
      <c r="BO210" s="28" t="s">
        <v>540</v>
      </c>
      <c r="BT210" s="28" t="s">
        <v>527</v>
      </c>
      <c r="BV2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"0x001788010c692175"]]</v>
      </c>
    </row>
    <row r="211" spans="1:74" ht="16" customHeight="1" x14ac:dyDescent="0.2">
      <c r="A211" s="28">
        <v>1678</v>
      </c>
      <c r="B211" s="28" t="s">
        <v>543</v>
      </c>
      <c r="C211" s="28" t="s">
        <v>348</v>
      </c>
      <c r="D211" s="28" t="s">
        <v>128</v>
      </c>
      <c r="E211" s="28" t="s">
        <v>905</v>
      </c>
      <c r="F211" s="34" t="str">
        <f>IF(ISBLANK(Table2[[#This Row],[unique_id]]), "", PROPER(SUBSTITUTE(Table2[[#This Row],[unique_id]], "_", " ")))</f>
        <v>Garden Pedestals Bulb 2</v>
      </c>
      <c r="H211" s="28" t="s">
        <v>130</v>
      </c>
      <c r="P211" s="29"/>
      <c r="Q211" s="28" t="s">
        <v>155</v>
      </c>
      <c r="R211" s="28" t="s">
        <v>708</v>
      </c>
      <c r="S211" s="28" t="str">
        <f>Table2[[#This Row],[entity_domain]]</f>
        <v>Lights</v>
      </c>
      <c r="T211" s="28" t="str">
        <f>_xlfn.CONCAT( Table2[[#This Row],[device_suggested_area]], " ",Table2[[#This Row],[powercalc_group_3]])</f>
        <v>Garden Lights</v>
      </c>
      <c r="U211" s="35"/>
      <c r="V211" s="35"/>
      <c r="W211" s="35"/>
      <c r="X211" s="28"/>
      <c r="AD211" s="29"/>
      <c r="AE211" s="29" t="s">
        <v>455</v>
      </c>
      <c r="AF211" s="45">
        <v>115</v>
      </c>
      <c r="AG211" s="40" t="s">
        <v>704</v>
      </c>
      <c r="AH211" s="40"/>
      <c r="AI211" s="40"/>
      <c r="AO211" s="29"/>
      <c r="AP211" s="29"/>
      <c r="BA211" s="28"/>
      <c r="BB21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https://zigbee2mqtt.janeandgraham.com/#/device/0x001788010c69214a</v>
      </c>
      <c r="BD2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garden-pedestals-bulb-2</v>
      </c>
      <c r="BE2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2</v>
      </c>
      <c r="BF2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1" s="28" t="str">
        <f>Table2[[#This Row],[device_suggested_area]]</f>
        <v>Garden</v>
      </c>
      <c r="BI211" s="28" t="str">
        <f>IF(ISBLANK(Table2[[#This Row],[device_model]]), "", Table2[[#This Row],[device_suggested_area]])</f>
        <v>Garden</v>
      </c>
      <c r="BJ211" s="28" t="s">
        <v>951</v>
      </c>
      <c r="BK211" s="28" t="s">
        <v>530</v>
      </c>
      <c r="BL211" s="28" t="s">
        <v>348</v>
      </c>
      <c r="BM211" s="28" t="s">
        <v>1345</v>
      </c>
      <c r="BN211" s="28" t="s">
        <v>528</v>
      </c>
      <c r="BO211" s="28" t="s">
        <v>540</v>
      </c>
      <c r="BT211" s="28" t="s">
        <v>531</v>
      </c>
      <c r="BV2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"0x001788010c69214a"]]</v>
      </c>
    </row>
    <row r="212" spans="1:74" ht="16" customHeight="1" x14ac:dyDescent="0.2">
      <c r="A212" s="28">
        <v>1679</v>
      </c>
      <c r="B212" s="28" t="s">
        <v>543</v>
      </c>
      <c r="C212" s="28" t="s">
        <v>348</v>
      </c>
      <c r="D212" s="28" t="s">
        <v>128</v>
      </c>
      <c r="E212" s="28" t="s">
        <v>906</v>
      </c>
      <c r="F212" s="34" t="str">
        <f>IF(ISBLANK(Table2[[#This Row],[unique_id]]), "", PROPER(SUBSTITUTE(Table2[[#This Row],[unique_id]], "_", " ")))</f>
        <v>Garden Pedestals Bulb 3</v>
      </c>
      <c r="H212" s="28" t="s">
        <v>130</v>
      </c>
      <c r="P212" s="29"/>
      <c r="Q212" s="28" t="s">
        <v>155</v>
      </c>
      <c r="R212" s="28" t="s">
        <v>708</v>
      </c>
      <c r="S212" s="28" t="str">
        <f>Table2[[#This Row],[entity_domain]]</f>
        <v>Lights</v>
      </c>
      <c r="T212" s="28" t="str">
        <f>_xlfn.CONCAT( Table2[[#This Row],[device_suggested_area]], " ",Table2[[#This Row],[powercalc_group_3]])</f>
        <v>Garden Lights</v>
      </c>
      <c r="U212" s="35"/>
      <c r="V212" s="35"/>
      <c r="W212" s="35"/>
      <c r="X212" s="28"/>
      <c r="AD212" s="29"/>
      <c r="AE212" s="29" t="s">
        <v>455</v>
      </c>
      <c r="AF212" s="45">
        <v>115</v>
      </c>
      <c r="AG212" s="40" t="s">
        <v>704</v>
      </c>
      <c r="AH212" s="40"/>
      <c r="AI212" s="40"/>
      <c r="AO212" s="29"/>
      <c r="AP212" s="29"/>
      <c r="BA212" s="28"/>
      <c r="BB21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https://zigbee2mqtt.janeandgraham.com/#/device/0x001788010c5c4266</v>
      </c>
      <c r="BD2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garden-pedestals-bulb-3</v>
      </c>
      <c r="BE2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3</v>
      </c>
      <c r="BF2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2" s="28" t="str">
        <f>Table2[[#This Row],[device_suggested_area]]</f>
        <v>Garden</v>
      </c>
      <c r="BI212" s="28" t="str">
        <f>IF(ISBLANK(Table2[[#This Row],[device_model]]), "", Table2[[#This Row],[device_suggested_area]])</f>
        <v>Garden</v>
      </c>
      <c r="BJ212" s="28" t="s">
        <v>952</v>
      </c>
      <c r="BK212" s="28" t="s">
        <v>530</v>
      </c>
      <c r="BL212" s="28" t="s">
        <v>348</v>
      </c>
      <c r="BM212" s="28" t="s">
        <v>1345</v>
      </c>
      <c r="BN212" s="28" t="s">
        <v>528</v>
      </c>
      <c r="BO212" s="28" t="s">
        <v>540</v>
      </c>
      <c r="BT212" s="28" t="s">
        <v>532</v>
      </c>
      <c r="BV2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"0x001788010c5c4266"]]</v>
      </c>
    </row>
    <row r="213" spans="1:74" ht="16" customHeight="1" x14ac:dyDescent="0.2">
      <c r="A213" s="28">
        <v>1680</v>
      </c>
      <c r="B213" s="28" t="s">
        <v>543</v>
      </c>
      <c r="C213" s="28" t="s">
        <v>348</v>
      </c>
      <c r="D213" s="28" t="s">
        <v>128</v>
      </c>
      <c r="E213" s="28" t="s">
        <v>907</v>
      </c>
      <c r="F213" s="34" t="str">
        <f>IF(ISBLANK(Table2[[#This Row],[unique_id]]), "", PROPER(SUBSTITUTE(Table2[[#This Row],[unique_id]], "_", " ")))</f>
        <v>Garden Pedestals Bulb 4</v>
      </c>
      <c r="H213" s="28" t="s">
        <v>130</v>
      </c>
      <c r="P213" s="29"/>
      <c r="Q213" s="28" t="s">
        <v>155</v>
      </c>
      <c r="R213" s="28" t="s">
        <v>708</v>
      </c>
      <c r="S213" s="28" t="str">
        <f>Table2[[#This Row],[entity_domain]]</f>
        <v>Lights</v>
      </c>
      <c r="T213" s="28" t="str">
        <f>_xlfn.CONCAT( Table2[[#This Row],[device_suggested_area]], " ",Table2[[#This Row],[powercalc_group_3]])</f>
        <v>Garden Lights</v>
      </c>
      <c r="U213" s="35"/>
      <c r="V213" s="35"/>
      <c r="W213" s="35"/>
      <c r="X213" s="28"/>
      <c r="AD213" s="29"/>
      <c r="AE213" s="29" t="s">
        <v>455</v>
      </c>
      <c r="AF213" s="45">
        <v>115</v>
      </c>
      <c r="AG213" s="40" t="s">
        <v>704</v>
      </c>
      <c r="AH213" s="40"/>
      <c r="AI213" s="40"/>
      <c r="AO213" s="29"/>
      <c r="AP213" s="29"/>
      <c r="BA213" s="28"/>
      <c r="BB21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https://zigbee2mqtt.janeandgraham.com/#/device/0x001788010c692144</v>
      </c>
      <c r="BD2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garden-pedestals-bulb-4</v>
      </c>
      <c r="BE2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4</v>
      </c>
      <c r="BF2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3" s="28" t="str">
        <f>Table2[[#This Row],[device_suggested_area]]</f>
        <v>Garden</v>
      </c>
      <c r="BI213" s="28" t="str">
        <f>IF(ISBLANK(Table2[[#This Row],[device_model]]), "", Table2[[#This Row],[device_suggested_area]])</f>
        <v>Garden</v>
      </c>
      <c r="BJ213" s="28" t="s">
        <v>953</v>
      </c>
      <c r="BK213" s="28" t="s">
        <v>530</v>
      </c>
      <c r="BL213" s="28" t="s">
        <v>348</v>
      </c>
      <c r="BM213" s="28" t="s">
        <v>1345</v>
      </c>
      <c r="BN213" s="28" t="s">
        <v>528</v>
      </c>
      <c r="BO213" s="28" t="s">
        <v>540</v>
      </c>
      <c r="BT213" s="28" t="s">
        <v>533</v>
      </c>
      <c r="BV2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"0x001788010c692144"]]</v>
      </c>
    </row>
    <row r="214" spans="1:74" ht="16" customHeight="1" x14ac:dyDescent="0.2">
      <c r="A214" s="28">
        <v>1681</v>
      </c>
      <c r="B214" s="28" t="s">
        <v>543</v>
      </c>
      <c r="C214" s="28" t="s">
        <v>348</v>
      </c>
      <c r="D214" s="28" t="s">
        <v>128</v>
      </c>
      <c r="F214" s="34" t="str">
        <f>IF(ISBLANK(Table2[[#This Row],[unique_id]]), "", PROPER(SUBSTITUTE(Table2[[#This Row],[unique_id]], "_", " ")))</f>
        <v/>
      </c>
      <c r="P214" s="29"/>
      <c r="Q214" s="28"/>
      <c r="U214" s="35"/>
      <c r="V214" s="35"/>
      <c r="W214" s="35"/>
      <c r="X214" s="28"/>
      <c r="AD214" s="29"/>
      <c r="AE214" s="29" t="s">
        <v>455</v>
      </c>
      <c r="AF214" s="45">
        <v>115</v>
      </c>
      <c r="AG214" s="40" t="s">
        <v>704</v>
      </c>
      <c r="AH214" s="40" t="s">
        <v>922</v>
      </c>
      <c r="AI214" s="40"/>
      <c r="AO214" s="29"/>
      <c r="AP214" s="29"/>
      <c r="BA214" s="28"/>
      <c r="BB21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BD2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garden-pedestals-bulb-5</v>
      </c>
      <c r="BE2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5</v>
      </c>
      <c r="BF2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4" s="28" t="str">
        <f>Table2[[#This Row],[device_suggested_area]]</f>
        <v>Garden</v>
      </c>
      <c r="BI214" s="28" t="str">
        <f>IF(ISBLANK(Table2[[#This Row],[device_model]]), "", Table2[[#This Row],[device_suggested_area]])</f>
        <v>Garden</v>
      </c>
      <c r="BJ214" s="28" t="s">
        <v>954</v>
      </c>
      <c r="BK214" s="28" t="s">
        <v>530</v>
      </c>
      <c r="BL214" s="28" t="s">
        <v>348</v>
      </c>
      <c r="BM214" s="28" t="s">
        <v>1345</v>
      </c>
      <c r="BN214" s="28" t="s">
        <v>528</v>
      </c>
      <c r="BO214" s="28" t="s">
        <v>540</v>
      </c>
      <c r="BT214" s="28" t="s">
        <v>1000</v>
      </c>
      <c r="BV2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5" spans="1:74" ht="16" customHeight="1" x14ac:dyDescent="0.2">
      <c r="A215" s="28">
        <v>1682</v>
      </c>
      <c r="B215" s="28" t="s">
        <v>543</v>
      </c>
      <c r="C215" s="28" t="s">
        <v>348</v>
      </c>
      <c r="D215" s="28" t="s">
        <v>128</v>
      </c>
      <c r="F215" s="34" t="str">
        <f>IF(ISBLANK(Table2[[#This Row],[unique_id]]), "", PROPER(SUBSTITUTE(Table2[[#This Row],[unique_id]], "_", " ")))</f>
        <v/>
      </c>
      <c r="P215" s="29"/>
      <c r="Q215" s="28"/>
      <c r="U215" s="35"/>
      <c r="V215" s="35"/>
      <c r="W215" s="35"/>
      <c r="X215" s="28"/>
      <c r="AD215" s="29"/>
      <c r="AE215" s="29" t="s">
        <v>455</v>
      </c>
      <c r="AF215" s="45">
        <v>115</v>
      </c>
      <c r="AG215" s="40" t="s">
        <v>704</v>
      </c>
      <c r="AH215" s="40" t="s">
        <v>922</v>
      </c>
      <c r="AI215" s="40"/>
      <c r="AO215" s="29"/>
      <c r="AP215" s="29"/>
      <c r="BA215" s="28"/>
      <c r="BB21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BD2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garden-pedestals-bulb-6</v>
      </c>
      <c r="BE2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6</v>
      </c>
      <c r="BF2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5" s="28" t="str">
        <f>Table2[[#This Row],[device_suggested_area]]</f>
        <v>Garden</v>
      </c>
      <c r="BI215" s="28" t="str">
        <f>IF(ISBLANK(Table2[[#This Row],[device_model]]), "", Table2[[#This Row],[device_suggested_area]])</f>
        <v>Garden</v>
      </c>
      <c r="BJ215" s="28" t="s">
        <v>955</v>
      </c>
      <c r="BK215" s="28" t="s">
        <v>530</v>
      </c>
      <c r="BL215" s="28" t="s">
        <v>348</v>
      </c>
      <c r="BM215" s="28" t="s">
        <v>1345</v>
      </c>
      <c r="BN215" s="28" t="s">
        <v>528</v>
      </c>
      <c r="BO215" s="28" t="s">
        <v>540</v>
      </c>
      <c r="BT215" s="28" t="s">
        <v>1000</v>
      </c>
      <c r="BV2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6" spans="1:74" ht="16" customHeight="1" x14ac:dyDescent="0.2">
      <c r="A216" s="28">
        <v>1683</v>
      </c>
      <c r="B216" s="28" t="s">
        <v>543</v>
      </c>
      <c r="C216" s="28" t="s">
        <v>348</v>
      </c>
      <c r="D216" s="28" t="s">
        <v>128</v>
      </c>
      <c r="F216" s="34" t="str">
        <f>IF(ISBLANK(Table2[[#This Row],[unique_id]]), "", PROPER(SUBSTITUTE(Table2[[#This Row],[unique_id]], "_", " ")))</f>
        <v/>
      </c>
      <c r="P216" s="29"/>
      <c r="Q216" s="28"/>
      <c r="U216" s="35"/>
      <c r="V216" s="35"/>
      <c r="W216" s="35"/>
      <c r="X216" s="28"/>
      <c r="AD216" s="29"/>
      <c r="AE216" s="29" t="s">
        <v>455</v>
      </c>
      <c r="AF216" s="45">
        <v>115</v>
      </c>
      <c r="AG216" s="40" t="s">
        <v>704</v>
      </c>
      <c r="AH216" s="40" t="s">
        <v>922</v>
      </c>
      <c r="AI216" s="40"/>
      <c r="AO216" s="29"/>
      <c r="AP216" s="29"/>
      <c r="BA216" s="28"/>
      <c r="BB21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BD2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garden-pedestals-bulb-7</v>
      </c>
      <c r="BE2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7</v>
      </c>
      <c r="BF2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6" s="28" t="str">
        <f>Table2[[#This Row],[device_suggested_area]]</f>
        <v>Garden</v>
      </c>
      <c r="BI216" s="28" t="str">
        <f>IF(ISBLANK(Table2[[#This Row],[device_model]]), "", Table2[[#This Row],[device_suggested_area]])</f>
        <v>Garden</v>
      </c>
      <c r="BJ216" s="28" t="s">
        <v>956</v>
      </c>
      <c r="BK216" s="28" t="s">
        <v>530</v>
      </c>
      <c r="BL216" s="28" t="s">
        <v>348</v>
      </c>
      <c r="BM216" s="28" t="s">
        <v>1345</v>
      </c>
      <c r="BN216" s="28" t="s">
        <v>528</v>
      </c>
      <c r="BO216" s="28" t="s">
        <v>540</v>
      </c>
      <c r="BT216" s="28" t="s">
        <v>1000</v>
      </c>
      <c r="BV2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7" spans="1:74" ht="16" customHeight="1" x14ac:dyDescent="0.2">
      <c r="A217" s="28">
        <v>1684</v>
      </c>
      <c r="B217" s="28" t="s">
        <v>543</v>
      </c>
      <c r="C217" s="28" t="s">
        <v>348</v>
      </c>
      <c r="D217" s="28" t="s">
        <v>128</v>
      </c>
      <c r="F217" s="34" t="str">
        <f>IF(ISBLANK(Table2[[#This Row],[unique_id]]), "", PROPER(SUBSTITUTE(Table2[[#This Row],[unique_id]], "_", " ")))</f>
        <v/>
      </c>
      <c r="P217" s="29"/>
      <c r="Q217" s="28"/>
      <c r="U217" s="35"/>
      <c r="V217" s="35"/>
      <c r="W217" s="35"/>
      <c r="X217" s="28"/>
      <c r="AD217" s="29"/>
      <c r="AE217" s="29" t="s">
        <v>455</v>
      </c>
      <c r="AF217" s="45">
        <v>115</v>
      </c>
      <c r="AG217" s="40" t="s">
        <v>704</v>
      </c>
      <c r="AH217" s="40" t="s">
        <v>922</v>
      </c>
      <c r="AI217" s="40"/>
      <c r="AO217" s="29"/>
      <c r="AP217" s="29"/>
      <c r="BA217" s="28"/>
      <c r="BB21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BD2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garden-pedestals-bulb-8</v>
      </c>
      <c r="BE2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8</v>
      </c>
      <c r="BF2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7" s="28" t="str">
        <f>Table2[[#This Row],[device_suggested_area]]</f>
        <v>Garden</v>
      </c>
      <c r="BI217" s="28" t="str">
        <f>IF(ISBLANK(Table2[[#This Row],[device_model]]), "", Table2[[#This Row],[device_suggested_area]])</f>
        <v>Garden</v>
      </c>
      <c r="BJ217" s="28" t="s">
        <v>957</v>
      </c>
      <c r="BK217" s="28" t="s">
        <v>530</v>
      </c>
      <c r="BL217" s="28" t="s">
        <v>348</v>
      </c>
      <c r="BM217" s="28" t="s">
        <v>1345</v>
      </c>
      <c r="BN217" s="28" t="s">
        <v>528</v>
      </c>
      <c r="BO217" s="28" t="s">
        <v>540</v>
      </c>
      <c r="BT217" s="28" t="s">
        <v>1000</v>
      </c>
      <c r="BV2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8" spans="1:74" ht="16" customHeight="1" x14ac:dyDescent="0.2">
      <c r="A218" s="28">
        <v>1685</v>
      </c>
      <c r="B218" s="28" t="s">
        <v>26</v>
      </c>
      <c r="C218" s="28" t="s">
        <v>348</v>
      </c>
      <c r="D218" s="28" t="s">
        <v>128</v>
      </c>
      <c r="E218" s="28" t="s">
        <v>541</v>
      </c>
      <c r="F218" s="34" t="str">
        <f>IF(ISBLANK(Table2[[#This Row],[unique_id]]), "", PROPER(SUBSTITUTE(Table2[[#This Row],[unique_id]], "_", " ")))</f>
        <v>Tree Spotlights</v>
      </c>
      <c r="G218" s="28" t="s">
        <v>537</v>
      </c>
      <c r="H218" s="28" t="s">
        <v>130</v>
      </c>
      <c r="I218" s="28" t="s">
        <v>123</v>
      </c>
      <c r="J218" s="28" t="s">
        <v>676</v>
      </c>
      <c r="P218" s="29"/>
      <c r="Q218" s="28"/>
      <c r="U218" s="35"/>
      <c r="V218" s="35"/>
      <c r="W218" s="35"/>
      <c r="X218" s="28"/>
      <c r="AD218" s="29"/>
      <c r="AE218" s="29" t="s">
        <v>456</v>
      </c>
      <c r="AF218" s="45">
        <v>116</v>
      </c>
      <c r="AG218" s="40" t="s">
        <v>707</v>
      </c>
      <c r="AH218" s="40"/>
      <c r="AI218" s="40"/>
      <c r="AM218" s="28" t="s">
        <v>263</v>
      </c>
      <c r="AO218" s="29"/>
      <c r="AP218" s="29"/>
      <c r="BA218" s="28"/>
      <c r="BB21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https://zigbee2mqtt.janeandgraham.com/#/group/116</v>
      </c>
      <c r="BD2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</v>
      </c>
      <c r="BE2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</v>
      </c>
      <c r="BF2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8" s="28" t="str">
        <f>Table2[[#This Row],[device_suggested_area]]</f>
        <v>Tree</v>
      </c>
      <c r="BI218" s="28" t="str">
        <f>IF(ISBLANK(Table2[[#This Row],[device_model]]), "", Table2[[#This Row],[device_suggested_area]])</f>
        <v>Tree</v>
      </c>
      <c r="BJ218" s="28" t="s">
        <v>676</v>
      </c>
      <c r="BK218" s="28" t="s">
        <v>536</v>
      </c>
      <c r="BL218" s="28" t="s">
        <v>348</v>
      </c>
      <c r="BM218" s="28" t="s">
        <v>1345</v>
      </c>
      <c r="BN218" s="28" t="s">
        <v>528</v>
      </c>
      <c r="BO218" s="28" t="s">
        <v>535</v>
      </c>
      <c r="BT218" s="28"/>
      <c r="BV2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9" spans="1:74" ht="16" customHeight="1" x14ac:dyDescent="0.2">
      <c r="A219" s="28">
        <v>1686</v>
      </c>
      <c r="B219" s="28" t="s">
        <v>543</v>
      </c>
      <c r="C219" s="28" t="s">
        <v>348</v>
      </c>
      <c r="D219" s="28" t="s">
        <v>128</v>
      </c>
      <c r="E219" s="28" t="s">
        <v>908</v>
      </c>
      <c r="F219" s="34" t="str">
        <f>IF(ISBLANK(Table2[[#This Row],[unique_id]]), "", PROPER(SUBSTITUTE(Table2[[#This Row],[unique_id]], "_", " ")))</f>
        <v>Tree Spotlights Bulb 1</v>
      </c>
      <c r="H219" s="28" t="s">
        <v>130</v>
      </c>
      <c r="P219" s="29" t="s">
        <v>736</v>
      </c>
      <c r="Q219" s="28" t="s">
        <v>155</v>
      </c>
      <c r="R219" s="28" t="s">
        <v>708</v>
      </c>
      <c r="S219" s="28" t="str">
        <f>Table2[[#This Row],[entity_domain]]</f>
        <v>Lights</v>
      </c>
      <c r="T219" s="28" t="str">
        <f>_xlfn.CONCAT( Table2[[#This Row],[device_suggested_area]], " ",Table2[[#This Row],[powercalc_group_3]])</f>
        <v>Tree Lights</v>
      </c>
      <c r="U219" s="35"/>
      <c r="V219" s="35"/>
      <c r="W219" s="35"/>
      <c r="X219" s="28"/>
      <c r="AD219" s="29"/>
      <c r="AE219" s="29" t="s">
        <v>455</v>
      </c>
      <c r="AF219" s="45">
        <v>116</v>
      </c>
      <c r="AG219" s="40" t="s">
        <v>704</v>
      </c>
      <c r="AH219" s="40"/>
      <c r="AI219" s="40"/>
      <c r="AO219" s="29"/>
      <c r="AP219" s="29"/>
      <c r="BA219" s="28"/>
      <c r="BB21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https://zigbee2mqtt.janeandgraham.com/#/device/0x00178801097ed42c</v>
      </c>
      <c r="BD2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tree-spotlights-bulb-1</v>
      </c>
      <c r="BE2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1</v>
      </c>
      <c r="BF2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19" s="28" t="str">
        <f>Table2[[#This Row],[device_suggested_area]]</f>
        <v>Tree</v>
      </c>
      <c r="BI219" s="28" t="str">
        <f>IF(ISBLANK(Table2[[#This Row],[device_model]]), "", Table2[[#This Row],[device_suggested_area]])</f>
        <v>Tree</v>
      </c>
      <c r="BJ219" s="28" t="s">
        <v>958</v>
      </c>
      <c r="BK219" s="28" t="s">
        <v>536</v>
      </c>
      <c r="BL219" s="28" t="s">
        <v>348</v>
      </c>
      <c r="BM219" s="28" t="s">
        <v>1345</v>
      </c>
      <c r="BN219" s="28" t="s">
        <v>528</v>
      </c>
      <c r="BO219" s="28" t="s">
        <v>535</v>
      </c>
      <c r="BT219" s="28" t="s">
        <v>534</v>
      </c>
      <c r="BV2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"0x00178801097ed42c"]]</v>
      </c>
    </row>
    <row r="220" spans="1:74" ht="16" customHeight="1" x14ac:dyDescent="0.2">
      <c r="A220" s="28">
        <v>1687</v>
      </c>
      <c r="B220" s="28" t="s">
        <v>543</v>
      </c>
      <c r="C220" s="28" t="s">
        <v>348</v>
      </c>
      <c r="D220" s="28" t="s">
        <v>128</v>
      </c>
      <c r="E220" s="28" t="s">
        <v>909</v>
      </c>
      <c r="F220" s="34" t="str">
        <f>IF(ISBLANK(Table2[[#This Row],[unique_id]]), "", PROPER(SUBSTITUTE(Table2[[#This Row],[unique_id]], "_", " ")))</f>
        <v>Tree Spotlights Bulb 2</v>
      </c>
      <c r="H220" s="28" t="s">
        <v>130</v>
      </c>
      <c r="P220" s="29" t="s">
        <v>736</v>
      </c>
      <c r="Q220" s="28" t="s">
        <v>155</v>
      </c>
      <c r="R220" s="28" t="s">
        <v>708</v>
      </c>
      <c r="S220" s="28" t="str">
        <f>Table2[[#This Row],[entity_domain]]</f>
        <v>Lights</v>
      </c>
      <c r="T220" s="28" t="str">
        <f>_xlfn.CONCAT( Table2[[#This Row],[device_suggested_area]], " ",Table2[[#This Row],[powercalc_group_3]])</f>
        <v>Tree Lights</v>
      </c>
      <c r="U220" s="35"/>
      <c r="V220" s="35"/>
      <c r="W220" s="35"/>
      <c r="X220" s="28"/>
      <c r="AD220" s="29"/>
      <c r="AE220" s="29" t="s">
        <v>455</v>
      </c>
      <c r="AF220" s="45">
        <v>116</v>
      </c>
      <c r="AG220" s="40" t="s">
        <v>704</v>
      </c>
      <c r="AH220" s="40"/>
      <c r="AI220" s="40"/>
      <c r="AO220" s="29"/>
      <c r="AP220" s="29"/>
      <c r="BA220" s="28"/>
      <c r="BB22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https://zigbee2mqtt.janeandgraham.com/#/device/0x0017880109c40c33</v>
      </c>
      <c r="BD2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tree-spotlights-bulb-2</v>
      </c>
      <c r="BE2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2</v>
      </c>
      <c r="BF2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20" s="28" t="str">
        <f>Table2[[#This Row],[device_suggested_area]]</f>
        <v>Tree</v>
      </c>
      <c r="BI220" s="28" t="str">
        <f>IF(ISBLANK(Table2[[#This Row],[device_model]]), "", Table2[[#This Row],[device_suggested_area]])</f>
        <v>Tree</v>
      </c>
      <c r="BJ220" s="28" t="s">
        <v>959</v>
      </c>
      <c r="BK220" s="28" t="s">
        <v>536</v>
      </c>
      <c r="BL220" s="28" t="s">
        <v>348</v>
      </c>
      <c r="BM220" s="28" t="s">
        <v>1345</v>
      </c>
      <c r="BN220" s="28" t="s">
        <v>528</v>
      </c>
      <c r="BO220" s="28" t="s">
        <v>535</v>
      </c>
      <c r="BT220" s="28" t="s">
        <v>542</v>
      </c>
      <c r="BV2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"0x0017880109c40c33"]]</v>
      </c>
    </row>
    <row r="221" spans="1:74" ht="16" customHeight="1" x14ac:dyDescent="0.2">
      <c r="A221" s="28">
        <v>1688</v>
      </c>
      <c r="B221" s="28" t="s">
        <v>543</v>
      </c>
      <c r="C221" s="28" t="s">
        <v>348</v>
      </c>
      <c r="D221" s="28" t="s">
        <v>128</v>
      </c>
      <c r="F221" s="34" t="str">
        <f>IF(ISBLANK(Table2[[#This Row],[unique_id]]), "", PROPER(SUBSTITUTE(Table2[[#This Row],[unique_id]], "_", " ")))</f>
        <v/>
      </c>
      <c r="P221" s="29"/>
      <c r="Q221" s="28"/>
      <c r="U221" s="35"/>
      <c r="V221" s="35"/>
      <c r="W221" s="35"/>
      <c r="X221" s="28"/>
      <c r="AD221" s="29"/>
      <c r="AE221" s="29" t="s">
        <v>455</v>
      </c>
      <c r="AF221" s="45">
        <v>116</v>
      </c>
      <c r="AG221" s="40" t="s">
        <v>704</v>
      </c>
      <c r="AH221" s="40" t="s">
        <v>922</v>
      </c>
      <c r="AI221" s="40"/>
      <c r="AO221" s="29"/>
      <c r="AP221" s="29"/>
      <c r="BA221" s="28"/>
      <c r="BB22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BD2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tree-spotlights-bulb-3</v>
      </c>
      <c r="BE2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3</v>
      </c>
      <c r="BF2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221" s="28" t="str">
        <f>Table2[[#This Row],[device_suggested_area]]</f>
        <v>Tree</v>
      </c>
      <c r="BI221" s="28" t="str">
        <f>IF(ISBLANK(Table2[[#This Row],[device_model]]), "", Table2[[#This Row],[device_suggested_area]])</f>
        <v>Tree</v>
      </c>
      <c r="BJ221" s="28" t="s">
        <v>960</v>
      </c>
      <c r="BK221" s="28" t="s">
        <v>536</v>
      </c>
      <c r="BL221" s="28" t="s">
        <v>348</v>
      </c>
      <c r="BM221" s="28" t="s">
        <v>1345</v>
      </c>
      <c r="BN221" s="28" t="s">
        <v>528</v>
      </c>
      <c r="BO221" s="28" t="s">
        <v>535</v>
      </c>
      <c r="BT221" s="28" t="s">
        <v>1000</v>
      </c>
      <c r="BV2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22" spans="1:74" ht="16" customHeight="1" x14ac:dyDescent="0.2">
      <c r="A222" s="28">
        <v>1800</v>
      </c>
      <c r="B222" s="28" t="s">
        <v>26</v>
      </c>
      <c r="C222" s="28" t="s">
        <v>409</v>
      </c>
      <c r="D222" s="28" t="s">
        <v>304</v>
      </c>
      <c r="E222" s="28" t="s">
        <v>303</v>
      </c>
      <c r="F222" s="34" t="str">
        <f>IF(ISBLANK(Table2[[#This Row],[unique_id]]), "", PROPER(SUBSTITUTE(Table2[[#This Row],[unique_id]], "_", " ")))</f>
        <v>Column Break</v>
      </c>
      <c r="G222" s="28" t="s">
        <v>300</v>
      </c>
      <c r="H222" s="28" t="s">
        <v>130</v>
      </c>
      <c r="I222" s="28" t="s">
        <v>123</v>
      </c>
      <c r="N222" s="28" t="s">
        <v>301</v>
      </c>
      <c r="O222" s="28" t="s">
        <v>302</v>
      </c>
      <c r="P222" s="29"/>
      <c r="Q222" s="28"/>
      <c r="U222" s="35"/>
      <c r="V222" s="35"/>
      <c r="W222" s="35"/>
      <c r="X222" s="28"/>
      <c r="AD222" s="29"/>
      <c r="AE222" s="29"/>
      <c r="AF222" s="29"/>
      <c r="AG222" s="29"/>
      <c r="AO222" s="29"/>
      <c r="AP222" s="29"/>
      <c r="BA222" s="28"/>
      <c r="BB222" s="38"/>
      <c r="BC222" s="29"/>
      <c r="BD2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2" s="28" t="str">
        <f>IF(ISBLANK(Table2[[#This Row],[device_model]]), "", Table2[[#This Row],[device_suggested_area]])</f>
        <v/>
      </c>
      <c r="BN222" s="29"/>
      <c r="BT222" s="28"/>
      <c r="BV2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3" spans="1:74" ht="16" customHeight="1" x14ac:dyDescent="0.2">
      <c r="A223" s="28">
        <v>1801</v>
      </c>
      <c r="B223" s="28" t="s">
        <v>26</v>
      </c>
      <c r="C223" s="28" t="s">
        <v>756</v>
      </c>
      <c r="D223" s="28" t="s">
        <v>139</v>
      </c>
      <c r="E223" s="35" t="s">
        <v>910</v>
      </c>
      <c r="F223" s="34" t="str">
        <f>IF(ISBLANK(Table2[[#This Row],[unique_id]]), "", PROPER(SUBSTITUTE(Table2[[#This Row],[unique_id]], "_", " ")))</f>
        <v>Template Bathroom Rails Plug Proxy</v>
      </c>
      <c r="G223" s="28" t="s">
        <v>417</v>
      </c>
      <c r="H223" s="28" t="s">
        <v>615</v>
      </c>
      <c r="I223" s="28" t="s">
        <v>123</v>
      </c>
      <c r="P223" s="29" t="s">
        <v>736</v>
      </c>
      <c r="Q223" s="28" t="s">
        <v>155</v>
      </c>
      <c r="R223" s="37" t="s">
        <v>709</v>
      </c>
      <c r="S223" s="28" t="str">
        <f>Table2[[#This Row],[entity_domain]]</f>
        <v>Heating &amp; Cooling</v>
      </c>
      <c r="T223" s="28" t="s">
        <v>417</v>
      </c>
      <c r="U223" s="35" t="s">
        <v>1014</v>
      </c>
      <c r="V223" s="35"/>
      <c r="W223" s="35"/>
      <c r="X223" s="28"/>
      <c r="AD223" s="29"/>
      <c r="AE223" s="29"/>
      <c r="AF223" s="29"/>
      <c r="AG223" s="29"/>
      <c r="AO223" s="29"/>
      <c r="AP223" s="29"/>
      <c r="BA223" s="28"/>
      <c r="BB223" s="38"/>
      <c r="BC223" s="28" t="s">
        <v>125</v>
      </c>
      <c r="BD2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tplink-bathroom-rails</v>
      </c>
      <c r="BE2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Rails</v>
      </c>
      <c r="BF2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3" s="28" t="str">
        <f>IF(ISBLANK(Table2[[#This Row],[device_model]]), "", Table2[[#This Row],[device_suggested_area]])</f>
        <v>Bathroom</v>
      </c>
      <c r="BJ223" s="28" t="s">
        <v>966</v>
      </c>
      <c r="BK223" s="28" t="s">
        <v>330</v>
      </c>
      <c r="BL223" s="28" t="s">
        <v>221</v>
      </c>
      <c r="BN223" s="28" t="s">
        <v>333</v>
      </c>
      <c r="BO223" s="28" t="s">
        <v>329</v>
      </c>
      <c r="BT223" s="28"/>
      <c r="BV2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4" spans="1:74" ht="16" customHeight="1" x14ac:dyDescent="0.2">
      <c r="A224" s="28">
        <v>1802</v>
      </c>
      <c r="B224" s="28" t="s">
        <v>26</v>
      </c>
      <c r="C224" s="28" t="s">
        <v>221</v>
      </c>
      <c r="D224" s="28" t="s">
        <v>125</v>
      </c>
      <c r="E224" s="28" t="s">
        <v>782</v>
      </c>
      <c r="F224" s="34" t="str">
        <f>IF(ISBLANK(Table2[[#This Row],[unique_id]]), "", PROPER(SUBSTITUTE(Table2[[#This Row],[unique_id]], "_", " ")))</f>
        <v>Bathroom Rails Plug</v>
      </c>
      <c r="G224" s="28" t="s">
        <v>417</v>
      </c>
      <c r="H224" s="28" t="s">
        <v>615</v>
      </c>
      <c r="I224" s="28" t="s">
        <v>123</v>
      </c>
      <c r="J224" s="28" t="s">
        <v>417</v>
      </c>
      <c r="N224" s="28" t="s">
        <v>244</v>
      </c>
      <c r="P224" s="29" t="s">
        <v>736</v>
      </c>
      <c r="Q224" s="28" t="s">
        <v>155</v>
      </c>
      <c r="R224" s="37" t="s">
        <v>709</v>
      </c>
      <c r="S224" s="28" t="str">
        <f>Table2[[#This Row],[entity_domain]]</f>
        <v>Heating &amp; Cooling</v>
      </c>
      <c r="T224" s="28" t="s">
        <v>417</v>
      </c>
      <c r="U224" s="35" t="str">
        <f>"power_sensor_id: sensor." &amp; Table2[[#This Row],[unique_id]] &amp; "_current_consumption" &amp; CHAR(10) &amp; "force_energy_sensor_creation: true" &amp; CHAR(10)</f>
        <v xml:space="preserve">power_sensor_id: sensor.bathroom_rails_plug_current_consumption
force_energy_sensor_creation: true
</v>
      </c>
      <c r="V224" s="35"/>
      <c r="W224" s="35"/>
      <c r="X224" s="28"/>
      <c r="AD224" s="29"/>
      <c r="AE224" s="29"/>
      <c r="AF224" s="29"/>
      <c r="AG224" s="29"/>
      <c r="AM224" s="28" t="s">
        <v>243</v>
      </c>
      <c r="AO224" s="29"/>
      <c r="AP224" s="29"/>
      <c r="BA224" s="28"/>
      <c r="BB224" s="38"/>
      <c r="BD2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tplink-bathroom-rails</v>
      </c>
      <c r="BE2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Rails</v>
      </c>
      <c r="BF2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4" s="28" t="str">
        <f>IF(ISBLANK(Table2[[#This Row],[device_model]]), "", Table2[[#This Row],[device_suggested_area]])</f>
        <v>Bathroom</v>
      </c>
      <c r="BJ224" s="28" t="s">
        <v>966</v>
      </c>
      <c r="BK224" s="28" t="s">
        <v>330</v>
      </c>
      <c r="BL224" s="28" t="s">
        <v>221</v>
      </c>
      <c r="BN224" s="28" t="s">
        <v>333</v>
      </c>
      <c r="BO224" s="28" t="s">
        <v>329</v>
      </c>
      <c r="BR224" s="28" t="s">
        <v>924</v>
      </c>
      <c r="BS224" s="28" t="s">
        <v>1186</v>
      </c>
      <c r="BT224" s="28" t="s">
        <v>321</v>
      </c>
      <c r="BU224" s="28" t="s">
        <v>1217</v>
      </c>
      <c r="BV2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"ac:84:c6:54:9d:98"], ["ip", "10.0.4.81"]]</v>
      </c>
    </row>
    <row r="225" spans="1:74" ht="16" customHeight="1" x14ac:dyDescent="0.2">
      <c r="A225" s="28">
        <v>1803</v>
      </c>
      <c r="B225" s="28" t="s">
        <v>26</v>
      </c>
      <c r="C225" s="28" t="s">
        <v>756</v>
      </c>
      <c r="D225" s="28" t="s">
        <v>139</v>
      </c>
      <c r="E225" s="35" t="s">
        <v>1036</v>
      </c>
      <c r="F225" s="34" t="str">
        <f>IF(ISBLANK(Table2[[#This Row],[unique_id]]), "", PROPER(SUBSTITUTE(Table2[[#This Row],[unique_id]], "_", " ")))</f>
        <v>Template Ceiling Water Booster Plug Proxy</v>
      </c>
      <c r="G225" s="28" t="s">
        <v>1104</v>
      </c>
      <c r="H225" s="28" t="s">
        <v>615</v>
      </c>
      <c r="I225" s="28" t="s">
        <v>123</v>
      </c>
      <c r="P225" s="29" t="s">
        <v>736</v>
      </c>
      <c r="Q225" s="28" t="s">
        <v>155</v>
      </c>
      <c r="R225" s="37" t="s">
        <v>709</v>
      </c>
      <c r="S225" s="28" t="str">
        <f>Table2[[#This Row],[entity_domain]]</f>
        <v>Heating &amp; Cooling</v>
      </c>
      <c r="T225" s="28" t="s">
        <v>414</v>
      </c>
      <c r="U225" s="35" t="s">
        <v>1014</v>
      </c>
      <c r="V225" s="35"/>
      <c r="W225" s="35"/>
      <c r="X225" s="28"/>
      <c r="AD225" s="29"/>
      <c r="AE225" s="29"/>
      <c r="AF225" s="29"/>
      <c r="AG225" s="29"/>
      <c r="AO225" s="29"/>
      <c r="AP225" s="29"/>
      <c r="BA225" s="28"/>
      <c r="BB225" s="38"/>
      <c r="BC225" s="28" t="s">
        <v>125</v>
      </c>
      <c r="BD2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BE2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F2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5" s="28" t="str">
        <f>IF(ISBLANK(Table2[[#This Row],[device_model]]), "", Table2[[#This Row],[device_suggested_area]])</f>
        <v>Ceiling</v>
      </c>
      <c r="BJ225" s="28" t="s">
        <v>414</v>
      </c>
      <c r="BK225" s="28" t="s">
        <v>412</v>
      </c>
      <c r="BL225" s="28" t="s">
        <v>1053</v>
      </c>
      <c r="BN225" s="28" t="s">
        <v>835</v>
      </c>
      <c r="BO225" s="28" t="s">
        <v>374</v>
      </c>
      <c r="BT225" s="28"/>
      <c r="BV2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6" spans="1:74" ht="16" customHeight="1" x14ac:dyDescent="0.2">
      <c r="A226" s="28">
        <v>1804</v>
      </c>
      <c r="B226" s="28" t="s">
        <v>543</v>
      </c>
      <c r="C226" s="28" t="s">
        <v>658</v>
      </c>
      <c r="D226" s="28" t="s">
        <v>125</v>
      </c>
      <c r="E226" s="28" t="s">
        <v>1037</v>
      </c>
      <c r="F226" s="34" t="str">
        <f>IF(ISBLANK(Table2[[#This Row],[unique_id]]), "", PROPER(SUBSTITUTE(Table2[[#This Row],[unique_id]], "_", " ")))</f>
        <v>Ceiling Water Booster Plug</v>
      </c>
      <c r="G226" s="28" t="s">
        <v>1104</v>
      </c>
      <c r="H226" s="28" t="s">
        <v>615</v>
      </c>
      <c r="I226" s="28" t="s">
        <v>123</v>
      </c>
      <c r="J226" s="28" t="str">
        <f>Table2[[#This Row],[friendly_name]]</f>
        <v>Hot Water Booster</v>
      </c>
      <c r="N226" s="28" t="s">
        <v>244</v>
      </c>
      <c r="P226" s="29" t="s">
        <v>736</v>
      </c>
      <c r="Q226" s="28" t="s">
        <v>155</v>
      </c>
      <c r="R226" s="28" t="s">
        <v>709</v>
      </c>
      <c r="S226" s="28" t="str">
        <f>Table2[[#This Row],[entity_domain]]</f>
        <v>Heating &amp; Cooling</v>
      </c>
      <c r="T226" s="28" t="s">
        <v>414</v>
      </c>
      <c r="U226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sensor.ceiling_water_booster_plug_energy_power
energy_sensor_id: sensor.ceiling_water_booster_plug_energy_total
</v>
      </c>
      <c r="V226" s="35"/>
      <c r="W226" s="35"/>
      <c r="X226" s="28"/>
      <c r="AD226" s="29"/>
      <c r="AE226" s="29"/>
      <c r="AF226" s="29"/>
      <c r="AG226" s="29"/>
      <c r="AI226" s="40" t="s">
        <v>1051</v>
      </c>
      <c r="AM226" s="28" t="s">
        <v>413</v>
      </c>
      <c r="AN226" s="28">
        <v>10</v>
      </c>
      <c r="AO226" s="29" t="s">
        <v>34</v>
      </c>
      <c r="AP226" s="29" t="s">
        <v>844</v>
      </c>
      <c r="AQ226" s="28" t="s">
        <v>1037</v>
      </c>
      <c r="AR226" s="28" t="str">
        <f>_xlfn.CONCAT("homeassistant/", Table2[[#This Row],[entity_namespace]], "/tasmota/",Table2[[#This Row],[unique_id]], "/config")</f>
        <v>homeassistant/switch/tasmota/ceiling_water_booster_plug/config</v>
      </c>
      <c r="AS226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tasmota/device/ceiling_water_booster_plug/stat/POWER</v>
      </c>
      <c r="AT226" s="28" t="str">
        <f>_xlfn.CONCAT("tasmota/device/",Table2[[#This Row],[unique_id]], "/cmnd/POWER")</f>
        <v>tasmota/device/ceiling_water_booster_plug/cmnd/POWER</v>
      </c>
      <c r="AU226" s="28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V226" s="28" t="s">
        <v>863</v>
      </c>
      <c r="AW226" s="28" t="s">
        <v>864</v>
      </c>
      <c r="AX226" s="28" t="s">
        <v>853</v>
      </c>
      <c r="AY226" s="28" t="s">
        <v>854</v>
      </c>
      <c r="AZ226" s="28" t="s">
        <v>917</v>
      </c>
      <c r="BA226" s="28">
        <v>1</v>
      </c>
      <c r="BB226" s="32" t="str">
        <f>HYPERLINK(_xlfn.CONCAT("http://", Table2[[#This Row],[connection_ip]], "/?"))</f>
        <v>http://10.0.4.100/?</v>
      </c>
      <c r="BD2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BE2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F2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</v>
      </c>
      <c r="BG2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6" s="28" t="str">
        <f>IF(ISBLANK(Table2[[#This Row],[device_model]]), "", Table2[[#This Row],[device_suggested_area]])</f>
        <v>Ceiling</v>
      </c>
      <c r="BJ226" s="28" t="s">
        <v>414</v>
      </c>
      <c r="BK226" s="28" t="s">
        <v>412</v>
      </c>
      <c r="BL226" s="28" t="s">
        <v>1053</v>
      </c>
      <c r="BN226" s="28" t="s">
        <v>835</v>
      </c>
      <c r="BO226" s="28" t="s">
        <v>374</v>
      </c>
      <c r="BS226" s="28" t="s">
        <v>1186</v>
      </c>
      <c r="BT226" s="28" t="s">
        <v>411</v>
      </c>
      <c r="BU226" s="28" t="s">
        <v>1218</v>
      </c>
      <c r="BV2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"ec:fa:bc:50:3e:02"], ["ip", "10.0.4.100"]]</v>
      </c>
    </row>
    <row r="227" spans="1:74" ht="16" customHeight="1" x14ac:dyDescent="0.2">
      <c r="A227" s="28">
        <v>1805</v>
      </c>
      <c r="B227" s="28" t="s">
        <v>543</v>
      </c>
      <c r="C227" s="28" t="s">
        <v>658</v>
      </c>
      <c r="D227" s="28" t="s">
        <v>27</v>
      </c>
      <c r="E227" s="28" t="s">
        <v>1038</v>
      </c>
      <c r="F227" s="34" t="str">
        <f>IF(ISBLANK(Table2[[#This Row],[unique_id]]), "", PROPER(SUBSTITUTE(Table2[[#This Row],[unique_id]], "_", " ")))</f>
        <v>Ceiling Water Booster Plug Energy Power</v>
      </c>
      <c r="G227" s="28" t="s">
        <v>847</v>
      </c>
      <c r="H227" s="28" t="s">
        <v>615</v>
      </c>
      <c r="I227" s="28" t="s">
        <v>123</v>
      </c>
      <c r="P227" s="29"/>
      <c r="Q227" s="28"/>
      <c r="U227" s="35"/>
      <c r="V227" s="35"/>
      <c r="W227" s="35"/>
      <c r="X227" s="28"/>
      <c r="AD227" s="29"/>
      <c r="AE227" s="29"/>
      <c r="AF227" s="29"/>
      <c r="AG227" s="29"/>
      <c r="AJ227" s="28" t="s">
        <v>31</v>
      </c>
      <c r="AK227" s="28" t="s">
        <v>298</v>
      </c>
      <c r="AL227" s="28" t="s">
        <v>845</v>
      </c>
      <c r="AN227" s="28">
        <v>10</v>
      </c>
      <c r="AO227" s="29" t="s">
        <v>34</v>
      </c>
      <c r="AP227" s="29" t="s">
        <v>844</v>
      </c>
      <c r="AQ227" s="28" t="s">
        <v>1037</v>
      </c>
      <c r="AR227" s="28" t="str">
        <f>_xlfn.CONCAT("homeassistant/", Table2[[#This Row],[entity_namespace]], "/tasmota/",Table2[[#This Row],[unique_id]], "/config")</f>
        <v>homeassistant/sensor/tasmota/ceiling_water_booster_plug_energy_power/config</v>
      </c>
      <c r="AS227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tasmota/device/ceiling_water_booster_plug/tele/SENSOR</v>
      </c>
      <c r="AU227" s="28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V227" s="28" t="s">
        <v>863</v>
      </c>
      <c r="AW227" s="28" t="s">
        <v>864</v>
      </c>
      <c r="AX227" s="28" t="s">
        <v>853</v>
      </c>
      <c r="AY227" s="28" t="s">
        <v>854</v>
      </c>
      <c r="AZ227" s="28" t="s">
        <v>1049</v>
      </c>
      <c r="BA227" s="28">
        <v>1</v>
      </c>
      <c r="BB227" s="32"/>
      <c r="BD2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BE2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F2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 Energy Power</v>
      </c>
      <c r="BG2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7" s="28" t="str">
        <f>IF(ISBLANK(Table2[[#This Row],[device_model]]), "", Table2[[#This Row],[device_suggested_area]])</f>
        <v>Ceiling</v>
      </c>
      <c r="BJ227" s="28" t="s">
        <v>414</v>
      </c>
      <c r="BK227" s="28" t="s">
        <v>412</v>
      </c>
      <c r="BL227" s="28" t="s">
        <v>1053</v>
      </c>
      <c r="BN227" s="28" t="s">
        <v>835</v>
      </c>
      <c r="BO227" s="28" t="s">
        <v>374</v>
      </c>
      <c r="BT227" s="28"/>
      <c r="BV2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8" spans="1:74" ht="16" customHeight="1" x14ac:dyDescent="0.2">
      <c r="A228" s="28">
        <v>1806</v>
      </c>
      <c r="B228" s="28" t="s">
        <v>543</v>
      </c>
      <c r="C228" s="28" t="s">
        <v>658</v>
      </c>
      <c r="D228" s="28" t="s">
        <v>27</v>
      </c>
      <c r="E228" s="28" t="s">
        <v>1039</v>
      </c>
      <c r="F228" s="34" t="str">
        <f>IF(ISBLANK(Table2[[#This Row],[unique_id]]), "", PROPER(SUBSTITUTE(Table2[[#This Row],[unique_id]], "_", " ")))</f>
        <v>Ceiling Water Booster Plug Energy Total</v>
      </c>
      <c r="G228" s="28" t="s">
        <v>848</v>
      </c>
      <c r="H228" s="28" t="s">
        <v>615</v>
      </c>
      <c r="I228" s="28" t="s">
        <v>123</v>
      </c>
      <c r="P228" s="29"/>
      <c r="Q228" s="28"/>
      <c r="U228" s="35"/>
      <c r="V228" s="35"/>
      <c r="W228" s="35"/>
      <c r="X228" s="28"/>
      <c r="AD228" s="29"/>
      <c r="AE228" s="29"/>
      <c r="AF228" s="29"/>
      <c r="AG228" s="29"/>
      <c r="AJ228" s="28" t="s">
        <v>70</v>
      </c>
      <c r="AK228" s="28" t="s">
        <v>299</v>
      </c>
      <c r="AL228" s="28" t="s">
        <v>846</v>
      </c>
      <c r="AN228" s="28">
        <v>10</v>
      </c>
      <c r="AO228" s="29" t="s">
        <v>34</v>
      </c>
      <c r="AP228" s="29" t="s">
        <v>844</v>
      </c>
      <c r="AQ228" s="28" t="s">
        <v>1037</v>
      </c>
      <c r="AR228" s="28" t="str">
        <f>_xlfn.CONCAT("homeassistant/", Table2[[#This Row],[entity_namespace]], "/tasmota/",Table2[[#This Row],[unique_id]], "/config")</f>
        <v>homeassistant/sensor/tasmota/ceiling_water_booster_plug_energy_total/config</v>
      </c>
      <c r="AS228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tasmota/device/ceiling_water_booster_plug/tele/SENSOR</v>
      </c>
      <c r="AU228" s="28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V228" s="28" t="s">
        <v>863</v>
      </c>
      <c r="AW228" s="28" t="s">
        <v>864</v>
      </c>
      <c r="AX228" s="28" t="s">
        <v>853</v>
      </c>
      <c r="AY228" s="28" t="s">
        <v>854</v>
      </c>
      <c r="AZ228" s="28" t="s">
        <v>1050</v>
      </c>
      <c r="BA228" s="28">
        <v>1</v>
      </c>
      <c r="BB228" s="32"/>
      <c r="BD2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BE2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F2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 Energy Total</v>
      </c>
      <c r="BG2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8" s="28" t="str">
        <f>IF(ISBLANK(Table2[[#This Row],[device_model]]), "", Table2[[#This Row],[device_suggested_area]])</f>
        <v>Ceiling</v>
      </c>
      <c r="BJ228" s="28" t="s">
        <v>414</v>
      </c>
      <c r="BK228" s="28" t="s">
        <v>412</v>
      </c>
      <c r="BL228" s="28" t="s">
        <v>1053</v>
      </c>
      <c r="BN228" s="28" t="s">
        <v>835</v>
      </c>
      <c r="BO228" s="28" t="s">
        <v>374</v>
      </c>
      <c r="BT228" s="28"/>
      <c r="BV2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9" spans="1:74" ht="16" customHeight="1" x14ac:dyDescent="0.2">
      <c r="A229" s="28">
        <v>1807</v>
      </c>
      <c r="B229" s="28" t="s">
        <v>26</v>
      </c>
      <c r="C229" s="28" t="s">
        <v>756</v>
      </c>
      <c r="D229" s="28" t="s">
        <v>139</v>
      </c>
      <c r="E229" s="35" t="s">
        <v>1044</v>
      </c>
      <c r="F229" s="34" t="str">
        <f>IF(ISBLANK(Table2[[#This Row],[unique_id]]), "", PROPER(SUBSTITUTE(Table2[[#This Row],[unique_id]], "_", " ")))</f>
        <v>Template Garden Pool Filter Plug Proxy</v>
      </c>
      <c r="G229" s="28" t="s">
        <v>290</v>
      </c>
      <c r="H229" s="28" t="s">
        <v>615</v>
      </c>
      <c r="I229" s="28" t="s">
        <v>123</v>
      </c>
      <c r="P229" s="29" t="s">
        <v>736</v>
      </c>
      <c r="Q229" s="28" t="s">
        <v>155</v>
      </c>
      <c r="R229" s="37" t="s">
        <v>709</v>
      </c>
      <c r="S229" s="28" t="str">
        <f>Table2[[#This Row],[entity_domain]]</f>
        <v>Heating &amp; Cooling</v>
      </c>
      <c r="T229" s="28" t="s">
        <v>290</v>
      </c>
      <c r="U229" s="35" t="s">
        <v>1014</v>
      </c>
      <c r="V229" s="35"/>
      <c r="W229" s="35"/>
      <c r="X229" s="28"/>
      <c r="AD229" s="29"/>
      <c r="AE229" s="29"/>
      <c r="AF229" s="29"/>
      <c r="AG229" s="29"/>
      <c r="AO229" s="29"/>
      <c r="AP229" s="29"/>
      <c r="BA229" s="28"/>
      <c r="BB229" s="38"/>
      <c r="BC229" s="28" t="s">
        <v>125</v>
      </c>
      <c r="BD2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BE2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F2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29" s="28" t="str">
        <f>IF(ISBLANK(Table2[[#This Row],[device_model]]), "", Table2[[#This Row],[device_suggested_area]])</f>
        <v>Garden</v>
      </c>
      <c r="BJ229" s="28" t="s">
        <v>290</v>
      </c>
      <c r="BK229" s="28" t="s">
        <v>412</v>
      </c>
      <c r="BL229" s="28" t="s">
        <v>1053</v>
      </c>
      <c r="BN229" s="28" t="s">
        <v>835</v>
      </c>
      <c r="BO229" s="28" t="s">
        <v>540</v>
      </c>
      <c r="BT229" s="28"/>
      <c r="BV2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0" spans="1:74" ht="16" customHeight="1" x14ac:dyDescent="0.2">
      <c r="A230" s="28">
        <v>1808</v>
      </c>
      <c r="B230" s="28" t="s">
        <v>543</v>
      </c>
      <c r="C230" s="28" t="s">
        <v>658</v>
      </c>
      <c r="D230" s="28" t="s">
        <v>125</v>
      </c>
      <c r="E230" s="28" t="s">
        <v>1045</v>
      </c>
      <c r="F230" s="34" t="str">
        <f>IF(ISBLANK(Table2[[#This Row],[unique_id]]), "", PROPER(SUBSTITUTE(Table2[[#This Row],[unique_id]], "_", " ")))</f>
        <v>Garden Pool Filter Plug</v>
      </c>
      <c r="G230" s="28" t="s">
        <v>290</v>
      </c>
      <c r="H230" s="28" t="s">
        <v>615</v>
      </c>
      <c r="I230" s="28" t="s">
        <v>123</v>
      </c>
      <c r="J230" s="28" t="str">
        <f>Table2[[#This Row],[friendly_name]]</f>
        <v>Pool Filter</v>
      </c>
      <c r="N230" s="28" t="s">
        <v>244</v>
      </c>
      <c r="P230" s="29" t="s">
        <v>736</v>
      </c>
      <c r="Q230" s="28" t="s">
        <v>155</v>
      </c>
      <c r="R230" s="28" t="s">
        <v>709</v>
      </c>
      <c r="S230" s="28" t="str">
        <f>Table2[[#This Row],[entity_domain]]</f>
        <v>Heating &amp; Cooling</v>
      </c>
      <c r="T230" s="28" t="s">
        <v>290</v>
      </c>
      <c r="U230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sensor.garden_pool_filter_plug_energy_power
energy_sensor_id: sensor.garden_pool_filter_plug_energy_total
</v>
      </c>
      <c r="V230" s="35"/>
      <c r="W230" s="35"/>
      <c r="X230" s="28"/>
      <c r="AD230" s="29"/>
      <c r="AE230" s="29"/>
      <c r="AF230" s="29"/>
      <c r="AG230" s="29"/>
      <c r="AI230" s="40" t="s">
        <v>1051</v>
      </c>
      <c r="AM230" s="28" t="s">
        <v>1048</v>
      </c>
      <c r="AN230" s="28">
        <v>10</v>
      </c>
      <c r="AO230" s="29" t="s">
        <v>34</v>
      </c>
      <c r="AP230" s="29" t="s">
        <v>844</v>
      </c>
      <c r="AQ230" s="28" t="s">
        <v>1045</v>
      </c>
      <c r="AR230" s="28" t="str">
        <f>_xlfn.CONCAT("homeassistant/", Table2[[#This Row],[entity_namespace]], "/tasmota/",Table2[[#This Row],[unique_id]], "/config")</f>
        <v>homeassistant/switch/tasmota/garden_pool_filter_plug/config</v>
      </c>
      <c r="AS230" s="28" t="str">
        <f>IF(ISBLANK(Table2[[#This Row],[unique_id_device]]), "", _xlfn.CONCAT("tasmota/device/", Table2[[#This Row],[unique_id_device]], IF(Table2[[#This Row],[entity_namespace]]="sensor", "/tele/SENSOR", "/stat/POWER")))</f>
        <v>tasmota/device/garden_pool_filter_plug/stat/POWER</v>
      </c>
      <c r="AT230" s="28" t="str">
        <f>_xlfn.CONCAT("tasmota/device/",Table2[[#This Row],[unique_id]], "/cmnd/POWER")</f>
        <v>tasmota/device/garden_pool_filter_plug/cmnd/POWER</v>
      </c>
      <c r="AU230" s="28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V230" s="28" t="s">
        <v>863</v>
      </c>
      <c r="AW230" s="28" t="s">
        <v>864</v>
      </c>
      <c r="AX230" s="28" t="s">
        <v>853</v>
      </c>
      <c r="AY230" s="28" t="s">
        <v>854</v>
      </c>
      <c r="AZ230" s="28" t="s">
        <v>917</v>
      </c>
      <c r="BA230" s="28">
        <v>1</v>
      </c>
      <c r="BB230" s="32" t="str">
        <f>HYPERLINK(_xlfn.CONCAT("http://", Table2[[#This Row],[connection_ip]], "/?"))</f>
        <v>http://10.0.4.106/?</v>
      </c>
      <c r="BD2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BE2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F2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</v>
      </c>
      <c r="BG2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0" s="28" t="str">
        <f>IF(ISBLANK(Table2[[#This Row],[device_model]]), "", Table2[[#This Row],[device_suggested_area]])</f>
        <v>Garden</v>
      </c>
      <c r="BJ230" s="28" t="s">
        <v>290</v>
      </c>
      <c r="BK230" s="28" t="s">
        <v>412</v>
      </c>
      <c r="BL230" s="28" t="s">
        <v>1053</v>
      </c>
      <c r="BN230" s="28" t="s">
        <v>835</v>
      </c>
      <c r="BO230" s="28" t="s">
        <v>540</v>
      </c>
      <c r="BS230" s="28" t="s">
        <v>1186</v>
      </c>
      <c r="BT230" s="28" t="s">
        <v>992</v>
      </c>
      <c r="BU230" s="28" t="s">
        <v>1219</v>
      </c>
      <c r="BV2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"ec:fa:bc:50:61:07"], ["ip", "10.0.4.106"]]</v>
      </c>
    </row>
    <row r="231" spans="1:74" ht="16" customHeight="1" x14ac:dyDescent="0.2">
      <c r="A231" s="28">
        <v>1809</v>
      </c>
      <c r="B231" s="28" t="s">
        <v>543</v>
      </c>
      <c r="C231" s="28" t="s">
        <v>658</v>
      </c>
      <c r="D231" s="28" t="s">
        <v>27</v>
      </c>
      <c r="E231" s="28" t="s">
        <v>1046</v>
      </c>
      <c r="F231" s="34" t="str">
        <f>IF(ISBLANK(Table2[[#This Row],[unique_id]]), "", PROPER(SUBSTITUTE(Table2[[#This Row],[unique_id]], "_", " ")))</f>
        <v>Garden Pool Filter Plug Energy Power</v>
      </c>
      <c r="G231" s="28" t="s">
        <v>847</v>
      </c>
      <c r="H231" s="28" t="s">
        <v>615</v>
      </c>
      <c r="I231" s="28" t="s">
        <v>123</v>
      </c>
      <c r="P231" s="29"/>
      <c r="Q231" s="28"/>
      <c r="U231" s="35"/>
      <c r="V231" s="35"/>
      <c r="W231" s="35"/>
      <c r="X231" s="28"/>
      <c r="AD231" s="29"/>
      <c r="AE231" s="29"/>
      <c r="AF231" s="29"/>
      <c r="AG231" s="29"/>
      <c r="AJ231" s="28" t="s">
        <v>31</v>
      </c>
      <c r="AK231" s="28" t="s">
        <v>298</v>
      </c>
      <c r="AL231" s="28" t="s">
        <v>845</v>
      </c>
      <c r="AN231" s="28">
        <v>10</v>
      </c>
      <c r="AO231" s="29" t="s">
        <v>34</v>
      </c>
      <c r="AP231" s="29" t="s">
        <v>844</v>
      </c>
      <c r="AQ231" s="28" t="s">
        <v>1045</v>
      </c>
      <c r="AR231" s="28" t="str">
        <f>_xlfn.CONCAT("homeassistant/", Table2[[#This Row],[entity_namespace]], "/tasmota/",Table2[[#This Row],[unique_id]], "/config")</f>
        <v>homeassistant/sensor/tasmota/garden_pool_filter_plug_energy_power/config</v>
      </c>
      <c r="AS231" s="28" t="str">
        <f>IF(ISBLANK(Table2[[#This Row],[unique_id_device]]), "", _xlfn.CONCAT("tasmota/device/", Table2[[#This Row],[unique_id_device]], IF(Table2[[#This Row],[entity_namespace]]="sensor", "/tele/SENSOR", "/stat/POWER")))</f>
        <v>tasmota/device/garden_pool_filter_plug/tele/SENSOR</v>
      </c>
      <c r="AU231" s="28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V231" s="28" t="s">
        <v>863</v>
      </c>
      <c r="AW231" s="28" t="s">
        <v>864</v>
      </c>
      <c r="AX231" s="28" t="s">
        <v>853</v>
      </c>
      <c r="AY231" s="28" t="s">
        <v>854</v>
      </c>
      <c r="AZ231" s="28" t="s">
        <v>1049</v>
      </c>
      <c r="BA231" s="28">
        <v>1</v>
      </c>
      <c r="BB231" s="32"/>
      <c r="BD23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BE23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F2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 Energy Power</v>
      </c>
      <c r="BG2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1" s="28" t="str">
        <f>IF(ISBLANK(Table2[[#This Row],[device_model]]), "", Table2[[#This Row],[device_suggested_area]])</f>
        <v>Garden</v>
      </c>
      <c r="BJ231" s="28" t="s">
        <v>290</v>
      </c>
      <c r="BK231" s="28" t="s">
        <v>412</v>
      </c>
      <c r="BL231" s="28" t="s">
        <v>1053</v>
      </c>
      <c r="BN231" s="28" t="s">
        <v>835</v>
      </c>
      <c r="BO231" s="28" t="s">
        <v>540</v>
      </c>
      <c r="BT231" s="28"/>
      <c r="BV2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2" spans="1:74" ht="16" customHeight="1" x14ac:dyDescent="0.2">
      <c r="A232" s="28">
        <v>1810</v>
      </c>
      <c r="B232" s="28" t="s">
        <v>543</v>
      </c>
      <c r="C232" s="28" t="s">
        <v>658</v>
      </c>
      <c r="D232" s="28" t="s">
        <v>27</v>
      </c>
      <c r="E232" s="28" t="s">
        <v>1047</v>
      </c>
      <c r="F232" s="34" t="str">
        <f>IF(ISBLANK(Table2[[#This Row],[unique_id]]), "", PROPER(SUBSTITUTE(Table2[[#This Row],[unique_id]], "_", " ")))</f>
        <v>Garden Pool Filter Plug Energy Total</v>
      </c>
      <c r="G232" s="28" t="s">
        <v>848</v>
      </c>
      <c r="H232" s="28" t="s">
        <v>615</v>
      </c>
      <c r="I232" s="28" t="s">
        <v>123</v>
      </c>
      <c r="P232" s="29"/>
      <c r="Q232" s="28"/>
      <c r="U232" s="35"/>
      <c r="V232" s="35"/>
      <c r="W232" s="35"/>
      <c r="X232" s="28"/>
      <c r="AD232" s="29"/>
      <c r="AE232" s="29"/>
      <c r="AF232" s="29"/>
      <c r="AG232" s="29"/>
      <c r="AJ232" s="28" t="s">
        <v>70</v>
      </c>
      <c r="AK232" s="28" t="s">
        <v>299</v>
      </c>
      <c r="AL232" s="28" t="s">
        <v>846</v>
      </c>
      <c r="AN232" s="28">
        <v>10</v>
      </c>
      <c r="AO232" s="29" t="s">
        <v>34</v>
      </c>
      <c r="AP232" s="29" t="s">
        <v>844</v>
      </c>
      <c r="AQ232" s="28" t="s">
        <v>1045</v>
      </c>
      <c r="AR232" s="28" t="str">
        <f>_xlfn.CONCAT("homeassistant/", Table2[[#This Row],[entity_namespace]], "/tasmota/",Table2[[#This Row],[unique_id]], "/config")</f>
        <v>homeassistant/sensor/tasmota/garden_pool_filter_plug_energy_total/config</v>
      </c>
      <c r="AS232" s="28" t="str">
        <f>IF(ISBLANK(Table2[[#This Row],[unique_id_device]]), "", _xlfn.CONCAT("tasmota/device/", Table2[[#This Row],[unique_id_device]], IF(Table2[[#This Row],[entity_namespace]]="sensor", "/tele/SENSOR", "/stat/POWER")))</f>
        <v>tasmota/device/garden_pool_filter_plug/tele/SENSOR</v>
      </c>
      <c r="AU232" s="28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V232" s="28" t="s">
        <v>863</v>
      </c>
      <c r="AW232" s="28" t="s">
        <v>864</v>
      </c>
      <c r="AX232" s="28" t="s">
        <v>853</v>
      </c>
      <c r="AY232" s="28" t="s">
        <v>854</v>
      </c>
      <c r="AZ232" s="28" t="s">
        <v>1050</v>
      </c>
      <c r="BA232" s="28">
        <v>1</v>
      </c>
      <c r="BB232" s="32"/>
      <c r="BD2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BE2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F2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 Energy Total</v>
      </c>
      <c r="BG2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2" s="28" t="str">
        <f>IF(ISBLANK(Table2[[#This Row],[device_model]]), "", Table2[[#This Row],[device_suggested_area]])</f>
        <v>Garden</v>
      </c>
      <c r="BJ232" s="28" t="s">
        <v>290</v>
      </c>
      <c r="BK232" s="28" t="s">
        <v>412</v>
      </c>
      <c r="BL232" s="28" t="s">
        <v>1053</v>
      </c>
      <c r="BN232" s="28" t="s">
        <v>835</v>
      </c>
      <c r="BO232" s="28" t="s">
        <v>540</v>
      </c>
      <c r="BT232" s="28"/>
      <c r="BV2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3" spans="1:74" ht="16" customHeight="1" x14ac:dyDescent="0.2">
      <c r="A233" s="28">
        <v>1811</v>
      </c>
      <c r="B233" s="28" t="s">
        <v>26</v>
      </c>
      <c r="C233" s="28" t="s">
        <v>658</v>
      </c>
      <c r="D233" s="28" t="s">
        <v>27</v>
      </c>
      <c r="E233" s="28" t="s">
        <v>995</v>
      </c>
      <c r="F233" s="34" t="str">
        <f>IF(ISBLANK(Table2[[#This Row],[unique_id]]), "", PROPER(SUBSTITUTE(Table2[[#This Row],[unique_id]], "_", " ")))</f>
        <v>Landing Festoons Plug Temperature</v>
      </c>
      <c r="G233" s="28" t="s">
        <v>1095</v>
      </c>
      <c r="H233" s="28" t="s">
        <v>1255</v>
      </c>
      <c r="I233" s="28" t="s">
        <v>123</v>
      </c>
      <c r="K233" s="28" t="s">
        <v>1103</v>
      </c>
      <c r="P233" s="29"/>
      <c r="Q233" s="28"/>
      <c r="U233" s="35"/>
      <c r="V233" s="35"/>
      <c r="W233" s="35"/>
      <c r="X233" s="28"/>
      <c r="AD233" s="29" t="s">
        <v>1118</v>
      </c>
      <c r="AE233" s="29"/>
      <c r="AF233" s="29"/>
      <c r="AG233" s="29"/>
      <c r="AJ233" s="28" t="s">
        <v>31</v>
      </c>
      <c r="AK233" s="28" t="s">
        <v>79</v>
      </c>
      <c r="AL233" s="28" t="s">
        <v>80</v>
      </c>
      <c r="AM233" s="28" t="s">
        <v>413</v>
      </c>
      <c r="AN233" s="28">
        <v>10</v>
      </c>
      <c r="AO233" s="29" t="s">
        <v>34</v>
      </c>
      <c r="AP233" s="29" t="s">
        <v>844</v>
      </c>
      <c r="AQ233" s="28" t="s">
        <v>781</v>
      </c>
      <c r="AR233" s="28" t="str">
        <f>_xlfn.CONCAT("homeassistant/", Table2[[#This Row],[entity_namespace]], "/tasmota/",Table2[[#This Row],[unique_id]], "/config")</f>
        <v>homeassistant/sensor/tasmota/landing_festoons_plug_temperature/config</v>
      </c>
      <c r="AS233" s="28" t="str">
        <f>IF(ISBLANK(Table2[[#This Row],[unique_id_device]]), "", _xlfn.CONCAT("tasmota/device/", Table2[[#This Row],[unique_id_device]], IF(Table2[[#This Row],[entity_namespace]]="sensor", "/tele/SENSOR", "/stat/POWER")))</f>
        <v>tasmota/device/landing_festoons_plug/tele/SENSOR</v>
      </c>
      <c r="AU233" s="28" t="str">
        <f>_xlfn.CONCAT("tasmota/device/", ,SUBSTITUTE(SUBSTITUTE(SUBSTITUTE(SUBSTITUTE(Table2[[#This Row],[unique_id]], "_energy_power", ""), "_energy_total", ""), "_temperature", ""), "_humidity", ""), "/tele/LWT")</f>
        <v>tasmota/device/landing_festoons_plug/tele/LWT</v>
      </c>
      <c r="AV233" s="28" t="s">
        <v>863</v>
      </c>
      <c r="AW233" s="28" t="s">
        <v>864</v>
      </c>
      <c r="AX233" s="28" t="s">
        <v>853</v>
      </c>
      <c r="AY233" s="28" t="s">
        <v>854</v>
      </c>
      <c r="AZ233" s="28" t="s">
        <v>1056</v>
      </c>
      <c r="BA233" s="28">
        <v>1</v>
      </c>
      <c r="BB233" s="32"/>
      <c r="BD2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BE2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F2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Landing Festoons Landing Festoons Plug Temperature</v>
      </c>
      <c r="BG2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3" s="28" t="str">
        <f>IF(ISBLANK(Table2[[#This Row],[device_model]]), "", Table2[[#This Row],[device_suggested_area]])</f>
        <v>Landing</v>
      </c>
      <c r="BJ233" s="28" t="s">
        <v>675</v>
      </c>
      <c r="BK233" s="28" t="s">
        <v>1055</v>
      </c>
      <c r="BL233" s="28" t="s">
        <v>1053</v>
      </c>
      <c r="BN233" s="28" t="s">
        <v>835</v>
      </c>
      <c r="BO233" s="28" t="s">
        <v>523</v>
      </c>
      <c r="BP233" s="28" t="s">
        <v>374</v>
      </c>
      <c r="BQ233" s="28" t="s">
        <v>374</v>
      </c>
      <c r="BT233" s="28"/>
      <c r="BV2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4" spans="1:74" ht="16" customHeight="1" x14ac:dyDescent="0.2">
      <c r="A234" s="28">
        <v>1812</v>
      </c>
      <c r="B234" s="28" t="s">
        <v>26</v>
      </c>
      <c r="C234" s="28" t="s">
        <v>658</v>
      </c>
      <c r="D234" s="28" t="s">
        <v>27</v>
      </c>
      <c r="E234" s="28" t="s">
        <v>1103</v>
      </c>
      <c r="F234" s="28" t="str">
        <f>IF(ISBLANK(Table2[[#This Row],[unique_id]]), "", PROPER(SUBSTITUTE(Table2[[#This Row],[unique_id]], "_", " ")))</f>
        <v>Compensation Sensor Landing Festoons Plug Temperature</v>
      </c>
      <c r="G234" s="28" t="s">
        <v>1095</v>
      </c>
      <c r="H234" s="28" t="s">
        <v>1255</v>
      </c>
      <c r="I234" s="28" t="s">
        <v>123</v>
      </c>
      <c r="J234" s="28" t="s">
        <v>78</v>
      </c>
      <c r="N234" s="28" t="s">
        <v>81</v>
      </c>
      <c r="P234" s="29"/>
      <c r="Q234" s="28"/>
      <c r="U234" s="35"/>
      <c r="V234" s="35"/>
      <c r="W234" s="35"/>
      <c r="X234" s="28"/>
      <c r="AD234" s="29"/>
      <c r="AE234" s="29"/>
      <c r="AF234" s="29"/>
      <c r="AG234" s="29"/>
      <c r="AJ234" s="28" t="s">
        <v>31</v>
      </c>
      <c r="AK234" s="28" t="s">
        <v>79</v>
      </c>
      <c r="AL234" s="28" t="s">
        <v>80</v>
      </c>
      <c r="AM234" s="28" t="s">
        <v>413</v>
      </c>
      <c r="AO234" s="29"/>
      <c r="AP234" s="29"/>
      <c r="AR234" s="28" t="str">
        <f>IF(ISBLANK(AQ234),  "", _xlfn.CONCAT("haas/entity/sensor/", LOWER(C234), "/", E234, "/config"))</f>
        <v/>
      </c>
      <c r="AS234" s="28" t="str">
        <f>IF(ISBLANK(AQ234),  "", _xlfn.CONCAT(LOWER(C234), "/", E234))</f>
        <v/>
      </c>
      <c r="BA234" s="28"/>
      <c r="BB234" s="30"/>
      <c r="BC234" s="38"/>
      <c r="BD234" s="28"/>
      <c r="BF2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4" s="28" t="str">
        <f>IF(ISBLANK(Table2[[#This Row],[device_model]]), "", Table2[[#This Row],[device_suggested_area]])</f>
        <v/>
      </c>
      <c r="BN234" s="29"/>
      <c r="BO234" s="28" t="s">
        <v>523</v>
      </c>
      <c r="BP234" s="28" t="s">
        <v>374</v>
      </c>
      <c r="BQ234" s="28" t="s">
        <v>374</v>
      </c>
      <c r="BT234" s="28"/>
      <c r="BV2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5" spans="1:74" ht="16" customHeight="1" x14ac:dyDescent="0.2">
      <c r="A235" s="28">
        <v>2100</v>
      </c>
      <c r="B235" s="28" t="s">
        <v>26</v>
      </c>
      <c r="C235" s="28" t="s">
        <v>725</v>
      </c>
      <c r="D235" s="28" t="s">
        <v>27</v>
      </c>
      <c r="E235" s="28" t="s">
        <v>220</v>
      </c>
      <c r="F235" s="34" t="str">
        <f>IF(ISBLANK(Table2[[#This Row],[unique_id]]), "", PROPER(SUBSTITUTE(Table2[[#This Row],[unique_id]], "_", " ")))</f>
        <v>Home Power</v>
      </c>
      <c r="G235" s="28" t="s">
        <v>295</v>
      </c>
      <c r="H235" s="28" t="s">
        <v>227</v>
      </c>
      <c r="I235" s="28" t="s">
        <v>132</v>
      </c>
      <c r="N235" s="28" t="s">
        <v>81</v>
      </c>
      <c r="P235" s="29"/>
      <c r="Q235" s="28"/>
      <c r="U235" s="35"/>
      <c r="V235" s="35"/>
      <c r="W235" s="35"/>
      <c r="X235" s="28" t="s">
        <v>1528</v>
      </c>
      <c r="AD235" s="29"/>
      <c r="AE235" s="29"/>
      <c r="AF235" s="29"/>
      <c r="AG235" s="29"/>
      <c r="AK235" s="28" t="s">
        <v>298</v>
      </c>
      <c r="AM235" s="28" t="s">
        <v>228</v>
      </c>
      <c r="AO235" s="29"/>
      <c r="AP235" s="29"/>
      <c r="BA235" s="28"/>
      <c r="BB235" s="38"/>
      <c r="BC235" s="29"/>
      <c r="BD2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5" s="28" t="str">
        <f>IF(ISBLANK(Table2[[#This Row],[device_model]]), "", Table2[[#This Row],[device_suggested_area]])</f>
        <v/>
      </c>
      <c r="BN235" s="29"/>
      <c r="BT235" s="28"/>
      <c r="BV2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6" spans="1:74" ht="16" customHeight="1" x14ac:dyDescent="0.2">
      <c r="A236" s="28">
        <v>2101</v>
      </c>
      <c r="B236" s="28" t="s">
        <v>26</v>
      </c>
      <c r="C236" s="28" t="s">
        <v>725</v>
      </c>
      <c r="D236" s="28" t="s">
        <v>27</v>
      </c>
      <c r="E236" s="28" t="s">
        <v>292</v>
      </c>
      <c r="F236" s="34" t="str">
        <f>IF(ISBLANK(Table2[[#This Row],[unique_id]]), "", PROPER(SUBSTITUTE(Table2[[#This Row],[unique_id]], "_", " ")))</f>
        <v>Home Base Power</v>
      </c>
      <c r="G236" s="28" t="s">
        <v>293</v>
      </c>
      <c r="H236" s="28" t="s">
        <v>227</v>
      </c>
      <c r="I236" s="28" t="s">
        <v>132</v>
      </c>
      <c r="N236" s="28" t="s">
        <v>81</v>
      </c>
      <c r="P236" s="29"/>
      <c r="Q236" s="28"/>
      <c r="U236" s="35"/>
      <c r="V236" s="35"/>
      <c r="W236" s="35"/>
      <c r="X236" s="28" t="s">
        <v>1528</v>
      </c>
      <c r="AD236" s="29"/>
      <c r="AE236" s="29"/>
      <c r="AF236" s="29"/>
      <c r="AG236" s="29"/>
      <c r="AK236" s="28" t="s">
        <v>298</v>
      </c>
      <c r="AM236" s="28" t="s">
        <v>228</v>
      </c>
      <c r="AO236" s="29"/>
      <c r="AP236" s="29"/>
      <c r="BA236" s="28"/>
      <c r="BB236" s="38"/>
      <c r="BC236" s="29"/>
      <c r="BD2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6" s="28" t="str">
        <f>IF(ISBLANK(Table2[[#This Row],[device_model]]), "", Table2[[#This Row],[device_suggested_area]])</f>
        <v/>
      </c>
      <c r="BN236" s="29"/>
      <c r="BT236" s="28"/>
      <c r="BV2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7" spans="1:74" ht="16" customHeight="1" x14ac:dyDescent="0.2">
      <c r="A237" s="28">
        <v>2102</v>
      </c>
      <c r="B237" s="28" t="s">
        <v>26</v>
      </c>
      <c r="C237" s="28" t="s">
        <v>725</v>
      </c>
      <c r="D237" s="28" t="s">
        <v>27</v>
      </c>
      <c r="E237" s="28" t="s">
        <v>291</v>
      </c>
      <c r="F237" s="34" t="str">
        <f>IF(ISBLANK(Table2[[#This Row],[unique_id]]), "", PROPER(SUBSTITUTE(Table2[[#This Row],[unique_id]], "_", " ")))</f>
        <v>Home Peak Power</v>
      </c>
      <c r="G237" s="28" t="s">
        <v>294</v>
      </c>
      <c r="H237" s="28" t="s">
        <v>227</v>
      </c>
      <c r="I237" s="28" t="s">
        <v>132</v>
      </c>
      <c r="N237" s="28" t="s">
        <v>81</v>
      </c>
      <c r="P237" s="29"/>
      <c r="Q237" s="28"/>
      <c r="U237" s="35"/>
      <c r="V237" s="35"/>
      <c r="W237" s="35"/>
      <c r="X237" s="28" t="s">
        <v>1528</v>
      </c>
      <c r="AD237" s="29"/>
      <c r="AE237" s="29"/>
      <c r="AF237" s="29"/>
      <c r="AG237" s="29"/>
      <c r="AK237" s="28" t="s">
        <v>298</v>
      </c>
      <c r="AM237" s="28" t="s">
        <v>228</v>
      </c>
      <c r="AO237" s="29"/>
      <c r="AP237" s="29"/>
      <c r="BA237" s="28"/>
      <c r="BB237" s="38"/>
      <c r="BC237" s="29"/>
      <c r="BD2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7" s="28" t="str">
        <f>IF(ISBLANK(Table2[[#This Row],[device_model]]), "", Table2[[#This Row],[device_suggested_area]])</f>
        <v/>
      </c>
      <c r="BN237" s="29"/>
      <c r="BT237" s="28"/>
      <c r="BV2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8" spans="1:74" ht="16" customHeight="1" x14ac:dyDescent="0.2">
      <c r="A238" s="28">
        <v>2103</v>
      </c>
      <c r="B238" s="28" t="s">
        <v>26</v>
      </c>
      <c r="C238" s="28" t="s">
        <v>409</v>
      </c>
      <c r="D238" s="28" t="s">
        <v>304</v>
      </c>
      <c r="E238" s="28" t="s">
        <v>407</v>
      </c>
      <c r="F238" s="34" t="str">
        <f>IF(ISBLANK(Table2[[#This Row],[unique_id]]), "", PROPER(SUBSTITUTE(Table2[[#This Row],[unique_id]], "_", " ")))</f>
        <v>Graph Break</v>
      </c>
      <c r="G238" s="28" t="s">
        <v>408</v>
      </c>
      <c r="H238" s="28" t="s">
        <v>227</v>
      </c>
      <c r="I238" s="28" t="s">
        <v>132</v>
      </c>
      <c r="P238" s="29"/>
      <c r="Q238" s="28"/>
      <c r="U238" s="35"/>
      <c r="V238" s="35"/>
      <c r="W238" s="35"/>
      <c r="X238" s="28" t="s">
        <v>1528</v>
      </c>
      <c r="AD238" s="29"/>
      <c r="AE238" s="29"/>
      <c r="AF238" s="29"/>
      <c r="AG238" s="29"/>
      <c r="AO238" s="29"/>
      <c r="AP238" s="29"/>
      <c r="BA238" s="28"/>
      <c r="BB238" s="38"/>
      <c r="BC238" s="29"/>
      <c r="BD2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8" s="28" t="str">
        <f>IF(ISBLANK(Table2[[#This Row],[device_model]]), "", Table2[[#This Row],[device_suggested_area]])</f>
        <v/>
      </c>
      <c r="BN238" s="29"/>
      <c r="BT238" s="28"/>
      <c r="BV2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9" spans="1:74" ht="16" customHeight="1" x14ac:dyDescent="0.2">
      <c r="A239" s="28">
        <v>2104</v>
      </c>
      <c r="B239" s="28" t="s">
        <v>26</v>
      </c>
      <c r="C239" s="28" t="s">
        <v>725</v>
      </c>
      <c r="D239" s="28" t="s">
        <v>27</v>
      </c>
      <c r="E239" s="28" t="s">
        <v>711</v>
      </c>
      <c r="F239" s="34" t="str">
        <f>IF(ISBLANK(Table2[[#This Row],[unique_id]]), "", PROPER(SUBSTITUTE(Table2[[#This Row],[unique_id]], "_", " ")))</f>
        <v>Lights Power</v>
      </c>
      <c r="G239" s="28" t="s">
        <v>738</v>
      </c>
      <c r="H239" s="28" t="s">
        <v>227</v>
      </c>
      <c r="I239" s="28" t="s">
        <v>132</v>
      </c>
      <c r="N239" s="28" t="s">
        <v>127</v>
      </c>
      <c r="P239" s="29"/>
      <c r="Q239" s="28"/>
      <c r="U239" s="35"/>
      <c r="V239" s="35"/>
      <c r="W239" s="35"/>
      <c r="X239" s="28" t="s">
        <v>1528</v>
      </c>
      <c r="AD239" s="29"/>
      <c r="AE239" s="29"/>
      <c r="AF239" s="29"/>
      <c r="AG239" s="29"/>
      <c r="AK239" s="28" t="s">
        <v>298</v>
      </c>
      <c r="AM239" s="28" t="s">
        <v>228</v>
      </c>
      <c r="AO239" s="29"/>
      <c r="AP239" s="29"/>
      <c r="BA239" s="28"/>
      <c r="BB239" s="38"/>
      <c r="BC239" s="29"/>
      <c r="BD2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39" s="28" t="str">
        <f>IF(ISBLANK(Table2[[#This Row],[device_model]]), "", Table2[[#This Row],[device_suggested_area]])</f>
        <v/>
      </c>
      <c r="BN239" s="29"/>
      <c r="BT239" s="28"/>
      <c r="BV2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0" spans="1:74" ht="16" customHeight="1" x14ac:dyDescent="0.2">
      <c r="A240" s="28">
        <v>2105</v>
      </c>
      <c r="B240" s="28" t="s">
        <v>26</v>
      </c>
      <c r="C240" s="28" t="s">
        <v>725</v>
      </c>
      <c r="D240" s="28" t="s">
        <v>27</v>
      </c>
      <c r="E240" s="28" t="s">
        <v>712</v>
      </c>
      <c r="F240" s="34" t="str">
        <f>IF(ISBLANK(Table2[[#This Row],[unique_id]]), "", PROPER(SUBSTITUTE(Table2[[#This Row],[unique_id]], "_", " ")))</f>
        <v>Fans Power</v>
      </c>
      <c r="G240" s="28" t="s">
        <v>737</v>
      </c>
      <c r="H240" s="28" t="s">
        <v>227</v>
      </c>
      <c r="I240" s="28" t="s">
        <v>132</v>
      </c>
      <c r="N240" s="28" t="s">
        <v>127</v>
      </c>
      <c r="P240" s="29"/>
      <c r="Q240" s="28"/>
      <c r="U240" s="35"/>
      <c r="V240" s="35"/>
      <c r="W240" s="35"/>
      <c r="X240" s="28" t="s">
        <v>1528</v>
      </c>
      <c r="AD240" s="29"/>
      <c r="AE240" s="29"/>
      <c r="AF240" s="29"/>
      <c r="AG240" s="29"/>
      <c r="AK240" s="28" t="s">
        <v>298</v>
      </c>
      <c r="AM240" s="28" t="s">
        <v>228</v>
      </c>
      <c r="AO240" s="29"/>
      <c r="AP240" s="29"/>
      <c r="BA240" s="28"/>
      <c r="BB240" s="38"/>
      <c r="BC240" s="29"/>
      <c r="BD2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0" s="28" t="str">
        <f>IF(ISBLANK(Table2[[#This Row],[device_model]]), "", Table2[[#This Row],[device_suggested_area]])</f>
        <v/>
      </c>
      <c r="BN240" s="29"/>
      <c r="BT240" s="28"/>
      <c r="BV2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1" spans="1:74" ht="16" customHeight="1" x14ac:dyDescent="0.2">
      <c r="A241" s="28">
        <v>2106</v>
      </c>
      <c r="B241" s="28" t="s">
        <v>26</v>
      </c>
      <c r="C241" s="28" t="s">
        <v>725</v>
      </c>
      <c r="D241" s="28" t="s">
        <v>27</v>
      </c>
      <c r="E241" s="28" t="s">
        <v>774</v>
      </c>
      <c r="F241" s="34" t="str">
        <f>IF(ISBLANK(Table2[[#This Row],[unique_id]]), "", PROPER(SUBSTITUTE(Table2[[#This Row],[unique_id]], "_", " ")))</f>
        <v>All Standby Power</v>
      </c>
      <c r="G241" s="28" t="s">
        <v>787</v>
      </c>
      <c r="H241" s="28" t="s">
        <v>227</v>
      </c>
      <c r="I241" s="28" t="s">
        <v>132</v>
      </c>
      <c r="N241" s="28" t="s">
        <v>127</v>
      </c>
      <c r="P241" s="29"/>
      <c r="Q241" s="28"/>
      <c r="U241" s="35"/>
      <c r="V241" s="35"/>
      <c r="W241" s="35"/>
      <c r="X241" s="28" t="s">
        <v>1528</v>
      </c>
      <c r="AD241" s="29"/>
      <c r="AE241" s="29"/>
      <c r="AF241" s="29"/>
      <c r="AG241" s="29"/>
      <c r="AK241" s="28" t="s">
        <v>298</v>
      </c>
      <c r="AM241" s="28" t="s">
        <v>228</v>
      </c>
      <c r="AO241" s="29"/>
      <c r="AP241" s="29"/>
      <c r="BA241" s="28"/>
      <c r="BB241" s="38"/>
      <c r="BC241" s="29"/>
      <c r="BD24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1" s="28" t="str">
        <f>IF(ISBLANK(Table2[[#This Row],[device_model]]), "", Table2[[#This Row],[device_suggested_area]])</f>
        <v/>
      </c>
      <c r="BN241" s="29"/>
      <c r="BT241" s="28"/>
      <c r="BV24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2" spans="1:74" ht="16" customHeight="1" x14ac:dyDescent="0.2">
      <c r="A242" s="28">
        <v>2107</v>
      </c>
      <c r="B242" s="28" t="s">
        <v>26</v>
      </c>
      <c r="C242" s="28" t="s">
        <v>725</v>
      </c>
      <c r="D242" s="28" t="s">
        <v>27</v>
      </c>
      <c r="E242" s="28" t="s">
        <v>1018</v>
      </c>
      <c r="F242" s="34" t="str">
        <f>IF(ISBLANK(Table2[[#This Row],[unique_id]]), "", PROPER(SUBSTITUTE(Table2[[#This Row],[unique_id]], "_", " ")))</f>
        <v>Coffee Machine Power</v>
      </c>
      <c r="G242" s="28" t="s">
        <v>126</v>
      </c>
      <c r="H242" s="28" t="s">
        <v>227</v>
      </c>
      <c r="I242" s="28" t="s">
        <v>132</v>
      </c>
      <c r="N242" s="28" t="s">
        <v>127</v>
      </c>
      <c r="P242" s="29"/>
      <c r="Q242" s="28"/>
      <c r="U242" s="35"/>
      <c r="V242" s="35"/>
      <c r="W242" s="35"/>
      <c r="X242" s="28" t="s">
        <v>1528</v>
      </c>
      <c r="AD242" s="29"/>
      <c r="AE242" s="29"/>
      <c r="AF242" s="29"/>
      <c r="AG242" s="29"/>
      <c r="AK242" s="28" t="s">
        <v>298</v>
      </c>
      <c r="AM242" s="28" t="s">
        <v>228</v>
      </c>
      <c r="AO242" s="29"/>
      <c r="AP242" s="29"/>
      <c r="BA242" s="28"/>
      <c r="BB242" s="38"/>
      <c r="BC242" s="29"/>
      <c r="BD24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2" s="28" t="str">
        <f>IF(ISBLANK(Table2[[#This Row],[device_model]]), "", Table2[[#This Row],[device_suggested_area]])</f>
        <v/>
      </c>
      <c r="BN242" s="29"/>
      <c r="BT242" s="28"/>
      <c r="BV24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3" spans="1:74" ht="16" customHeight="1" x14ac:dyDescent="0.2">
      <c r="A243" s="28">
        <v>2108</v>
      </c>
      <c r="B243" s="28" t="s">
        <v>543</v>
      </c>
      <c r="C243" s="28" t="s">
        <v>725</v>
      </c>
      <c r="D243" s="28" t="s">
        <v>27</v>
      </c>
      <c r="E243" s="28" t="s">
        <v>1019</v>
      </c>
      <c r="F243" s="34" t="str">
        <f>IF(ISBLANK(Table2[[#This Row],[unique_id]]), "", PROPER(SUBSTITUTE(Table2[[#This Row],[unique_id]], "_", " ")))</f>
        <v>Battery Charger Power</v>
      </c>
      <c r="G243" s="28" t="s">
        <v>219</v>
      </c>
      <c r="H243" s="28" t="s">
        <v>227</v>
      </c>
      <c r="I243" s="28" t="s">
        <v>132</v>
      </c>
      <c r="N243" s="28" t="s">
        <v>127</v>
      </c>
      <c r="P243" s="29"/>
      <c r="Q243" s="28"/>
      <c r="U243" s="35"/>
      <c r="V243" s="35"/>
      <c r="W243" s="35"/>
      <c r="X243" s="28" t="s">
        <v>1528</v>
      </c>
      <c r="AD243" s="29"/>
      <c r="AE243" s="29"/>
      <c r="AF243" s="29"/>
      <c r="AG243" s="29"/>
      <c r="AK243" s="28" t="s">
        <v>298</v>
      </c>
      <c r="AM243" s="28" t="s">
        <v>228</v>
      </c>
      <c r="AO243" s="29"/>
      <c r="AP243" s="29"/>
      <c r="BA243" s="28"/>
      <c r="BB243" s="38"/>
      <c r="BC243" s="29"/>
      <c r="BD2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3" s="28" t="str">
        <f>IF(ISBLANK(Table2[[#This Row],[device_model]]), "", Table2[[#This Row],[device_suggested_area]])</f>
        <v/>
      </c>
      <c r="BN243" s="29"/>
      <c r="BT243" s="28"/>
      <c r="BV2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4" spans="1:74" ht="16" customHeight="1" x14ac:dyDescent="0.2">
      <c r="A244" s="28">
        <v>2109</v>
      </c>
      <c r="B244" s="28" t="s">
        <v>543</v>
      </c>
      <c r="C244" s="28" t="s">
        <v>725</v>
      </c>
      <c r="D244" s="28" t="s">
        <v>27</v>
      </c>
      <c r="E244" s="28" t="s">
        <v>1020</v>
      </c>
      <c r="F244" s="34" t="str">
        <f>IF(ISBLANK(Table2[[#This Row],[unique_id]]), "", PROPER(SUBSTITUTE(Table2[[#This Row],[unique_id]], "_", " ")))</f>
        <v>Vacuum Charger Power</v>
      </c>
      <c r="G244" s="28" t="s">
        <v>218</v>
      </c>
      <c r="H244" s="28" t="s">
        <v>227</v>
      </c>
      <c r="I244" s="28" t="s">
        <v>132</v>
      </c>
      <c r="N244" s="28" t="s">
        <v>127</v>
      </c>
      <c r="P244" s="29"/>
      <c r="Q244" s="28"/>
      <c r="U244" s="35"/>
      <c r="V244" s="35"/>
      <c r="W244" s="35"/>
      <c r="X244" s="28" t="s">
        <v>1528</v>
      </c>
      <c r="AD244" s="29"/>
      <c r="AE244" s="29"/>
      <c r="AF244" s="29"/>
      <c r="AG244" s="29"/>
      <c r="AK244" s="28" t="s">
        <v>298</v>
      </c>
      <c r="AM244" s="28" t="s">
        <v>228</v>
      </c>
      <c r="AO244" s="29"/>
      <c r="AP244" s="29"/>
      <c r="BA244" s="28"/>
      <c r="BB244" s="38"/>
      <c r="BC244" s="29"/>
      <c r="BD2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4" s="28" t="str">
        <f>IF(ISBLANK(Table2[[#This Row],[device_model]]), "", Table2[[#This Row],[device_suggested_area]])</f>
        <v/>
      </c>
      <c r="BN244" s="29"/>
      <c r="BT244" s="28"/>
      <c r="BV2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5" spans="1:74" ht="16" customHeight="1" x14ac:dyDescent="0.2">
      <c r="A245" s="28">
        <v>2110</v>
      </c>
      <c r="B245" s="28" t="s">
        <v>26</v>
      </c>
      <c r="C245" s="28" t="s">
        <v>725</v>
      </c>
      <c r="D245" s="28" t="s">
        <v>27</v>
      </c>
      <c r="E245" s="28" t="s">
        <v>1021</v>
      </c>
      <c r="F245" s="34" t="str">
        <f>IF(ISBLANK(Table2[[#This Row],[unique_id]]), "", PROPER(SUBSTITUTE(Table2[[#This Row],[unique_id]], "_", " ")))</f>
        <v>Pool Filter Power</v>
      </c>
      <c r="G245" s="28" t="s">
        <v>290</v>
      </c>
      <c r="H245" s="28" t="s">
        <v>227</v>
      </c>
      <c r="I245" s="28" t="s">
        <v>132</v>
      </c>
      <c r="N245" s="28" t="s">
        <v>127</v>
      </c>
      <c r="P245" s="29"/>
      <c r="Q245" s="28"/>
      <c r="U245" s="35"/>
      <c r="V245" s="35"/>
      <c r="W245" s="35"/>
      <c r="X245" s="28" t="s">
        <v>1528</v>
      </c>
      <c r="AD245" s="29"/>
      <c r="AE245" s="29"/>
      <c r="AF245" s="29"/>
      <c r="AG245" s="29"/>
      <c r="AK245" s="28" t="s">
        <v>298</v>
      </c>
      <c r="AM245" s="28" t="s">
        <v>228</v>
      </c>
      <c r="AO245" s="29"/>
      <c r="AP245" s="29"/>
      <c r="BA245" s="28"/>
      <c r="BB245" s="38"/>
      <c r="BC245" s="29"/>
      <c r="BD2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5" s="28" t="str">
        <f>IF(ISBLANK(Table2[[#This Row],[device_model]]), "", Table2[[#This Row],[device_suggested_area]])</f>
        <v/>
      </c>
      <c r="BN245" s="29"/>
      <c r="BT245" s="28"/>
      <c r="BV2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6" spans="1:74" ht="16" customHeight="1" x14ac:dyDescent="0.2">
      <c r="A246" s="28">
        <v>2111</v>
      </c>
      <c r="B246" s="28" t="s">
        <v>26</v>
      </c>
      <c r="C246" s="28" t="s">
        <v>725</v>
      </c>
      <c r="D246" s="28" t="s">
        <v>27</v>
      </c>
      <c r="E246" s="28" t="s">
        <v>1022</v>
      </c>
      <c r="F246" s="34" t="str">
        <f>IF(ISBLANK(Table2[[#This Row],[unique_id]]), "", PROPER(SUBSTITUTE(Table2[[#This Row],[unique_id]], "_", " ")))</f>
        <v>Water Booster Power</v>
      </c>
      <c r="G246" s="28" t="s">
        <v>1104</v>
      </c>
      <c r="H246" s="28" t="s">
        <v>227</v>
      </c>
      <c r="I246" s="28" t="s">
        <v>132</v>
      </c>
      <c r="N246" s="28" t="s">
        <v>127</v>
      </c>
      <c r="P246" s="29"/>
      <c r="Q246" s="28"/>
      <c r="U246" s="35"/>
      <c r="V246" s="35"/>
      <c r="W246" s="35"/>
      <c r="X246" s="28" t="s">
        <v>1528</v>
      </c>
      <c r="AD246" s="29"/>
      <c r="AE246" s="29"/>
      <c r="AF246" s="29"/>
      <c r="AG246" s="29"/>
      <c r="AK246" s="28" t="s">
        <v>298</v>
      </c>
      <c r="AM246" s="28" t="s">
        <v>228</v>
      </c>
      <c r="AO246" s="29"/>
      <c r="AP246" s="29"/>
      <c r="BA246" s="28"/>
      <c r="BB246" s="38"/>
      <c r="BC246" s="29"/>
      <c r="BD2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6" s="28" t="str">
        <f>IF(ISBLANK(Table2[[#This Row],[device_model]]), "", Table2[[#This Row],[device_suggested_area]])</f>
        <v/>
      </c>
      <c r="BN246" s="29"/>
      <c r="BT246" s="28"/>
      <c r="BV2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7" spans="1:74" ht="16" customHeight="1" x14ac:dyDescent="0.2">
      <c r="A247" s="28">
        <v>2112</v>
      </c>
      <c r="B247" s="28" t="s">
        <v>26</v>
      </c>
      <c r="C247" s="28" t="s">
        <v>725</v>
      </c>
      <c r="D247" s="28" t="s">
        <v>27</v>
      </c>
      <c r="E247" s="28" t="s">
        <v>1023</v>
      </c>
      <c r="F247" s="34" t="str">
        <f>IF(ISBLANK(Table2[[#This Row],[unique_id]]), "", PROPER(SUBSTITUTE(Table2[[#This Row],[unique_id]], "_", " ")))</f>
        <v>Dish Washer Power</v>
      </c>
      <c r="G247" s="28" t="s">
        <v>216</v>
      </c>
      <c r="H247" s="28" t="s">
        <v>227</v>
      </c>
      <c r="I247" s="28" t="s">
        <v>132</v>
      </c>
      <c r="N247" s="28" t="s">
        <v>127</v>
      </c>
      <c r="P247" s="29"/>
      <c r="Q247" s="28"/>
      <c r="U247" s="35"/>
      <c r="V247" s="35"/>
      <c r="W247" s="35"/>
      <c r="X247" s="28" t="s">
        <v>1528</v>
      </c>
      <c r="AD247" s="29"/>
      <c r="AE247" s="29"/>
      <c r="AF247" s="29"/>
      <c r="AG247" s="29"/>
      <c r="AK247" s="28" t="s">
        <v>298</v>
      </c>
      <c r="AM247" s="28" t="s">
        <v>228</v>
      </c>
      <c r="AO247" s="29"/>
      <c r="AP247" s="29"/>
      <c r="BA247" s="28"/>
      <c r="BB247" s="38"/>
      <c r="BC247" s="29"/>
      <c r="BD2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7" s="28" t="str">
        <f>IF(ISBLANK(Table2[[#This Row],[device_model]]), "", Table2[[#This Row],[device_suggested_area]])</f>
        <v/>
      </c>
      <c r="BN247" s="29"/>
      <c r="BT247" s="28"/>
      <c r="BV2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8" spans="1:74" ht="16" customHeight="1" x14ac:dyDescent="0.2">
      <c r="A248" s="28">
        <v>2113</v>
      </c>
      <c r="B248" s="28" t="s">
        <v>543</v>
      </c>
      <c r="C248" s="28" t="s">
        <v>725</v>
      </c>
      <c r="D248" s="28" t="s">
        <v>27</v>
      </c>
      <c r="E248" s="28" t="s">
        <v>1024</v>
      </c>
      <c r="F248" s="34" t="str">
        <f>IF(ISBLANK(Table2[[#This Row],[unique_id]]), "", PROPER(SUBSTITUTE(Table2[[#This Row],[unique_id]], "_", " ")))</f>
        <v>Clothes Dryer Power</v>
      </c>
      <c r="G248" s="28" t="s">
        <v>217</v>
      </c>
      <c r="H248" s="28" t="s">
        <v>227</v>
      </c>
      <c r="I248" s="28" t="s">
        <v>132</v>
      </c>
      <c r="N248" s="28" t="s">
        <v>127</v>
      </c>
      <c r="P248" s="29"/>
      <c r="Q248" s="28"/>
      <c r="U248" s="35"/>
      <c r="V248" s="35"/>
      <c r="W248" s="35"/>
      <c r="X248" s="28" t="s">
        <v>1528</v>
      </c>
      <c r="AD248" s="29"/>
      <c r="AE248" s="29"/>
      <c r="AF248" s="29"/>
      <c r="AG248" s="29"/>
      <c r="AK248" s="28" t="s">
        <v>298</v>
      </c>
      <c r="AM248" s="28" t="s">
        <v>228</v>
      </c>
      <c r="AO248" s="29"/>
      <c r="AP248" s="29"/>
      <c r="BA248" s="28"/>
      <c r="BB248" s="38"/>
      <c r="BC248" s="29"/>
      <c r="BD2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8" s="28" t="str">
        <f>IF(ISBLANK(Table2[[#This Row],[device_model]]), "", Table2[[#This Row],[device_suggested_area]])</f>
        <v/>
      </c>
      <c r="BN248" s="29"/>
      <c r="BT248" s="28"/>
      <c r="BV2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9" spans="1:74" ht="16" customHeight="1" x14ac:dyDescent="0.2">
      <c r="A249" s="28">
        <v>2114</v>
      </c>
      <c r="B249" s="28" t="s">
        <v>543</v>
      </c>
      <c r="C249" s="28" t="s">
        <v>725</v>
      </c>
      <c r="D249" s="28" t="s">
        <v>27</v>
      </c>
      <c r="E249" s="28" t="s">
        <v>1025</v>
      </c>
      <c r="F249" s="34" t="str">
        <f>IF(ISBLANK(Table2[[#This Row],[unique_id]]), "", PROPER(SUBSTITUTE(Table2[[#This Row],[unique_id]], "_", " ")))</f>
        <v>Washing Machine Power</v>
      </c>
      <c r="G249" s="28" t="s">
        <v>215</v>
      </c>
      <c r="H249" s="28" t="s">
        <v>227</v>
      </c>
      <c r="I249" s="28" t="s">
        <v>132</v>
      </c>
      <c r="N249" s="28" t="s">
        <v>127</v>
      </c>
      <c r="P249" s="29"/>
      <c r="Q249" s="28"/>
      <c r="U249" s="35"/>
      <c r="V249" s="35"/>
      <c r="W249" s="35"/>
      <c r="X249" s="28" t="s">
        <v>1528</v>
      </c>
      <c r="AD249" s="29"/>
      <c r="AE249" s="29"/>
      <c r="AF249" s="29"/>
      <c r="AG249" s="29"/>
      <c r="AK249" s="28" t="s">
        <v>298</v>
      </c>
      <c r="AM249" s="28" t="s">
        <v>228</v>
      </c>
      <c r="AO249" s="29"/>
      <c r="AP249" s="29"/>
      <c r="BA249" s="28"/>
      <c r="BB249" s="38"/>
      <c r="BC249" s="29"/>
      <c r="BD2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49" s="28" t="str">
        <f>IF(ISBLANK(Table2[[#This Row],[device_model]]), "", Table2[[#This Row],[device_suggested_area]])</f>
        <v/>
      </c>
      <c r="BN249" s="29"/>
      <c r="BT249" s="28"/>
      <c r="BV2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0" spans="1:74" ht="16" customHeight="1" x14ac:dyDescent="0.2">
      <c r="A250" s="28">
        <v>2115</v>
      </c>
      <c r="B250" s="28" t="s">
        <v>26</v>
      </c>
      <c r="C250" s="28" t="s">
        <v>725</v>
      </c>
      <c r="D250" s="28" t="s">
        <v>27</v>
      </c>
      <c r="E250" s="28" t="s">
        <v>726</v>
      </c>
      <c r="F250" s="34" t="str">
        <f>IF(ISBLANK(Table2[[#This Row],[unique_id]]), "", PROPER(SUBSTITUTE(Table2[[#This Row],[unique_id]], "_", " ")))</f>
        <v>Kitchen Fridge Power</v>
      </c>
      <c r="G250" s="28" t="s">
        <v>211</v>
      </c>
      <c r="H250" s="28" t="s">
        <v>227</v>
      </c>
      <c r="I250" s="28" t="s">
        <v>132</v>
      </c>
      <c r="N250" s="28" t="s">
        <v>127</v>
      </c>
      <c r="P250" s="29"/>
      <c r="Q250" s="28"/>
      <c r="U250" s="35"/>
      <c r="V250" s="35"/>
      <c r="W250" s="35"/>
      <c r="X250" s="28" t="s">
        <v>1528</v>
      </c>
      <c r="AD250" s="29"/>
      <c r="AE250" s="29"/>
      <c r="AF250" s="29"/>
      <c r="AG250" s="29"/>
      <c r="AK250" s="28" t="s">
        <v>298</v>
      </c>
      <c r="AM250" s="28" t="s">
        <v>228</v>
      </c>
      <c r="AO250" s="29"/>
      <c r="AP250" s="29"/>
      <c r="BA250" s="28"/>
      <c r="BB250" s="38"/>
      <c r="BC250" s="29"/>
      <c r="BD2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0" s="28" t="str">
        <f>IF(ISBLANK(Table2[[#This Row],[device_model]]), "", Table2[[#This Row],[device_suggested_area]])</f>
        <v/>
      </c>
      <c r="BN250" s="29"/>
      <c r="BT250" s="28"/>
      <c r="BV2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1" spans="1:74" ht="16" customHeight="1" x14ac:dyDescent="0.2">
      <c r="A251" s="28">
        <v>2116</v>
      </c>
      <c r="B251" s="28" t="s">
        <v>26</v>
      </c>
      <c r="C251" s="28" t="s">
        <v>725</v>
      </c>
      <c r="D251" s="28" t="s">
        <v>27</v>
      </c>
      <c r="E251" s="28" t="s">
        <v>727</v>
      </c>
      <c r="F251" s="34" t="str">
        <f>IF(ISBLANK(Table2[[#This Row],[unique_id]]), "", PROPER(SUBSTITUTE(Table2[[#This Row],[unique_id]], "_", " ")))</f>
        <v>Deck Freezer Power</v>
      </c>
      <c r="G251" s="28" t="s">
        <v>212</v>
      </c>
      <c r="H251" s="28" t="s">
        <v>227</v>
      </c>
      <c r="I251" s="28" t="s">
        <v>132</v>
      </c>
      <c r="N251" s="28" t="s">
        <v>127</v>
      </c>
      <c r="P251" s="29"/>
      <c r="Q251" s="28"/>
      <c r="U251" s="35"/>
      <c r="V251" s="35"/>
      <c r="W251" s="35"/>
      <c r="X251" s="28" t="s">
        <v>1528</v>
      </c>
      <c r="AD251" s="29"/>
      <c r="AE251" s="29"/>
      <c r="AF251" s="29"/>
      <c r="AG251" s="29"/>
      <c r="AK251" s="28" t="s">
        <v>298</v>
      </c>
      <c r="AM251" s="28" t="s">
        <v>228</v>
      </c>
      <c r="AO251" s="29"/>
      <c r="AP251" s="29"/>
      <c r="BA251" s="28"/>
      <c r="BB251" s="38"/>
      <c r="BC251" s="29"/>
      <c r="BD2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1" s="28" t="str">
        <f>IF(ISBLANK(Table2[[#This Row],[device_model]]), "", Table2[[#This Row],[device_suggested_area]])</f>
        <v/>
      </c>
      <c r="BN251" s="29"/>
      <c r="BT251" s="28"/>
      <c r="BV2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2" spans="1:74" ht="16" customHeight="1" x14ac:dyDescent="0.2">
      <c r="A252" s="28">
        <v>2117</v>
      </c>
      <c r="B252" s="28" t="s">
        <v>26</v>
      </c>
      <c r="C252" s="28" t="s">
        <v>725</v>
      </c>
      <c r="D252" s="28" t="s">
        <v>27</v>
      </c>
      <c r="E252" s="28" t="s">
        <v>1026</v>
      </c>
      <c r="F252" s="34" t="str">
        <f>IF(ISBLANK(Table2[[#This Row],[unique_id]]), "", PROPER(SUBSTITUTE(Table2[[#This Row],[unique_id]], "_", " ")))</f>
        <v>Towel Rails Power</v>
      </c>
      <c r="G252" s="28" t="s">
        <v>417</v>
      </c>
      <c r="H252" s="28" t="s">
        <v>227</v>
      </c>
      <c r="I252" s="28" t="s">
        <v>132</v>
      </c>
      <c r="N252" s="28" t="s">
        <v>127</v>
      </c>
      <c r="P252" s="29"/>
      <c r="Q252" s="28"/>
      <c r="U252" s="35"/>
      <c r="V252" s="35"/>
      <c r="W252" s="35"/>
      <c r="X252" s="28" t="s">
        <v>1528</v>
      </c>
      <c r="AD252" s="29"/>
      <c r="AE252" s="29"/>
      <c r="AF252" s="29"/>
      <c r="AG252" s="29"/>
      <c r="AK252" s="28" t="s">
        <v>298</v>
      </c>
      <c r="AM252" s="28" t="s">
        <v>228</v>
      </c>
      <c r="AO252" s="29"/>
      <c r="AP252" s="29"/>
      <c r="BA252" s="28"/>
      <c r="BB252" s="38"/>
      <c r="BC252" s="29"/>
      <c r="BD2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2" s="28" t="str">
        <f>IF(ISBLANK(Table2[[#This Row],[device_model]]), "", Table2[[#This Row],[device_suggested_area]])</f>
        <v/>
      </c>
      <c r="BN252" s="29"/>
      <c r="BT252" s="28"/>
      <c r="BV2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3" spans="1:74" ht="16" customHeight="1" x14ac:dyDescent="0.2">
      <c r="A253" s="28">
        <v>2118</v>
      </c>
      <c r="B253" s="28" t="s">
        <v>543</v>
      </c>
      <c r="C253" s="28" t="s">
        <v>725</v>
      </c>
      <c r="D253" s="28" t="s">
        <v>27</v>
      </c>
      <c r="E253" s="28" t="s">
        <v>728</v>
      </c>
      <c r="F253" s="34" t="str">
        <f>IF(ISBLANK(Table2[[#This Row],[unique_id]]), "", PROPER(SUBSTITUTE(Table2[[#This Row],[unique_id]], "_", " ")))</f>
        <v>Study Outlet Power</v>
      </c>
      <c r="G253" s="28" t="s">
        <v>214</v>
      </c>
      <c r="H253" s="28" t="s">
        <v>227</v>
      </c>
      <c r="I253" s="28" t="s">
        <v>132</v>
      </c>
      <c r="N253" s="28" t="s">
        <v>127</v>
      </c>
      <c r="P253" s="29"/>
      <c r="Q253" s="28"/>
      <c r="U253" s="35"/>
      <c r="V253" s="35"/>
      <c r="W253" s="35"/>
      <c r="X253" s="28" t="s">
        <v>1528</v>
      </c>
      <c r="AD253" s="29"/>
      <c r="AE253" s="29"/>
      <c r="AF253" s="29"/>
      <c r="AG253" s="29"/>
      <c r="AK253" s="28" t="s">
        <v>298</v>
      </c>
      <c r="AM253" s="28" t="s">
        <v>228</v>
      </c>
      <c r="AO253" s="29"/>
      <c r="AP253" s="29"/>
      <c r="BA253" s="28"/>
      <c r="BB253" s="38"/>
      <c r="BC253" s="29"/>
      <c r="BD2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3" s="28" t="str">
        <f>IF(ISBLANK(Table2[[#This Row],[device_model]]), "", Table2[[#This Row],[device_suggested_area]])</f>
        <v/>
      </c>
      <c r="BN253" s="29"/>
      <c r="BT253" s="28"/>
      <c r="BV2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4" spans="1:74" ht="16" customHeight="1" x14ac:dyDescent="0.2">
      <c r="A254" s="28">
        <v>2119</v>
      </c>
      <c r="B254" s="28" t="s">
        <v>543</v>
      </c>
      <c r="C254" s="28" t="s">
        <v>725</v>
      </c>
      <c r="D254" s="28" t="s">
        <v>27</v>
      </c>
      <c r="E254" s="28" t="s">
        <v>729</v>
      </c>
      <c r="F254" s="34" t="str">
        <f>IF(ISBLANK(Table2[[#This Row],[unique_id]]), "", PROPER(SUBSTITUTE(Table2[[#This Row],[unique_id]], "_", " ")))</f>
        <v>Office Outlet Power</v>
      </c>
      <c r="G254" s="28" t="s">
        <v>213</v>
      </c>
      <c r="H254" s="28" t="s">
        <v>227</v>
      </c>
      <c r="I254" s="28" t="s">
        <v>132</v>
      </c>
      <c r="N254" s="28" t="s">
        <v>127</v>
      </c>
      <c r="P254" s="29"/>
      <c r="Q254" s="28"/>
      <c r="U254" s="35"/>
      <c r="V254" s="35"/>
      <c r="W254" s="35"/>
      <c r="X254" s="28" t="s">
        <v>1528</v>
      </c>
      <c r="AD254" s="29"/>
      <c r="AE254" s="29"/>
      <c r="AF254" s="29"/>
      <c r="AG254" s="29"/>
      <c r="AK254" s="28" t="s">
        <v>298</v>
      </c>
      <c r="AM254" s="28" t="s">
        <v>228</v>
      </c>
      <c r="AO254" s="29"/>
      <c r="AP254" s="29"/>
      <c r="BA254" s="28"/>
      <c r="BB254" s="38"/>
      <c r="BC254" s="29"/>
      <c r="BD2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4" s="28" t="str">
        <f>IF(ISBLANK(Table2[[#This Row],[device_model]]), "", Table2[[#This Row],[device_suggested_area]])</f>
        <v/>
      </c>
      <c r="BN254" s="29"/>
      <c r="BT254" s="28"/>
      <c r="BV2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5" spans="1:74" ht="16" customHeight="1" x14ac:dyDescent="0.2">
      <c r="A255" s="28">
        <v>2120</v>
      </c>
      <c r="B255" s="28" t="s">
        <v>26</v>
      </c>
      <c r="C255" s="28" t="s">
        <v>725</v>
      </c>
      <c r="D255" s="28" t="s">
        <v>27</v>
      </c>
      <c r="E255" s="28" t="s">
        <v>742</v>
      </c>
      <c r="F255" s="34" t="str">
        <f>IF(ISBLANK(Table2[[#This Row],[unique_id]]), "", PROPER(SUBSTITUTE(Table2[[#This Row],[unique_id]], "_", " ")))</f>
        <v>Audio Visual Devices Power</v>
      </c>
      <c r="G255" s="28" t="s">
        <v>743</v>
      </c>
      <c r="H255" s="28" t="s">
        <v>227</v>
      </c>
      <c r="I255" s="28" t="s">
        <v>132</v>
      </c>
      <c r="N255" s="28" t="s">
        <v>127</v>
      </c>
      <c r="P255" s="29"/>
      <c r="Q255" s="28"/>
      <c r="U255" s="35"/>
      <c r="V255" s="35"/>
      <c r="W255" s="35"/>
      <c r="X255" s="28" t="s">
        <v>1528</v>
      </c>
      <c r="AD255" s="29"/>
      <c r="AE255" s="29"/>
      <c r="AF255" s="29"/>
      <c r="AG255" s="29"/>
      <c r="AK255" s="28" t="s">
        <v>298</v>
      </c>
      <c r="AM255" s="28" t="s">
        <v>228</v>
      </c>
      <c r="AO255" s="29"/>
      <c r="AP255" s="29"/>
      <c r="BA255" s="28"/>
      <c r="BB255" s="38"/>
      <c r="BC255" s="29"/>
      <c r="BD2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5" s="28" t="str">
        <f>IF(ISBLANK(Table2[[#This Row],[device_model]]), "", Table2[[#This Row],[device_suggested_area]])</f>
        <v/>
      </c>
      <c r="BN255" s="29"/>
      <c r="BT255" s="28"/>
      <c r="BV2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6" spans="1:74" ht="16" customHeight="1" x14ac:dyDescent="0.2">
      <c r="A256" s="28">
        <v>2121</v>
      </c>
      <c r="B256" s="28" t="s">
        <v>26</v>
      </c>
      <c r="C256" s="28" t="s">
        <v>725</v>
      </c>
      <c r="D256" s="28" t="s">
        <v>27</v>
      </c>
      <c r="E256" s="28" t="s">
        <v>716</v>
      </c>
      <c r="F256" s="34" t="str">
        <f>IF(ISBLANK(Table2[[#This Row],[unique_id]]), "", PROPER(SUBSTITUTE(Table2[[#This Row],[unique_id]], "_", " ")))</f>
        <v>Servers Network Power</v>
      </c>
      <c r="G256" s="28" t="s">
        <v>710</v>
      </c>
      <c r="H256" s="28" t="s">
        <v>227</v>
      </c>
      <c r="I256" s="28" t="s">
        <v>132</v>
      </c>
      <c r="N256" s="28" t="s">
        <v>127</v>
      </c>
      <c r="P256" s="29"/>
      <c r="Q256" s="28"/>
      <c r="U256" s="35"/>
      <c r="V256" s="35"/>
      <c r="W256" s="35"/>
      <c r="X256" s="28" t="s">
        <v>1528</v>
      </c>
      <c r="AD256" s="29"/>
      <c r="AE256" s="29"/>
      <c r="AF256" s="29"/>
      <c r="AG256" s="29"/>
      <c r="AK256" s="28" t="s">
        <v>298</v>
      </c>
      <c r="AM256" s="28" t="s">
        <v>228</v>
      </c>
      <c r="AO256" s="29"/>
      <c r="AP256" s="29"/>
      <c r="BA256" s="28"/>
      <c r="BB256" s="38"/>
      <c r="BC256" s="29"/>
      <c r="BD2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6" s="28" t="str">
        <f>IF(ISBLANK(Table2[[#This Row],[device_model]]), "", Table2[[#This Row],[device_suggested_area]])</f>
        <v/>
      </c>
      <c r="BN256" s="29"/>
      <c r="BT256" s="28"/>
      <c r="BV2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7" spans="1:74" ht="16" customHeight="1" x14ac:dyDescent="0.2">
      <c r="A257" s="28">
        <v>2122</v>
      </c>
      <c r="B257" s="28" t="s">
        <v>26</v>
      </c>
      <c r="C257" s="28" t="s">
        <v>409</v>
      </c>
      <c r="D257" s="28" t="s">
        <v>304</v>
      </c>
      <c r="E257" s="28" t="s">
        <v>303</v>
      </c>
      <c r="F257" s="34" t="str">
        <f>IF(ISBLANK(Table2[[#This Row],[unique_id]]), "", PROPER(SUBSTITUTE(Table2[[#This Row],[unique_id]], "_", " ")))</f>
        <v>Column Break</v>
      </c>
      <c r="G257" s="28" t="s">
        <v>300</v>
      </c>
      <c r="H257" s="28" t="s">
        <v>227</v>
      </c>
      <c r="I257" s="28" t="s">
        <v>132</v>
      </c>
      <c r="N257" s="28" t="s">
        <v>301</v>
      </c>
      <c r="O257" s="28" t="s">
        <v>302</v>
      </c>
      <c r="P257" s="29"/>
      <c r="Q257" s="28"/>
      <c r="U257" s="35"/>
      <c r="V257" s="35"/>
      <c r="W257" s="35"/>
      <c r="X257" s="28"/>
      <c r="AD257" s="29"/>
      <c r="AE257" s="29"/>
      <c r="AF257" s="29"/>
      <c r="AG257" s="29"/>
      <c r="AO257" s="29"/>
      <c r="AP257" s="29"/>
      <c r="BA257" s="28"/>
      <c r="BB257" s="38"/>
      <c r="BC257" s="29"/>
      <c r="BD2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7" s="28" t="str">
        <f>IF(ISBLANK(Table2[[#This Row],[device_model]]), "", Table2[[#This Row],[device_suggested_area]])</f>
        <v/>
      </c>
      <c r="BN257" s="29"/>
      <c r="BT257" s="28"/>
      <c r="BV2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8" spans="1:74" ht="16" customHeight="1" x14ac:dyDescent="0.2">
      <c r="A258" s="28">
        <v>2123</v>
      </c>
      <c r="B258" s="28" t="s">
        <v>26</v>
      </c>
      <c r="C258" s="28" t="s">
        <v>725</v>
      </c>
      <c r="D258" s="28" t="s">
        <v>27</v>
      </c>
      <c r="E258" s="28" t="s">
        <v>226</v>
      </c>
      <c r="F258" s="34" t="str">
        <f>IF(ISBLANK(Table2[[#This Row],[unique_id]]), "", PROPER(SUBSTITUTE(Table2[[#This Row],[unique_id]], "_", " ")))</f>
        <v>Home Energy Daily</v>
      </c>
      <c r="G258" s="28" t="s">
        <v>295</v>
      </c>
      <c r="H258" s="28" t="s">
        <v>207</v>
      </c>
      <c r="I258" s="28" t="s">
        <v>132</v>
      </c>
      <c r="N258" s="28" t="s">
        <v>81</v>
      </c>
      <c r="P258" s="29"/>
      <c r="Q258" s="28"/>
      <c r="U258" s="35"/>
      <c r="V258" s="35"/>
      <c r="W258" s="35"/>
      <c r="X258" s="28" t="s">
        <v>1527</v>
      </c>
      <c r="AD258" s="29"/>
      <c r="AE258" s="29"/>
      <c r="AF258" s="29"/>
      <c r="AG258" s="29"/>
      <c r="AK258" s="28" t="s">
        <v>299</v>
      </c>
      <c r="AM258" s="28" t="s">
        <v>229</v>
      </c>
      <c r="AO258" s="29"/>
      <c r="AP258" s="29"/>
      <c r="BA258" s="28"/>
      <c r="BB258" s="38"/>
      <c r="BC258" s="29"/>
      <c r="BD2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8" s="28" t="str">
        <f>IF(ISBLANK(Table2[[#This Row],[device_model]]), "", Table2[[#This Row],[device_suggested_area]])</f>
        <v/>
      </c>
      <c r="BN258" s="29"/>
      <c r="BT258" s="28"/>
      <c r="BV2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9" spans="1:74" ht="16" customHeight="1" x14ac:dyDescent="0.2">
      <c r="A259" s="28">
        <v>2124</v>
      </c>
      <c r="B259" s="28" t="s">
        <v>26</v>
      </c>
      <c r="C259" s="28" t="s">
        <v>725</v>
      </c>
      <c r="D259" s="28" t="s">
        <v>27</v>
      </c>
      <c r="E259" s="28" t="s">
        <v>297</v>
      </c>
      <c r="F259" s="34" t="str">
        <f>IF(ISBLANK(Table2[[#This Row],[unique_id]]), "", PROPER(SUBSTITUTE(Table2[[#This Row],[unique_id]], "_", " ")))</f>
        <v>Home Base Energy Daily</v>
      </c>
      <c r="G259" s="28" t="s">
        <v>293</v>
      </c>
      <c r="H259" s="28" t="s">
        <v>207</v>
      </c>
      <c r="I259" s="28" t="s">
        <v>132</v>
      </c>
      <c r="N259" s="28" t="s">
        <v>81</v>
      </c>
      <c r="P259" s="29"/>
      <c r="Q259" s="28"/>
      <c r="U259" s="35"/>
      <c r="V259" s="35"/>
      <c r="W259" s="35"/>
      <c r="X259" s="28" t="s">
        <v>1527</v>
      </c>
      <c r="AD259" s="29"/>
      <c r="AE259" s="29"/>
      <c r="AF259" s="29"/>
      <c r="AG259" s="29"/>
      <c r="AK259" s="28" t="s">
        <v>299</v>
      </c>
      <c r="AM259" s="28" t="s">
        <v>229</v>
      </c>
      <c r="AO259" s="29"/>
      <c r="AP259" s="29"/>
      <c r="BA259" s="28"/>
      <c r="BB259" s="38"/>
      <c r="BC259" s="29"/>
      <c r="BD2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59" s="28" t="str">
        <f>IF(ISBLANK(Table2[[#This Row],[device_model]]), "", Table2[[#This Row],[device_suggested_area]])</f>
        <v/>
      </c>
      <c r="BN259" s="29"/>
      <c r="BT259" s="28"/>
      <c r="BV2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0" spans="1:74" ht="16" customHeight="1" x14ac:dyDescent="0.2">
      <c r="A260" s="28">
        <v>2125</v>
      </c>
      <c r="B260" s="28" t="s">
        <v>26</v>
      </c>
      <c r="C260" s="28" t="s">
        <v>725</v>
      </c>
      <c r="D260" s="28" t="s">
        <v>27</v>
      </c>
      <c r="E260" s="28" t="s">
        <v>296</v>
      </c>
      <c r="F260" s="34" t="str">
        <f>IF(ISBLANK(Table2[[#This Row],[unique_id]]), "", PROPER(SUBSTITUTE(Table2[[#This Row],[unique_id]], "_", " ")))</f>
        <v>Home Peak Energy Daily</v>
      </c>
      <c r="G260" s="28" t="s">
        <v>294</v>
      </c>
      <c r="H260" s="28" t="s">
        <v>207</v>
      </c>
      <c r="I260" s="28" t="s">
        <v>132</v>
      </c>
      <c r="N260" s="28" t="s">
        <v>81</v>
      </c>
      <c r="P260" s="29"/>
      <c r="Q260" s="28"/>
      <c r="U260" s="35"/>
      <c r="V260" s="35"/>
      <c r="W260" s="35"/>
      <c r="X260" s="28" t="s">
        <v>1527</v>
      </c>
      <c r="AD260" s="29"/>
      <c r="AE260" s="29"/>
      <c r="AF260" s="29"/>
      <c r="AG260" s="29"/>
      <c r="AK260" s="28" t="s">
        <v>299</v>
      </c>
      <c r="AM260" s="28" t="s">
        <v>229</v>
      </c>
      <c r="AO260" s="29"/>
      <c r="AP260" s="29"/>
      <c r="BA260" s="28"/>
      <c r="BB260" s="38"/>
      <c r="BC260" s="29"/>
      <c r="BD2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0" s="28" t="str">
        <f>IF(ISBLANK(Table2[[#This Row],[device_model]]), "", Table2[[#This Row],[device_suggested_area]])</f>
        <v/>
      </c>
      <c r="BN260" s="29"/>
      <c r="BT260" s="28"/>
      <c r="BV2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1" spans="1:74" ht="16" customHeight="1" x14ac:dyDescent="0.2">
      <c r="A261" s="28">
        <v>2126</v>
      </c>
      <c r="B261" s="28" t="s">
        <v>26</v>
      </c>
      <c r="C261" s="28" t="s">
        <v>409</v>
      </c>
      <c r="D261" s="28" t="s">
        <v>304</v>
      </c>
      <c r="E261" s="28" t="s">
        <v>407</v>
      </c>
      <c r="F261" s="34" t="str">
        <f>IF(ISBLANK(Table2[[#This Row],[unique_id]]), "", PROPER(SUBSTITUTE(Table2[[#This Row],[unique_id]], "_", " ")))</f>
        <v>Graph Break</v>
      </c>
      <c r="G261" s="28" t="s">
        <v>408</v>
      </c>
      <c r="H261" s="28" t="s">
        <v>207</v>
      </c>
      <c r="I261" s="28" t="s">
        <v>132</v>
      </c>
      <c r="P261" s="29"/>
      <c r="Q261" s="28"/>
      <c r="U261" s="35"/>
      <c r="V261" s="35"/>
      <c r="W261" s="35"/>
      <c r="X261" s="28" t="s">
        <v>1527</v>
      </c>
      <c r="AD261" s="29"/>
      <c r="AE261" s="29"/>
      <c r="AF261" s="29"/>
      <c r="AG261" s="29"/>
      <c r="AO261" s="29"/>
      <c r="AP261" s="29"/>
      <c r="BA261" s="28"/>
      <c r="BB261" s="38"/>
      <c r="BC261" s="29"/>
      <c r="BD2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1" s="28" t="str">
        <f>IF(ISBLANK(Table2[[#This Row],[device_model]]), "", Table2[[#This Row],[device_suggested_area]])</f>
        <v/>
      </c>
      <c r="BN261" s="29"/>
      <c r="BT261" s="28"/>
      <c r="BV2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2" spans="1:74" ht="16" customHeight="1" x14ac:dyDescent="0.2">
      <c r="A262" s="28">
        <v>2127</v>
      </c>
      <c r="B262" s="28" t="s">
        <v>26</v>
      </c>
      <c r="C262" s="28" t="s">
        <v>725</v>
      </c>
      <c r="D262" s="28" t="s">
        <v>27</v>
      </c>
      <c r="E262" s="28" t="s">
        <v>713</v>
      </c>
      <c r="F262" s="34" t="str">
        <f>IF(ISBLANK(Table2[[#This Row],[unique_id]]), "", PROPER(SUBSTITUTE(Table2[[#This Row],[unique_id]], "_", " ")))</f>
        <v>Lights Energy Daily</v>
      </c>
      <c r="G262" s="28" t="s">
        <v>738</v>
      </c>
      <c r="H262" s="28" t="s">
        <v>207</v>
      </c>
      <c r="I262" s="28" t="s">
        <v>132</v>
      </c>
      <c r="N262" s="28" t="s">
        <v>127</v>
      </c>
      <c r="P262" s="29"/>
      <c r="Q262" s="28"/>
      <c r="U262" s="35"/>
      <c r="V262" s="35"/>
      <c r="W262" s="35"/>
      <c r="X262" s="28" t="s">
        <v>1527</v>
      </c>
      <c r="AD262" s="29"/>
      <c r="AE262" s="29"/>
      <c r="AF262" s="29"/>
      <c r="AG262" s="29"/>
      <c r="AK262" s="28" t="s">
        <v>299</v>
      </c>
      <c r="AM262" s="28" t="s">
        <v>229</v>
      </c>
      <c r="AO262" s="29"/>
      <c r="AP262" s="29"/>
      <c r="BA262" s="28"/>
      <c r="BB262" s="38"/>
      <c r="BC262" s="29"/>
      <c r="BD2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2" s="28" t="str">
        <f>IF(ISBLANK(Table2[[#This Row],[device_model]]), "", Table2[[#This Row],[device_suggested_area]])</f>
        <v/>
      </c>
      <c r="BN262" s="29"/>
      <c r="BT262" s="28"/>
      <c r="BV2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3" spans="1:74" ht="16" customHeight="1" x14ac:dyDescent="0.2">
      <c r="A263" s="28">
        <v>2128</v>
      </c>
      <c r="B263" s="28" t="s">
        <v>26</v>
      </c>
      <c r="C263" s="28" t="s">
        <v>725</v>
      </c>
      <c r="D263" s="28" t="s">
        <v>27</v>
      </c>
      <c r="E263" s="28" t="s">
        <v>714</v>
      </c>
      <c r="F263" s="34" t="str">
        <f>IF(ISBLANK(Table2[[#This Row],[unique_id]]), "", PROPER(SUBSTITUTE(Table2[[#This Row],[unique_id]], "_", " ")))</f>
        <v>Fans Energy Daily</v>
      </c>
      <c r="G263" s="28" t="s">
        <v>737</v>
      </c>
      <c r="H263" s="28" t="s">
        <v>207</v>
      </c>
      <c r="I263" s="28" t="s">
        <v>132</v>
      </c>
      <c r="N263" s="28" t="s">
        <v>127</v>
      </c>
      <c r="P263" s="29"/>
      <c r="Q263" s="28"/>
      <c r="U263" s="35"/>
      <c r="V263" s="35"/>
      <c r="W263" s="35"/>
      <c r="X263" s="28" t="s">
        <v>1527</v>
      </c>
      <c r="AD263" s="29"/>
      <c r="AE263" s="29"/>
      <c r="AF263" s="29"/>
      <c r="AG263" s="29"/>
      <c r="AK263" s="28" t="s">
        <v>299</v>
      </c>
      <c r="AM263" s="28" t="s">
        <v>229</v>
      </c>
      <c r="AO263" s="29"/>
      <c r="AP263" s="29"/>
      <c r="BA263" s="28"/>
      <c r="BB263" s="38"/>
      <c r="BC263" s="29"/>
      <c r="BD2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3" s="28" t="str">
        <f>IF(ISBLANK(Table2[[#This Row],[device_model]]), "", Table2[[#This Row],[device_suggested_area]])</f>
        <v/>
      </c>
      <c r="BN263" s="29"/>
      <c r="BT263" s="28"/>
      <c r="BV2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4" spans="1:74" ht="16" customHeight="1" x14ac:dyDescent="0.2">
      <c r="A264" s="28">
        <v>2129</v>
      </c>
      <c r="B264" s="28" t="s">
        <v>26</v>
      </c>
      <c r="C264" s="28" t="s">
        <v>725</v>
      </c>
      <c r="D264" s="28" t="s">
        <v>27</v>
      </c>
      <c r="E264" s="28" t="s">
        <v>778</v>
      </c>
      <c r="F264" s="34" t="str">
        <f>IF(ISBLANK(Table2[[#This Row],[unique_id]]), "", PROPER(SUBSTITUTE(Table2[[#This Row],[unique_id]], "_", " ")))</f>
        <v>All Standby Energy Daily</v>
      </c>
      <c r="G264" s="28" t="s">
        <v>787</v>
      </c>
      <c r="H264" s="28" t="s">
        <v>207</v>
      </c>
      <c r="I264" s="28" t="s">
        <v>132</v>
      </c>
      <c r="N264" s="28" t="s">
        <v>127</v>
      </c>
      <c r="P264" s="29"/>
      <c r="Q264" s="28"/>
      <c r="U264" s="35"/>
      <c r="V264" s="35"/>
      <c r="W264" s="35"/>
      <c r="X264" s="28" t="s">
        <v>1527</v>
      </c>
      <c r="AD264" s="29"/>
      <c r="AE264" s="29"/>
      <c r="AF264" s="29"/>
      <c r="AG264" s="29"/>
      <c r="AK264" s="28" t="s">
        <v>299</v>
      </c>
      <c r="AM264" s="28" t="s">
        <v>229</v>
      </c>
      <c r="AO264" s="29"/>
      <c r="AP264" s="29"/>
      <c r="BA264" s="28"/>
      <c r="BB264" s="38"/>
      <c r="BC264" s="29"/>
      <c r="BD2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4" s="28" t="str">
        <f>IF(ISBLANK(Table2[[#This Row],[device_model]]), "", Table2[[#This Row],[device_suggested_area]])</f>
        <v/>
      </c>
      <c r="BN264" s="29"/>
      <c r="BT264" s="28"/>
      <c r="BV2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5" spans="1:74" ht="16" customHeight="1" x14ac:dyDescent="0.2">
      <c r="A265" s="28">
        <v>2130</v>
      </c>
      <c r="B265" s="28" t="s">
        <v>26</v>
      </c>
      <c r="C265" s="28" t="s">
        <v>725</v>
      </c>
      <c r="D265" s="28" t="s">
        <v>27</v>
      </c>
      <c r="E265" s="28" t="s">
        <v>1027</v>
      </c>
      <c r="F265" s="34" t="str">
        <f>IF(ISBLANK(Table2[[#This Row],[unique_id]]), "", PROPER(SUBSTITUTE(Table2[[#This Row],[unique_id]], "_", " ")))</f>
        <v>Coffee Machine Energy Daily</v>
      </c>
      <c r="G265" s="28" t="s">
        <v>126</v>
      </c>
      <c r="H265" s="28" t="s">
        <v>207</v>
      </c>
      <c r="I265" s="28" t="s">
        <v>132</v>
      </c>
      <c r="N265" s="28" t="s">
        <v>127</v>
      </c>
      <c r="P265" s="29"/>
      <c r="Q265" s="28"/>
      <c r="U265" s="35"/>
      <c r="V265" s="35"/>
      <c r="W265" s="35"/>
      <c r="X265" s="28" t="s">
        <v>1527</v>
      </c>
      <c r="AD265" s="29"/>
      <c r="AE265" s="29"/>
      <c r="AF265" s="29"/>
      <c r="AG265" s="29"/>
      <c r="AK265" s="28" t="s">
        <v>299</v>
      </c>
      <c r="AM265" s="28" t="s">
        <v>229</v>
      </c>
      <c r="AO265" s="29"/>
      <c r="AP265" s="29"/>
      <c r="BA265" s="28"/>
      <c r="BB265" s="38"/>
      <c r="BC265" s="29"/>
      <c r="BD2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5" s="28" t="str">
        <f>IF(ISBLANK(Table2[[#This Row],[device_model]]), "", Table2[[#This Row],[device_suggested_area]])</f>
        <v/>
      </c>
      <c r="BN265" s="29"/>
      <c r="BT265" s="28"/>
      <c r="BV2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6" spans="1:74" ht="16" customHeight="1" x14ac:dyDescent="0.2">
      <c r="A266" s="28">
        <v>2131</v>
      </c>
      <c r="B266" s="28" t="s">
        <v>543</v>
      </c>
      <c r="C266" s="28" t="s">
        <v>725</v>
      </c>
      <c r="D266" s="28" t="s">
        <v>27</v>
      </c>
      <c r="E266" s="28" t="s">
        <v>1028</v>
      </c>
      <c r="F266" s="34" t="str">
        <f>IF(ISBLANK(Table2[[#This Row],[unique_id]]), "", PROPER(SUBSTITUTE(Table2[[#This Row],[unique_id]], "_", " ")))</f>
        <v>Battery Charger Energy Daily</v>
      </c>
      <c r="G266" s="28" t="s">
        <v>219</v>
      </c>
      <c r="H266" s="28" t="s">
        <v>207</v>
      </c>
      <c r="I266" s="28" t="s">
        <v>132</v>
      </c>
      <c r="N266" s="28" t="s">
        <v>127</v>
      </c>
      <c r="P266" s="29"/>
      <c r="Q266" s="28"/>
      <c r="U266" s="35"/>
      <c r="V266" s="35"/>
      <c r="W266" s="35"/>
      <c r="X266" s="28" t="s">
        <v>1527</v>
      </c>
      <c r="AD266" s="29"/>
      <c r="AE266" s="29"/>
      <c r="AF266" s="29"/>
      <c r="AG266" s="29"/>
      <c r="AK266" s="28" t="s">
        <v>299</v>
      </c>
      <c r="AM266" s="28" t="s">
        <v>229</v>
      </c>
      <c r="AO266" s="29"/>
      <c r="AP266" s="29"/>
      <c r="BA266" s="28"/>
      <c r="BB266" s="38"/>
      <c r="BC266" s="29"/>
      <c r="BD2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6" s="28" t="str">
        <f>IF(ISBLANK(Table2[[#This Row],[device_model]]), "", Table2[[#This Row],[device_suggested_area]])</f>
        <v/>
      </c>
      <c r="BN266" s="29"/>
      <c r="BT266" s="28"/>
      <c r="BV2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7" spans="1:74" ht="16" customHeight="1" x14ac:dyDescent="0.2">
      <c r="A267" s="28">
        <v>2132</v>
      </c>
      <c r="B267" s="28" t="s">
        <v>543</v>
      </c>
      <c r="C267" s="28" t="s">
        <v>725</v>
      </c>
      <c r="D267" s="28" t="s">
        <v>27</v>
      </c>
      <c r="E267" s="28" t="s">
        <v>1029</v>
      </c>
      <c r="F267" s="34" t="str">
        <f>IF(ISBLANK(Table2[[#This Row],[unique_id]]), "", PROPER(SUBSTITUTE(Table2[[#This Row],[unique_id]], "_", " ")))</f>
        <v>Vacuum Charger Energy Daily</v>
      </c>
      <c r="G267" s="28" t="s">
        <v>218</v>
      </c>
      <c r="H267" s="28" t="s">
        <v>207</v>
      </c>
      <c r="I267" s="28" t="s">
        <v>132</v>
      </c>
      <c r="N267" s="28" t="s">
        <v>127</v>
      </c>
      <c r="P267" s="29"/>
      <c r="Q267" s="28"/>
      <c r="U267" s="35"/>
      <c r="V267" s="35"/>
      <c r="W267" s="35"/>
      <c r="X267" s="28" t="s">
        <v>1527</v>
      </c>
      <c r="AD267" s="29"/>
      <c r="AE267" s="29"/>
      <c r="AF267" s="29"/>
      <c r="AG267" s="29"/>
      <c r="AK267" s="28" t="s">
        <v>299</v>
      </c>
      <c r="AM267" s="28" t="s">
        <v>229</v>
      </c>
      <c r="AO267" s="29"/>
      <c r="AP267" s="29"/>
      <c r="BA267" s="28"/>
      <c r="BB267" s="38"/>
      <c r="BC267" s="29"/>
      <c r="BD2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7" s="28" t="str">
        <f>IF(ISBLANK(Table2[[#This Row],[device_model]]), "", Table2[[#This Row],[device_suggested_area]])</f>
        <v/>
      </c>
      <c r="BN267" s="29"/>
      <c r="BT267" s="28"/>
      <c r="BV2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8" spans="1:74" ht="16" customHeight="1" x14ac:dyDescent="0.2">
      <c r="A268" s="28">
        <v>2133</v>
      </c>
      <c r="B268" s="28" t="s">
        <v>26</v>
      </c>
      <c r="C268" s="28" t="s">
        <v>725</v>
      </c>
      <c r="D268" s="28" t="s">
        <v>27</v>
      </c>
      <c r="E268" s="28" t="s">
        <v>1030</v>
      </c>
      <c r="F268" s="34" t="str">
        <f>IF(ISBLANK(Table2[[#This Row],[unique_id]]), "", PROPER(SUBSTITUTE(Table2[[#This Row],[unique_id]], "_", " ")))</f>
        <v>Pool Filter Energy Daily</v>
      </c>
      <c r="G268" s="28" t="s">
        <v>290</v>
      </c>
      <c r="H268" s="28" t="s">
        <v>207</v>
      </c>
      <c r="I268" s="28" t="s">
        <v>132</v>
      </c>
      <c r="N268" s="28" t="s">
        <v>127</v>
      </c>
      <c r="P268" s="29"/>
      <c r="Q268" s="28"/>
      <c r="U268" s="35"/>
      <c r="V268" s="35"/>
      <c r="W268" s="35"/>
      <c r="X268" s="28" t="s">
        <v>1527</v>
      </c>
      <c r="AD268" s="29"/>
      <c r="AE268" s="29"/>
      <c r="AF268" s="29"/>
      <c r="AG268" s="29"/>
      <c r="AK268" s="28" t="s">
        <v>299</v>
      </c>
      <c r="AM268" s="28" t="s">
        <v>229</v>
      </c>
      <c r="AO268" s="29"/>
      <c r="AP268" s="29"/>
      <c r="BA268" s="28"/>
      <c r="BB268" s="38"/>
      <c r="BC268" s="29"/>
      <c r="BD26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8" s="28" t="str">
        <f>IF(ISBLANK(Table2[[#This Row],[device_model]]), "", Table2[[#This Row],[device_suggested_area]])</f>
        <v/>
      </c>
      <c r="BN268" s="29"/>
      <c r="BT268" s="28"/>
      <c r="BV2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9" spans="1:74" ht="16" customHeight="1" x14ac:dyDescent="0.2">
      <c r="A269" s="28">
        <v>2134</v>
      </c>
      <c r="B269" s="28" t="s">
        <v>26</v>
      </c>
      <c r="C269" s="28" t="s">
        <v>725</v>
      </c>
      <c r="D269" s="28" t="s">
        <v>27</v>
      </c>
      <c r="E269" s="28" t="s">
        <v>1031</v>
      </c>
      <c r="F269" s="34" t="str">
        <f>IF(ISBLANK(Table2[[#This Row],[unique_id]]), "", PROPER(SUBSTITUTE(Table2[[#This Row],[unique_id]], "_", " ")))</f>
        <v>Water Booster Energy Daily</v>
      </c>
      <c r="G269" s="28" t="s">
        <v>1104</v>
      </c>
      <c r="H269" s="28" t="s">
        <v>207</v>
      </c>
      <c r="I269" s="28" t="s">
        <v>132</v>
      </c>
      <c r="N269" s="28" t="s">
        <v>127</v>
      </c>
      <c r="P269" s="29"/>
      <c r="Q269" s="28"/>
      <c r="U269" s="35"/>
      <c r="V269" s="35"/>
      <c r="W269" s="35"/>
      <c r="X269" s="28" t="s">
        <v>1527</v>
      </c>
      <c r="AD269" s="29"/>
      <c r="AE269" s="29"/>
      <c r="AF269" s="29"/>
      <c r="AG269" s="29"/>
      <c r="AK269" s="28" t="s">
        <v>299</v>
      </c>
      <c r="AM269" s="28" t="s">
        <v>229</v>
      </c>
      <c r="AO269" s="29"/>
      <c r="AP269" s="29"/>
      <c r="BA269" s="28"/>
      <c r="BB269" s="38"/>
      <c r="BC269" s="29"/>
      <c r="BD26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69" s="28" t="str">
        <f>IF(ISBLANK(Table2[[#This Row],[device_model]]), "", Table2[[#This Row],[device_suggested_area]])</f>
        <v/>
      </c>
      <c r="BN269" s="29"/>
      <c r="BT269" s="28"/>
      <c r="BV2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0" spans="1:74" ht="16" customHeight="1" x14ac:dyDescent="0.2">
      <c r="A270" s="28">
        <v>2135</v>
      </c>
      <c r="B270" s="28" t="s">
        <v>26</v>
      </c>
      <c r="C270" s="28" t="s">
        <v>725</v>
      </c>
      <c r="D270" s="28" t="s">
        <v>27</v>
      </c>
      <c r="E270" s="28" t="s">
        <v>1032</v>
      </c>
      <c r="F270" s="34" t="str">
        <f>IF(ISBLANK(Table2[[#This Row],[unique_id]]), "", PROPER(SUBSTITUTE(Table2[[#This Row],[unique_id]], "_", " ")))</f>
        <v>Dish Washer Energy Daily</v>
      </c>
      <c r="G270" s="28" t="s">
        <v>216</v>
      </c>
      <c r="H270" s="28" t="s">
        <v>207</v>
      </c>
      <c r="I270" s="28" t="s">
        <v>132</v>
      </c>
      <c r="N270" s="28" t="s">
        <v>127</v>
      </c>
      <c r="P270" s="29"/>
      <c r="Q270" s="28"/>
      <c r="U270" s="35"/>
      <c r="V270" s="35"/>
      <c r="W270" s="35"/>
      <c r="X270" s="28" t="s">
        <v>1527</v>
      </c>
      <c r="AD270" s="29"/>
      <c r="AE270" s="29"/>
      <c r="AF270" s="29"/>
      <c r="AG270" s="29"/>
      <c r="AK270" s="28" t="s">
        <v>299</v>
      </c>
      <c r="AM270" s="28" t="s">
        <v>229</v>
      </c>
      <c r="AO270" s="29"/>
      <c r="AP270" s="29"/>
      <c r="BA270" s="28"/>
      <c r="BB270" s="38"/>
      <c r="BC270" s="29"/>
      <c r="BD27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0" s="28" t="str">
        <f>IF(ISBLANK(Table2[[#This Row],[device_model]]), "", Table2[[#This Row],[device_suggested_area]])</f>
        <v/>
      </c>
      <c r="BN270" s="29"/>
      <c r="BT270" s="28"/>
      <c r="BV2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1" spans="1:74" ht="16" customHeight="1" x14ac:dyDescent="0.2">
      <c r="A271" s="28">
        <v>2136</v>
      </c>
      <c r="B271" s="28" t="s">
        <v>543</v>
      </c>
      <c r="C271" s="28" t="s">
        <v>725</v>
      </c>
      <c r="D271" s="28" t="s">
        <v>27</v>
      </c>
      <c r="E271" s="28" t="s">
        <v>1033</v>
      </c>
      <c r="F271" s="34" t="str">
        <f>IF(ISBLANK(Table2[[#This Row],[unique_id]]), "", PROPER(SUBSTITUTE(Table2[[#This Row],[unique_id]], "_", " ")))</f>
        <v>Clothes Dryer Energy Daily</v>
      </c>
      <c r="G271" s="28" t="s">
        <v>217</v>
      </c>
      <c r="H271" s="28" t="s">
        <v>207</v>
      </c>
      <c r="I271" s="28" t="s">
        <v>132</v>
      </c>
      <c r="N271" s="28" t="s">
        <v>127</v>
      </c>
      <c r="P271" s="29"/>
      <c r="Q271" s="28"/>
      <c r="U271" s="35"/>
      <c r="V271" s="35"/>
      <c r="W271" s="35"/>
      <c r="X271" s="28" t="s">
        <v>1527</v>
      </c>
      <c r="AD271" s="29"/>
      <c r="AE271" s="29"/>
      <c r="AF271" s="29"/>
      <c r="AG271" s="29"/>
      <c r="AK271" s="28" t="s">
        <v>299</v>
      </c>
      <c r="AM271" s="28" t="s">
        <v>229</v>
      </c>
      <c r="AO271" s="29"/>
      <c r="AP271" s="29"/>
      <c r="BA271" s="28"/>
      <c r="BB271" s="38"/>
      <c r="BC271" s="29"/>
      <c r="BD27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1" s="28" t="str">
        <f>IF(ISBLANK(Table2[[#This Row],[device_model]]), "", Table2[[#This Row],[device_suggested_area]])</f>
        <v/>
      </c>
      <c r="BN271" s="29"/>
      <c r="BT271" s="28"/>
      <c r="BV2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2" spans="1:74" ht="16" customHeight="1" x14ac:dyDescent="0.2">
      <c r="A272" s="28">
        <v>2137</v>
      </c>
      <c r="B272" s="28" t="s">
        <v>543</v>
      </c>
      <c r="C272" s="28" t="s">
        <v>725</v>
      </c>
      <c r="D272" s="28" t="s">
        <v>27</v>
      </c>
      <c r="E272" s="28" t="s">
        <v>1034</v>
      </c>
      <c r="F272" s="34" t="str">
        <f>IF(ISBLANK(Table2[[#This Row],[unique_id]]), "", PROPER(SUBSTITUTE(Table2[[#This Row],[unique_id]], "_", " ")))</f>
        <v>Washing Machine Energy Daily</v>
      </c>
      <c r="G272" s="28" t="s">
        <v>215</v>
      </c>
      <c r="H272" s="28" t="s">
        <v>207</v>
      </c>
      <c r="I272" s="28" t="s">
        <v>132</v>
      </c>
      <c r="N272" s="28" t="s">
        <v>127</v>
      </c>
      <c r="P272" s="29"/>
      <c r="Q272" s="28"/>
      <c r="U272" s="35"/>
      <c r="V272" s="35"/>
      <c r="W272" s="35"/>
      <c r="X272" s="28" t="s">
        <v>1527</v>
      </c>
      <c r="AD272" s="29"/>
      <c r="AE272" s="29"/>
      <c r="AF272" s="29"/>
      <c r="AG272" s="29"/>
      <c r="AK272" s="28" t="s">
        <v>299</v>
      </c>
      <c r="AM272" s="28" t="s">
        <v>229</v>
      </c>
      <c r="AO272" s="29"/>
      <c r="AP272" s="29"/>
      <c r="BA272" s="28"/>
      <c r="BB272" s="38"/>
      <c r="BC272" s="29"/>
      <c r="BD2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2" s="28" t="str">
        <f>IF(ISBLANK(Table2[[#This Row],[device_model]]), "", Table2[[#This Row],[device_suggested_area]])</f>
        <v/>
      </c>
      <c r="BN272" s="29"/>
      <c r="BT272" s="28"/>
      <c r="BV2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3" spans="1:74" ht="16" customHeight="1" x14ac:dyDescent="0.2">
      <c r="A273" s="28">
        <v>2138</v>
      </c>
      <c r="B273" s="28" t="s">
        <v>26</v>
      </c>
      <c r="C273" s="28" t="s">
        <v>725</v>
      </c>
      <c r="D273" s="28" t="s">
        <v>27</v>
      </c>
      <c r="E273" s="28" t="s">
        <v>730</v>
      </c>
      <c r="F273" s="34" t="str">
        <f>IF(ISBLANK(Table2[[#This Row],[unique_id]]), "", PROPER(SUBSTITUTE(Table2[[#This Row],[unique_id]], "_", " ")))</f>
        <v>Kitchen Fridge Energy Daily</v>
      </c>
      <c r="G273" s="28" t="s">
        <v>211</v>
      </c>
      <c r="H273" s="28" t="s">
        <v>207</v>
      </c>
      <c r="I273" s="28" t="s">
        <v>132</v>
      </c>
      <c r="N273" s="28" t="s">
        <v>127</v>
      </c>
      <c r="P273" s="29"/>
      <c r="Q273" s="28"/>
      <c r="U273" s="35"/>
      <c r="V273" s="35"/>
      <c r="W273" s="35"/>
      <c r="X273" s="28" t="s">
        <v>1527</v>
      </c>
      <c r="AD273" s="29"/>
      <c r="AE273" s="29"/>
      <c r="AF273" s="29"/>
      <c r="AG273" s="29"/>
      <c r="AK273" s="28" t="s">
        <v>299</v>
      </c>
      <c r="AM273" s="28" t="s">
        <v>229</v>
      </c>
      <c r="AO273" s="29"/>
      <c r="AP273" s="29"/>
      <c r="BA273" s="28"/>
      <c r="BB273" s="38"/>
      <c r="BC273" s="29"/>
      <c r="BD2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3" s="28" t="str">
        <f>IF(ISBLANK(Table2[[#This Row],[device_model]]), "", Table2[[#This Row],[device_suggested_area]])</f>
        <v/>
      </c>
      <c r="BN273" s="29"/>
      <c r="BT273" s="28"/>
      <c r="BV2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4" spans="1:74" ht="16" customHeight="1" x14ac:dyDescent="0.2">
      <c r="A274" s="28">
        <v>2139</v>
      </c>
      <c r="B274" s="28" t="s">
        <v>26</v>
      </c>
      <c r="C274" s="28" t="s">
        <v>725</v>
      </c>
      <c r="D274" s="28" t="s">
        <v>27</v>
      </c>
      <c r="E274" s="28" t="s">
        <v>731</v>
      </c>
      <c r="F274" s="34" t="str">
        <f>IF(ISBLANK(Table2[[#This Row],[unique_id]]), "", PROPER(SUBSTITUTE(Table2[[#This Row],[unique_id]], "_", " ")))</f>
        <v>Deck Freezer Energy Daily</v>
      </c>
      <c r="G274" s="28" t="s">
        <v>212</v>
      </c>
      <c r="H274" s="28" t="s">
        <v>207</v>
      </c>
      <c r="I274" s="28" t="s">
        <v>132</v>
      </c>
      <c r="N274" s="28" t="s">
        <v>127</v>
      </c>
      <c r="P274" s="29"/>
      <c r="Q274" s="28"/>
      <c r="U274" s="35"/>
      <c r="V274" s="35"/>
      <c r="W274" s="35"/>
      <c r="X274" s="28" t="s">
        <v>1527</v>
      </c>
      <c r="AD274" s="29"/>
      <c r="AE274" s="29"/>
      <c r="AF274" s="29"/>
      <c r="AG274" s="29"/>
      <c r="AK274" s="28" t="s">
        <v>299</v>
      </c>
      <c r="AM274" s="28" t="s">
        <v>229</v>
      </c>
      <c r="AO274" s="29"/>
      <c r="AP274" s="29"/>
      <c r="BA274" s="28"/>
      <c r="BB274" s="38"/>
      <c r="BC274" s="29"/>
      <c r="BD2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4" s="28" t="str">
        <f>IF(ISBLANK(Table2[[#This Row],[device_model]]), "", Table2[[#This Row],[device_suggested_area]])</f>
        <v/>
      </c>
      <c r="BN274" s="29"/>
      <c r="BT274" s="28"/>
      <c r="BV2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5" spans="1:74" ht="16" customHeight="1" x14ac:dyDescent="0.2">
      <c r="A275" s="28">
        <v>2140</v>
      </c>
      <c r="B275" s="28" t="s">
        <v>26</v>
      </c>
      <c r="C275" s="28" t="s">
        <v>725</v>
      </c>
      <c r="D275" s="28" t="s">
        <v>27</v>
      </c>
      <c r="E275" s="28" t="s">
        <v>1035</v>
      </c>
      <c r="F275" s="34" t="str">
        <f>IF(ISBLANK(Table2[[#This Row],[unique_id]]), "", PROPER(SUBSTITUTE(Table2[[#This Row],[unique_id]], "_", " ")))</f>
        <v>Towel Rails Energy Daily</v>
      </c>
      <c r="G275" s="28" t="s">
        <v>417</v>
      </c>
      <c r="H275" s="28" t="s">
        <v>207</v>
      </c>
      <c r="I275" s="28" t="s">
        <v>132</v>
      </c>
      <c r="N275" s="28" t="s">
        <v>127</v>
      </c>
      <c r="P275" s="29"/>
      <c r="Q275" s="28"/>
      <c r="U275" s="35"/>
      <c r="V275" s="35"/>
      <c r="W275" s="35"/>
      <c r="X275" s="28" t="s">
        <v>1527</v>
      </c>
      <c r="AD275" s="29"/>
      <c r="AE275" s="29"/>
      <c r="AF275" s="29"/>
      <c r="AG275" s="29"/>
      <c r="AK275" s="28" t="s">
        <v>299</v>
      </c>
      <c r="AM275" s="28" t="s">
        <v>229</v>
      </c>
      <c r="AO275" s="29"/>
      <c r="AP275" s="29"/>
      <c r="BA275" s="28"/>
      <c r="BB275" s="38"/>
      <c r="BC275" s="29"/>
      <c r="BD2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5" s="28" t="str">
        <f>IF(ISBLANK(Table2[[#This Row],[device_model]]), "", Table2[[#This Row],[device_suggested_area]])</f>
        <v/>
      </c>
      <c r="BN275" s="29"/>
      <c r="BT275" s="28"/>
      <c r="BV2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6" spans="1:74" ht="16" customHeight="1" x14ac:dyDescent="0.2">
      <c r="A276" s="28">
        <v>2141</v>
      </c>
      <c r="B276" s="28" t="s">
        <v>543</v>
      </c>
      <c r="C276" s="28" t="s">
        <v>725</v>
      </c>
      <c r="D276" s="28" t="s">
        <v>27</v>
      </c>
      <c r="E276" s="28" t="s">
        <v>732</v>
      </c>
      <c r="F276" s="34" t="str">
        <f>IF(ISBLANK(Table2[[#This Row],[unique_id]]), "", PROPER(SUBSTITUTE(Table2[[#This Row],[unique_id]], "_", " ")))</f>
        <v>Study Outlet Energy Daily</v>
      </c>
      <c r="G276" s="28" t="s">
        <v>214</v>
      </c>
      <c r="H276" s="28" t="s">
        <v>207</v>
      </c>
      <c r="I276" s="28" t="s">
        <v>132</v>
      </c>
      <c r="N276" s="28" t="s">
        <v>127</v>
      </c>
      <c r="P276" s="29"/>
      <c r="Q276" s="28"/>
      <c r="U276" s="35"/>
      <c r="V276" s="35"/>
      <c r="W276" s="35"/>
      <c r="X276" s="28" t="s">
        <v>1527</v>
      </c>
      <c r="AD276" s="29"/>
      <c r="AE276" s="29"/>
      <c r="AF276" s="29"/>
      <c r="AG276" s="29"/>
      <c r="AK276" s="28" t="s">
        <v>299</v>
      </c>
      <c r="AM276" s="28" t="s">
        <v>229</v>
      </c>
      <c r="AO276" s="29"/>
      <c r="AP276" s="29"/>
      <c r="BA276" s="28"/>
      <c r="BB276" s="38"/>
      <c r="BC276" s="29"/>
      <c r="BD2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6" s="28" t="str">
        <f>IF(ISBLANK(Table2[[#This Row],[device_model]]), "", Table2[[#This Row],[device_suggested_area]])</f>
        <v/>
      </c>
      <c r="BN276" s="29"/>
      <c r="BT276" s="28"/>
      <c r="BV2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7" spans="1:74" ht="16" customHeight="1" x14ac:dyDescent="0.2">
      <c r="A277" s="28">
        <v>2142</v>
      </c>
      <c r="B277" s="28" t="s">
        <v>543</v>
      </c>
      <c r="C277" s="28" t="s">
        <v>725</v>
      </c>
      <c r="D277" s="28" t="s">
        <v>27</v>
      </c>
      <c r="E277" s="28" t="s">
        <v>733</v>
      </c>
      <c r="F277" s="34" t="str">
        <f>IF(ISBLANK(Table2[[#This Row],[unique_id]]), "", PROPER(SUBSTITUTE(Table2[[#This Row],[unique_id]], "_", " ")))</f>
        <v>Office Outlet Energy Daily</v>
      </c>
      <c r="G277" s="28" t="s">
        <v>213</v>
      </c>
      <c r="H277" s="28" t="s">
        <v>207</v>
      </c>
      <c r="I277" s="28" t="s">
        <v>132</v>
      </c>
      <c r="N277" s="28" t="s">
        <v>127</v>
      </c>
      <c r="P277" s="29"/>
      <c r="Q277" s="28"/>
      <c r="U277" s="35"/>
      <c r="V277" s="35"/>
      <c r="W277" s="35"/>
      <c r="X277" s="28" t="s">
        <v>1527</v>
      </c>
      <c r="AD277" s="29"/>
      <c r="AE277" s="29"/>
      <c r="AF277" s="29"/>
      <c r="AG277" s="29"/>
      <c r="AK277" s="28" t="s">
        <v>299</v>
      </c>
      <c r="AM277" s="28" t="s">
        <v>229</v>
      </c>
      <c r="AO277" s="29"/>
      <c r="AP277" s="29"/>
      <c r="BA277" s="28"/>
      <c r="BB277" s="38"/>
      <c r="BC277" s="29"/>
      <c r="BD2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7" s="28" t="str">
        <f>IF(ISBLANK(Table2[[#This Row],[device_model]]), "", Table2[[#This Row],[device_suggested_area]])</f>
        <v/>
      </c>
      <c r="BN277" s="29"/>
      <c r="BT277" s="28"/>
      <c r="BV2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8" spans="1:74" ht="16" customHeight="1" x14ac:dyDescent="0.2">
      <c r="A278" s="28">
        <v>2143</v>
      </c>
      <c r="B278" s="28" t="s">
        <v>26</v>
      </c>
      <c r="C278" s="28" t="s">
        <v>725</v>
      </c>
      <c r="D278" s="28" t="s">
        <v>27</v>
      </c>
      <c r="E278" s="28" t="s">
        <v>744</v>
      </c>
      <c r="F278" s="34" t="str">
        <f>IF(ISBLANK(Table2[[#This Row],[unique_id]]), "", PROPER(SUBSTITUTE(Table2[[#This Row],[unique_id]], "_", " ")))</f>
        <v>Audio Visual Devices Energy Daily</v>
      </c>
      <c r="G278" s="28" t="s">
        <v>743</v>
      </c>
      <c r="H278" s="28" t="s">
        <v>207</v>
      </c>
      <c r="I278" s="28" t="s">
        <v>132</v>
      </c>
      <c r="N278" s="28" t="s">
        <v>127</v>
      </c>
      <c r="P278" s="29"/>
      <c r="Q278" s="28"/>
      <c r="U278" s="35"/>
      <c r="V278" s="35"/>
      <c r="W278" s="35"/>
      <c r="X278" s="28" t="s">
        <v>1527</v>
      </c>
      <c r="AD278" s="29"/>
      <c r="AE278" s="29"/>
      <c r="AF278" s="29"/>
      <c r="AG278" s="29"/>
      <c r="AK278" s="28" t="s">
        <v>299</v>
      </c>
      <c r="AM278" s="28" t="s">
        <v>229</v>
      </c>
      <c r="AO278" s="29"/>
      <c r="AP278" s="29"/>
      <c r="BA278" s="28"/>
      <c r="BB278" s="38"/>
      <c r="BC278" s="29"/>
      <c r="BD27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8" s="28" t="str">
        <f>IF(ISBLANK(Table2[[#This Row],[device_model]]), "", Table2[[#This Row],[device_suggested_area]])</f>
        <v/>
      </c>
      <c r="BN278" s="29"/>
      <c r="BT278" s="28"/>
      <c r="BV2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9" spans="1:74" ht="16" customHeight="1" x14ac:dyDescent="0.2">
      <c r="A279" s="28">
        <v>2144</v>
      </c>
      <c r="B279" s="28" t="s">
        <v>26</v>
      </c>
      <c r="C279" s="28" t="s">
        <v>725</v>
      </c>
      <c r="D279" s="28" t="s">
        <v>27</v>
      </c>
      <c r="E279" s="28" t="s">
        <v>717</v>
      </c>
      <c r="F279" s="34" t="str">
        <f>IF(ISBLANK(Table2[[#This Row],[unique_id]]), "", PROPER(SUBSTITUTE(Table2[[#This Row],[unique_id]], "_", " ")))</f>
        <v>Servers Network Energy Daily</v>
      </c>
      <c r="G279" s="28" t="s">
        <v>710</v>
      </c>
      <c r="H279" s="28" t="s">
        <v>207</v>
      </c>
      <c r="I279" s="28" t="s">
        <v>132</v>
      </c>
      <c r="N279" s="28" t="s">
        <v>127</v>
      </c>
      <c r="P279" s="29"/>
      <c r="Q279" s="28"/>
      <c r="U279" s="35"/>
      <c r="V279" s="35"/>
      <c r="W279" s="35"/>
      <c r="X279" s="28" t="s">
        <v>1527</v>
      </c>
      <c r="AD279" s="29"/>
      <c r="AE279" s="29"/>
      <c r="AF279" s="29"/>
      <c r="AG279" s="29"/>
      <c r="AK279" s="28" t="s">
        <v>299</v>
      </c>
      <c r="AM279" s="28" t="s">
        <v>229</v>
      </c>
      <c r="AO279" s="29"/>
      <c r="AP279" s="29"/>
      <c r="BA279" s="28"/>
      <c r="BB279" s="38"/>
      <c r="BC279" s="29"/>
      <c r="BD27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79" s="28" t="str">
        <f>IF(ISBLANK(Table2[[#This Row],[device_model]]), "", Table2[[#This Row],[device_suggested_area]])</f>
        <v/>
      </c>
      <c r="BN279" s="29"/>
      <c r="BT279" s="28"/>
      <c r="BV2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0" spans="1:74" ht="16" customHeight="1" x14ac:dyDescent="0.2">
      <c r="A280" s="28">
        <v>2145</v>
      </c>
      <c r="B280" s="28" t="s">
        <v>26</v>
      </c>
      <c r="C280" s="28" t="s">
        <v>409</v>
      </c>
      <c r="D280" s="28" t="s">
        <v>304</v>
      </c>
      <c r="E280" s="28" t="s">
        <v>303</v>
      </c>
      <c r="F280" s="34" t="str">
        <f>IF(ISBLANK(Table2[[#This Row],[unique_id]]), "", PROPER(SUBSTITUTE(Table2[[#This Row],[unique_id]], "_", " ")))</f>
        <v>Column Break</v>
      </c>
      <c r="G280" s="28" t="s">
        <v>300</v>
      </c>
      <c r="H280" s="28" t="s">
        <v>207</v>
      </c>
      <c r="I280" s="28" t="s">
        <v>132</v>
      </c>
      <c r="N280" s="28" t="s">
        <v>301</v>
      </c>
      <c r="O280" s="28" t="s">
        <v>302</v>
      </c>
      <c r="P280" s="29"/>
      <c r="Q280" s="28"/>
      <c r="U280" s="35"/>
      <c r="V280" s="35"/>
      <c r="W280" s="35"/>
      <c r="X280" s="28"/>
      <c r="AD280" s="29"/>
      <c r="AE280" s="29"/>
      <c r="AF280" s="29"/>
      <c r="AG280" s="29"/>
      <c r="AO280" s="29"/>
      <c r="AP280" s="29"/>
      <c r="BA280" s="28"/>
      <c r="BB280" s="38"/>
      <c r="BC280" s="29"/>
      <c r="BD28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0" s="28" t="str">
        <f>IF(ISBLANK(Table2[[#This Row],[device_model]]), "", Table2[[#This Row],[device_suggested_area]])</f>
        <v/>
      </c>
      <c r="BN280" s="29"/>
      <c r="BT280" s="28"/>
      <c r="BV2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1" spans="1:74" ht="16" customHeight="1" x14ac:dyDescent="0.2">
      <c r="A281" s="28">
        <v>2400</v>
      </c>
      <c r="B281" s="28" t="s">
        <v>26</v>
      </c>
      <c r="C281" s="28" t="s">
        <v>170</v>
      </c>
      <c r="D281" s="28" t="s">
        <v>27</v>
      </c>
      <c r="E281" s="28" t="s">
        <v>133</v>
      </c>
      <c r="F281" s="34" t="str">
        <f>IF(ISBLANK(Table2[[#This Row],[unique_id]]), "", PROPER(SUBSTITUTE(Table2[[#This Row],[unique_id]], "_", " ")))</f>
        <v>Withings Weight Kg Graham</v>
      </c>
      <c r="G281" s="28" t="s">
        <v>264</v>
      </c>
      <c r="H281" s="28" t="s">
        <v>265</v>
      </c>
      <c r="I281" s="28" t="s">
        <v>134</v>
      </c>
      <c r="P281" s="29"/>
      <c r="Q281" s="28"/>
      <c r="U281" s="35"/>
      <c r="V281" s="35"/>
      <c r="W281" s="35"/>
      <c r="X281" s="28"/>
      <c r="AD281" s="29"/>
      <c r="AE281" s="29"/>
      <c r="AF281" s="29"/>
      <c r="AG281" s="29"/>
      <c r="AO281" s="29"/>
      <c r="AP281" s="29"/>
      <c r="BA281" s="28"/>
      <c r="BB281" s="38"/>
      <c r="BD28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withings-ensuite-scales</v>
      </c>
      <c r="BE2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Scales</v>
      </c>
      <c r="BF2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1" s="28" t="str">
        <f>IF(ISBLANK(Table2[[#This Row],[device_model]]), "", Table2[[#This Row],[device_suggested_area]])</f>
        <v>Ensuite</v>
      </c>
      <c r="BJ281" s="28" t="s">
        <v>976</v>
      </c>
      <c r="BK281" s="28" t="s">
        <v>366</v>
      </c>
      <c r="BL281" s="28" t="s">
        <v>170</v>
      </c>
      <c r="BN281" s="28" t="s">
        <v>367</v>
      </c>
      <c r="BO281" s="28" t="s">
        <v>365</v>
      </c>
      <c r="BS281" s="28" t="s">
        <v>1185</v>
      </c>
      <c r="BT281" s="39" t="s">
        <v>402</v>
      </c>
      <c r="BV2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"00:24:e4:af:5a:e6"]]</v>
      </c>
    </row>
    <row r="282" spans="1:74" ht="16" customHeight="1" x14ac:dyDescent="0.2">
      <c r="A282" s="28">
        <v>2500</v>
      </c>
      <c r="B282" s="28" t="s">
        <v>26</v>
      </c>
      <c r="C282" s="28" t="s">
        <v>750</v>
      </c>
      <c r="D282" s="28" t="s">
        <v>125</v>
      </c>
      <c r="E282" s="28" t="s">
        <v>1472</v>
      </c>
      <c r="F282" s="28" t="str">
        <f>IF(ISBLANK(Table2[[#This Row],[unique_id]]), "", PROPER(SUBSTITUTE(Table2[[#This Row],[unique_id]], "_", " ")))</f>
        <v>Network Internet</v>
      </c>
      <c r="G282" s="28" t="str">
        <f>TRIM(RIGHT(SUBSTITUTE(TRIM(F282)," ",REPT(" ",100)),100))</f>
        <v>Internet</v>
      </c>
      <c r="H282" s="28" t="s">
        <v>1473</v>
      </c>
      <c r="I282" s="28" t="s">
        <v>262</v>
      </c>
      <c r="N282" s="28" t="s">
        <v>244</v>
      </c>
      <c r="P282" s="29"/>
      <c r="Q282" s="28"/>
      <c r="U282" s="35"/>
      <c r="V282" s="35"/>
      <c r="W282" s="35"/>
      <c r="X282" s="28"/>
      <c r="AD282" s="29"/>
      <c r="AE282" s="29"/>
      <c r="AF282" s="29"/>
      <c r="AG282" s="29"/>
      <c r="AM282" s="28" t="s">
        <v>1475</v>
      </c>
      <c r="AN282" s="28">
        <f t="shared" ref="AN282:AN288" si="0">15*60</f>
        <v>900</v>
      </c>
      <c r="AO282" s="29" t="s">
        <v>34</v>
      </c>
      <c r="AP282" s="29"/>
      <c r="AQ282" s="28" t="s">
        <v>1476</v>
      </c>
      <c r="AR282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homeassistant/switch/network/network_internet/config</v>
      </c>
      <c r="AS282" s="28" t="str">
        <f>IF(ISBLANK(Table2[[#This Row],[index]]),  "", _xlfn.CONCAT(LOWER(Table2[[#This Row],[device_via_device]]), "/data/", SUBSTITUTE(LOWER(Table2[[#This Row],[unique_id]]), "network_", "")))</f>
        <v>network/data/internet</v>
      </c>
      <c r="AT282" s="28" t="str">
        <f>IF(ISBLANK(Table2[[#This Row],[index]]),  "", _xlfn.CONCAT(LOWER(Table2[[#This Row],[device_via_device]]), "/command/", SUBSTITUTE(LOWER(Table2[[#This Row],[unique_id]]), "network_", "")))</f>
        <v>network/command/internet</v>
      </c>
      <c r="AU282" s="28" t="str">
        <f>IF(ISBLANK(Table2[[#This Row],[index]]),  "", _xlfn.CONCAT(LOWER(Table2[[#This Row],[device_via_device]]), "/status"))</f>
        <v>network/status</v>
      </c>
      <c r="AZ282" s="28" t="s">
        <v>1477</v>
      </c>
      <c r="BA282" s="28">
        <v>1</v>
      </c>
      <c r="BB282" s="30"/>
      <c r="BD2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BE2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F2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Internet</v>
      </c>
      <c r="BG2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2" s="28" t="str">
        <f>IF(ISBLANK(Table2[[#This Row],[device_model]]), "", Table2[[#This Row],[device_suggested_area]])</f>
        <v>Rack</v>
      </c>
      <c r="BJ282" s="28" t="s">
        <v>750</v>
      </c>
      <c r="BK282" s="28" t="s">
        <v>1437</v>
      </c>
      <c r="BL282" s="28" t="s">
        <v>1061</v>
      </c>
      <c r="BN282" s="28" t="s">
        <v>936</v>
      </c>
      <c r="BO282" s="28" t="s">
        <v>28</v>
      </c>
      <c r="BT282" s="39"/>
      <c r="BV2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3" spans="1:74" ht="16" customHeight="1" x14ac:dyDescent="0.2">
      <c r="A283" s="28">
        <v>2501</v>
      </c>
      <c r="B283" s="28" t="s">
        <v>26</v>
      </c>
      <c r="C283" s="28" t="s">
        <v>750</v>
      </c>
      <c r="D283" s="28" t="s">
        <v>125</v>
      </c>
      <c r="E283" s="28" t="s">
        <v>1479</v>
      </c>
      <c r="F283" s="28" t="str">
        <f>IF(ISBLANK(Table2[[#This Row],[unique_id]]), "", PROPER(SUBSTITUTE(Table2[[#This Row],[unique_id]], "_", " ")))</f>
        <v>Network Wireless</v>
      </c>
      <c r="G283" s="28" t="str">
        <f>TRIM(RIGHT(SUBSTITUTE(TRIM(F283)," ",REPT(" ",100)),100))</f>
        <v>Wireless</v>
      </c>
      <c r="H283" s="28" t="s">
        <v>1473</v>
      </c>
      <c r="I283" s="28" t="s">
        <v>262</v>
      </c>
      <c r="N283" s="28" t="s">
        <v>244</v>
      </c>
      <c r="P283" s="29"/>
      <c r="Q283" s="28"/>
      <c r="U283" s="35"/>
      <c r="V283" s="35"/>
      <c r="W283" s="35"/>
      <c r="X283" s="28"/>
      <c r="AD283" s="29"/>
      <c r="AE283" s="29"/>
      <c r="AF283" s="29"/>
      <c r="AG283" s="29"/>
      <c r="AM283" s="28" t="s">
        <v>1482</v>
      </c>
      <c r="AN283" s="28">
        <f t="shared" si="0"/>
        <v>900</v>
      </c>
      <c r="AO283" s="29" t="s">
        <v>34</v>
      </c>
      <c r="AP283" s="29"/>
      <c r="AQ283" s="28" t="s">
        <v>1476</v>
      </c>
      <c r="AR283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homeassistant/switch/network/network_wireless/config</v>
      </c>
      <c r="AS283" s="28" t="str">
        <f>IF(ISBLANK(Table2[[#This Row],[index]]),  "", _xlfn.CONCAT(LOWER(Table2[[#This Row],[device_via_device]]), "/data/", SUBSTITUTE(LOWER(Table2[[#This Row],[unique_id]]), "network_", "")))</f>
        <v>network/data/wireless</v>
      </c>
      <c r="AT283" s="28" t="str">
        <f>IF(ISBLANK(Table2[[#This Row],[index]]),  "", _xlfn.CONCAT(LOWER(Table2[[#This Row],[device_via_device]]), "/command/", SUBSTITUTE(LOWER(Table2[[#This Row],[unique_id]]), "network_", "")))</f>
        <v>network/command/wireless</v>
      </c>
      <c r="AU283" s="28" t="str">
        <f>IF(ISBLANK(Table2[[#This Row],[index]]),  "", _xlfn.CONCAT(LOWER(Table2[[#This Row],[device_via_device]]), "/status"))</f>
        <v>network/status</v>
      </c>
      <c r="AZ283" s="28" t="s">
        <v>1477</v>
      </c>
      <c r="BA283" s="28">
        <v>1</v>
      </c>
      <c r="BB283" s="30"/>
      <c r="BD2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BE2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F2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Wireless</v>
      </c>
      <c r="BG2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3" s="28" t="str">
        <f>IF(ISBLANK(Table2[[#This Row],[device_model]]), "", Table2[[#This Row],[device_suggested_area]])</f>
        <v>Rack</v>
      </c>
      <c r="BJ283" s="28" t="s">
        <v>750</v>
      </c>
      <c r="BK283" s="28" t="s">
        <v>1437</v>
      </c>
      <c r="BL283" s="28" t="s">
        <v>1061</v>
      </c>
      <c r="BN283" s="28" t="s">
        <v>936</v>
      </c>
      <c r="BO283" s="28" t="s">
        <v>28</v>
      </c>
      <c r="BT283" s="39"/>
      <c r="BV2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4" spans="1:74" ht="16" customHeight="1" x14ac:dyDescent="0.2">
      <c r="A284" s="28">
        <v>2502</v>
      </c>
      <c r="B284" s="28" t="s">
        <v>26</v>
      </c>
      <c r="C284" s="28" t="s">
        <v>750</v>
      </c>
      <c r="D284" s="28" t="s">
        <v>125</v>
      </c>
      <c r="E284" s="28" t="s">
        <v>1480</v>
      </c>
      <c r="F284" s="28" t="str">
        <f>IF(ISBLANK(Table2[[#This Row],[unique_id]]), "", PROPER(SUBSTITUTE(Table2[[#This Row],[unique_id]], "_", " ")))</f>
        <v>Network Zigbee</v>
      </c>
      <c r="G284" s="28" t="str">
        <f>TRIM(RIGHT(SUBSTITUTE(TRIM(F284)," ",REPT(" ",100)),100))</f>
        <v>Zigbee</v>
      </c>
      <c r="H284" s="28" t="s">
        <v>1473</v>
      </c>
      <c r="I284" s="28" t="s">
        <v>262</v>
      </c>
      <c r="N284" s="28" t="s">
        <v>244</v>
      </c>
      <c r="P284" s="29"/>
      <c r="Q284" s="28"/>
      <c r="U284" s="35"/>
      <c r="V284" s="35"/>
      <c r="W284" s="35"/>
      <c r="X284" s="28"/>
      <c r="AD284" s="29"/>
      <c r="AE284" s="29"/>
      <c r="AF284" s="29"/>
      <c r="AG284" s="29"/>
      <c r="AM284" s="28" t="s">
        <v>1486</v>
      </c>
      <c r="AN284" s="28">
        <f t="shared" si="0"/>
        <v>900</v>
      </c>
      <c r="AO284" s="29" t="s">
        <v>34</v>
      </c>
      <c r="AP284" s="29"/>
      <c r="AQ284" s="28" t="s">
        <v>1476</v>
      </c>
      <c r="AR284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homeassistant/switch/network/network_zigbee/config</v>
      </c>
      <c r="AS284" s="28" t="str">
        <f>IF(ISBLANK(Table2[[#This Row],[index]]),  "", _xlfn.CONCAT(LOWER(Table2[[#This Row],[device_via_device]]), "/data/", SUBSTITUTE(LOWER(Table2[[#This Row],[unique_id]]), "network_", "")))</f>
        <v>network/data/zigbee</v>
      </c>
      <c r="AT284" s="28" t="str">
        <f>IF(ISBLANK(Table2[[#This Row],[index]]),  "", _xlfn.CONCAT(LOWER(Table2[[#This Row],[device_via_device]]), "/command/", SUBSTITUTE(LOWER(Table2[[#This Row],[unique_id]]), "network_", "")))</f>
        <v>network/command/zigbee</v>
      </c>
      <c r="AU284" s="28" t="str">
        <f>IF(ISBLANK(Table2[[#This Row],[index]]),  "", _xlfn.CONCAT(LOWER(Table2[[#This Row],[device_via_device]]), "/status"))</f>
        <v>network/status</v>
      </c>
      <c r="AZ284" s="28" t="s">
        <v>1477</v>
      </c>
      <c r="BA284" s="28">
        <v>1</v>
      </c>
      <c r="BB284" s="30"/>
      <c r="BD2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BE2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F2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Zigbee</v>
      </c>
      <c r="BG2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4" s="28" t="str">
        <f>IF(ISBLANK(Table2[[#This Row],[device_model]]), "", Table2[[#This Row],[device_suggested_area]])</f>
        <v>Rack</v>
      </c>
      <c r="BJ284" s="28" t="s">
        <v>750</v>
      </c>
      <c r="BK284" s="28" t="s">
        <v>1437</v>
      </c>
      <c r="BL284" s="28" t="s">
        <v>1061</v>
      </c>
      <c r="BN284" s="28" t="s">
        <v>936</v>
      </c>
      <c r="BO284" s="28" t="s">
        <v>28</v>
      </c>
      <c r="BT284" s="39"/>
      <c r="BV2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5" spans="1:74" ht="16" customHeight="1" x14ac:dyDescent="0.2">
      <c r="A285" s="28">
        <v>2503</v>
      </c>
      <c r="B285" s="28" t="s">
        <v>26</v>
      </c>
      <c r="C285" s="28" t="s">
        <v>750</v>
      </c>
      <c r="D285" s="28" t="s">
        <v>125</v>
      </c>
      <c r="E285" s="28" t="s">
        <v>1481</v>
      </c>
      <c r="F285" s="28" t="str">
        <f>IF(ISBLANK(Table2[[#This Row],[unique_id]]), "", PROPER(SUBSTITUTE(Table2[[#This Row],[unique_id]], "_", " ")))</f>
        <v>Network Weewx</v>
      </c>
      <c r="G285" s="28" t="s">
        <v>39</v>
      </c>
      <c r="H285" s="28" t="s">
        <v>1473</v>
      </c>
      <c r="I285" s="28" t="s">
        <v>262</v>
      </c>
      <c r="N285" s="28" t="s">
        <v>244</v>
      </c>
      <c r="P285" s="29"/>
      <c r="Q285" s="28"/>
      <c r="U285" s="35"/>
      <c r="V285" s="35"/>
      <c r="W285" s="35"/>
      <c r="X285" s="28"/>
      <c r="AD285" s="29"/>
      <c r="AE285" s="29"/>
      <c r="AF285" s="29"/>
      <c r="AG285" s="29"/>
      <c r="AM285" s="28" t="s">
        <v>1483</v>
      </c>
      <c r="AN285" s="28">
        <f t="shared" si="0"/>
        <v>900</v>
      </c>
      <c r="AO285" s="29" t="s">
        <v>34</v>
      </c>
      <c r="AP285" s="29"/>
      <c r="AQ285" s="28" t="s">
        <v>1476</v>
      </c>
      <c r="AR285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homeassistant/switch/network/network_weewx/config</v>
      </c>
      <c r="AS285" s="28" t="str">
        <f>IF(ISBLANK(Table2[[#This Row],[index]]),  "", _xlfn.CONCAT(LOWER(Table2[[#This Row],[device_via_device]]), "/data/", SUBSTITUTE(LOWER(Table2[[#This Row],[unique_id]]), "network_", "")))</f>
        <v>network/data/weewx</v>
      </c>
      <c r="AT285" s="28" t="str">
        <f>IF(ISBLANK(Table2[[#This Row],[index]]),  "", _xlfn.CONCAT(LOWER(Table2[[#This Row],[device_via_device]]), "/command/", SUBSTITUTE(LOWER(Table2[[#This Row],[unique_id]]), "network_", "")))</f>
        <v>network/command/weewx</v>
      </c>
      <c r="AU285" s="28" t="str">
        <f>IF(ISBLANK(Table2[[#This Row],[index]]),  "", _xlfn.CONCAT(LOWER(Table2[[#This Row],[device_via_device]]), "/status"))</f>
        <v>network/status</v>
      </c>
      <c r="AZ285" s="28" t="s">
        <v>1477</v>
      </c>
      <c r="BA285" s="28">
        <v>1</v>
      </c>
      <c r="BB285" s="30"/>
      <c r="BD2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BE2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F2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Weewx</v>
      </c>
      <c r="BG2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5" s="28" t="str">
        <f>IF(ISBLANK(Table2[[#This Row],[device_model]]), "", Table2[[#This Row],[device_suggested_area]])</f>
        <v>Rack</v>
      </c>
      <c r="BJ285" s="28" t="s">
        <v>750</v>
      </c>
      <c r="BK285" s="28" t="s">
        <v>1437</v>
      </c>
      <c r="BL285" s="28" t="s">
        <v>1061</v>
      </c>
      <c r="BN285" s="28" t="s">
        <v>936</v>
      </c>
      <c r="BO285" s="28" t="s">
        <v>28</v>
      </c>
      <c r="BT285" s="39"/>
      <c r="BV2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6" spans="1:74" ht="16" customHeight="1" x14ac:dyDescent="0.2">
      <c r="A286" s="28">
        <v>2504</v>
      </c>
      <c r="B286" s="28" t="s">
        <v>26</v>
      </c>
      <c r="C286" s="28" t="s">
        <v>750</v>
      </c>
      <c r="D286" s="28" t="s">
        <v>125</v>
      </c>
      <c r="E286" s="28" t="s">
        <v>1478</v>
      </c>
      <c r="F286" s="28" t="str">
        <f>IF(ISBLANK(Table2[[#This Row],[unique_id]]), "", PROPER(SUBSTITUTE(Table2[[#This Row],[unique_id]], "_", " ")))</f>
        <v>Network Ethernet</v>
      </c>
      <c r="G286" s="28" t="str">
        <f>TRIM(RIGHT(SUBSTITUTE(TRIM(F286)," ",REPT(" ",100)),100))</f>
        <v>Ethernet</v>
      </c>
      <c r="H286" s="28" t="s">
        <v>1473</v>
      </c>
      <c r="I286" s="28" t="s">
        <v>262</v>
      </c>
      <c r="N286" s="28" t="s">
        <v>244</v>
      </c>
      <c r="P286" s="29"/>
      <c r="Q286" s="28"/>
      <c r="U286" s="35"/>
      <c r="V286" s="35"/>
      <c r="W286" s="35"/>
      <c r="X286" s="28"/>
      <c r="AD286" s="29"/>
      <c r="AE286" s="29"/>
      <c r="AF286" s="29"/>
      <c r="AG286" s="29"/>
      <c r="AM286" s="28" t="s">
        <v>1484</v>
      </c>
      <c r="AN286" s="28">
        <f t="shared" si="0"/>
        <v>900</v>
      </c>
      <c r="AO286" s="29" t="s">
        <v>34</v>
      </c>
      <c r="AP286" s="29"/>
      <c r="AQ286" s="28" t="s">
        <v>1476</v>
      </c>
      <c r="AR286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homeassistant/switch/network/network_ethernet/config</v>
      </c>
      <c r="AS286" s="28" t="str">
        <f>IF(ISBLANK(Table2[[#This Row],[index]]),  "", _xlfn.CONCAT(LOWER(Table2[[#This Row],[device_via_device]]), "/data/", SUBSTITUTE(LOWER(Table2[[#This Row],[unique_id]]), "network_", "")))</f>
        <v>network/data/ethernet</v>
      </c>
      <c r="AT286" s="28" t="str">
        <f>IF(ISBLANK(Table2[[#This Row],[index]]),  "", _xlfn.CONCAT(LOWER(Table2[[#This Row],[device_via_device]]), "/command/", SUBSTITUTE(LOWER(Table2[[#This Row],[unique_id]]), "network_", "")))</f>
        <v>network/command/ethernet</v>
      </c>
      <c r="AU286" s="28" t="str">
        <f>IF(ISBLANK(Table2[[#This Row],[index]]),  "", _xlfn.CONCAT(LOWER(Table2[[#This Row],[device_via_device]]), "/status"))</f>
        <v>network/status</v>
      </c>
      <c r="AZ286" s="28" t="s">
        <v>1477</v>
      </c>
      <c r="BA286" s="28">
        <v>1</v>
      </c>
      <c r="BB286" s="30"/>
      <c r="BD2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BE2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F2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Ethernet</v>
      </c>
      <c r="BG2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6" s="28" t="str">
        <f>IF(ISBLANK(Table2[[#This Row],[device_model]]), "", Table2[[#This Row],[device_suggested_area]])</f>
        <v>Rack</v>
      </c>
      <c r="BJ286" s="28" t="s">
        <v>750</v>
      </c>
      <c r="BK286" s="28" t="s">
        <v>1437</v>
      </c>
      <c r="BL286" s="28" t="s">
        <v>1061</v>
      </c>
      <c r="BN286" s="28" t="s">
        <v>936</v>
      </c>
      <c r="BO286" s="28" t="s">
        <v>28</v>
      </c>
      <c r="BT286" s="39"/>
      <c r="BV2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7" spans="1:74" ht="16" customHeight="1" x14ac:dyDescent="0.2">
      <c r="A287" s="28">
        <v>2505</v>
      </c>
      <c r="B287" s="28" t="s">
        <v>26</v>
      </c>
      <c r="C287" s="28" t="s">
        <v>750</v>
      </c>
      <c r="D287" s="28" t="s">
        <v>125</v>
      </c>
      <c r="E287" s="28" t="s">
        <v>1491</v>
      </c>
      <c r="F287" s="28" t="str">
        <f>IF(ISBLANK(Table2[[#This Row],[unique_id]]), "", PROPER(SUBSTITUTE(Table2[[#This Row],[unique_id]], "_", " ")))</f>
        <v>Network Certificate</v>
      </c>
      <c r="G287" s="28" t="s">
        <v>1490</v>
      </c>
      <c r="H287" s="28" t="s">
        <v>1473</v>
      </c>
      <c r="I287" s="28" t="s">
        <v>262</v>
      </c>
      <c r="N287" s="28" t="s">
        <v>244</v>
      </c>
      <c r="P287" s="29"/>
      <c r="Q287" s="28"/>
      <c r="U287" s="35"/>
      <c r="V287" s="35"/>
      <c r="W287" s="35"/>
      <c r="X287" s="28"/>
      <c r="AD287" s="29"/>
      <c r="AE287" s="29"/>
      <c r="AF287" s="29"/>
      <c r="AG287" s="29"/>
      <c r="AM287" s="28" t="s">
        <v>1485</v>
      </c>
      <c r="AN287" s="28">
        <f t="shared" si="0"/>
        <v>900</v>
      </c>
      <c r="AO287" s="29" t="s">
        <v>34</v>
      </c>
      <c r="AP287" s="29"/>
      <c r="AQ287" s="28" t="s">
        <v>1476</v>
      </c>
      <c r="AR287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homeassistant/switch/network/network_certificate/config</v>
      </c>
      <c r="AS287" s="28" t="str">
        <f>IF(ISBLANK(Table2[[#This Row],[index]]),  "", _xlfn.CONCAT(LOWER(Table2[[#This Row],[device_via_device]]), "/data/", SUBSTITUTE(LOWER(Table2[[#This Row],[unique_id]]), "network_", "")))</f>
        <v>network/data/certificate</v>
      </c>
      <c r="AT287" s="28" t="str">
        <f>IF(ISBLANK(Table2[[#This Row],[index]]),  "", _xlfn.CONCAT(LOWER(Table2[[#This Row],[device_via_device]]), "/command/", SUBSTITUTE(LOWER(Table2[[#This Row],[unique_id]]), "network_", "")))</f>
        <v>network/command/certificate</v>
      </c>
      <c r="AU287" s="28" t="str">
        <f>IF(ISBLANK(Table2[[#This Row],[index]]),  "", _xlfn.CONCAT(LOWER(Table2[[#This Row],[device_via_device]]), "/status"))</f>
        <v>network/status</v>
      </c>
      <c r="AZ287" s="28" t="s">
        <v>1477</v>
      </c>
      <c r="BA287" s="28">
        <v>1</v>
      </c>
      <c r="BB287" s="30"/>
      <c r="BD2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BE2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F2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Certificate</v>
      </c>
      <c r="BG2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7" s="28" t="str">
        <f>IF(ISBLANK(Table2[[#This Row],[device_model]]), "", Table2[[#This Row],[device_suggested_area]])</f>
        <v>Rack</v>
      </c>
      <c r="BJ287" s="28" t="s">
        <v>750</v>
      </c>
      <c r="BK287" s="28" t="s">
        <v>1437</v>
      </c>
      <c r="BL287" s="28" t="s">
        <v>1061</v>
      </c>
      <c r="BN287" s="28" t="s">
        <v>936</v>
      </c>
      <c r="BO287" s="28" t="s">
        <v>28</v>
      </c>
      <c r="BT287" s="39"/>
      <c r="BV2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8" spans="1:74" ht="16" customHeight="1" x14ac:dyDescent="0.2">
      <c r="A288" s="28">
        <v>2506</v>
      </c>
      <c r="B288" s="28" t="s">
        <v>26</v>
      </c>
      <c r="C288" s="28" t="s">
        <v>750</v>
      </c>
      <c r="D288" s="28" t="s">
        <v>125</v>
      </c>
      <c r="E288" s="28" t="s">
        <v>1488</v>
      </c>
      <c r="F288" s="28" t="str">
        <f>IF(ISBLANK(Table2[[#This Row],[unique_id]]), "", PROPER(SUBSTITUTE(Table2[[#This Row],[unique_id]], "_", " ")))</f>
        <v>Network Domain</v>
      </c>
      <c r="G288" s="28" t="str">
        <f>TRIM(RIGHT(SUBSTITUTE(TRIM(F288)," ",REPT(" ",100)),100))</f>
        <v>Domain</v>
      </c>
      <c r="H288" s="28" t="s">
        <v>1473</v>
      </c>
      <c r="I288" s="28" t="s">
        <v>262</v>
      </c>
      <c r="N288" s="28" t="s">
        <v>244</v>
      </c>
      <c r="P288" s="29"/>
      <c r="Q288" s="28"/>
      <c r="U288" s="35"/>
      <c r="V288" s="35"/>
      <c r="W288" s="35"/>
      <c r="X288" s="28"/>
      <c r="AD288" s="29"/>
      <c r="AE288" s="29"/>
      <c r="AF288" s="29"/>
      <c r="AG288" s="29"/>
      <c r="AM288" s="28" t="s">
        <v>1489</v>
      </c>
      <c r="AN288" s="28">
        <f t="shared" si="0"/>
        <v>900</v>
      </c>
      <c r="AO288" s="29" t="s">
        <v>34</v>
      </c>
      <c r="AP288" s="29"/>
      <c r="AQ288" s="28" t="s">
        <v>1476</v>
      </c>
      <c r="AR288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homeassistant/switch/network/network_domain/config</v>
      </c>
      <c r="AS288" s="28" t="str">
        <f>IF(ISBLANK(Table2[[#This Row],[index]]),  "", _xlfn.CONCAT(LOWER(Table2[[#This Row],[device_via_device]]), "/data/", SUBSTITUTE(LOWER(Table2[[#This Row],[unique_id]]), "network_", "")))</f>
        <v>network/data/domain</v>
      </c>
      <c r="AT288" s="28" t="str">
        <f>IF(ISBLANK(Table2[[#This Row],[index]]),  "", _xlfn.CONCAT(LOWER(Table2[[#This Row],[device_via_device]]), "/command/", SUBSTITUTE(LOWER(Table2[[#This Row],[unique_id]]), "network_", "")))</f>
        <v>network/command/domain</v>
      </c>
      <c r="AU288" s="28" t="str">
        <f>IF(ISBLANK(Table2[[#This Row],[index]]),  "", _xlfn.CONCAT(LOWER(Table2[[#This Row],[device_via_device]]), "/status"))</f>
        <v>network/status</v>
      </c>
      <c r="AZ288" s="28" t="s">
        <v>1477</v>
      </c>
      <c r="BA288" s="28">
        <v>1</v>
      </c>
      <c r="BB288" s="30"/>
      <c r="BC288" s="38"/>
      <c r="BD2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BE2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F2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Domain</v>
      </c>
      <c r="BG2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8" s="28" t="str">
        <f>IF(ISBLANK(Table2[[#This Row],[device_model]]), "", Table2[[#This Row],[device_suggested_area]])</f>
        <v>Rack</v>
      </c>
      <c r="BJ288" s="28" t="s">
        <v>750</v>
      </c>
      <c r="BK288" s="28" t="s">
        <v>1437</v>
      </c>
      <c r="BL288" s="28" t="s">
        <v>1061</v>
      </c>
      <c r="BN288" s="28" t="s">
        <v>936</v>
      </c>
      <c r="BO288" s="28" t="s">
        <v>28</v>
      </c>
      <c r="BT288" s="39"/>
      <c r="BV2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9" spans="1:74" ht="16" customHeight="1" x14ac:dyDescent="0.2">
      <c r="A289" s="28">
        <v>2507</v>
      </c>
      <c r="B289" s="28" t="s">
        <v>26</v>
      </c>
      <c r="C289" s="28" t="s">
        <v>1127</v>
      </c>
      <c r="D289" s="28" t="s">
        <v>125</v>
      </c>
      <c r="E289" s="28" t="s">
        <v>1515</v>
      </c>
      <c r="F289" s="28" t="str">
        <f>IF(ISBLANK(Table2[[#This Row],[unique_id]]), "", PROPER(SUBSTITUTE(Table2[[#This Row],[unique_id]], "_", " ")))</f>
        <v>Host All</v>
      </c>
      <c r="G289" s="28" t="str">
        <f t="shared" ref="G289" si="1">TRIM(RIGHT(SUBSTITUTE(TRIM(F289)," ",REPT(" ",100)),100))</f>
        <v>All</v>
      </c>
      <c r="H289" s="28" t="s">
        <v>1508</v>
      </c>
      <c r="I289" s="28" t="s">
        <v>262</v>
      </c>
      <c r="P289" s="29"/>
      <c r="Q289" s="28"/>
      <c r="U289" s="35"/>
      <c r="V289" s="35"/>
      <c r="W289" s="35"/>
      <c r="X289" s="28"/>
      <c r="AD289" s="29"/>
      <c r="AE289" s="29"/>
      <c r="AF289" s="29"/>
      <c r="AG289" s="29"/>
      <c r="AN289" s="28">
        <v>6</v>
      </c>
      <c r="AO289" s="29" t="s">
        <v>34</v>
      </c>
      <c r="AP289" s="29"/>
      <c r="AQ289" s="28" t="s">
        <v>1514</v>
      </c>
      <c r="AR28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homeassistant/switch/supervisor_all/host_all/config</v>
      </c>
      <c r="AS289" s="28" t="str">
        <f>IF(ISBLANK(Table2[[#This Row],[index]]),"",_xlfn.CONCAT("supervisor/",Table2[[#This Row],[unique_id_device]],"/data/cluster"))</f>
        <v>supervisor/all/data/cluster</v>
      </c>
      <c r="AT289" s="28" t="str">
        <f>IF(ISBLANK(Table2[[#This Row],[index]]),"",_xlfn.CONCAT("supervisor/",Table2[[#This Row],[unique_id_device]],"/command/cluster"))</f>
        <v>supervisor/all/command/cluster</v>
      </c>
      <c r="AU289" s="28" t="s">
        <v>1513</v>
      </c>
      <c r="AZ289" s="28" t="s">
        <v>1465</v>
      </c>
      <c r="BA289" s="28">
        <v>1</v>
      </c>
      <c r="BB289" s="30"/>
      <c r="BD2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All</v>
      </c>
      <c r="BG2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89" s="28" t="str">
        <f>IF(ISBLANK(Table2[[#This Row],[device_model]]), "", Table2[[#This Row],[device_suggested_area]])</f>
        <v>Rack</v>
      </c>
      <c r="BJ289" s="28" t="s">
        <v>1127</v>
      </c>
      <c r="BK289" s="28" t="s">
        <v>1437</v>
      </c>
      <c r="BL289" s="28" t="s">
        <v>1061</v>
      </c>
      <c r="BN289" s="28" t="s">
        <v>936</v>
      </c>
      <c r="BO289" s="28" t="s">
        <v>28</v>
      </c>
      <c r="BT289" s="39"/>
      <c r="BV2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0" spans="1:74" ht="16" customHeight="1" x14ac:dyDescent="0.2">
      <c r="A290" s="28">
        <v>2508</v>
      </c>
      <c r="B290" s="28" t="s">
        <v>26</v>
      </c>
      <c r="C290" s="28" t="s">
        <v>1127</v>
      </c>
      <c r="D290" s="28" t="s">
        <v>125</v>
      </c>
      <c r="E290" s="28" t="s">
        <v>1507</v>
      </c>
      <c r="F290" s="28" t="str">
        <f>IF(ISBLANK(Table2[[#This Row],[unique_id]]), "", PROPER(SUBSTITUTE(Table2[[#This Row],[unique_id]], "_", " ")))</f>
        <v>Host Mad</v>
      </c>
      <c r="G290" s="28" t="str">
        <f t="shared" ref="G290:G294" si="2">TRIM(RIGHT(SUBSTITUTE(TRIM(F290)," ",REPT(" ",100)),100))</f>
        <v>Mad</v>
      </c>
      <c r="H290" s="28" t="s">
        <v>1508</v>
      </c>
      <c r="I290" s="28" t="s">
        <v>262</v>
      </c>
      <c r="N290" s="28" t="s">
        <v>244</v>
      </c>
      <c r="P290" s="29"/>
      <c r="Q290" s="28"/>
      <c r="U290" s="35"/>
      <c r="V290" s="35"/>
      <c r="W290" s="35"/>
      <c r="X290" s="28"/>
      <c r="AD290" s="29"/>
      <c r="AE290" s="29"/>
      <c r="AF290" s="29"/>
      <c r="AG290" s="29"/>
      <c r="AM290" s="28" t="s">
        <v>1466</v>
      </c>
      <c r="AN290" s="28">
        <v>6</v>
      </c>
      <c r="AO290" s="29" t="s">
        <v>34</v>
      </c>
      <c r="AP290" s="29"/>
      <c r="AQ290" s="28" t="s">
        <v>1402</v>
      </c>
      <c r="AR290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homeassistant/switch/supervisor_macmini-mad/host_mad/config</v>
      </c>
      <c r="AS290" s="28" t="str">
        <f>IF(ISBLANK(Table2[[#This Row],[index]]), "", _xlfn.CONCAT("supervisor/", Table2[[#This Row],[unique_id_device]], "/data/host"))</f>
        <v>supervisor/macmini-mad/data/host</v>
      </c>
      <c r="AT290" s="28" t="str">
        <f>IF(ISBLANK(Table2[[#This Row],[index]]),  "", _xlfn.CONCAT("supervisor/", Table2[[#This Row],[unique_id_device]], "/command/", SUBSTITUTE(LOWER(Table2[[#This Row],[unique_id]]), "_", "/")))</f>
        <v>supervisor/macmini-mad/command/host/mad</v>
      </c>
      <c r="AU290" s="28" t="str">
        <f>IF(ISBLANK(Table2[[#This Row],[index]]),  "", _xlfn.CONCAT("supervisor/", Table2[[#This Row],[unique_id_device]], "/status"))</f>
        <v>supervisor/macmini-mad/status</v>
      </c>
      <c r="AZ290" s="28" t="s">
        <v>1465</v>
      </c>
      <c r="BA290" s="28">
        <v>1</v>
      </c>
      <c r="BB290" s="30"/>
      <c r="BD2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Mad</v>
      </c>
      <c r="BG2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0" s="28" t="str">
        <f>IF(ISBLANK(Table2[[#This Row],[device_model]]), "", Table2[[#This Row],[device_suggested_area]])</f>
        <v>Rack</v>
      </c>
      <c r="BJ290" s="28" t="s">
        <v>1127</v>
      </c>
      <c r="BK290" s="28" t="s">
        <v>1437</v>
      </c>
      <c r="BL290" s="28" t="s">
        <v>1061</v>
      </c>
      <c r="BN290" s="28" t="s">
        <v>936</v>
      </c>
      <c r="BO290" s="28" t="s">
        <v>28</v>
      </c>
      <c r="BT290" s="39"/>
      <c r="BV2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1" spans="1:74" ht="16" customHeight="1" x14ac:dyDescent="0.2">
      <c r="A291" s="28">
        <v>2509</v>
      </c>
      <c r="B291" s="28" t="s">
        <v>26</v>
      </c>
      <c r="C291" s="28" t="s">
        <v>1127</v>
      </c>
      <c r="D291" s="28" t="s">
        <v>125</v>
      </c>
      <c r="E291" s="28" t="s">
        <v>1509</v>
      </c>
      <c r="F291" s="28" t="str">
        <f>IF(ISBLANK(Table2[[#This Row],[unique_id]]), "", PROPER(SUBSTITUTE(Table2[[#This Row],[unique_id]], "_", " ")))</f>
        <v>Host Max</v>
      </c>
      <c r="G291" s="28" t="str">
        <f t="shared" si="2"/>
        <v>Max</v>
      </c>
      <c r="H291" s="28" t="s">
        <v>1508</v>
      </c>
      <c r="I291" s="28" t="s">
        <v>262</v>
      </c>
      <c r="N291" s="28" t="s">
        <v>244</v>
      </c>
      <c r="P291" s="29"/>
      <c r="Q291" s="28"/>
      <c r="U291" s="35"/>
      <c r="V291" s="35"/>
      <c r="W291" s="35"/>
      <c r="X291" s="28"/>
      <c r="AD291" s="29"/>
      <c r="AE291" s="29"/>
      <c r="AF291" s="29"/>
      <c r="AG291" s="29"/>
      <c r="AM291" s="28" t="s">
        <v>1466</v>
      </c>
      <c r="AN291" s="28">
        <v>6</v>
      </c>
      <c r="AO291" s="29" t="s">
        <v>34</v>
      </c>
      <c r="AP291" s="29"/>
      <c r="AQ291" s="28" t="s">
        <v>1403</v>
      </c>
      <c r="AR291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homeassistant/switch/supervisor_macmini-max/host_max/config</v>
      </c>
      <c r="AS291" s="28" t="str">
        <f>IF(ISBLANK(Table2[[#This Row],[index]]), "", _xlfn.CONCAT("supervisor/", Table2[[#This Row],[unique_id_device]], "/data/host"))</f>
        <v>supervisor/macmini-max/data/host</v>
      </c>
      <c r="AT291" s="28" t="str">
        <f>IF(ISBLANK(Table2[[#This Row],[index]]),  "", _xlfn.CONCAT("supervisor/", Table2[[#This Row],[unique_id_device]], "/command/", SUBSTITUTE(LOWER(Table2[[#This Row],[unique_id]]), "_", "/")))</f>
        <v>supervisor/macmini-max/command/host/max</v>
      </c>
      <c r="AU291" s="28" t="str">
        <f>IF(ISBLANK(Table2[[#This Row],[index]]),  "", _xlfn.CONCAT("supervisor/", Table2[[#This Row],[unique_id_device]], "/status"))</f>
        <v>supervisor/macmini-max/status</v>
      </c>
      <c r="AZ291" s="28" t="s">
        <v>1465</v>
      </c>
      <c r="BA291" s="28">
        <v>1</v>
      </c>
      <c r="BB291" s="30"/>
      <c r="BD29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Max</v>
      </c>
      <c r="BG29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1" s="28" t="str">
        <f>IF(ISBLANK(Table2[[#This Row],[device_model]]), "", Table2[[#This Row],[device_suggested_area]])</f>
        <v>Rack</v>
      </c>
      <c r="BJ291" s="28" t="s">
        <v>1127</v>
      </c>
      <c r="BK291" s="28" t="s">
        <v>1437</v>
      </c>
      <c r="BL291" s="28" t="s">
        <v>1061</v>
      </c>
      <c r="BN291" s="28" t="s">
        <v>936</v>
      </c>
      <c r="BO291" s="28" t="s">
        <v>28</v>
      </c>
      <c r="BT291" s="39"/>
      <c r="BV29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2" spans="1:74" ht="16" customHeight="1" x14ac:dyDescent="0.2">
      <c r="A292" s="28">
        <v>2510</v>
      </c>
      <c r="B292" s="28" t="s">
        <v>26</v>
      </c>
      <c r="C292" s="28" t="s">
        <v>1127</v>
      </c>
      <c r="D292" s="28" t="s">
        <v>125</v>
      </c>
      <c r="E292" s="28" t="s">
        <v>1510</v>
      </c>
      <c r="F292" s="28" t="str">
        <f>IF(ISBLANK(Table2[[#This Row],[unique_id]]), "", PROPER(SUBSTITUTE(Table2[[#This Row],[unique_id]], "_", " ")))</f>
        <v>Host May</v>
      </c>
      <c r="G292" s="28" t="str">
        <f t="shared" si="2"/>
        <v>May</v>
      </c>
      <c r="H292" s="28" t="s">
        <v>1508</v>
      </c>
      <c r="I292" s="28" t="s">
        <v>262</v>
      </c>
      <c r="N292" s="28" t="s">
        <v>244</v>
      </c>
      <c r="P292" s="29"/>
      <c r="Q292" s="28"/>
      <c r="U292" s="35"/>
      <c r="V292" s="35"/>
      <c r="W292" s="35"/>
      <c r="X292" s="28"/>
      <c r="AD292" s="29"/>
      <c r="AE292" s="29"/>
      <c r="AF292" s="29"/>
      <c r="AG292" s="29"/>
      <c r="AM292" s="28" t="s">
        <v>1466</v>
      </c>
      <c r="AN292" s="28">
        <v>6</v>
      </c>
      <c r="AO292" s="29" t="s">
        <v>34</v>
      </c>
      <c r="AP292" s="29"/>
      <c r="AQ292" s="28" t="s">
        <v>1367</v>
      </c>
      <c r="AR292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homeassistant/switch/supervisor_macmini-may/host_may/config</v>
      </c>
      <c r="AS292" s="28" t="str">
        <f>IF(ISBLANK(Table2[[#This Row],[index]]), "", _xlfn.CONCAT("supervisor/", Table2[[#This Row],[unique_id_device]], "/data/host"))</f>
        <v>supervisor/macmini-may/data/host</v>
      </c>
      <c r="AT292" s="28" t="str">
        <f>IF(ISBLANK(Table2[[#This Row],[index]]),  "", _xlfn.CONCAT("supervisor/", Table2[[#This Row],[unique_id_device]], "/command/", SUBSTITUTE(LOWER(Table2[[#This Row],[unique_id]]), "_", "/")))</f>
        <v>supervisor/macmini-may/command/host/may</v>
      </c>
      <c r="AU292" s="28" t="str">
        <f>IF(ISBLANK(Table2[[#This Row],[index]]),  "", _xlfn.CONCAT("supervisor/", Table2[[#This Row],[unique_id_device]], "/status"))</f>
        <v>supervisor/macmini-may/status</v>
      </c>
      <c r="AZ292" s="28" t="s">
        <v>1465</v>
      </c>
      <c r="BA292" s="28">
        <v>1</v>
      </c>
      <c r="BB292" s="30"/>
      <c r="BD2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May</v>
      </c>
      <c r="BG2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2" s="28" t="str">
        <f>IF(ISBLANK(Table2[[#This Row],[device_model]]), "", Table2[[#This Row],[device_suggested_area]])</f>
        <v>Rack</v>
      </c>
      <c r="BJ292" s="28" t="s">
        <v>1127</v>
      </c>
      <c r="BK292" s="28" t="s">
        <v>1437</v>
      </c>
      <c r="BL292" s="28" t="s">
        <v>1061</v>
      </c>
      <c r="BN292" s="28" t="s">
        <v>936</v>
      </c>
      <c r="BO292" s="28" t="s">
        <v>28</v>
      </c>
      <c r="BT292" s="39"/>
      <c r="BV2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3" spans="1:74" ht="16" customHeight="1" x14ac:dyDescent="0.2">
      <c r="A293" s="28">
        <v>2511</v>
      </c>
      <c r="B293" s="28" t="s">
        <v>26</v>
      </c>
      <c r="C293" s="28" t="s">
        <v>1127</v>
      </c>
      <c r="D293" s="28" t="s">
        <v>125</v>
      </c>
      <c r="E293" s="28" t="s">
        <v>1511</v>
      </c>
      <c r="F293" s="28" t="str">
        <f>IF(ISBLANK(Table2[[#This Row],[unique_id]]), "", PROPER(SUBSTITUTE(Table2[[#This Row],[unique_id]], "_", " ")))</f>
        <v>Host Meg</v>
      </c>
      <c r="G293" s="28" t="str">
        <f t="shared" si="2"/>
        <v>Meg</v>
      </c>
      <c r="H293" s="28" t="s">
        <v>1508</v>
      </c>
      <c r="I293" s="28" t="s">
        <v>262</v>
      </c>
      <c r="N293" s="28" t="s">
        <v>244</v>
      </c>
      <c r="P293" s="29"/>
      <c r="Q293" s="28"/>
      <c r="U293" s="35"/>
      <c r="V293" s="35"/>
      <c r="W293" s="35"/>
      <c r="X293" s="28"/>
      <c r="AD293" s="29"/>
      <c r="AE293" s="29"/>
      <c r="AF293" s="29"/>
      <c r="AG293" s="29"/>
      <c r="AM293" s="28" t="s">
        <v>1466</v>
      </c>
      <c r="AN293" s="28">
        <v>6</v>
      </c>
      <c r="AO293" s="29" t="s">
        <v>34</v>
      </c>
      <c r="AP293" s="29"/>
      <c r="AQ293" s="28" t="s">
        <v>1078</v>
      </c>
      <c r="AR29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homeassistant/switch/supervisor_macmini-meg/host_meg/config</v>
      </c>
      <c r="AS293" s="28" t="str">
        <f>IF(ISBLANK(Table2[[#This Row],[index]]), "", _xlfn.CONCAT("supervisor/", Table2[[#This Row],[unique_id_device]], "/data/host"))</f>
        <v>supervisor/macmini-meg/data/host</v>
      </c>
      <c r="AT293" s="28" t="str">
        <f>IF(ISBLANK(Table2[[#This Row],[index]]),  "", _xlfn.CONCAT("supervisor/", Table2[[#This Row],[unique_id_device]], "/command/", SUBSTITUTE(LOWER(Table2[[#This Row],[unique_id]]), "_", "/")))</f>
        <v>supervisor/macmini-meg/command/host/meg</v>
      </c>
      <c r="AU293" s="28" t="str">
        <f>IF(ISBLANK(Table2[[#This Row],[index]]),  "", _xlfn.CONCAT("supervisor/", Table2[[#This Row],[unique_id_device]], "/status"))</f>
        <v>supervisor/macmini-meg/status</v>
      </c>
      <c r="AZ293" s="28" t="s">
        <v>1465</v>
      </c>
      <c r="BA293" s="28">
        <v>1</v>
      </c>
      <c r="BB293" s="30"/>
      <c r="BD2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Meg</v>
      </c>
      <c r="BG2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3" s="28" t="str">
        <f>IF(ISBLANK(Table2[[#This Row],[device_model]]), "", Table2[[#This Row],[device_suggested_area]])</f>
        <v>Rack</v>
      </c>
      <c r="BJ293" s="28" t="s">
        <v>1127</v>
      </c>
      <c r="BK293" s="28" t="s">
        <v>1437</v>
      </c>
      <c r="BL293" s="28" t="s">
        <v>1061</v>
      </c>
      <c r="BN293" s="28" t="s">
        <v>936</v>
      </c>
      <c r="BO293" s="28" t="s">
        <v>28</v>
      </c>
      <c r="BT293" s="39"/>
      <c r="BV2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4" spans="1:74" ht="16" customHeight="1" x14ac:dyDescent="0.2">
      <c r="A294" s="28">
        <v>2512</v>
      </c>
      <c r="B294" s="28" t="s">
        <v>26</v>
      </c>
      <c r="C294" s="28" t="s">
        <v>1127</v>
      </c>
      <c r="D294" s="28" t="s">
        <v>125</v>
      </c>
      <c r="E294" s="28" t="s">
        <v>1512</v>
      </c>
      <c r="F294" s="28" t="str">
        <f>IF(ISBLANK(Table2[[#This Row],[unique_id]]), "", PROPER(SUBSTITUTE(Table2[[#This Row],[unique_id]], "_", " ")))</f>
        <v>Host Jen</v>
      </c>
      <c r="G294" s="28" t="str">
        <f t="shared" si="2"/>
        <v>Jen</v>
      </c>
      <c r="H294" s="28" t="s">
        <v>1508</v>
      </c>
      <c r="I294" s="28" t="s">
        <v>262</v>
      </c>
      <c r="N294" s="28" t="s">
        <v>244</v>
      </c>
      <c r="P294" s="29"/>
      <c r="Q294" s="28"/>
      <c r="U294" s="35"/>
      <c r="V294" s="35"/>
      <c r="W294" s="35"/>
      <c r="X294" s="28"/>
      <c r="AD294" s="29"/>
      <c r="AE294" s="29"/>
      <c r="AF294" s="29"/>
      <c r="AG294" s="29"/>
      <c r="AM294" s="28" t="s">
        <v>1466</v>
      </c>
      <c r="AN294" s="28">
        <v>6</v>
      </c>
      <c r="AO294" s="29" t="s">
        <v>34</v>
      </c>
      <c r="AP294" s="29"/>
      <c r="AQ294" s="28" t="s">
        <v>1370</v>
      </c>
      <c r="AR294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homeassistant/switch/supervisor_raspbpi-jen/host_jen/config</v>
      </c>
      <c r="AS294" s="28" t="str">
        <f>IF(ISBLANK(Table2[[#This Row],[index]]), "", _xlfn.CONCAT("supervisor/", Table2[[#This Row],[unique_id_device]], "/data/host"))</f>
        <v>supervisor/raspbpi-jen/data/host</v>
      </c>
      <c r="AT294" s="28" t="str">
        <f>IF(ISBLANK(Table2[[#This Row],[index]]),  "", _xlfn.CONCAT("supervisor/", Table2[[#This Row],[unique_id_device]], "/command/", SUBSTITUTE(LOWER(Table2[[#This Row],[unique_id]]), "_", "/")))</f>
        <v>supervisor/raspbpi-jen/command/host/jen</v>
      </c>
      <c r="AU294" s="28" t="str">
        <f>IF(ISBLANK(Table2[[#This Row],[index]]),  "", _xlfn.CONCAT("supervisor/", Table2[[#This Row],[unique_id_device]], "/status"))</f>
        <v>supervisor/raspbpi-jen/status</v>
      </c>
      <c r="AZ294" s="28" t="s">
        <v>1465</v>
      </c>
      <c r="BA294" s="28">
        <v>1</v>
      </c>
      <c r="BB294" s="30"/>
      <c r="BD29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Jen</v>
      </c>
      <c r="BG2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4" s="28" t="str">
        <f>IF(ISBLANK(Table2[[#This Row],[device_model]]), "", Table2[[#This Row],[device_suggested_area]])</f>
        <v>Rack</v>
      </c>
      <c r="BJ294" s="28" t="s">
        <v>1127</v>
      </c>
      <c r="BK294" s="28" t="s">
        <v>1437</v>
      </c>
      <c r="BL294" s="28" t="s">
        <v>1061</v>
      </c>
      <c r="BN294" s="28" t="s">
        <v>936</v>
      </c>
      <c r="BO294" s="28" t="s">
        <v>28</v>
      </c>
      <c r="BT294" s="39"/>
      <c r="BV2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5" spans="1:74" ht="16" customHeight="1" x14ac:dyDescent="0.2">
      <c r="A295" s="28">
        <v>2513</v>
      </c>
      <c r="B295" s="28" t="s">
        <v>26</v>
      </c>
      <c r="C295" s="28" t="s">
        <v>409</v>
      </c>
      <c r="D295" s="28" t="s">
        <v>304</v>
      </c>
      <c r="E295" s="28" t="s">
        <v>303</v>
      </c>
      <c r="F295" s="34" t="str">
        <f>IF(ISBLANK(Table2[[#This Row],[unique_id]]), "", PROPER(SUBSTITUTE(Table2[[#This Row],[unique_id]], "_", " ")))</f>
        <v>Column Break</v>
      </c>
      <c r="G295" s="28" t="s">
        <v>300</v>
      </c>
      <c r="H295" s="28" t="s">
        <v>1508</v>
      </c>
      <c r="I295" s="28" t="s">
        <v>262</v>
      </c>
      <c r="N295" s="28" t="s">
        <v>301</v>
      </c>
      <c r="O295" s="28" t="s">
        <v>302</v>
      </c>
      <c r="P295" s="29"/>
      <c r="Q295" s="28"/>
      <c r="U295" s="35"/>
      <c r="V295" s="35"/>
      <c r="W295" s="35"/>
      <c r="X295" s="28"/>
      <c r="AD295" s="29"/>
      <c r="AE295" s="29"/>
      <c r="AF295" s="29"/>
      <c r="AG295" s="29"/>
      <c r="AO295" s="29"/>
      <c r="AP295" s="29"/>
      <c r="AZ295" s="37"/>
      <c r="BA295" s="28"/>
      <c r="BB295" s="30"/>
      <c r="BC295" s="29"/>
      <c r="BD2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2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2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2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5" s="28" t="str">
        <f>IF(ISBLANK(Table2[[#This Row],[device_model]]), "", Table2[[#This Row],[device_suggested_area]])</f>
        <v/>
      </c>
      <c r="BN295" s="29"/>
      <c r="BT295" s="28"/>
      <c r="BV2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6" spans="1:74" ht="16" customHeight="1" x14ac:dyDescent="0.2">
      <c r="A296" s="28">
        <v>2514</v>
      </c>
      <c r="B296" s="28" t="s">
        <v>26</v>
      </c>
      <c r="C296" s="28" t="s">
        <v>1127</v>
      </c>
      <c r="D296" s="28" t="s">
        <v>125</v>
      </c>
      <c r="E296" s="28" t="s">
        <v>1492</v>
      </c>
      <c r="F296" s="28" t="str">
        <f>IF(ISBLANK(Table2[[#This Row],[unique_id]]), "", PROPER(SUBSTITUTE(Table2[[#This Row],[unique_id]], "_", " ")))</f>
        <v>Service Network</v>
      </c>
      <c r="G296" s="28" t="s">
        <v>750</v>
      </c>
      <c r="H296" s="28" t="s">
        <v>1474</v>
      </c>
      <c r="I296" s="28" t="s">
        <v>262</v>
      </c>
      <c r="N296" s="28" t="s">
        <v>244</v>
      </c>
      <c r="P296" s="29"/>
      <c r="Q296" s="28"/>
      <c r="U296" s="35"/>
      <c r="V296" s="35"/>
      <c r="W296" s="35"/>
      <c r="X296" s="28"/>
      <c r="AD296" s="29"/>
      <c r="AE296" s="29"/>
      <c r="AF296" s="29"/>
      <c r="AG296" s="29"/>
      <c r="AM296" s="28" t="s">
        <v>1466</v>
      </c>
      <c r="AN296" s="28">
        <v>6</v>
      </c>
      <c r="AO296" s="29" t="s">
        <v>34</v>
      </c>
      <c r="AP296" s="29"/>
      <c r="AQ296" s="28" t="s">
        <v>1402</v>
      </c>
      <c r="AR296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homeassistant/switch/supervisor_macmini-mad/service_network/config</v>
      </c>
      <c r="AS296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supervisor/macmini-mad/data/service/network/health_status</v>
      </c>
      <c r="AT296" s="28" t="str">
        <f>IF(ISBLANK(Table2[[#This Row],[index]]),  "", _xlfn.CONCAT("supervisor/", Table2[[#This Row],[unique_id_device]], "/command/", SUBSTITUTE(LOWER(Table2[[#This Row],[unique_id]]), "_", "/")))</f>
        <v>supervisor/macmini-mad/command/service/network</v>
      </c>
      <c r="AU296" s="28" t="str">
        <f>IF(ISBLANK(Table2[[#This Row],[index]]),  "", _xlfn.CONCAT("supervisor/", Table2[[#This Row],[unique_id_device]], "/status"))</f>
        <v>supervisor/macmini-mad/status</v>
      </c>
      <c r="AZ296" s="28" t="s">
        <v>1465</v>
      </c>
      <c r="BA296" s="28">
        <v>1</v>
      </c>
      <c r="BB296" s="30"/>
      <c r="BD2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Network</v>
      </c>
      <c r="BG2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6" s="28" t="str">
        <f>IF(ISBLANK(Table2[[#This Row],[device_model]]), "", Table2[[#This Row],[device_suggested_area]])</f>
        <v>Rack</v>
      </c>
      <c r="BJ296" s="28" t="s">
        <v>1127</v>
      </c>
      <c r="BK296" s="28" t="s">
        <v>1437</v>
      </c>
      <c r="BL296" s="28" t="s">
        <v>1061</v>
      </c>
      <c r="BN296" s="28" t="s">
        <v>936</v>
      </c>
      <c r="BO296" s="28" t="s">
        <v>28</v>
      </c>
      <c r="BT296" s="39"/>
      <c r="BV2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7" spans="1:74" ht="16" customHeight="1" x14ac:dyDescent="0.2">
      <c r="A297" s="28">
        <v>2515</v>
      </c>
      <c r="B297" s="28" t="s">
        <v>26</v>
      </c>
      <c r="C297" s="28" t="s">
        <v>1127</v>
      </c>
      <c r="D297" s="28" t="s">
        <v>125</v>
      </c>
      <c r="E297" s="28" t="s">
        <v>1439</v>
      </c>
      <c r="F297" s="28" t="str">
        <f>IF(ISBLANK(Table2[[#This Row],[unique_id]]), "", PROPER(SUBSTITUTE(Table2[[#This Row],[unique_id]], "_", " ")))</f>
        <v>Service Plex</v>
      </c>
      <c r="G297" s="28" t="s">
        <v>1128</v>
      </c>
      <c r="H297" s="28" t="s">
        <v>1474</v>
      </c>
      <c r="I297" s="28" t="s">
        <v>262</v>
      </c>
      <c r="N297" s="28" t="s">
        <v>244</v>
      </c>
      <c r="P297" s="29"/>
      <c r="Q297" s="28"/>
      <c r="U297" s="35"/>
      <c r="V297" s="35"/>
      <c r="W297" s="35"/>
      <c r="X297" s="28"/>
      <c r="AD297" s="29"/>
      <c r="AE297" s="29"/>
      <c r="AF297" s="29"/>
      <c r="AG297" s="29"/>
      <c r="AM297" s="28" t="s">
        <v>1466</v>
      </c>
      <c r="AN297" s="28">
        <v>6</v>
      </c>
      <c r="AO297" s="29" t="s">
        <v>34</v>
      </c>
      <c r="AP297" s="29"/>
      <c r="AQ297" s="28" t="s">
        <v>1402</v>
      </c>
      <c r="AR297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homeassistant/switch/supervisor_macmini-mad/service_plex/config</v>
      </c>
      <c r="AS297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supervisor/macmini-mad/data/service/plex/health_status</v>
      </c>
      <c r="AT297" s="28" t="str">
        <f>IF(ISBLANK(Table2[[#This Row],[index]]),  "", _xlfn.CONCAT("supervisor/", Table2[[#This Row],[unique_id_device]], "/command/", SUBSTITUTE(LOWER(Table2[[#This Row],[unique_id]]), "_", "/")))</f>
        <v>supervisor/macmini-mad/command/service/plex</v>
      </c>
      <c r="AU297" s="28" t="str">
        <f>IF(ISBLANK(Table2[[#This Row],[index]]),  "", _xlfn.CONCAT("supervisor/", Table2[[#This Row],[unique_id_device]], "/status"))</f>
        <v>supervisor/macmini-mad/status</v>
      </c>
      <c r="AZ297" s="28" t="s">
        <v>1465</v>
      </c>
      <c r="BA297" s="28">
        <v>1</v>
      </c>
      <c r="BB297" s="30"/>
      <c r="BD2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Plex</v>
      </c>
      <c r="BG2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7" s="28" t="str">
        <f>IF(ISBLANK(Table2[[#This Row],[device_model]]), "", Table2[[#This Row],[device_suggested_area]])</f>
        <v>Rack</v>
      </c>
      <c r="BJ297" s="28" t="s">
        <v>1127</v>
      </c>
      <c r="BK297" s="28" t="s">
        <v>1437</v>
      </c>
      <c r="BL297" s="28" t="s">
        <v>1061</v>
      </c>
      <c r="BN297" s="28" t="s">
        <v>936</v>
      </c>
      <c r="BO297" s="28" t="s">
        <v>28</v>
      </c>
      <c r="BT297" s="39"/>
      <c r="BV2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8" spans="1:74" ht="16" customHeight="1" x14ac:dyDescent="0.2">
      <c r="A298" s="28">
        <v>2516</v>
      </c>
      <c r="B298" s="28" t="s">
        <v>26</v>
      </c>
      <c r="C298" s="28" t="s">
        <v>1127</v>
      </c>
      <c r="D298" s="28" t="s">
        <v>125</v>
      </c>
      <c r="E298" s="28" t="s">
        <v>1451</v>
      </c>
      <c r="F298" s="28" t="str">
        <f>IF(ISBLANK(Table2[[#This Row],[unique_id]]), "", PROPER(SUBSTITUTE(Table2[[#This Row],[unique_id]], "_", " ")))</f>
        <v>Service Postgres</v>
      </c>
      <c r="G298" s="28" t="s">
        <v>1132</v>
      </c>
      <c r="H298" s="28" t="s">
        <v>1474</v>
      </c>
      <c r="I298" s="28" t="s">
        <v>262</v>
      </c>
      <c r="N298" s="28" t="s">
        <v>244</v>
      </c>
      <c r="P298" s="29"/>
      <c r="Q298" s="28"/>
      <c r="U298" s="35"/>
      <c r="V298" s="35"/>
      <c r="W298" s="35"/>
      <c r="X298" s="28"/>
      <c r="AD298" s="29"/>
      <c r="AE298" s="29"/>
      <c r="AF298" s="29"/>
      <c r="AG298" s="29"/>
      <c r="AM298" s="28" t="s">
        <v>1466</v>
      </c>
      <c r="AN298" s="28">
        <v>6</v>
      </c>
      <c r="AO298" s="29" t="s">
        <v>34</v>
      </c>
      <c r="AP298" s="29"/>
      <c r="AQ298" s="28" t="s">
        <v>1402</v>
      </c>
      <c r="AR298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homeassistant/switch/supervisor_macmini-mad/service_postgres/config</v>
      </c>
      <c r="AS298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supervisor/macmini-mad/data/service/postgres/health_status</v>
      </c>
      <c r="AT298" s="28" t="str">
        <f>IF(ISBLANK(Table2[[#This Row],[index]]),  "", _xlfn.CONCAT("supervisor/", Table2[[#This Row],[unique_id_device]], "/command/", SUBSTITUTE(LOWER(Table2[[#This Row],[unique_id]]), "_", "/")))</f>
        <v>supervisor/macmini-mad/command/service/postgres</v>
      </c>
      <c r="AU298" s="28" t="str">
        <f>IF(ISBLANK(Table2[[#This Row],[index]]),  "", _xlfn.CONCAT("supervisor/", Table2[[#This Row],[unique_id_device]], "/status"))</f>
        <v>supervisor/macmini-mad/status</v>
      </c>
      <c r="AZ298" s="28" t="s">
        <v>1465</v>
      </c>
      <c r="BA298" s="28">
        <v>1</v>
      </c>
      <c r="BB298" s="30"/>
      <c r="BD2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Postgres</v>
      </c>
      <c r="BG2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8" s="28" t="str">
        <f>IF(ISBLANK(Table2[[#This Row],[device_model]]), "", Table2[[#This Row],[device_suggested_area]])</f>
        <v>Rack</v>
      </c>
      <c r="BJ298" s="28" t="s">
        <v>1127</v>
      </c>
      <c r="BK298" s="28" t="s">
        <v>1437</v>
      </c>
      <c r="BL298" s="28" t="s">
        <v>1061</v>
      </c>
      <c r="BN298" s="28" t="s">
        <v>936</v>
      </c>
      <c r="BO298" s="28" t="s">
        <v>28</v>
      </c>
      <c r="BT298" s="39"/>
      <c r="BV2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9" spans="1:74" ht="16" customHeight="1" x14ac:dyDescent="0.2">
      <c r="A299" s="28">
        <v>2517</v>
      </c>
      <c r="B299" s="28" t="s">
        <v>26</v>
      </c>
      <c r="C299" s="28" t="s">
        <v>1127</v>
      </c>
      <c r="D299" s="28" t="s">
        <v>125</v>
      </c>
      <c r="E299" s="28" t="s">
        <v>1440</v>
      </c>
      <c r="F299" s="28" t="str">
        <f>IF(ISBLANK(Table2[[#This Row],[unique_id]]), "", PROPER(SUBSTITUTE(Table2[[#This Row],[unique_id]], "_", " ")))</f>
        <v>Service Sabnzbd</v>
      </c>
      <c r="G299" s="28" t="s">
        <v>1457</v>
      </c>
      <c r="H299" s="28" t="s">
        <v>1474</v>
      </c>
      <c r="I299" s="28" t="s">
        <v>262</v>
      </c>
      <c r="N299" s="28" t="s">
        <v>244</v>
      </c>
      <c r="P299" s="29"/>
      <c r="Q299" s="28"/>
      <c r="U299" s="35"/>
      <c r="V299" s="35"/>
      <c r="W299" s="35"/>
      <c r="X299" s="28"/>
      <c r="AD299" s="29"/>
      <c r="AE299" s="29"/>
      <c r="AF299" s="29"/>
      <c r="AG299" s="29"/>
      <c r="AM299" s="28" t="s">
        <v>1466</v>
      </c>
      <c r="AN299" s="28">
        <v>6</v>
      </c>
      <c r="AO299" s="29" t="s">
        <v>34</v>
      </c>
      <c r="AP299" s="29"/>
      <c r="AQ299" s="28" t="s">
        <v>1402</v>
      </c>
      <c r="AR29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homeassistant/switch/supervisor_macmini-mad/service_sabnzbd/config</v>
      </c>
      <c r="AS299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supervisor/macmini-mad/data/service/sabnzbd/health_status</v>
      </c>
      <c r="AT299" s="28" t="str">
        <f>IF(ISBLANK(Table2[[#This Row],[index]]),  "", _xlfn.CONCAT("supervisor/", Table2[[#This Row],[unique_id_device]], "/command/", SUBSTITUTE(LOWER(Table2[[#This Row],[unique_id]]), "_", "/")))</f>
        <v>supervisor/macmini-mad/command/service/sabnzbd</v>
      </c>
      <c r="AU299" s="28" t="str">
        <f>IF(ISBLANK(Table2[[#This Row],[index]]),  "", _xlfn.CONCAT("supervisor/", Table2[[#This Row],[unique_id_device]], "/status"))</f>
        <v>supervisor/macmini-mad/status</v>
      </c>
      <c r="AZ299" s="28" t="s">
        <v>1465</v>
      </c>
      <c r="BA299" s="28">
        <v>1</v>
      </c>
      <c r="BB299" s="30"/>
      <c r="BD2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2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2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Sabnzbd</v>
      </c>
      <c r="BG2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299" s="28" t="str">
        <f>IF(ISBLANK(Table2[[#This Row],[device_model]]), "", Table2[[#This Row],[device_suggested_area]])</f>
        <v>Rack</v>
      </c>
      <c r="BJ299" s="28" t="s">
        <v>1127</v>
      </c>
      <c r="BK299" s="28" t="s">
        <v>1437</v>
      </c>
      <c r="BL299" s="28" t="s">
        <v>1061</v>
      </c>
      <c r="BN299" s="28" t="s">
        <v>936</v>
      </c>
      <c r="BO299" s="28" t="s">
        <v>28</v>
      </c>
      <c r="BT299" s="39"/>
      <c r="BV2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0" spans="1:74" ht="16" customHeight="1" x14ac:dyDescent="0.2">
      <c r="A300" s="28">
        <v>2518</v>
      </c>
      <c r="B300" s="28" t="s">
        <v>26</v>
      </c>
      <c r="C300" s="28" t="s">
        <v>1127</v>
      </c>
      <c r="D300" s="28" t="s">
        <v>125</v>
      </c>
      <c r="E300" s="28" t="s">
        <v>1448</v>
      </c>
      <c r="F300" s="28" t="str">
        <f>IF(ISBLANK(Table2[[#This Row],[unique_id]]), "", PROPER(SUBSTITUTE(Table2[[#This Row],[unique_id]], "_", " ")))</f>
        <v>Service Wrangle</v>
      </c>
      <c r="G300" s="28" t="s">
        <v>1130</v>
      </c>
      <c r="H300" s="28" t="s">
        <v>1474</v>
      </c>
      <c r="I300" s="28" t="s">
        <v>262</v>
      </c>
      <c r="N300" s="28" t="s">
        <v>244</v>
      </c>
      <c r="P300" s="29"/>
      <c r="Q300" s="28"/>
      <c r="U300" s="35"/>
      <c r="V300" s="35"/>
      <c r="W300" s="35"/>
      <c r="X300" s="28"/>
      <c r="AD300" s="29"/>
      <c r="AE300" s="29"/>
      <c r="AF300" s="29"/>
      <c r="AG300" s="29"/>
      <c r="AM300" s="28" t="s">
        <v>1466</v>
      </c>
      <c r="AN300" s="28">
        <v>6</v>
      </c>
      <c r="AO300" s="29" t="s">
        <v>34</v>
      </c>
      <c r="AP300" s="29"/>
      <c r="AQ300" s="28" t="s">
        <v>1402</v>
      </c>
      <c r="AR300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homeassistant/switch/supervisor_macmini-mad/service_wrangle/config</v>
      </c>
      <c r="AS300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supervisor/macmini-mad/data/service/wrangle/health_status</v>
      </c>
      <c r="AT300" s="28" t="str">
        <f>IF(ISBLANK(Table2[[#This Row],[index]]),  "", _xlfn.CONCAT("supervisor/", Table2[[#This Row],[unique_id_device]], "/command/", SUBSTITUTE(LOWER(Table2[[#This Row],[unique_id]]), "_", "/")))</f>
        <v>supervisor/macmini-mad/command/service/wrangle</v>
      </c>
      <c r="AU300" s="28" t="str">
        <f>IF(ISBLANK(Table2[[#This Row],[index]]),  "", _xlfn.CONCAT("supervisor/", Table2[[#This Row],[unique_id_device]], "/status"))</f>
        <v>supervisor/macmini-mad/status</v>
      </c>
      <c r="AZ300" s="28" t="s">
        <v>1465</v>
      </c>
      <c r="BA300" s="28">
        <v>1</v>
      </c>
      <c r="BB300" s="30"/>
      <c r="BD30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Wrangle</v>
      </c>
      <c r="BG30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0" s="28" t="str">
        <f>IF(ISBLANK(Table2[[#This Row],[device_model]]), "", Table2[[#This Row],[device_suggested_area]])</f>
        <v>Rack</v>
      </c>
      <c r="BJ300" s="28" t="s">
        <v>1127</v>
      </c>
      <c r="BK300" s="28" t="s">
        <v>1437</v>
      </c>
      <c r="BL300" s="28" t="s">
        <v>1061</v>
      </c>
      <c r="BN300" s="28" t="s">
        <v>936</v>
      </c>
      <c r="BO300" s="28" t="s">
        <v>28</v>
      </c>
      <c r="BT300" s="39"/>
      <c r="BV30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1" spans="1:74" ht="16" customHeight="1" x14ac:dyDescent="0.2">
      <c r="A301" s="28">
        <v>2519</v>
      </c>
      <c r="B301" s="28" t="s">
        <v>26</v>
      </c>
      <c r="C301" s="28" t="s">
        <v>1127</v>
      </c>
      <c r="D301" s="28" t="s">
        <v>125</v>
      </c>
      <c r="E301" s="28" t="s">
        <v>1497</v>
      </c>
      <c r="F301" s="28" t="str">
        <f>IF(ISBLANK(Table2[[#This Row],[unique_id]]), "", PROPER(SUBSTITUTE(Table2[[#This Row],[unique_id]], "_", " ")))</f>
        <v>Service Cloudflare</v>
      </c>
      <c r="G301" s="28" t="s">
        <v>1498</v>
      </c>
      <c r="H301" s="28" t="s">
        <v>1474</v>
      </c>
      <c r="I301" s="28" t="s">
        <v>262</v>
      </c>
      <c r="N301" s="28" t="s">
        <v>244</v>
      </c>
      <c r="P301" s="29"/>
      <c r="Q301" s="28"/>
      <c r="U301" s="35"/>
      <c r="V301" s="35"/>
      <c r="W301" s="35"/>
      <c r="X301" s="28"/>
      <c r="AD301" s="29"/>
      <c r="AE301" s="29"/>
      <c r="AF301" s="29"/>
      <c r="AG301" s="29"/>
      <c r="AM301" s="28" t="s">
        <v>1466</v>
      </c>
      <c r="AN301" s="28">
        <v>6</v>
      </c>
      <c r="AO301" s="29" t="s">
        <v>34</v>
      </c>
      <c r="AP301" s="29"/>
      <c r="AQ301" s="28" t="s">
        <v>1403</v>
      </c>
      <c r="AR301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homeassistant/switch/supervisor_macmini-max/service_cloudflare/config</v>
      </c>
      <c r="AS301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supervisor/macmini-max/data/service/cloudflare/health_status</v>
      </c>
      <c r="AT301" s="28" t="str">
        <f>IF(ISBLANK(Table2[[#This Row],[index]]),  "", _xlfn.CONCAT("supervisor/", Table2[[#This Row],[unique_id_device]], "/command/", SUBSTITUTE(LOWER(Table2[[#This Row],[unique_id]]), "_", "/")))</f>
        <v>supervisor/macmini-max/command/service/cloudflare</v>
      </c>
      <c r="AU301" s="28" t="str">
        <f>IF(ISBLANK(Table2[[#This Row],[index]]),  "", _xlfn.CONCAT("supervisor/", Table2[[#This Row],[unique_id_device]], "/status"))</f>
        <v>supervisor/macmini-max/status</v>
      </c>
      <c r="AZ301" s="28" t="s">
        <v>1465</v>
      </c>
      <c r="BA301" s="28">
        <v>1</v>
      </c>
      <c r="BB301" s="30"/>
      <c r="BD30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Cloudflare</v>
      </c>
      <c r="BG30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1" s="28" t="str">
        <f>IF(ISBLANK(Table2[[#This Row],[device_model]]), "", Table2[[#This Row],[device_suggested_area]])</f>
        <v>Rack</v>
      </c>
      <c r="BJ301" s="28" t="s">
        <v>1127</v>
      </c>
      <c r="BK301" s="28" t="s">
        <v>1437</v>
      </c>
      <c r="BL301" s="28" t="s">
        <v>1061</v>
      </c>
      <c r="BN301" s="28" t="s">
        <v>936</v>
      </c>
      <c r="BO301" s="28" t="s">
        <v>28</v>
      </c>
      <c r="BT301" s="39"/>
      <c r="BV30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2" spans="1:74" ht="16" customHeight="1" x14ac:dyDescent="0.2">
      <c r="A302" s="28">
        <v>2520</v>
      </c>
      <c r="B302" s="28" t="s">
        <v>26</v>
      </c>
      <c r="C302" s="28" t="s">
        <v>1127</v>
      </c>
      <c r="D302" s="28" t="s">
        <v>125</v>
      </c>
      <c r="E302" s="28" t="s">
        <v>1445</v>
      </c>
      <c r="F302" s="28" t="str">
        <f>IF(ISBLANK(Table2[[#This Row],[unique_id]]), "", PROPER(SUBSTITUTE(Table2[[#This Row],[unique_id]], "_", " ")))</f>
        <v>Service Grafana</v>
      </c>
      <c r="G302" s="28" t="s">
        <v>1129</v>
      </c>
      <c r="H302" s="28" t="s">
        <v>1474</v>
      </c>
      <c r="I302" s="28" t="s">
        <v>262</v>
      </c>
      <c r="N302" s="28" t="s">
        <v>244</v>
      </c>
      <c r="P302" s="29"/>
      <c r="Q302" s="28"/>
      <c r="U302" s="35"/>
      <c r="V302" s="35"/>
      <c r="W302" s="35"/>
      <c r="X302" s="28"/>
      <c r="AD302" s="29"/>
      <c r="AE302" s="29"/>
      <c r="AF302" s="29"/>
      <c r="AG302" s="29"/>
      <c r="AM302" s="28" t="s">
        <v>1466</v>
      </c>
      <c r="AN302" s="28">
        <v>6</v>
      </c>
      <c r="AO302" s="29" t="s">
        <v>34</v>
      </c>
      <c r="AP302" s="29"/>
      <c r="AQ302" s="28" t="s">
        <v>1403</v>
      </c>
      <c r="AR302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homeassistant/switch/supervisor_macmini-max/service_grafana/config</v>
      </c>
      <c r="AS302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supervisor/macmini-max/data/service/grafana/health_status</v>
      </c>
      <c r="AT302" s="28" t="str">
        <f>IF(ISBLANK(Table2[[#This Row],[index]]),  "", _xlfn.CONCAT("supervisor/", Table2[[#This Row],[unique_id_device]], "/command/", SUBSTITUTE(LOWER(Table2[[#This Row],[unique_id]]), "_", "/")))</f>
        <v>supervisor/macmini-max/command/service/grafana</v>
      </c>
      <c r="AU302" s="28" t="str">
        <f>IF(ISBLANK(Table2[[#This Row],[index]]),  "", _xlfn.CONCAT("supervisor/", Table2[[#This Row],[unique_id_device]], "/status"))</f>
        <v>supervisor/macmini-max/status</v>
      </c>
      <c r="AZ302" s="28" t="s">
        <v>1465</v>
      </c>
      <c r="BA302" s="28">
        <v>1</v>
      </c>
      <c r="BB302" s="30"/>
      <c r="BD30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Grafana</v>
      </c>
      <c r="BG30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2" s="28" t="str">
        <f>IF(ISBLANK(Table2[[#This Row],[device_model]]), "", Table2[[#This Row],[device_suggested_area]])</f>
        <v>Rack</v>
      </c>
      <c r="BJ302" s="28" t="s">
        <v>1127</v>
      </c>
      <c r="BK302" s="28" t="s">
        <v>1437</v>
      </c>
      <c r="BL302" s="28" t="s">
        <v>1061</v>
      </c>
      <c r="BN302" s="28" t="s">
        <v>936</v>
      </c>
      <c r="BO302" s="28" t="s">
        <v>28</v>
      </c>
      <c r="BT302" s="39"/>
      <c r="BV30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3" spans="1:74" ht="16" customHeight="1" x14ac:dyDescent="0.2">
      <c r="A303" s="28">
        <v>2521</v>
      </c>
      <c r="B303" s="28" t="s">
        <v>26</v>
      </c>
      <c r="C303" s="28" t="s">
        <v>1127</v>
      </c>
      <c r="D303" s="28" t="s">
        <v>125</v>
      </c>
      <c r="E303" s="28" t="s">
        <v>1446</v>
      </c>
      <c r="F303" s="28" t="str">
        <f>IF(ISBLANK(Table2[[#This Row],[unique_id]]), "", PROPER(SUBSTITUTE(Table2[[#This Row],[unique_id]], "_", " ")))</f>
        <v>Service Letsencrypt</v>
      </c>
      <c r="G303" s="28" t="s">
        <v>1461</v>
      </c>
      <c r="H303" s="28" t="s">
        <v>1474</v>
      </c>
      <c r="I303" s="28" t="s">
        <v>262</v>
      </c>
      <c r="N303" s="28" t="s">
        <v>244</v>
      </c>
      <c r="P303" s="29"/>
      <c r="Q303" s="28"/>
      <c r="U303" s="35"/>
      <c r="V303" s="35"/>
      <c r="W303" s="35"/>
      <c r="X303" s="28"/>
      <c r="AD303" s="29"/>
      <c r="AE303" s="29"/>
      <c r="AF303" s="29"/>
      <c r="AG303" s="29"/>
      <c r="AM303" s="28" t="s">
        <v>1466</v>
      </c>
      <c r="AN303" s="28">
        <v>6</v>
      </c>
      <c r="AO303" s="29" t="s">
        <v>34</v>
      </c>
      <c r="AP303" s="29"/>
      <c r="AQ303" s="28" t="s">
        <v>1403</v>
      </c>
      <c r="AR30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homeassistant/switch/supervisor_macmini-max/service_letsencrypt/config</v>
      </c>
      <c r="AS303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supervisor/macmini-max/data/service/letsencrypt/health_status</v>
      </c>
      <c r="AT303" s="28" t="str">
        <f>IF(ISBLANK(Table2[[#This Row],[index]]),  "", _xlfn.CONCAT("supervisor/", Table2[[#This Row],[unique_id_device]], "/command/", SUBSTITUTE(LOWER(Table2[[#This Row],[unique_id]]), "_", "/")))</f>
        <v>supervisor/macmini-max/command/service/letsencrypt</v>
      </c>
      <c r="AU303" s="28" t="str">
        <f>IF(ISBLANK(Table2[[#This Row],[index]]),  "", _xlfn.CONCAT("supervisor/", Table2[[#This Row],[unique_id_device]], "/status"))</f>
        <v>supervisor/macmini-max/status</v>
      </c>
      <c r="AZ303" s="28" t="s">
        <v>1465</v>
      </c>
      <c r="BA303" s="28">
        <v>1</v>
      </c>
      <c r="BB303" s="30"/>
      <c r="BD30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Letsencrypt</v>
      </c>
      <c r="BG30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3" s="28" t="str">
        <f>IF(ISBLANK(Table2[[#This Row],[device_model]]), "", Table2[[#This Row],[device_suggested_area]])</f>
        <v>Rack</v>
      </c>
      <c r="BJ303" s="28" t="s">
        <v>1127</v>
      </c>
      <c r="BK303" s="28" t="s">
        <v>1437</v>
      </c>
      <c r="BL303" s="28" t="s">
        <v>1061</v>
      </c>
      <c r="BN303" s="28" t="s">
        <v>936</v>
      </c>
      <c r="BO303" s="28" t="s">
        <v>28</v>
      </c>
      <c r="BT303" s="39"/>
      <c r="BV30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4" spans="1:74" ht="16" customHeight="1" x14ac:dyDescent="0.2">
      <c r="A304" s="28">
        <v>2522</v>
      </c>
      <c r="B304" s="28" t="s">
        <v>543</v>
      </c>
      <c r="C304" s="28" t="s">
        <v>1127</v>
      </c>
      <c r="D304" s="28" t="s">
        <v>125</v>
      </c>
      <c r="E304" s="28" t="s">
        <v>1444</v>
      </c>
      <c r="F304" s="28" t="str">
        <f>IF(ISBLANK(Table2[[#This Row],[unique_id]]), "", PROPER(SUBSTITUTE(Table2[[#This Row],[unique_id]], "_", " ")))</f>
        <v>Service Openra</v>
      </c>
      <c r="G304" s="28" t="s">
        <v>1460</v>
      </c>
      <c r="H304" s="28" t="s">
        <v>1474</v>
      </c>
      <c r="I304" s="28" t="s">
        <v>262</v>
      </c>
      <c r="N304" s="28" t="s">
        <v>244</v>
      </c>
      <c r="P304" s="29"/>
      <c r="Q304" s="28"/>
      <c r="U304" s="35"/>
      <c r="V304" s="35"/>
      <c r="W304" s="35"/>
      <c r="X304" s="28"/>
      <c r="AD304" s="29"/>
      <c r="AE304" s="29"/>
      <c r="AF304" s="29"/>
      <c r="AG304" s="29"/>
      <c r="AM304" s="28" t="s">
        <v>1466</v>
      </c>
      <c r="AN304" s="28">
        <v>6</v>
      </c>
      <c r="AO304" s="29" t="s">
        <v>34</v>
      </c>
      <c r="AP304" s="29"/>
      <c r="AQ304" s="28" t="s">
        <v>1403</v>
      </c>
      <c r="AR304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homeassistant/switch/supervisor_macmini-max/service_openra/config</v>
      </c>
      <c r="AS304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supervisor/macmini-max/data/service/openra/health_status</v>
      </c>
      <c r="AT304" s="28" t="str">
        <f>IF(ISBLANK(Table2[[#This Row],[index]]),  "", _xlfn.CONCAT("supervisor/", Table2[[#This Row],[unique_id_device]], "/command/", SUBSTITUTE(LOWER(Table2[[#This Row],[unique_id]]), "_", "/")))</f>
        <v>supervisor/macmini-max/command/service/openra</v>
      </c>
      <c r="AU304" s="28" t="str">
        <f>IF(ISBLANK(Table2[[#This Row],[index]]),  "", _xlfn.CONCAT("supervisor/", Table2[[#This Row],[unique_id_device]], "/status"))</f>
        <v>supervisor/macmini-max/status</v>
      </c>
      <c r="AZ304" s="28" t="s">
        <v>1465</v>
      </c>
      <c r="BA304" s="28">
        <v>1</v>
      </c>
      <c r="BB304" s="30"/>
      <c r="BD30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Openra</v>
      </c>
      <c r="BG3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4" s="28" t="str">
        <f>IF(ISBLANK(Table2[[#This Row],[device_model]]), "", Table2[[#This Row],[device_suggested_area]])</f>
        <v>Rack</v>
      </c>
      <c r="BJ304" s="28" t="s">
        <v>1127</v>
      </c>
      <c r="BK304" s="28" t="s">
        <v>1437</v>
      </c>
      <c r="BL304" s="28" t="s">
        <v>1061</v>
      </c>
      <c r="BN304" s="28" t="s">
        <v>936</v>
      </c>
      <c r="BO304" s="28" t="s">
        <v>28</v>
      </c>
      <c r="BT304" s="39"/>
      <c r="BV3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5" spans="1:74" ht="16" customHeight="1" x14ac:dyDescent="0.2">
      <c r="A305" s="28">
        <v>2523</v>
      </c>
      <c r="B305" s="28" t="s">
        <v>26</v>
      </c>
      <c r="C305" s="28" t="s">
        <v>1127</v>
      </c>
      <c r="D305" s="28" t="s">
        <v>125</v>
      </c>
      <c r="E305" s="28" t="s">
        <v>1441</v>
      </c>
      <c r="F305" s="28" t="str">
        <f>IF(ISBLANK(Table2[[#This Row],[unique_id]]), "", PROPER(SUBSTITUTE(Table2[[#This Row],[unique_id]], "_", " ")))</f>
        <v>Service Influxdb3</v>
      </c>
      <c r="G305" s="28" t="s">
        <v>1456</v>
      </c>
      <c r="H305" s="28" t="s">
        <v>1474</v>
      </c>
      <c r="I305" s="28" t="s">
        <v>262</v>
      </c>
      <c r="N305" s="28" t="s">
        <v>244</v>
      </c>
      <c r="P305" s="29"/>
      <c r="Q305" s="28"/>
      <c r="U305" s="35"/>
      <c r="V305" s="35"/>
      <c r="W305" s="35"/>
      <c r="X305" s="28"/>
      <c r="AD305" s="29"/>
      <c r="AE305" s="29"/>
      <c r="AF305" s="29"/>
      <c r="AG305" s="29"/>
      <c r="AM305" s="28" t="s">
        <v>1466</v>
      </c>
      <c r="AN305" s="28">
        <v>6</v>
      </c>
      <c r="AO305" s="29" t="s">
        <v>34</v>
      </c>
      <c r="AP305" s="29"/>
      <c r="AQ305" s="28" t="s">
        <v>1367</v>
      </c>
      <c r="AR305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homeassistant/switch/supervisor_macmini-may/service_influxdb3/config</v>
      </c>
      <c r="AS305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supervisor/macmini-may/data/service/influxdb3/health_status</v>
      </c>
      <c r="AT305" s="28" t="str">
        <f>IF(ISBLANK(Table2[[#This Row],[index]]),  "", _xlfn.CONCAT("supervisor/", Table2[[#This Row],[unique_id_device]], "/command/", SUBSTITUTE(LOWER(Table2[[#This Row],[unique_id]]), "_", "/")))</f>
        <v>supervisor/macmini-may/command/service/influxdb3</v>
      </c>
      <c r="AU305" s="28" t="str">
        <f>IF(ISBLANK(Table2[[#This Row],[index]]),  "", _xlfn.CONCAT("supervisor/", Table2[[#This Row],[unique_id_device]], "/status"))</f>
        <v>supervisor/macmini-may/status</v>
      </c>
      <c r="AZ305" s="28" t="s">
        <v>1465</v>
      </c>
      <c r="BA305" s="28">
        <v>1</v>
      </c>
      <c r="BB305" s="30"/>
      <c r="BD30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Influxdb3</v>
      </c>
      <c r="BG30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5" s="28" t="str">
        <f>IF(ISBLANK(Table2[[#This Row],[device_model]]), "", Table2[[#This Row],[device_suggested_area]])</f>
        <v>Rack</v>
      </c>
      <c r="BJ305" s="28" t="s">
        <v>1127</v>
      </c>
      <c r="BK305" s="28" t="s">
        <v>1437</v>
      </c>
      <c r="BL305" s="28" t="s">
        <v>1061</v>
      </c>
      <c r="BN305" s="28" t="s">
        <v>936</v>
      </c>
      <c r="BO305" s="28" t="s">
        <v>28</v>
      </c>
      <c r="BT305" s="39"/>
      <c r="BV30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6" spans="1:74" ht="16" customHeight="1" x14ac:dyDescent="0.2">
      <c r="A306" s="28">
        <v>2524</v>
      </c>
      <c r="B306" s="28" t="s">
        <v>26</v>
      </c>
      <c r="C306" s="28" t="s">
        <v>1127</v>
      </c>
      <c r="D306" s="28" t="s">
        <v>125</v>
      </c>
      <c r="E306" s="28" t="s">
        <v>1442</v>
      </c>
      <c r="F306" s="28" t="str">
        <f>IF(ISBLANK(Table2[[#This Row],[unique_id]]), "", PROPER(SUBSTITUTE(Table2[[#This Row],[unique_id]], "_", " ")))</f>
        <v>Service Mlflow</v>
      </c>
      <c r="G306" s="28" t="s">
        <v>1458</v>
      </c>
      <c r="H306" s="28" t="s">
        <v>1474</v>
      </c>
      <c r="I306" s="28" t="s">
        <v>262</v>
      </c>
      <c r="N306" s="28" t="s">
        <v>244</v>
      </c>
      <c r="P306" s="29"/>
      <c r="Q306" s="28"/>
      <c r="U306" s="35"/>
      <c r="V306" s="35"/>
      <c r="W306" s="35"/>
      <c r="X306" s="28"/>
      <c r="AD306" s="29"/>
      <c r="AE306" s="29"/>
      <c r="AF306" s="29"/>
      <c r="AG306" s="29"/>
      <c r="AM306" s="28" t="s">
        <v>1466</v>
      </c>
      <c r="AN306" s="28">
        <v>6</v>
      </c>
      <c r="AO306" s="29" t="s">
        <v>34</v>
      </c>
      <c r="AP306" s="29"/>
      <c r="AQ306" s="28" t="s">
        <v>1367</v>
      </c>
      <c r="AR306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homeassistant/switch/supervisor_macmini-may/service_mlflow/config</v>
      </c>
      <c r="AS306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supervisor/macmini-may/data/service/mlflow/health_status</v>
      </c>
      <c r="AT306" s="28" t="str">
        <f>IF(ISBLANK(Table2[[#This Row],[index]]),  "", _xlfn.CONCAT("supervisor/", Table2[[#This Row],[unique_id_device]], "/command/", SUBSTITUTE(LOWER(Table2[[#This Row],[unique_id]]), "_", "/")))</f>
        <v>supervisor/macmini-may/command/service/mlflow</v>
      </c>
      <c r="AU306" s="28" t="str">
        <f>IF(ISBLANK(Table2[[#This Row],[index]]),  "", _xlfn.CONCAT("supervisor/", Table2[[#This Row],[unique_id_device]], "/status"))</f>
        <v>supervisor/macmini-may/status</v>
      </c>
      <c r="AZ306" s="28" t="s">
        <v>1465</v>
      </c>
      <c r="BA306" s="28">
        <v>1</v>
      </c>
      <c r="BB306" s="30"/>
      <c r="BD30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Mlflow</v>
      </c>
      <c r="BG30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6" s="28" t="str">
        <f>IF(ISBLANK(Table2[[#This Row],[device_model]]), "", Table2[[#This Row],[device_suggested_area]])</f>
        <v>Rack</v>
      </c>
      <c r="BJ306" s="28" t="s">
        <v>1127</v>
      </c>
      <c r="BK306" s="28" t="s">
        <v>1437</v>
      </c>
      <c r="BL306" s="28" t="s">
        <v>1061</v>
      </c>
      <c r="BN306" s="28" t="s">
        <v>936</v>
      </c>
      <c r="BO306" s="28" t="s">
        <v>28</v>
      </c>
      <c r="BT306" s="39"/>
      <c r="BV30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7" spans="1:74" ht="16" customHeight="1" x14ac:dyDescent="0.2">
      <c r="A307" s="28">
        <v>2525</v>
      </c>
      <c r="B307" s="28" t="s">
        <v>26</v>
      </c>
      <c r="C307" s="28" t="s">
        <v>1127</v>
      </c>
      <c r="D307" s="28" t="s">
        <v>125</v>
      </c>
      <c r="E307" s="28" t="s">
        <v>1443</v>
      </c>
      <c r="F307" s="28" t="str">
        <f>IF(ISBLANK(Table2[[#This Row],[unique_id]]), "", PROPER(SUBSTITUTE(Table2[[#This Row],[unique_id]], "_", " ")))</f>
        <v>Service Mlserver</v>
      </c>
      <c r="G307" s="28" t="s">
        <v>1459</v>
      </c>
      <c r="H307" s="28" t="s">
        <v>1474</v>
      </c>
      <c r="I307" s="28" t="s">
        <v>262</v>
      </c>
      <c r="N307" s="28" t="s">
        <v>244</v>
      </c>
      <c r="P307" s="29"/>
      <c r="Q307" s="28"/>
      <c r="U307" s="35"/>
      <c r="V307" s="35"/>
      <c r="W307" s="35"/>
      <c r="X307" s="28"/>
      <c r="AD307" s="29"/>
      <c r="AE307" s="29"/>
      <c r="AF307" s="29"/>
      <c r="AG307" s="29"/>
      <c r="AM307" s="28" t="s">
        <v>1466</v>
      </c>
      <c r="AN307" s="28">
        <v>6</v>
      </c>
      <c r="AO307" s="29" t="s">
        <v>34</v>
      </c>
      <c r="AP307" s="29"/>
      <c r="AQ307" s="28" t="s">
        <v>1367</v>
      </c>
      <c r="AR307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homeassistant/switch/supervisor_macmini-may/service_mlserver/config</v>
      </c>
      <c r="AS307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supervisor/macmini-may/data/service/mlserver/health_status</v>
      </c>
      <c r="AT307" s="28" t="str">
        <f>IF(ISBLANK(Table2[[#This Row],[index]]),  "", _xlfn.CONCAT("supervisor/", Table2[[#This Row],[unique_id_device]], "/command/", SUBSTITUTE(LOWER(Table2[[#This Row],[unique_id]]), "_", "/")))</f>
        <v>supervisor/macmini-may/command/service/mlserver</v>
      </c>
      <c r="AU307" s="28" t="str">
        <f>IF(ISBLANK(Table2[[#This Row],[index]]),  "", _xlfn.CONCAT("supervisor/", Table2[[#This Row],[unique_id_device]], "/status"))</f>
        <v>supervisor/macmini-may/status</v>
      </c>
      <c r="AZ307" s="28" t="s">
        <v>1465</v>
      </c>
      <c r="BA307" s="28">
        <v>1</v>
      </c>
      <c r="BB307" s="30"/>
      <c r="BD30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Mlserver</v>
      </c>
      <c r="BG30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7" s="28" t="str">
        <f>IF(ISBLANK(Table2[[#This Row],[device_model]]), "", Table2[[#This Row],[device_suggested_area]])</f>
        <v>Rack</v>
      </c>
      <c r="BJ307" s="28" t="s">
        <v>1127</v>
      </c>
      <c r="BK307" s="28" t="s">
        <v>1437</v>
      </c>
      <c r="BL307" s="28" t="s">
        <v>1061</v>
      </c>
      <c r="BN307" s="28" t="s">
        <v>936</v>
      </c>
      <c r="BO307" s="28" t="s">
        <v>28</v>
      </c>
      <c r="BT307" s="39"/>
      <c r="BV30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8" spans="1:74" ht="16" customHeight="1" x14ac:dyDescent="0.2">
      <c r="A308" s="28">
        <v>2526</v>
      </c>
      <c r="B308" s="28" t="s">
        <v>26</v>
      </c>
      <c r="C308" s="28" t="s">
        <v>1127</v>
      </c>
      <c r="D308" s="28" t="s">
        <v>125</v>
      </c>
      <c r="E308" s="28" t="s">
        <v>1447</v>
      </c>
      <c r="F308" s="28" t="str">
        <f>IF(ISBLANK(Table2[[#This Row],[unique_id]]), "", PROPER(SUBSTITUTE(Table2[[#This Row],[unique_id]], "_", " ")))</f>
        <v>Service Sonarr</v>
      </c>
      <c r="G308" s="28" t="s">
        <v>1455</v>
      </c>
      <c r="H308" s="28" t="s">
        <v>1474</v>
      </c>
      <c r="I308" s="28" t="s">
        <v>262</v>
      </c>
      <c r="N308" s="28" t="s">
        <v>244</v>
      </c>
      <c r="P308" s="29"/>
      <c r="Q308" s="28"/>
      <c r="U308" s="35"/>
      <c r="V308" s="35"/>
      <c r="W308" s="35"/>
      <c r="X308" s="28"/>
      <c r="AD308" s="29"/>
      <c r="AE308" s="29"/>
      <c r="AF308" s="29"/>
      <c r="AG308" s="29"/>
      <c r="AM308" s="28" t="s">
        <v>1466</v>
      </c>
      <c r="AN308" s="28">
        <v>6</v>
      </c>
      <c r="AO308" s="29" t="s">
        <v>34</v>
      </c>
      <c r="AP308" s="29"/>
      <c r="AQ308" s="28" t="s">
        <v>1367</v>
      </c>
      <c r="AR308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homeassistant/switch/supervisor_macmini-may/service_sonarr/config</v>
      </c>
      <c r="AS308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supervisor/macmini-may/data/service/sonarr/health_status</v>
      </c>
      <c r="AT308" s="28" t="str">
        <f>IF(ISBLANK(Table2[[#This Row],[index]]),  "", _xlfn.CONCAT("supervisor/", Table2[[#This Row],[unique_id_device]], "/command/", SUBSTITUTE(LOWER(Table2[[#This Row],[unique_id]]), "_", "/")))</f>
        <v>supervisor/macmini-may/command/service/sonarr</v>
      </c>
      <c r="AU308" s="28" t="str">
        <f>IF(ISBLANK(Table2[[#This Row],[index]]),  "", _xlfn.CONCAT("supervisor/", Table2[[#This Row],[unique_id_device]], "/status"))</f>
        <v>supervisor/macmini-may/status</v>
      </c>
      <c r="AZ308" s="28" t="s">
        <v>1465</v>
      </c>
      <c r="BA308" s="28">
        <v>1</v>
      </c>
      <c r="BB308" s="30"/>
      <c r="BD3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Sonarr</v>
      </c>
      <c r="BG3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8" s="28" t="str">
        <f>IF(ISBLANK(Table2[[#This Row],[device_model]]), "", Table2[[#This Row],[device_suggested_area]])</f>
        <v>Rack</v>
      </c>
      <c r="BJ308" s="28" t="s">
        <v>1127</v>
      </c>
      <c r="BK308" s="28" t="s">
        <v>1437</v>
      </c>
      <c r="BL308" s="28" t="s">
        <v>1061</v>
      </c>
      <c r="BN308" s="28" t="s">
        <v>936</v>
      </c>
      <c r="BO308" s="28" t="s">
        <v>28</v>
      </c>
      <c r="BT308" s="39"/>
      <c r="BV3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9" spans="1:74" ht="16" customHeight="1" x14ac:dyDescent="0.2">
      <c r="A309" s="28">
        <v>2527</v>
      </c>
      <c r="B309" s="28" t="s">
        <v>26</v>
      </c>
      <c r="C309" s="28" t="s">
        <v>1127</v>
      </c>
      <c r="D309" s="28" t="s">
        <v>125</v>
      </c>
      <c r="E309" s="28" t="s">
        <v>1471</v>
      </c>
      <c r="F309" s="28" t="str">
        <f>IF(ISBLANK(Table2[[#This Row],[unique_id]]), "", PROPER(SUBSTITUTE(Table2[[#This Row],[unique_id]], "_", " ")))</f>
        <v>Service Tempstat</v>
      </c>
      <c r="G309" s="28" t="s">
        <v>1467</v>
      </c>
      <c r="H309" s="28" t="s">
        <v>1474</v>
      </c>
      <c r="I309" s="28" t="s">
        <v>262</v>
      </c>
      <c r="N309" s="28" t="s">
        <v>244</v>
      </c>
      <c r="P309" s="29"/>
      <c r="Q309" s="28"/>
      <c r="U309" s="35"/>
      <c r="V309" s="35"/>
      <c r="W309" s="35"/>
      <c r="X309" s="28"/>
      <c r="AD309" s="29"/>
      <c r="AE309" s="29"/>
      <c r="AF309" s="29"/>
      <c r="AG309" s="29"/>
      <c r="AM309" s="28" t="s">
        <v>1466</v>
      </c>
      <c r="AN309" s="28">
        <v>6</v>
      </c>
      <c r="AO309" s="29" t="s">
        <v>34</v>
      </c>
      <c r="AP309" s="29"/>
      <c r="AQ309" s="28" t="s">
        <v>1367</v>
      </c>
      <c r="AR30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homeassistant/switch/supervisor_macmini-may/service_tempstat/config</v>
      </c>
      <c r="AS309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supervisor/macmini-may/data/service/tempstat/health_status</v>
      </c>
      <c r="AT309" s="28" t="str">
        <f>IF(ISBLANK(Table2[[#This Row],[index]]),  "", _xlfn.CONCAT("supervisor/", Table2[[#This Row],[unique_id_device]], "/command/", SUBSTITUTE(LOWER(Table2[[#This Row],[unique_id]]), "_", "/")))</f>
        <v>supervisor/macmini-may/command/service/tempstat</v>
      </c>
      <c r="AU309" s="28" t="str">
        <f>IF(ISBLANK(Table2[[#This Row],[index]]),  "", _xlfn.CONCAT("supervisor/", Table2[[#This Row],[unique_id_device]], "/status"))</f>
        <v>supervisor/macmini-may/status</v>
      </c>
      <c r="AZ309" s="28" t="s">
        <v>1465</v>
      </c>
      <c r="BA309" s="28">
        <v>1</v>
      </c>
      <c r="BB309" s="30"/>
      <c r="BD3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Tempstat</v>
      </c>
      <c r="BG3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09" s="28" t="str">
        <f>IF(ISBLANK(Table2[[#This Row],[device_model]]), "", Table2[[#This Row],[device_suggested_area]])</f>
        <v>Rack</v>
      </c>
      <c r="BJ309" s="28" t="s">
        <v>1127</v>
      </c>
      <c r="BK309" s="28" t="s">
        <v>1437</v>
      </c>
      <c r="BL309" s="28" t="s">
        <v>1061</v>
      </c>
      <c r="BN309" s="28" t="s">
        <v>936</v>
      </c>
      <c r="BO309" s="28" t="s">
        <v>28</v>
      </c>
      <c r="BT309" s="39"/>
      <c r="BV3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0" spans="1:74" ht="16" customHeight="1" x14ac:dyDescent="0.2">
      <c r="A310" s="28">
        <v>2528</v>
      </c>
      <c r="B310" s="28" t="s">
        <v>26</v>
      </c>
      <c r="C310" s="28" t="s">
        <v>1127</v>
      </c>
      <c r="D310" s="28" t="s">
        <v>125</v>
      </c>
      <c r="E310" s="28" t="s">
        <v>1438</v>
      </c>
      <c r="F310" s="28" t="str">
        <f>IF(ISBLANK(Table2[[#This Row],[unique_id]]), "", PROPER(SUBSTITUTE(Table2[[#This Row],[unique_id]], "_", " ")))</f>
        <v>Service Homeassistant</v>
      </c>
      <c r="G310" s="28" t="s">
        <v>1133</v>
      </c>
      <c r="H310" s="28" t="s">
        <v>1474</v>
      </c>
      <c r="I310" s="28" t="s">
        <v>262</v>
      </c>
      <c r="N310" s="28" t="s">
        <v>244</v>
      </c>
      <c r="P310" s="29"/>
      <c r="Q310" s="28"/>
      <c r="U310" s="35"/>
      <c r="V310" s="35"/>
      <c r="W310" s="35"/>
      <c r="X310" s="28"/>
      <c r="AD310" s="29"/>
      <c r="AE310" s="29"/>
      <c r="AF310" s="29"/>
      <c r="AG310" s="29"/>
      <c r="AM310" s="28" t="s">
        <v>1466</v>
      </c>
      <c r="AN310" s="28">
        <v>6</v>
      </c>
      <c r="AO310" s="29" t="s">
        <v>34</v>
      </c>
      <c r="AP310" s="29"/>
      <c r="AQ310" s="28" t="s">
        <v>1078</v>
      </c>
      <c r="AR310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homeassistant/switch/supervisor_macmini-meg/service_homeassistant/config</v>
      </c>
      <c r="AS310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supervisor/macmini-meg/data/service/homeassistant/health_status</v>
      </c>
      <c r="AT310" s="28" t="str">
        <f>IF(ISBLANK(Table2[[#This Row],[index]]),  "", _xlfn.CONCAT("supervisor/", Table2[[#This Row],[unique_id_device]], "/command/", SUBSTITUTE(LOWER(Table2[[#This Row],[unique_id]]), "_", "/")))</f>
        <v>supervisor/macmini-meg/command/service/homeassistant</v>
      </c>
      <c r="AU310" s="28" t="str">
        <f>IF(ISBLANK(Table2[[#This Row],[index]]),  "", _xlfn.CONCAT("supervisor/", Table2[[#This Row],[unique_id_device]], "/status"))</f>
        <v>supervisor/macmini-meg/status</v>
      </c>
      <c r="AZ310" s="28" t="s">
        <v>1465</v>
      </c>
      <c r="BA310" s="28">
        <v>1</v>
      </c>
      <c r="BB310" s="30"/>
      <c r="BD3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Homeassistant</v>
      </c>
      <c r="BG3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0" s="28" t="str">
        <f>IF(ISBLANK(Table2[[#This Row],[device_model]]), "", Table2[[#This Row],[device_suggested_area]])</f>
        <v>Rack</v>
      </c>
      <c r="BJ310" s="28" t="s">
        <v>1127</v>
      </c>
      <c r="BK310" s="28" t="s">
        <v>1437</v>
      </c>
      <c r="BL310" s="28" t="s">
        <v>1061</v>
      </c>
      <c r="BN310" s="28" t="s">
        <v>936</v>
      </c>
      <c r="BO310" s="28" t="s">
        <v>28</v>
      </c>
      <c r="BT310" s="39"/>
      <c r="BV3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1" spans="1:74" ht="16" customHeight="1" x14ac:dyDescent="0.2">
      <c r="A311" s="28">
        <v>2529</v>
      </c>
      <c r="B311" s="28" t="s">
        <v>26</v>
      </c>
      <c r="C311" s="28" t="s">
        <v>1127</v>
      </c>
      <c r="D311" s="28" t="s">
        <v>125</v>
      </c>
      <c r="E311" s="28" t="s">
        <v>1449</v>
      </c>
      <c r="F311" s="28" t="str">
        <f>IF(ISBLANK(Table2[[#This Row],[unique_id]]), "", PROPER(SUBSTITUTE(Table2[[#This Row],[unique_id]], "_", " ")))</f>
        <v>Service Mariadb</v>
      </c>
      <c r="G311" s="28" t="s">
        <v>1462</v>
      </c>
      <c r="H311" s="28" t="s">
        <v>1474</v>
      </c>
      <c r="I311" s="28" t="s">
        <v>262</v>
      </c>
      <c r="N311" s="28" t="s">
        <v>244</v>
      </c>
      <c r="P311" s="29"/>
      <c r="Q311" s="28"/>
      <c r="U311" s="35"/>
      <c r="V311" s="35"/>
      <c r="W311" s="35"/>
      <c r="X311" s="28"/>
      <c r="AD311" s="29"/>
      <c r="AE311" s="29"/>
      <c r="AF311" s="29"/>
      <c r="AG311" s="29"/>
      <c r="AM311" s="28" t="s">
        <v>1466</v>
      </c>
      <c r="AN311" s="28">
        <v>6</v>
      </c>
      <c r="AO311" s="29" t="s">
        <v>34</v>
      </c>
      <c r="AP311" s="29"/>
      <c r="AQ311" s="28" t="s">
        <v>1078</v>
      </c>
      <c r="AR311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homeassistant/switch/supervisor_macmini-meg/service_mariadb/config</v>
      </c>
      <c r="AS311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supervisor/macmini-meg/data/service/mariadb/health_status</v>
      </c>
      <c r="AT311" s="28" t="str">
        <f>IF(ISBLANK(Table2[[#This Row],[index]]),  "", _xlfn.CONCAT("supervisor/", Table2[[#This Row],[unique_id_device]], "/command/", SUBSTITUTE(LOWER(Table2[[#This Row],[unique_id]]), "_", "/")))</f>
        <v>supervisor/macmini-meg/command/service/mariadb</v>
      </c>
      <c r="AU311" s="28" t="str">
        <f>IF(ISBLANK(Table2[[#This Row],[index]]),  "", _xlfn.CONCAT("supervisor/", Table2[[#This Row],[unique_id_device]], "/status"))</f>
        <v>supervisor/macmini-meg/status</v>
      </c>
      <c r="AZ311" s="28" t="s">
        <v>1465</v>
      </c>
      <c r="BA311" s="28">
        <v>1</v>
      </c>
      <c r="BB311" s="30"/>
      <c r="BD3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Mariadb</v>
      </c>
      <c r="BG3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1" s="28" t="str">
        <f>IF(ISBLANK(Table2[[#This Row],[device_model]]), "", Table2[[#This Row],[device_suggested_area]])</f>
        <v>Rack</v>
      </c>
      <c r="BJ311" s="28" t="s">
        <v>1127</v>
      </c>
      <c r="BK311" s="28" t="s">
        <v>1437</v>
      </c>
      <c r="BL311" s="28" t="s">
        <v>1061</v>
      </c>
      <c r="BN311" s="28" t="s">
        <v>936</v>
      </c>
      <c r="BO311" s="28" t="s">
        <v>28</v>
      </c>
      <c r="BT311" s="39"/>
      <c r="BV3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2" spans="1:74" ht="16" customHeight="1" x14ac:dyDescent="0.2">
      <c r="A312" s="28">
        <v>2530</v>
      </c>
      <c r="B312" s="28" t="s">
        <v>26</v>
      </c>
      <c r="C312" s="28" t="s">
        <v>1127</v>
      </c>
      <c r="D312" s="28" t="s">
        <v>125</v>
      </c>
      <c r="E312" s="28" t="s">
        <v>1450</v>
      </c>
      <c r="F312" s="28" t="str">
        <f>IF(ISBLANK(Table2[[#This Row],[unique_id]]), "", PROPER(SUBSTITUTE(Table2[[#This Row],[unique_id]], "_", " ")))</f>
        <v>Service Nginx</v>
      </c>
      <c r="G312" s="28" t="s">
        <v>1131</v>
      </c>
      <c r="H312" s="28" t="s">
        <v>1474</v>
      </c>
      <c r="I312" s="28" t="s">
        <v>262</v>
      </c>
      <c r="N312" s="28" t="s">
        <v>244</v>
      </c>
      <c r="P312" s="29"/>
      <c r="Q312" s="28"/>
      <c r="U312" s="35"/>
      <c r="V312" s="35"/>
      <c r="W312" s="35"/>
      <c r="X312" s="28"/>
      <c r="AD312" s="29"/>
      <c r="AE312" s="29"/>
      <c r="AF312" s="29"/>
      <c r="AG312" s="29"/>
      <c r="AM312" s="28" t="s">
        <v>1466</v>
      </c>
      <c r="AN312" s="28">
        <v>6</v>
      </c>
      <c r="AO312" s="29" t="s">
        <v>34</v>
      </c>
      <c r="AP312" s="29"/>
      <c r="AQ312" s="28" t="s">
        <v>1078</v>
      </c>
      <c r="AR312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homeassistant/switch/supervisor_macmini-meg/service_nginx/config</v>
      </c>
      <c r="AS312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supervisor/macmini-meg/data/service/nginx/health_status</v>
      </c>
      <c r="AT312" s="28" t="str">
        <f>IF(ISBLANK(Table2[[#This Row],[index]]),  "", _xlfn.CONCAT("supervisor/", Table2[[#This Row],[unique_id_device]], "/command/", SUBSTITUTE(LOWER(Table2[[#This Row],[unique_id]]), "_", "/")))</f>
        <v>supervisor/macmini-meg/command/service/nginx</v>
      </c>
      <c r="AU312" s="28" t="str">
        <f>IF(ISBLANK(Table2[[#This Row],[index]]),  "", _xlfn.CONCAT("supervisor/", Table2[[#This Row],[unique_id_device]], "/status"))</f>
        <v>supervisor/macmini-meg/status</v>
      </c>
      <c r="AZ312" s="28" t="s">
        <v>1465</v>
      </c>
      <c r="BA312" s="28">
        <v>1</v>
      </c>
      <c r="BB312" s="30"/>
      <c r="BD3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Nginx</v>
      </c>
      <c r="BG3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2" s="28" t="str">
        <f>IF(ISBLANK(Table2[[#This Row],[device_model]]), "", Table2[[#This Row],[device_suggested_area]])</f>
        <v>Rack</v>
      </c>
      <c r="BJ312" s="28" t="s">
        <v>1127</v>
      </c>
      <c r="BK312" s="28" t="s">
        <v>1437</v>
      </c>
      <c r="BL312" s="28" t="s">
        <v>1061</v>
      </c>
      <c r="BN312" s="28" t="s">
        <v>936</v>
      </c>
      <c r="BO312" s="28" t="s">
        <v>28</v>
      </c>
      <c r="BT312" s="39"/>
      <c r="BV3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3" spans="1:74" ht="16" customHeight="1" x14ac:dyDescent="0.2">
      <c r="A313" s="28">
        <v>2531</v>
      </c>
      <c r="B313" s="28" t="s">
        <v>26</v>
      </c>
      <c r="C313" s="28" t="s">
        <v>1127</v>
      </c>
      <c r="D313" s="28" t="s">
        <v>125</v>
      </c>
      <c r="E313" s="28" t="s">
        <v>1499</v>
      </c>
      <c r="F313" s="28" t="str">
        <f>IF(ISBLANK(Table2[[#This Row],[unique_id]]), "", PROPER(SUBSTITUTE(Table2[[#This Row],[unique_id]], "_", " ")))</f>
        <v>Service Tasmota</v>
      </c>
      <c r="G313" s="28" t="s">
        <v>658</v>
      </c>
      <c r="H313" s="28" t="s">
        <v>1474</v>
      </c>
      <c r="I313" s="28" t="s">
        <v>262</v>
      </c>
      <c r="N313" s="28" t="s">
        <v>244</v>
      </c>
      <c r="P313" s="29"/>
      <c r="Q313" s="28"/>
      <c r="U313" s="35"/>
      <c r="V313" s="35"/>
      <c r="W313" s="35"/>
      <c r="X313" s="28"/>
      <c r="AD313" s="29"/>
      <c r="AE313" s="29"/>
      <c r="AF313" s="29"/>
      <c r="AG313" s="29"/>
      <c r="AM313" s="28" t="s">
        <v>1466</v>
      </c>
      <c r="AN313" s="28">
        <v>6</v>
      </c>
      <c r="AO313" s="29" t="s">
        <v>34</v>
      </c>
      <c r="AP313" s="29"/>
      <c r="AQ313" s="28" t="s">
        <v>1078</v>
      </c>
      <c r="AR31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homeassistant/switch/supervisor_macmini-meg/service_tasmota/config</v>
      </c>
      <c r="AS313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supervisor/macmini-meg/data/service/tasmota/health_status</v>
      </c>
      <c r="AT313" s="28" t="str">
        <f>IF(ISBLANK(Table2[[#This Row],[index]]),  "", _xlfn.CONCAT("supervisor/", Table2[[#This Row],[unique_id_device]], "/command/", SUBSTITUTE(LOWER(Table2[[#This Row],[unique_id]]), "_", "/")))</f>
        <v>supervisor/macmini-meg/command/service/tasmota</v>
      </c>
      <c r="AU313" s="28" t="str">
        <f>IF(ISBLANK(Table2[[#This Row],[index]]),  "", _xlfn.CONCAT("supervisor/", Table2[[#This Row],[unique_id_device]], "/status"))</f>
        <v>supervisor/macmini-meg/status</v>
      </c>
      <c r="AZ313" s="28" t="s">
        <v>1465</v>
      </c>
      <c r="BA313" s="28">
        <v>1</v>
      </c>
      <c r="BB313" s="30"/>
      <c r="BD3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Tasmota</v>
      </c>
      <c r="BG3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3" s="28" t="str">
        <f>IF(ISBLANK(Table2[[#This Row],[device_model]]), "", Table2[[#This Row],[device_suggested_area]])</f>
        <v>Rack</v>
      </c>
      <c r="BJ313" s="28" t="s">
        <v>1127</v>
      </c>
      <c r="BK313" s="28" t="s">
        <v>1437</v>
      </c>
      <c r="BL313" s="28" t="s">
        <v>1061</v>
      </c>
      <c r="BN313" s="28" t="s">
        <v>936</v>
      </c>
      <c r="BO313" s="28" t="s">
        <v>28</v>
      </c>
      <c r="BT313" s="39"/>
      <c r="BV3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4" spans="1:74" ht="16" customHeight="1" x14ac:dyDescent="0.2">
      <c r="A314" s="28">
        <v>2532</v>
      </c>
      <c r="B314" s="28" t="s">
        <v>26</v>
      </c>
      <c r="C314" s="28" t="s">
        <v>1127</v>
      </c>
      <c r="D314" s="28" t="s">
        <v>125</v>
      </c>
      <c r="E314" s="28" t="s">
        <v>1452</v>
      </c>
      <c r="F314" s="28" t="str">
        <f>IF(ISBLANK(Table2[[#This Row],[unique_id]]), "", PROPER(SUBSTITUTE(Table2[[#This Row],[unique_id]], "_", " ")))</f>
        <v>Service Vernemq</v>
      </c>
      <c r="G314" s="28" t="s">
        <v>1463</v>
      </c>
      <c r="H314" s="28" t="s">
        <v>1474</v>
      </c>
      <c r="I314" s="28" t="s">
        <v>262</v>
      </c>
      <c r="N314" s="28" t="s">
        <v>244</v>
      </c>
      <c r="P314" s="29"/>
      <c r="Q314" s="28"/>
      <c r="U314" s="35"/>
      <c r="V314" s="35"/>
      <c r="W314" s="35"/>
      <c r="X314" s="28"/>
      <c r="AD314" s="29"/>
      <c r="AE314" s="29"/>
      <c r="AF314" s="29"/>
      <c r="AG314" s="29"/>
      <c r="AM314" s="28" t="s">
        <v>1466</v>
      </c>
      <c r="AN314" s="28">
        <v>6</v>
      </c>
      <c r="AO314" s="29" t="s">
        <v>34</v>
      </c>
      <c r="AP314" s="29"/>
      <c r="AQ314" s="28" t="s">
        <v>1078</v>
      </c>
      <c r="AR314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homeassistant/switch/supervisor_macmini-meg/service_vernemq/config</v>
      </c>
      <c r="AS314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supervisor/macmini-meg/data/service/vernemq/health_status</v>
      </c>
      <c r="AT314" s="28" t="str">
        <f>IF(ISBLANK(Table2[[#This Row],[index]]),  "", _xlfn.CONCAT("supervisor/", Table2[[#This Row],[unique_id_device]], "/command/", SUBSTITUTE(LOWER(Table2[[#This Row],[unique_id]]), "_", "/")))</f>
        <v>supervisor/macmini-meg/command/service/vernemq</v>
      </c>
      <c r="AU314" s="28" t="str">
        <f>IF(ISBLANK(Table2[[#This Row],[index]]),  "", _xlfn.CONCAT("supervisor/", Table2[[#This Row],[unique_id_device]], "/status"))</f>
        <v>supervisor/macmini-meg/status</v>
      </c>
      <c r="AZ314" s="28" t="s">
        <v>1465</v>
      </c>
      <c r="BA314" s="28">
        <v>1</v>
      </c>
      <c r="BB314" s="30"/>
      <c r="BD3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Vernemq</v>
      </c>
      <c r="BG3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4" s="28" t="str">
        <f>IF(ISBLANK(Table2[[#This Row],[device_model]]), "", Table2[[#This Row],[device_suggested_area]])</f>
        <v>Rack</v>
      </c>
      <c r="BJ314" s="28" t="s">
        <v>1127</v>
      </c>
      <c r="BK314" s="28" t="s">
        <v>1437</v>
      </c>
      <c r="BL314" s="28" t="s">
        <v>1061</v>
      </c>
      <c r="BN314" s="28" t="s">
        <v>936</v>
      </c>
      <c r="BO314" s="28" t="s">
        <v>28</v>
      </c>
      <c r="BT314" s="39"/>
      <c r="BV3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5" spans="1:74" ht="16" customHeight="1" x14ac:dyDescent="0.2">
      <c r="A315" s="28">
        <v>2533</v>
      </c>
      <c r="B315" s="28" t="s">
        <v>26</v>
      </c>
      <c r="C315" s="28" t="s">
        <v>1127</v>
      </c>
      <c r="D315" s="28" t="s">
        <v>125</v>
      </c>
      <c r="E315" s="28" t="s">
        <v>1453</v>
      </c>
      <c r="F315" s="28" t="str">
        <f>IF(ISBLANK(Table2[[#This Row],[unique_id]]), "", PROPER(SUBSTITUTE(Table2[[#This Row],[unique_id]], "_", " ")))</f>
        <v>Service Weewx</v>
      </c>
      <c r="G315" s="28" t="s">
        <v>39</v>
      </c>
      <c r="H315" s="28" t="s">
        <v>1474</v>
      </c>
      <c r="I315" s="28" t="s">
        <v>262</v>
      </c>
      <c r="N315" s="28" t="s">
        <v>244</v>
      </c>
      <c r="P315" s="29"/>
      <c r="Q315" s="28"/>
      <c r="U315" s="35"/>
      <c r="V315" s="35"/>
      <c r="W315" s="35"/>
      <c r="X315" s="28"/>
      <c r="AD315" s="29"/>
      <c r="AE315" s="29"/>
      <c r="AF315" s="29"/>
      <c r="AG315" s="29"/>
      <c r="AM315" s="28" t="s">
        <v>1466</v>
      </c>
      <c r="AN315" s="28">
        <v>6</v>
      </c>
      <c r="AO315" s="29" t="s">
        <v>34</v>
      </c>
      <c r="AP315" s="29"/>
      <c r="AQ315" s="28" t="s">
        <v>1370</v>
      </c>
      <c r="AR315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homeassistant/switch/supervisor_raspbpi-jen/service_weewx/config</v>
      </c>
      <c r="AS315" s="28" t="str">
        <f>IF(ISBLANK(Table2[[#This Row],[index]]),  "", _xlfn.CONCAT("supervisor/", Table2[[#This Row],[unique_id_device]], "/data/", SUBSTITUTE(LOWER(Table2[[#This Row],[unique_id]]), "_", "/"), "/health_status"))</f>
        <v>supervisor/raspbpi-jen/data/service/weewx/health_status</v>
      </c>
      <c r="AT315" s="28" t="str">
        <f>IF(ISBLANK(Table2[[#This Row],[index]]),  "", _xlfn.CONCAT("supervisor/", Table2[[#This Row],[unique_id_device]], "/command/", SUBSTITUTE(LOWER(Table2[[#This Row],[unique_id]]), "_", "/")))</f>
        <v>supervisor/raspbpi-jen/command/service/weewx</v>
      </c>
      <c r="AU315" s="28" t="str">
        <f>IF(ISBLANK(Table2[[#This Row],[index]]),  "", _xlfn.CONCAT("supervisor/", Table2[[#This Row],[unique_id_device]], "/status"))</f>
        <v>supervisor/raspbpi-jen/status</v>
      </c>
      <c r="AZ315" s="28" t="s">
        <v>1465</v>
      </c>
      <c r="BA315" s="28">
        <v>1</v>
      </c>
      <c r="BB315" s="30"/>
      <c r="BD3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Weewx</v>
      </c>
      <c r="BG3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5" s="28" t="str">
        <f>IF(ISBLANK(Table2[[#This Row],[device_model]]), "", Table2[[#This Row],[device_suggested_area]])</f>
        <v>Rack</v>
      </c>
      <c r="BJ315" s="28" t="s">
        <v>1127</v>
      </c>
      <c r="BK315" s="28" t="s">
        <v>1437</v>
      </c>
      <c r="BL315" s="28" t="s">
        <v>1061</v>
      </c>
      <c r="BN315" s="28" t="s">
        <v>936</v>
      </c>
      <c r="BO315" s="28" t="s">
        <v>28</v>
      </c>
      <c r="BT315" s="39"/>
      <c r="BV3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6" spans="1:74" ht="16" customHeight="1" x14ac:dyDescent="0.2">
      <c r="A316" s="28">
        <v>2534</v>
      </c>
      <c r="B316" s="28" t="s">
        <v>26</v>
      </c>
      <c r="C316" s="28" t="s">
        <v>1127</v>
      </c>
      <c r="D316" s="28" t="s">
        <v>125</v>
      </c>
      <c r="E316" s="28" t="s">
        <v>1454</v>
      </c>
      <c r="F316" s="28" t="str">
        <f>IF(ISBLANK(Table2[[#This Row],[unique_id]]), "", PROPER(SUBSTITUTE(Table2[[#This Row],[unique_id]], "_", " ")))</f>
        <v>Service Zigbee2Mqtt</v>
      </c>
      <c r="G316" s="28" t="s">
        <v>1464</v>
      </c>
      <c r="H316" s="28" t="s">
        <v>1474</v>
      </c>
      <c r="I316" s="28" t="s">
        <v>262</v>
      </c>
      <c r="N316" s="28" t="s">
        <v>244</v>
      </c>
      <c r="P316" s="29"/>
      <c r="Q316" s="28"/>
      <c r="U316" s="35"/>
      <c r="V316" s="35"/>
      <c r="W316" s="35"/>
      <c r="X316" s="28"/>
      <c r="AD316" s="29"/>
      <c r="AE316" s="29"/>
      <c r="AF316" s="29"/>
      <c r="AG316" s="29"/>
      <c r="AM316" s="28" t="s">
        <v>1466</v>
      </c>
      <c r="AN316" s="28">
        <v>6</v>
      </c>
      <c r="AO316" s="29" t="s">
        <v>34</v>
      </c>
      <c r="AP316" s="29"/>
      <c r="AQ316" s="28" t="s">
        <v>1370</v>
      </c>
      <c r="AR316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homeassistant/switch/supervisor_raspbpi-jen/service_zigbee2mqtt/config</v>
      </c>
      <c r="AS316" s="28" t="str">
        <f>IF(ISBLANK(Table2[[#This Row],[index]]),  "", _xlfn.CONCAT("supervisor/", Table2[[#This Row],[unique_id_device]], "/data/", SUBSTITUTE(LOWER(Table2[[#This Row],[unique_id]]), "_", "/"), "/health_status"))</f>
        <v>supervisor/raspbpi-jen/data/service/zigbee2mqtt/health_status</v>
      </c>
      <c r="AT316" s="28" t="str">
        <f>IF(ISBLANK(Table2[[#This Row],[index]]),  "", _xlfn.CONCAT("supervisor/", Table2[[#This Row],[unique_id_device]], "/command/", SUBSTITUTE(LOWER(Table2[[#This Row],[unique_id]]), "_", "/")))</f>
        <v>supervisor/raspbpi-jen/command/service/zigbee2mqtt</v>
      </c>
      <c r="AU316" s="28" t="str">
        <f>IF(ISBLANK(Table2[[#This Row],[index]]),  "", _xlfn.CONCAT("supervisor/", Table2[[#This Row],[unique_id_device]], "/status"))</f>
        <v>supervisor/raspbpi-jen/status</v>
      </c>
      <c r="AZ316" s="28" t="s">
        <v>1465</v>
      </c>
      <c r="BA316" s="28">
        <v>1</v>
      </c>
      <c r="BB316" s="30"/>
      <c r="BD3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Zigbee2Mqtt</v>
      </c>
      <c r="BG3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6" s="28" t="str">
        <f>IF(ISBLANK(Table2[[#This Row],[device_model]]), "", Table2[[#This Row],[device_suggested_area]])</f>
        <v>Rack</v>
      </c>
      <c r="BJ316" s="28" t="s">
        <v>1127</v>
      </c>
      <c r="BK316" s="28" t="s">
        <v>1437</v>
      </c>
      <c r="BL316" s="28" t="s">
        <v>1061</v>
      </c>
      <c r="BN316" s="28" t="s">
        <v>936</v>
      </c>
      <c r="BO316" s="28" t="s">
        <v>28</v>
      </c>
      <c r="BT316" s="39"/>
      <c r="BV3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7" spans="1:74" ht="16" customHeight="1" x14ac:dyDescent="0.2">
      <c r="A317" s="28">
        <v>2535</v>
      </c>
      <c r="B317" s="28" t="s">
        <v>26</v>
      </c>
      <c r="C317" s="28" t="s">
        <v>409</v>
      </c>
      <c r="D317" s="28" t="s">
        <v>304</v>
      </c>
      <c r="E317" s="28" t="s">
        <v>303</v>
      </c>
      <c r="F317" s="34" t="str">
        <f>IF(ISBLANK(Table2[[#This Row],[unique_id]]), "", PROPER(SUBSTITUTE(Table2[[#This Row],[unique_id]], "_", " ")))</f>
        <v>Column Break</v>
      </c>
      <c r="G317" s="28" t="s">
        <v>300</v>
      </c>
      <c r="H317" s="28" t="s">
        <v>1474</v>
      </c>
      <c r="I317" s="28" t="s">
        <v>262</v>
      </c>
      <c r="N317" s="28" t="s">
        <v>301</v>
      </c>
      <c r="O317" s="28" t="s">
        <v>302</v>
      </c>
      <c r="P317" s="29"/>
      <c r="Q317" s="28"/>
      <c r="U317" s="35"/>
      <c r="V317" s="35"/>
      <c r="W317" s="35"/>
      <c r="X317" s="28"/>
      <c r="AD317" s="29"/>
      <c r="AE317" s="29"/>
      <c r="AF317" s="29"/>
      <c r="AG317" s="29"/>
      <c r="AO317" s="29"/>
      <c r="AP317" s="29"/>
      <c r="AZ317" s="37"/>
      <c r="BA317" s="28"/>
      <c r="BB317" s="30"/>
      <c r="BC317" s="29"/>
      <c r="BD3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7" s="28" t="str">
        <f>IF(ISBLANK(Table2[[#This Row],[device_model]]), "", Table2[[#This Row],[device_suggested_area]])</f>
        <v/>
      </c>
      <c r="BN317" s="29"/>
      <c r="BT317" s="28"/>
      <c r="BV3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8" spans="1:74" ht="16" customHeight="1" x14ac:dyDescent="0.2">
      <c r="A318" s="28">
        <v>2536</v>
      </c>
      <c r="B318" s="28" t="s">
        <v>26</v>
      </c>
      <c r="C318" s="28" t="s">
        <v>1138</v>
      </c>
      <c r="D318" s="28" t="s">
        <v>27</v>
      </c>
      <c r="E318" s="28" t="s">
        <v>1144</v>
      </c>
      <c r="F318" s="28" t="str">
        <f>IF(ISBLANK(Table2[[#This Row],[unique_id]]), "", PROPER(SUBSTITUTE(Table2[[#This Row],[unique_id]], "_", " ")))</f>
        <v>Template Utility Temperature Proxy</v>
      </c>
      <c r="G318" s="28" t="s">
        <v>1139</v>
      </c>
      <c r="H318" s="28" t="s">
        <v>1141</v>
      </c>
      <c r="I318" s="28" t="s">
        <v>262</v>
      </c>
      <c r="K318" s="28" t="s">
        <v>1109</v>
      </c>
      <c r="N318" s="28" t="s">
        <v>127</v>
      </c>
      <c r="P318" s="29"/>
      <c r="Q318" s="28"/>
      <c r="U318" s="35"/>
      <c r="V318" s="35"/>
      <c r="W318" s="35" t="s">
        <v>28</v>
      </c>
      <c r="X318" s="28"/>
      <c r="AD318" s="29"/>
      <c r="AE318" s="29"/>
      <c r="AF318" s="29"/>
      <c r="AG318" s="29"/>
      <c r="AJ318" s="28" t="s">
        <v>31</v>
      </c>
      <c r="AK318" s="28" t="s">
        <v>79</v>
      </c>
      <c r="AL318" s="28" t="s">
        <v>80</v>
      </c>
      <c r="AM318" s="28" t="s">
        <v>287</v>
      </c>
      <c r="AO318" s="29"/>
      <c r="AP318" s="29"/>
      <c r="AR318" s="28" t="str">
        <f>IF(ISBLANK(AQ318),  "", _xlfn.CONCAT("haas/entity/sensor/", LOWER(C318), "/", E318, "/config"))</f>
        <v/>
      </c>
      <c r="AS318" s="28" t="str">
        <f>IF(ISBLANK(AQ318),  "", _xlfn.CONCAT(LOWER(C318), "/", E318))</f>
        <v/>
      </c>
      <c r="AZ318" s="37"/>
      <c r="BA318" s="28"/>
      <c r="BB318" s="30"/>
      <c r="BC318" s="38"/>
      <c r="BD318" s="28"/>
      <c r="BF3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8" s="28" t="str">
        <f>IF(ISBLANK(Table2[[#This Row],[device_model]]), "", Table2[[#This Row],[device_suggested_area]])</f>
        <v/>
      </c>
      <c r="BN318" s="29"/>
      <c r="BT318" s="28"/>
      <c r="BV3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9" spans="1:74" ht="16" customHeight="1" x14ac:dyDescent="0.2">
      <c r="A319" s="28">
        <v>2537</v>
      </c>
      <c r="B319" s="28" t="s">
        <v>26</v>
      </c>
      <c r="C319" s="28" t="s">
        <v>1467</v>
      </c>
      <c r="D319" s="28" t="s">
        <v>27</v>
      </c>
      <c r="E319" s="28" t="s">
        <v>1058</v>
      </c>
      <c r="F319" s="34" t="str">
        <f>IF(ISBLANK(Table2[[#This Row],[unique_id]]), "", PROPER(SUBSTITUTE(Table2[[#This Row],[unique_id]], "_", " ")))</f>
        <v>Rack Top Temperature</v>
      </c>
      <c r="G319" s="28" t="s">
        <v>1060</v>
      </c>
      <c r="H319" s="28" t="s">
        <v>1141</v>
      </c>
      <c r="I319" s="28" t="s">
        <v>262</v>
      </c>
      <c r="K319" s="28" t="s">
        <v>1101</v>
      </c>
      <c r="P319" s="29"/>
      <c r="Q319" s="28"/>
      <c r="U319" s="35"/>
      <c r="V319" s="35"/>
      <c r="W319" s="35"/>
      <c r="X319" s="28"/>
      <c r="AD319" s="29" t="s">
        <v>1121</v>
      </c>
      <c r="AE319" s="29"/>
      <c r="AF319" s="29"/>
      <c r="AG319" s="29"/>
      <c r="AJ319" s="28" t="s">
        <v>31</v>
      </c>
      <c r="AK319" s="28" t="s">
        <v>79</v>
      </c>
      <c r="AL319" s="28" t="s">
        <v>80</v>
      </c>
      <c r="AM319" s="28" t="s">
        <v>287</v>
      </c>
      <c r="AN319" s="28">
        <v>300</v>
      </c>
      <c r="AO319" s="29" t="s">
        <v>34</v>
      </c>
      <c r="AP319" s="29"/>
      <c r="AQ319" s="28" t="s">
        <v>1367</v>
      </c>
      <c r="AR319" s="28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homeassistant/sensor/tempstat/rack_top_temperature/config</v>
      </c>
      <c r="AS319" s="28" t="str">
        <f>IF(ISBLANK(Table2[[#This Row],[index]]),  "", _xlfn.CONCAT(LOWER(Table2[[#This Row],[device_via_device]]), "/data"))</f>
        <v>tempstat/data</v>
      </c>
      <c r="AT319" s="28" t="str">
        <f>IF(ISBLANK(Table2[[#This Row],[index]]), "", _xlfn.CONCAT(LOWER(Table2[[#This Row],[device_via_device]]), "/command"))</f>
        <v>tempstat/command</v>
      </c>
      <c r="AU319" s="28" t="str">
        <f>IF(ISBLANK(Table2[[#This Row],[index]]), "", _xlfn.CONCAT(LOWER(Table2[[#This Row],[device_via_device]]), "/status"))</f>
        <v>tempstat/status</v>
      </c>
      <c r="AZ319" s="28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(value_json['samples']['rack_top_temperature_celsius'] | float(None)) if (value_json['samples'] is defined and value_json['samples']['rack_top_temperature_celsius'] is defined) else (states('sensor.rack_top_temperature') | float(None)) }}</v>
      </c>
      <c r="BA319" s="28">
        <v>1</v>
      </c>
      <c r="BB319" s="30"/>
      <c r="BD3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BE3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BF3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Rack Top Temperature</v>
      </c>
      <c r="BG3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19" s="28" t="str">
        <f>IF(ISBLANK(Table2[[#This Row],[device_model]]), "", Table2[[#This Row],[device_suggested_area]])</f>
        <v>Rack</v>
      </c>
      <c r="BJ319" s="28" t="s">
        <v>78</v>
      </c>
      <c r="BK319" s="28" t="s">
        <v>1469</v>
      </c>
      <c r="BL319" s="28" t="s">
        <v>1470</v>
      </c>
      <c r="BN319" s="28" t="s">
        <v>936</v>
      </c>
      <c r="BO319" s="28" t="s">
        <v>28</v>
      </c>
      <c r="BT319" s="28" t="s">
        <v>1077</v>
      </c>
      <c r="BV3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"0x28FF641E87CB3CF9"]]</v>
      </c>
    </row>
    <row r="320" spans="1:74" ht="16" customHeight="1" x14ac:dyDescent="0.2">
      <c r="A320" s="28">
        <v>2538</v>
      </c>
      <c r="B320" s="28" t="s">
        <v>26</v>
      </c>
      <c r="C320" s="28" t="s">
        <v>1467</v>
      </c>
      <c r="D320" s="28" t="s">
        <v>27</v>
      </c>
      <c r="E320" s="28" t="s">
        <v>1101</v>
      </c>
      <c r="F320" s="28" t="str">
        <f>IF(ISBLANK(Table2[[#This Row],[unique_id]]), "", PROPER(SUBSTITUTE(Table2[[#This Row],[unique_id]], "_", " ")))</f>
        <v>Compensation Sensor Rack Top Temperature</v>
      </c>
      <c r="G320" s="28" t="s">
        <v>1060</v>
      </c>
      <c r="H320" s="28" t="s">
        <v>1141</v>
      </c>
      <c r="I320" s="28" t="s">
        <v>262</v>
      </c>
      <c r="J320" s="28" t="s">
        <v>78</v>
      </c>
      <c r="N320" s="28" t="s">
        <v>127</v>
      </c>
      <c r="P320" s="29"/>
      <c r="Q320" s="28"/>
      <c r="U320" s="35"/>
      <c r="V320" s="35"/>
      <c r="W320" s="35" t="s">
        <v>28</v>
      </c>
      <c r="X320" s="28"/>
      <c r="AD320" s="29"/>
      <c r="AE320" s="29"/>
      <c r="AF320" s="29"/>
      <c r="AG320" s="29"/>
      <c r="AJ320" s="28" t="s">
        <v>31</v>
      </c>
      <c r="AK320" s="28" t="s">
        <v>79</v>
      </c>
      <c r="AL320" s="28" t="s">
        <v>80</v>
      </c>
      <c r="AM320" s="28" t="s">
        <v>287</v>
      </c>
      <c r="AO320" s="29"/>
      <c r="AP320" s="29"/>
      <c r="AR320" s="28" t="str">
        <f>IF(ISBLANK(AQ320),  "", _xlfn.CONCAT("haas/entity/sensor/", LOWER(C320), "/", E320, "/config"))</f>
        <v/>
      </c>
      <c r="AS320" s="28" t="str">
        <f>IF(ISBLANK(AQ320),  "", _xlfn.CONCAT(LOWER(C320), "/", E320))</f>
        <v/>
      </c>
      <c r="BA320" s="28"/>
      <c r="BB320" s="30"/>
      <c r="BC320" s="38"/>
      <c r="BD320" s="28"/>
      <c r="BF3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0" s="28" t="str">
        <f>IF(ISBLANK(Table2[[#This Row],[device_model]]), "", Table2[[#This Row],[device_suggested_area]])</f>
        <v/>
      </c>
      <c r="BN320" s="29"/>
      <c r="BO320" s="28" t="s">
        <v>28</v>
      </c>
      <c r="BT320" s="28"/>
      <c r="BV3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1" spans="1:74" ht="16" customHeight="1" x14ac:dyDescent="0.2">
      <c r="A321" s="28">
        <v>2539</v>
      </c>
      <c r="B321" s="28" t="s">
        <v>26</v>
      </c>
      <c r="C321" s="28" t="s">
        <v>1467</v>
      </c>
      <c r="D321" s="28" t="s">
        <v>27</v>
      </c>
      <c r="E321" s="28" t="s">
        <v>1059</v>
      </c>
      <c r="F321" s="34" t="str">
        <f>IF(ISBLANK(Table2[[#This Row],[unique_id]]), "", PROPER(SUBSTITUTE(Table2[[#This Row],[unique_id]], "_", " ")))</f>
        <v>Rack Bottom Temperature</v>
      </c>
      <c r="G321" s="28" t="s">
        <v>1062</v>
      </c>
      <c r="H321" s="28" t="s">
        <v>1141</v>
      </c>
      <c r="I321" s="28" t="s">
        <v>262</v>
      </c>
      <c r="K321" s="28" t="s">
        <v>1102</v>
      </c>
      <c r="P321" s="29"/>
      <c r="Q321" s="28"/>
      <c r="U321" s="35"/>
      <c r="V321" s="35"/>
      <c r="W321" s="35"/>
      <c r="X321" s="28"/>
      <c r="AD321" s="29" t="s">
        <v>1121</v>
      </c>
      <c r="AE321" s="29"/>
      <c r="AF321" s="29"/>
      <c r="AG321" s="29"/>
      <c r="AJ321" s="28" t="s">
        <v>31</v>
      </c>
      <c r="AK321" s="28" t="s">
        <v>79</v>
      </c>
      <c r="AL321" s="28" t="s">
        <v>80</v>
      </c>
      <c r="AM321" s="28" t="s">
        <v>287</v>
      </c>
      <c r="AN321" s="28">
        <v>300</v>
      </c>
      <c r="AO321" s="29" t="s">
        <v>34</v>
      </c>
      <c r="AP321" s="29"/>
      <c r="AQ321" s="28" t="s">
        <v>1367</v>
      </c>
      <c r="AR321" s="28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homeassistant/sensor/tempstat/rack_bottom_temperature/config</v>
      </c>
      <c r="AS321" s="28" t="str">
        <f>IF(ISBLANK(Table2[[#This Row],[index]]),  "", _xlfn.CONCAT(LOWER(Table2[[#This Row],[device_via_device]]), "/data"))</f>
        <v>tempstat/data</v>
      </c>
      <c r="AT321" s="28" t="str">
        <f>IF(ISBLANK(Table2[[#This Row],[index]]), "", _xlfn.CONCAT(LOWER(Table2[[#This Row],[device_via_device]]), "/command"))</f>
        <v>tempstat/command</v>
      </c>
      <c r="AU321" s="28" t="str">
        <f>IF(ISBLANK(Table2[[#This Row],[index]]), "", _xlfn.CONCAT(LOWER(Table2[[#This Row],[device_via_device]]), "/status"))</f>
        <v>tempstat/status</v>
      </c>
      <c r="AZ321" s="28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(value_json['samples']['rack_bottom_temperature_celsius'] | float(None)) if (value_json['samples'] is defined and value_json['samples']['rack_bottom_temperature_celsius'] is defined) else (states('sensor.rack_bottom_temperature') | float(None)) }}</v>
      </c>
      <c r="BA321" s="28">
        <v>1</v>
      </c>
      <c r="BB321" s="30"/>
      <c r="BD3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BE3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BF3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Rack Bottom Temperature</v>
      </c>
      <c r="BG3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1" s="28" t="str">
        <f>IF(ISBLANK(Table2[[#This Row],[device_model]]), "", Table2[[#This Row],[device_suggested_area]])</f>
        <v>Rack</v>
      </c>
      <c r="BJ321" s="28" t="s">
        <v>78</v>
      </c>
      <c r="BK321" s="28" t="s">
        <v>1469</v>
      </c>
      <c r="BL321" s="28" t="s">
        <v>1470</v>
      </c>
      <c r="BN321" s="28" t="s">
        <v>936</v>
      </c>
      <c r="BO321" s="28" t="s">
        <v>28</v>
      </c>
      <c r="BT321" s="28" t="s">
        <v>1076</v>
      </c>
      <c r="BV3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"0x28FF641E870576A9"]]</v>
      </c>
    </row>
    <row r="322" spans="1:74" ht="16" customHeight="1" x14ac:dyDescent="0.2">
      <c r="A322" s="28">
        <v>2540</v>
      </c>
      <c r="B322" s="28" t="s">
        <v>26</v>
      </c>
      <c r="C322" s="28" t="s">
        <v>1467</v>
      </c>
      <c r="D322" s="28" t="s">
        <v>27</v>
      </c>
      <c r="E322" s="28" t="s">
        <v>1102</v>
      </c>
      <c r="F322" s="28" t="str">
        <f>IF(ISBLANK(Table2[[#This Row],[unique_id]]), "", PROPER(SUBSTITUTE(Table2[[#This Row],[unique_id]], "_", " ")))</f>
        <v>Compensation Sensor Rack Bottom Temperature</v>
      </c>
      <c r="G322" s="28" t="s">
        <v>1062</v>
      </c>
      <c r="H322" s="28" t="s">
        <v>1141</v>
      </c>
      <c r="I322" s="28" t="s">
        <v>262</v>
      </c>
      <c r="J322" s="28" t="s">
        <v>78</v>
      </c>
      <c r="N322" s="28" t="s">
        <v>127</v>
      </c>
      <c r="P322" s="29"/>
      <c r="Q322" s="28"/>
      <c r="U322" s="35"/>
      <c r="V322" s="35"/>
      <c r="W322" s="35" t="s">
        <v>28</v>
      </c>
      <c r="X322" s="28"/>
      <c r="AD322" s="29"/>
      <c r="AE322" s="29"/>
      <c r="AF322" s="29"/>
      <c r="AG322" s="29"/>
      <c r="AJ322" s="28" t="s">
        <v>31</v>
      </c>
      <c r="AK322" s="28" t="s">
        <v>79</v>
      </c>
      <c r="AL322" s="28" t="s">
        <v>80</v>
      </c>
      <c r="AM322" s="28" t="s">
        <v>287</v>
      </c>
      <c r="AO322" s="29"/>
      <c r="AP322" s="29"/>
      <c r="AR322" s="28" t="str">
        <f>IF(ISBLANK(AQ322),  "", _xlfn.CONCAT("haas/entity/sensor/", LOWER(C322), "/", E322, "/config"))</f>
        <v/>
      </c>
      <c r="AS322" s="28" t="str">
        <f>IF(ISBLANK(AQ322),  "", _xlfn.CONCAT(LOWER(C322), "/", E322))</f>
        <v/>
      </c>
      <c r="BA322" s="28"/>
      <c r="BB322" s="30"/>
      <c r="BC322" s="38"/>
      <c r="BD322" s="28"/>
      <c r="BF3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2" s="28" t="str">
        <f>IF(ISBLANK(Table2[[#This Row],[device_model]]), "", Table2[[#This Row],[device_suggested_area]])</f>
        <v/>
      </c>
      <c r="BN322" s="29"/>
      <c r="BO322" s="28" t="s">
        <v>28</v>
      </c>
      <c r="BT322" s="28"/>
      <c r="BV3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3" spans="1:74" ht="16" customHeight="1" x14ac:dyDescent="0.2">
      <c r="A323" s="28">
        <v>2541</v>
      </c>
      <c r="B323" s="28" t="s">
        <v>26</v>
      </c>
      <c r="C323" s="28" t="s">
        <v>1127</v>
      </c>
      <c r="D323" s="28" t="s">
        <v>27</v>
      </c>
      <c r="E323" s="28" t="s">
        <v>1396</v>
      </c>
      <c r="F323" s="28" t="str">
        <f>IF(ISBLANK(Table2[[#This Row],[unique_id]]), "", PROPER(SUBSTITUTE(Table2[[#This Row],[unique_id]], "_", " ")))</f>
        <v>Host Mad Temperature</v>
      </c>
      <c r="G323" s="28" t="s">
        <v>1400</v>
      </c>
      <c r="H323" s="28" t="s">
        <v>1141</v>
      </c>
      <c r="I323" s="28" t="s">
        <v>262</v>
      </c>
      <c r="K323" s="28" t="s">
        <v>1397</v>
      </c>
      <c r="P323" s="29"/>
      <c r="Q323" s="28"/>
      <c r="U323" s="35"/>
      <c r="V323" s="35"/>
      <c r="W323" s="35"/>
      <c r="X323" s="28"/>
      <c r="AD323" s="29" t="s">
        <v>286</v>
      </c>
      <c r="AE323" s="29"/>
      <c r="AF323" s="29"/>
      <c r="AG323" s="29"/>
      <c r="AJ323" s="28" t="s">
        <v>31</v>
      </c>
      <c r="AK323" s="28" t="s">
        <v>79</v>
      </c>
      <c r="AL323" s="28" t="s">
        <v>80</v>
      </c>
      <c r="AM323" s="28" t="s">
        <v>287</v>
      </c>
      <c r="AN323" s="28">
        <v>5</v>
      </c>
      <c r="AO323" s="29" t="s">
        <v>34</v>
      </c>
      <c r="AP323" s="29"/>
      <c r="AQ323" s="28" t="s">
        <v>1402</v>
      </c>
      <c r="AR32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homeassistant/sensor/supervisor_macmini-mad/host_mad_temperature/config</v>
      </c>
      <c r="AS323" s="28" t="str">
        <f>IF(ISBLANK(Table2[[#This Row],[index]]), "", _xlfn.CONCAT("supervisor/", Table2[[#This Row],[unique_id_device]], "/data/host/temperature"))</f>
        <v>supervisor/macmini-mad/data/host/temperature</v>
      </c>
      <c r="AU323" s="28" t="str">
        <f>IF(ISBLANK(Table2[[#This Row],[index]]),  "", _xlfn.CONCAT("supervisor/", Table2[[#This Row],[unique_id_device]], "/status"))</f>
        <v>supervisor/macmini-mad/status</v>
      </c>
      <c r="AZ323" s="28" t="s">
        <v>1500</v>
      </c>
      <c r="BA323" s="28">
        <v>1</v>
      </c>
      <c r="BB323" s="30"/>
      <c r="BD3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Mad Temperature</v>
      </c>
      <c r="BG3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3" s="28" t="str">
        <f>IF(ISBLANK(Table2[[#This Row],[device_model]]), "", Table2[[#This Row],[device_suggested_area]])</f>
        <v>Rack</v>
      </c>
      <c r="BJ323" s="28" t="s">
        <v>1127</v>
      </c>
      <c r="BK323" s="28" t="s">
        <v>1437</v>
      </c>
      <c r="BL323" s="28" t="s">
        <v>1061</v>
      </c>
      <c r="BN323" s="28" t="s">
        <v>936</v>
      </c>
      <c r="BO323" s="28" t="s">
        <v>28</v>
      </c>
      <c r="BT323" s="28"/>
      <c r="BV3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4" spans="1:74" ht="16" customHeight="1" x14ac:dyDescent="0.2">
      <c r="A324" s="28">
        <v>2542</v>
      </c>
      <c r="B324" s="28" t="s">
        <v>26</v>
      </c>
      <c r="C324" s="28" t="s">
        <v>1127</v>
      </c>
      <c r="D324" s="28" t="s">
        <v>27</v>
      </c>
      <c r="E324" s="28" t="s">
        <v>1397</v>
      </c>
      <c r="F324" s="28" t="str">
        <f>IF(ISBLANK(Table2[[#This Row],[unique_id]]), "", PROPER(SUBSTITUTE(Table2[[#This Row],[unique_id]], "_", " ")))</f>
        <v>Compensation Sensor Host Mad Temperature</v>
      </c>
      <c r="G324" s="28" t="s">
        <v>1400</v>
      </c>
      <c r="H324" s="28" t="s">
        <v>1141</v>
      </c>
      <c r="I324" s="28" t="s">
        <v>262</v>
      </c>
      <c r="N324" s="28" t="s">
        <v>127</v>
      </c>
      <c r="P324" s="29"/>
      <c r="Q324" s="28"/>
      <c r="U324" s="35"/>
      <c r="V324" s="35"/>
      <c r="W324" s="35"/>
      <c r="X324" s="28"/>
      <c r="AD324" s="29"/>
      <c r="AE324" s="29"/>
      <c r="AF324" s="29"/>
      <c r="AG324" s="29"/>
      <c r="AJ324" s="28" t="s">
        <v>31</v>
      </c>
      <c r="AK324" s="28" t="s">
        <v>79</v>
      </c>
      <c r="AL324" s="28" t="s">
        <v>80</v>
      </c>
      <c r="AM324" s="28" t="s">
        <v>287</v>
      </c>
      <c r="AO324" s="29"/>
      <c r="AP324" s="29"/>
      <c r="AR324" s="28" t="str">
        <f>IF(ISBLANK(AQ324),  "", _xlfn.CONCAT("haas/entity/sensor/", LOWER(C324), "/", E324, "/config"))</f>
        <v/>
      </c>
      <c r="AS324" s="28" t="str">
        <f>IF(ISBLANK(AQ324),  "", _xlfn.CONCAT(LOWER(C324), "/", E324))</f>
        <v/>
      </c>
      <c r="BA324" s="28"/>
      <c r="BB324" s="30"/>
      <c r="BC324" s="38"/>
      <c r="BD324" s="28"/>
      <c r="BF3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4" s="28" t="str">
        <f>IF(ISBLANK(Table2[[#This Row],[device_model]]), "", Table2[[#This Row],[device_suggested_area]])</f>
        <v/>
      </c>
      <c r="BN324" s="29"/>
      <c r="BO324" s="28" t="s">
        <v>28</v>
      </c>
      <c r="BT324" s="28"/>
      <c r="BV3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5" spans="1:74" ht="16" customHeight="1" x14ac:dyDescent="0.2">
      <c r="A325" s="28">
        <v>2543</v>
      </c>
      <c r="B325" s="28" t="s">
        <v>26</v>
      </c>
      <c r="C325" s="28" t="s">
        <v>1127</v>
      </c>
      <c r="D325" s="28" t="s">
        <v>27</v>
      </c>
      <c r="E325" s="28" t="s">
        <v>1398</v>
      </c>
      <c r="F325" s="28" t="str">
        <f>IF(ISBLANK(Table2[[#This Row],[unique_id]]), "", PROPER(SUBSTITUTE(Table2[[#This Row],[unique_id]], "_", " ")))</f>
        <v>Host Max Temperature</v>
      </c>
      <c r="G325" s="28" t="s">
        <v>1401</v>
      </c>
      <c r="H325" s="28" t="s">
        <v>1141</v>
      </c>
      <c r="I325" s="28" t="s">
        <v>262</v>
      </c>
      <c r="K325" s="28" t="s">
        <v>1399</v>
      </c>
      <c r="P325" s="29"/>
      <c r="Q325" s="28"/>
      <c r="U325" s="35"/>
      <c r="V325" s="35"/>
      <c r="W325" s="35"/>
      <c r="X325" s="28"/>
      <c r="AD325" s="29" t="s">
        <v>286</v>
      </c>
      <c r="AE325" s="29"/>
      <c r="AF325" s="29"/>
      <c r="AG325" s="29"/>
      <c r="AJ325" s="28" t="s">
        <v>31</v>
      </c>
      <c r="AK325" s="28" t="s">
        <v>79</v>
      </c>
      <c r="AL325" s="28" t="s">
        <v>80</v>
      </c>
      <c r="AM325" s="28" t="s">
        <v>287</v>
      </c>
      <c r="AN325" s="28">
        <v>5</v>
      </c>
      <c r="AO325" s="29" t="s">
        <v>34</v>
      </c>
      <c r="AP325" s="29"/>
      <c r="AQ325" s="28" t="s">
        <v>1403</v>
      </c>
      <c r="AR325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homeassistant/sensor/supervisor_macmini-max/host_max_temperature/config</v>
      </c>
      <c r="AS325" s="28" t="str">
        <f>IF(ISBLANK(Table2[[#This Row],[index]]), "", _xlfn.CONCAT("supervisor/", Table2[[#This Row],[unique_id_device]], "/data/host/temperature"))</f>
        <v>supervisor/macmini-max/data/host/temperature</v>
      </c>
      <c r="AU325" s="28" t="str">
        <f>IF(ISBLANK(Table2[[#This Row],[index]]),  "", _xlfn.CONCAT("supervisor/", Table2[[#This Row],[unique_id_device]], "/status"))</f>
        <v>supervisor/macmini-max/status</v>
      </c>
      <c r="AZ325" s="28" t="s">
        <v>1500</v>
      </c>
      <c r="BA325" s="28">
        <v>1</v>
      </c>
      <c r="BB325" s="30"/>
      <c r="BD3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Max Temperature</v>
      </c>
      <c r="BG3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5" s="28" t="str">
        <f>IF(ISBLANK(Table2[[#This Row],[device_model]]), "", Table2[[#This Row],[device_suggested_area]])</f>
        <v>Rack</v>
      </c>
      <c r="BJ325" s="28" t="s">
        <v>1127</v>
      </c>
      <c r="BK325" s="28" t="s">
        <v>1437</v>
      </c>
      <c r="BL325" s="28" t="s">
        <v>1061</v>
      </c>
      <c r="BN325" s="28" t="s">
        <v>936</v>
      </c>
      <c r="BO325" s="28" t="s">
        <v>28</v>
      </c>
      <c r="BT325" s="28"/>
      <c r="BV3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6" spans="1:74" ht="16" customHeight="1" x14ac:dyDescent="0.2">
      <c r="A326" s="28">
        <v>2544</v>
      </c>
      <c r="B326" s="28" t="s">
        <v>26</v>
      </c>
      <c r="C326" s="28" t="s">
        <v>1127</v>
      </c>
      <c r="D326" s="28" t="s">
        <v>27</v>
      </c>
      <c r="E326" s="28" t="s">
        <v>1399</v>
      </c>
      <c r="F326" s="28" t="str">
        <f>IF(ISBLANK(Table2[[#This Row],[unique_id]]), "", PROPER(SUBSTITUTE(Table2[[#This Row],[unique_id]], "_", " ")))</f>
        <v>Compensation Sensor Host Max Temperature</v>
      </c>
      <c r="G326" s="28" t="s">
        <v>1401</v>
      </c>
      <c r="H326" s="28" t="s">
        <v>1141</v>
      </c>
      <c r="I326" s="28" t="s">
        <v>262</v>
      </c>
      <c r="N326" s="28" t="s">
        <v>127</v>
      </c>
      <c r="P326" s="29"/>
      <c r="Q326" s="28"/>
      <c r="U326" s="35"/>
      <c r="V326" s="35"/>
      <c r="W326" s="35"/>
      <c r="X326" s="28"/>
      <c r="AD326" s="29"/>
      <c r="AE326" s="29"/>
      <c r="AF326" s="29"/>
      <c r="AG326" s="29"/>
      <c r="AJ326" s="28" t="s">
        <v>31</v>
      </c>
      <c r="AK326" s="28" t="s">
        <v>79</v>
      </c>
      <c r="AL326" s="28" t="s">
        <v>80</v>
      </c>
      <c r="AM326" s="28" t="s">
        <v>287</v>
      </c>
      <c r="AO326" s="29"/>
      <c r="AP326" s="29"/>
      <c r="AR326" s="28" t="str">
        <f>IF(ISBLANK(AQ326),  "", _xlfn.CONCAT("haas/entity/sensor/", LOWER(C326), "/", E326, "/config"))</f>
        <v/>
      </c>
      <c r="AS326" s="28" t="str">
        <f>IF(ISBLANK(AQ326),  "", _xlfn.CONCAT(LOWER(C326), "/", E326))</f>
        <v/>
      </c>
      <c r="BA326" s="28"/>
      <c r="BB326" s="30"/>
      <c r="BC326" s="38"/>
      <c r="BD326" s="28"/>
      <c r="BF3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6" s="28" t="str">
        <f>IF(ISBLANK(Table2[[#This Row],[device_model]]), "", Table2[[#This Row],[device_suggested_area]])</f>
        <v/>
      </c>
      <c r="BN326" s="29"/>
      <c r="BO326" s="28" t="s">
        <v>28</v>
      </c>
      <c r="BT326" s="28"/>
      <c r="BV3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7" spans="1:74" ht="16" customHeight="1" x14ac:dyDescent="0.2">
      <c r="A327" s="28">
        <v>2545</v>
      </c>
      <c r="B327" s="28" t="s">
        <v>26</v>
      </c>
      <c r="C327" s="28" t="s">
        <v>1127</v>
      </c>
      <c r="D327" s="28" t="s">
        <v>27</v>
      </c>
      <c r="E327" s="28" t="s">
        <v>1361</v>
      </c>
      <c r="F327" s="28" t="str">
        <f>IF(ISBLANK(Table2[[#This Row],[unique_id]]), "", PROPER(SUBSTITUTE(Table2[[#This Row],[unique_id]], "_", " ")))</f>
        <v>Host May Temperature</v>
      </c>
      <c r="G327" s="28" t="s">
        <v>1360</v>
      </c>
      <c r="H327" s="28" t="s">
        <v>1141</v>
      </c>
      <c r="I327" s="28" t="s">
        <v>262</v>
      </c>
      <c r="K327" s="28" t="s">
        <v>1362</v>
      </c>
      <c r="P327" s="29"/>
      <c r="Q327" s="28"/>
      <c r="U327" s="35"/>
      <c r="V327" s="35"/>
      <c r="W327" s="35"/>
      <c r="X327" s="28"/>
      <c r="AD327" s="29" t="s">
        <v>286</v>
      </c>
      <c r="AE327" s="29"/>
      <c r="AF327" s="29"/>
      <c r="AG327" s="29"/>
      <c r="AJ327" s="28" t="s">
        <v>31</v>
      </c>
      <c r="AK327" s="28" t="s">
        <v>79</v>
      </c>
      <c r="AL327" s="28" t="s">
        <v>80</v>
      </c>
      <c r="AM327" s="28" t="s">
        <v>287</v>
      </c>
      <c r="AN327" s="28">
        <v>5</v>
      </c>
      <c r="AO327" s="29" t="s">
        <v>34</v>
      </c>
      <c r="AP327" s="29"/>
      <c r="AQ327" s="28" t="s">
        <v>1367</v>
      </c>
      <c r="AR327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homeassistant/sensor/supervisor_macmini-may/host_may_temperature/config</v>
      </c>
      <c r="AS327" s="28" t="str">
        <f>IF(ISBLANK(Table2[[#This Row],[index]]), "", _xlfn.CONCAT("supervisor/", Table2[[#This Row],[unique_id_device]], "/data/host/temperature"))</f>
        <v>supervisor/macmini-may/data/host/temperature</v>
      </c>
      <c r="AU327" s="28" t="str">
        <f>IF(ISBLANK(Table2[[#This Row],[index]]),  "", _xlfn.CONCAT("supervisor/", Table2[[#This Row],[unique_id_device]], "/status"))</f>
        <v>supervisor/macmini-may/status</v>
      </c>
      <c r="AZ327" s="28" t="s">
        <v>1500</v>
      </c>
      <c r="BA327" s="28">
        <v>1</v>
      </c>
      <c r="BB327" s="30"/>
      <c r="BD3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May Temperature</v>
      </c>
      <c r="BG3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7" s="28" t="str">
        <f>IF(ISBLANK(Table2[[#This Row],[device_model]]), "", Table2[[#This Row],[device_suggested_area]])</f>
        <v>Rack</v>
      </c>
      <c r="BJ327" s="28" t="s">
        <v>1127</v>
      </c>
      <c r="BK327" s="28" t="s">
        <v>1437</v>
      </c>
      <c r="BL327" s="28" t="s">
        <v>1061</v>
      </c>
      <c r="BN327" s="28" t="s">
        <v>936</v>
      </c>
      <c r="BO327" s="28" t="s">
        <v>28</v>
      </c>
      <c r="BT327" s="28"/>
      <c r="BV3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8" spans="1:74" ht="16" customHeight="1" x14ac:dyDescent="0.2">
      <c r="A328" s="28">
        <v>2546</v>
      </c>
      <c r="B328" s="28" t="s">
        <v>26</v>
      </c>
      <c r="C328" s="28" t="s">
        <v>1127</v>
      </c>
      <c r="D328" s="28" t="s">
        <v>27</v>
      </c>
      <c r="E328" s="28" t="s">
        <v>1362</v>
      </c>
      <c r="F328" s="28" t="str">
        <f>IF(ISBLANK(Table2[[#This Row],[unique_id]]), "", PROPER(SUBSTITUTE(Table2[[#This Row],[unique_id]], "_", " ")))</f>
        <v>Compensation Sensor Host May Temperature</v>
      </c>
      <c r="G328" s="28" t="s">
        <v>1360</v>
      </c>
      <c r="H328" s="28" t="s">
        <v>1141</v>
      </c>
      <c r="I328" s="28" t="s">
        <v>262</v>
      </c>
      <c r="N328" s="28" t="s">
        <v>127</v>
      </c>
      <c r="P328" s="29"/>
      <c r="Q328" s="28"/>
      <c r="U328" s="35"/>
      <c r="V328" s="35"/>
      <c r="W328" s="35"/>
      <c r="X328" s="28"/>
      <c r="AD328" s="29"/>
      <c r="AE328" s="29"/>
      <c r="AF328" s="29"/>
      <c r="AG328" s="29"/>
      <c r="AJ328" s="28" t="s">
        <v>31</v>
      </c>
      <c r="AK328" s="28" t="s">
        <v>79</v>
      </c>
      <c r="AL328" s="28" t="s">
        <v>80</v>
      </c>
      <c r="AM328" s="28" t="s">
        <v>287</v>
      </c>
      <c r="AO328" s="29"/>
      <c r="AP328" s="29"/>
      <c r="AR328" s="28" t="str">
        <f>IF(ISBLANK(AQ328),  "", _xlfn.CONCAT("haas/entity/sensor/", LOWER(C328), "/", E328, "/config"))</f>
        <v/>
      </c>
      <c r="AS328" s="28" t="str">
        <f>IF(ISBLANK(AQ328),  "", _xlfn.CONCAT(LOWER(C328), "/", E328))</f>
        <v/>
      </c>
      <c r="BA328" s="28"/>
      <c r="BB328" s="30"/>
      <c r="BC328" s="38"/>
      <c r="BD328" s="28"/>
      <c r="BF3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8" s="28" t="str">
        <f>IF(ISBLANK(Table2[[#This Row],[device_model]]), "", Table2[[#This Row],[device_suggested_area]])</f>
        <v/>
      </c>
      <c r="BN328" s="29"/>
      <c r="BO328" s="28" t="s">
        <v>28</v>
      </c>
      <c r="BT328" s="28"/>
      <c r="BV3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9" spans="1:74" ht="16" customHeight="1" x14ac:dyDescent="0.2">
      <c r="A329" s="28">
        <v>2547</v>
      </c>
      <c r="B329" s="28" t="s">
        <v>26</v>
      </c>
      <c r="C329" s="28" t="s">
        <v>1127</v>
      </c>
      <c r="D329" s="28" t="s">
        <v>27</v>
      </c>
      <c r="E329" s="28" t="s">
        <v>1134</v>
      </c>
      <c r="F329" s="28" t="str">
        <f>IF(ISBLANK(Table2[[#This Row],[unique_id]]), "", PROPER(SUBSTITUTE(Table2[[#This Row],[unique_id]], "_", " ")))</f>
        <v>Host Meg Temperature</v>
      </c>
      <c r="G329" s="28" t="s">
        <v>1137</v>
      </c>
      <c r="H329" s="28" t="s">
        <v>1141</v>
      </c>
      <c r="I329" s="28" t="s">
        <v>262</v>
      </c>
      <c r="K329" s="28" t="s">
        <v>1136</v>
      </c>
      <c r="P329" s="29"/>
      <c r="Q329" s="28"/>
      <c r="U329" s="35"/>
      <c r="V329" s="35"/>
      <c r="W329" s="35"/>
      <c r="X329" s="28"/>
      <c r="AD329" s="29" t="s">
        <v>286</v>
      </c>
      <c r="AE329" s="29"/>
      <c r="AF329" s="29"/>
      <c r="AG329" s="29"/>
      <c r="AJ329" s="28" t="s">
        <v>31</v>
      </c>
      <c r="AK329" s="28" t="s">
        <v>79</v>
      </c>
      <c r="AL329" s="28" t="s">
        <v>80</v>
      </c>
      <c r="AM329" s="28" t="s">
        <v>287</v>
      </c>
      <c r="AN329" s="28">
        <v>5</v>
      </c>
      <c r="AO329" s="29" t="s">
        <v>34</v>
      </c>
      <c r="AP329" s="29"/>
      <c r="AQ329" s="28" t="s">
        <v>1078</v>
      </c>
      <c r="AR32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homeassistant/sensor/supervisor_macmini-meg/host_meg_temperature/config</v>
      </c>
      <c r="AS329" s="28" t="str">
        <f>IF(ISBLANK(Table2[[#This Row],[index]]), "", _xlfn.CONCAT("supervisor/", Table2[[#This Row],[unique_id_device]], "/data/host/temperature"))</f>
        <v>supervisor/macmini-meg/data/host/temperature</v>
      </c>
      <c r="AU329" s="28" t="str">
        <f>IF(ISBLANK(Table2[[#This Row],[index]]),  "", _xlfn.CONCAT("supervisor/", Table2[[#This Row],[unique_id_device]], "/status"))</f>
        <v>supervisor/macmini-meg/status</v>
      </c>
      <c r="AZ329" s="28" t="s">
        <v>1500</v>
      </c>
      <c r="BA329" s="28">
        <v>1</v>
      </c>
      <c r="BB329" s="30"/>
      <c r="BD3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BE3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F3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Meg Temperature</v>
      </c>
      <c r="BG3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29" s="28" t="str">
        <f>IF(ISBLANK(Table2[[#This Row],[device_model]]), "", Table2[[#This Row],[device_suggested_area]])</f>
        <v>Rack</v>
      </c>
      <c r="BJ329" s="28" t="s">
        <v>1127</v>
      </c>
      <c r="BK329" s="28" t="s">
        <v>1437</v>
      </c>
      <c r="BL329" s="28" t="s">
        <v>1061</v>
      </c>
      <c r="BN329" s="28" t="s">
        <v>936</v>
      </c>
      <c r="BO329" s="28" t="s">
        <v>28</v>
      </c>
      <c r="BT329" s="28"/>
      <c r="BV3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0" spans="1:74" ht="16" customHeight="1" x14ac:dyDescent="0.2">
      <c r="A330" s="28">
        <v>2548</v>
      </c>
      <c r="B330" s="28" t="s">
        <v>26</v>
      </c>
      <c r="C330" s="28" t="s">
        <v>1127</v>
      </c>
      <c r="D330" s="28" t="s">
        <v>27</v>
      </c>
      <c r="E330" s="28" t="s">
        <v>1136</v>
      </c>
      <c r="F330" s="28" t="str">
        <f>IF(ISBLANK(Table2[[#This Row],[unique_id]]), "", PROPER(SUBSTITUTE(Table2[[#This Row],[unique_id]], "_", " ")))</f>
        <v>Compensation Sensor Host Meg Temperature</v>
      </c>
      <c r="G330" s="28" t="s">
        <v>1137</v>
      </c>
      <c r="H330" s="28" t="s">
        <v>1141</v>
      </c>
      <c r="I330" s="28" t="s">
        <v>262</v>
      </c>
      <c r="N330" s="28" t="s">
        <v>127</v>
      </c>
      <c r="P330" s="29"/>
      <c r="Q330" s="28"/>
      <c r="U330" s="35"/>
      <c r="V330" s="35"/>
      <c r="W330" s="35"/>
      <c r="X330" s="28"/>
      <c r="AD330" s="29"/>
      <c r="AE330" s="29"/>
      <c r="AF330" s="29"/>
      <c r="AG330" s="29"/>
      <c r="AJ330" s="28" t="s">
        <v>31</v>
      </c>
      <c r="AK330" s="28" t="s">
        <v>79</v>
      </c>
      <c r="AL330" s="28" t="s">
        <v>80</v>
      </c>
      <c r="AM330" s="28" t="s">
        <v>287</v>
      </c>
      <c r="AO330" s="29"/>
      <c r="AP330" s="29"/>
      <c r="AR330" s="28" t="str">
        <f>IF(ISBLANK(AQ330),  "", _xlfn.CONCAT("haas/entity/sensor/", LOWER(C330), "/", E330, "/config"))</f>
        <v/>
      </c>
      <c r="AS330" s="28" t="str">
        <f>IF(ISBLANK(AQ330),  "", _xlfn.CONCAT(LOWER(C330), "/", E330))</f>
        <v/>
      </c>
      <c r="BA330" s="28"/>
      <c r="BB330" s="30"/>
      <c r="BC330" s="38"/>
      <c r="BD330" s="28"/>
      <c r="BF3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0" s="28" t="str">
        <f>IF(ISBLANK(Table2[[#This Row],[device_model]]), "", Table2[[#This Row],[device_suggested_area]])</f>
        <v/>
      </c>
      <c r="BN330" s="29"/>
      <c r="BO330" s="28" t="s">
        <v>28</v>
      </c>
      <c r="BT330" s="28"/>
      <c r="BV3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1" spans="1:74" ht="16" customHeight="1" x14ac:dyDescent="0.2">
      <c r="A331" s="28">
        <v>2549</v>
      </c>
      <c r="B331" s="28" t="s">
        <v>26</v>
      </c>
      <c r="C331" s="28" t="s">
        <v>1138</v>
      </c>
      <c r="D331" s="28" t="s">
        <v>27</v>
      </c>
      <c r="E331" s="28" t="s">
        <v>1146</v>
      </c>
      <c r="F331" s="28" t="str">
        <f>IF(ISBLANK(Table2[[#This Row],[unique_id]]), "", PROPER(SUBSTITUTE(Table2[[#This Row],[unique_id]], "_", " ")))</f>
        <v>Template Deck Festoons Plug Temperature Proxy</v>
      </c>
      <c r="G331" s="28" t="s">
        <v>1143</v>
      </c>
      <c r="H331" s="28" t="s">
        <v>1142</v>
      </c>
      <c r="I331" s="28" t="s">
        <v>262</v>
      </c>
      <c r="K331" s="28" t="s">
        <v>1100</v>
      </c>
      <c r="N331" s="28" t="s">
        <v>127</v>
      </c>
      <c r="P331" s="29"/>
      <c r="Q331" s="28"/>
      <c r="U331" s="35"/>
      <c r="V331" s="35"/>
      <c r="W331" s="35"/>
      <c r="X331" s="28"/>
      <c r="AD331" s="29"/>
      <c r="AE331" s="29"/>
      <c r="AF331" s="29"/>
      <c r="AG331" s="29"/>
      <c r="AJ331" s="28" t="s">
        <v>31</v>
      </c>
      <c r="AK331" s="28" t="s">
        <v>79</v>
      </c>
      <c r="AL331" s="28" t="s">
        <v>80</v>
      </c>
      <c r="AM331" s="28" t="s">
        <v>287</v>
      </c>
      <c r="AO331" s="29"/>
      <c r="AP331" s="29"/>
      <c r="AR331" s="28" t="str">
        <f>IF(ISBLANK(AQ331),  "", _xlfn.CONCAT("haas/entity/sensor/", LOWER(C331), "/", E331, "/config"))</f>
        <v/>
      </c>
      <c r="AS331" s="28" t="str">
        <f>IF(ISBLANK(AQ331),  "", _xlfn.CONCAT(LOWER(C331), "/", E331))</f>
        <v/>
      </c>
      <c r="BA331" s="28"/>
      <c r="BB331" s="30"/>
      <c r="BC331" s="38"/>
      <c r="BD331" s="28"/>
      <c r="BF3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1" s="28" t="str">
        <f>IF(ISBLANK(Table2[[#This Row],[device_model]]), "", Table2[[#This Row],[device_suggested_area]])</f>
        <v/>
      </c>
      <c r="BN331" s="29"/>
      <c r="BT331" s="28"/>
      <c r="BV3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2" spans="1:74" ht="16" customHeight="1" x14ac:dyDescent="0.2">
      <c r="A332" s="28">
        <v>2550</v>
      </c>
      <c r="B332" s="28" t="s">
        <v>26</v>
      </c>
      <c r="C332" s="28" t="s">
        <v>1138</v>
      </c>
      <c r="D332" s="28" t="s">
        <v>27</v>
      </c>
      <c r="E332" s="28" t="s">
        <v>1145</v>
      </c>
      <c r="F332" s="28" t="str">
        <f>IF(ISBLANK(Table2[[#This Row],[unique_id]]), "", PROPER(SUBSTITUTE(Table2[[#This Row],[unique_id]], "_", " ")))</f>
        <v>Template Wardrobe Temperature Proxy</v>
      </c>
      <c r="G332" s="28" t="s">
        <v>1346</v>
      </c>
      <c r="H332" s="28" t="s">
        <v>1140</v>
      </c>
      <c r="I332" s="28" t="s">
        <v>262</v>
      </c>
      <c r="K332" s="28" t="s">
        <v>1106</v>
      </c>
      <c r="N332" s="28" t="s">
        <v>127</v>
      </c>
      <c r="P332" s="29"/>
      <c r="Q332" s="28"/>
      <c r="U332" s="35"/>
      <c r="V332" s="35"/>
      <c r="W332" s="35"/>
      <c r="X332" s="28"/>
      <c r="AD332" s="29"/>
      <c r="AE332" s="29"/>
      <c r="AF332" s="29"/>
      <c r="AG332" s="29"/>
      <c r="AJ332" s="28" t="s">
        <v>31</v>
      </c>
      <c r="AK332" s="28" t="s">
        <v>79</v>
      </c>
      <c r="AL332" s="28" t="s">
        <v>80</v>
      </c>
      <c r="AM332" s="28" t="s">
        <v>287</v>
      </c>
      <c r="AO332" s="29"/>
      <c r="AP332" s="29"/>
      <c r="AR332" s="28" t="str">
        <f>IF(ISBLANK(AQ332),  "", _xlfn.CONCAT("haas/entity/sensor/", LOWER(C332), "/", E332, "/config"))</f>
        <v/>
      </c>
      <c r="AS332" s="28" t="str">
        <f>IF(ISBLANK(AQ332),  "", _xlfn.CONCAT(LOWER(C332), "/", E332))</f>
        <v/>
      </c>
      <c r="BA332" s="28"/>
      <c r="BB332" s="30"/>
      <c r="BC332" s="38"/>
      <c r="BD332" s="28"/>
      <c r="BF3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2" s="28" t="str">
        <f>IF(ISBLANK(Table2[[#This Row],[device_model]]), "", Table2[[#This Row],[device_suggested_area]])</f>
        <v/>
      </c>
      <c r="BN332" s="29"/>
      <c r="BT332" s="28"/>
      <c r="BV3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3" spans="1:74" ht="16" customHeight="1" x14ac:dyDescent="0.2">
      <c r="A333" s="28">
        <v>2551</v>
      </c>
      <c r="B333" s="28" t="s">
        <v>26</v>
      </c>
      <c r="C333" s="28" t="s">
        <v>1127</v>
      </c>
      <c r="D333" s="28" t="s">
        <v>27</v>
      </c>
      <c r="E333" s="28" t="s">
        <v>1373</v>
      </c>
      <c r="F333" s="28" t="str">
        <f>IF(ISBLANK(Table2[[#This Row],[unique_id]]), "", PROPER(SUBSTITUTE(Table2[[#This Row],[unique_id]], "_", " ")))</f>
        <v>Host Jen Temperature</v>
      </c>
      <c r="G333" s="28" t="s">
        <v>1374</v>
      </c>
      <c r="H333" s="28" t="s">
        <v>1140</v>
      </c>
      <c r="I333" s="28" t="s">
        <v>262</v>
      </c>
      <c r="K333" s="28" t="s">
        <v>1369</v>
      </c>
      <c r="P333" s="29"/>
      <c r="Q333" s="28"/>
      <c r="U333" s="35"/>
      <c r="V333" s="35"/>
      <c r="W333" s="35"/>
      <c r="X333" s="28"/>
      <c r="AD333" s="29" t="s">
        <v>286</v>
      </c>
      <c r="AE333" s="29"/>
      <c r="AF333" s="29"/>
      <c r="AG333" s="29"/>
      <c r="AJ333" s="28" t="s">
        <v>31</v>
      </c>
      <c r="AK333" s="28" t="s">
        <v>79</v>
      </c>
      <c r="AL333" s="28" t="s">
        <v>80</v>
      </c>
      <c r="AM333" s="28" t="s">
        <v>287</v>
      </c>
      <c r="AN333" s="28">
        <v>5</v>
      </c>
      <c r="AO333" s="29" t="s">
        <v>34</v>
      </c>
      <c r="AP333" s="29"/>
      <c r="AQ333" s="28" t="s">
        <v>1370</v>
      </c>
      <c r="AR33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homeassistant/sensor/supervisor_raspbpi-jen/host_jen_temperature/config</v>
      </c>
      <c r="AS333" s="28" t="str">
        <f>IF(ISBLANK(Table2[[#This Row],[index]]), "", _xlfn.CONCAT("supervisor/", Table2[[#This Row],[unique_id_device]], "/data/host/temperature"))</f>
        <v>supervisor/raspbpi-jen/data/host/temperature</v>
      </c>
      <c r="AU333" s="28" t="str">
        <f>IF(ISBLANK(Table2[[#This Row],[index]]),  "", _xlfn.CONCAT("supervisor/", Table2[[#This Row],[unique_id_device]], "/status"))</f>
        <v>supervisor/raspbpi-jen/status</v>
      </c>
      <c r="AZ333" s="28" t="s">
        <v>1500</v>
      </c>
      <c r="BA333" s="28">
        <v>1</v>
      </c>
      <c r="BB333" s="30"/>
      <c r="BD3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asystem-wardrobe-supervisor</v>
      </c>
      <c r="BE3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Supervisor</v>
      </c>
      <c r="BF3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Supervisor Host Jen Temperature</v>
      </c>
      <c r="BG3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3" s="28" t="str">
        <f>IF(ISBLANK(Table2[[#This Row],[device_model]]), "", Table2[[#This Row],[device_suggested_area]])</f>
        <v>Wardrobe</v>
      </c>
      <c r="BJ333" s="28" t="s">
        <v>1127</v>
      </c>
      <c r="BK333" s="28" t="s">
        <v>1437</v>
      </c>
      <c r="BL333" s="28" t="s">
        <v>1061</v>
      </c>
      <c r="BN333" s="28" t="s">
        <v>936</v>
      </c>
      <c r="BO333" s="28" t="s">
        <v>460</v>
      </c>
      <c r="BT333" s="28"/>
      <c r="BV3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4" spans="1:74" ht="16" customHeight="1" x14ac:dyDescent="0.2">
      <c r="A334" s="28">
        <v>2552</v>
      </c>
      <c r="B334" s="28" t="s">
        <v>26</v>
      </c>
      <c r="C334" s="28" t="s">
        <v>1127</v>
      </c>
      <c r="D334" s="28" t="s">
        <v>27</v>
      </c>
      <c r="E334" s="28" t="s">
        <v>1369</v>
      </c>
      <c r="F334" s="28" t="str">
        <f>IF(ISBLANK(Table2[[#This Row],[unique_id]]), "", PROPER(SUBSTITUTE(Table2[[#This Row],[unique_id]], "_", " ")))</f>
        <v>Compensation Sensor Host Jen Temperature</v>
      </c>
      <c r="G334" s="28" t="s">
        <v>1374</v>
      </c>
      <c r="H334" s="28" t="s">
        <v>1140</v>
      </c>
      <c r="I334" s="28" t="s">
        <v>262</v>
      </c>
      <c r="N334" s="28" t="s">
        <v>127</v>
      </c>
      <c r="P334" s="29"/>
      <c r="Q334" s="28"/>
      <c r="U334" s="35"/>
      <c r="V334" s="35"/>
      <c r="W334" s="35"/>
      <c r="X334" s="28"/>
      <c r="AD334" s="29"/>
      <c r="AE334" s="29"/>
      <c r="AF334" s="29"/>
      <c r="AG334" s="29"/>
      <c r="AJ334" s="28" t="s">
        <v>31</v>
      </c>
      <c r="AK334" s="28" t="s">
        <v>79</v>
      </c>
      <c r="AL334" s="28" t="s">
        <v>80</v>
      </c>
      <c r="AM334" s="28" t="s">
        <v>287</v>
      </c>
      <c r="AO334" s="29"/>
      <c r="AP334" s="29"/>
      <c r="AR334" s="28" t="str">
        <f>IF(ISBLANK(AQ334),  "", _xlfn.CONCAT("haas/entity/sensor/", LOWER(C334), "/", E334, "/config"))</f>
        <v/>
      </c>
      <c r="AS334" s="28" t="str">
        <f>IF(ISBLANK(AQ334),  "", _xlfn.CONCAT(LOWER(C334), "/", E334))</f>
        <v/>
      </c>
      <c r="BA334" s="28"/>
      <c r="BB334" s="30"/>
      <c r="BC334" s="38"/>
      <c r="BD334" s="28"/>
      <c r="BF3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4" s="28" t="str">
        <f>IF(ISBLANK(Table2[[#This Row],[device_model]]), "", Table2[[#This Row],[device_suggested_area]])</f>
        <v/>
      </c>
      <c r="BN334" s="29"/>
      <c r="BO334" s="28" t="s">
        <v>460</v>
      </c>
      <c r="BT334" s="28"/>
      <c r="BV3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5" spans="1:74" ht="16" customHeight="1" x14ac:dyDescent="0.2">
      <c r="A335" s="28">
        <v>2553</v>
      </c>
      <c r="B335" s="28" t="s">
        <v>26</v>
      </c>
      <c r="C335" s="28" t="s">
        <v>409</v>
      </c>
      <c r="D335" s="28" t="s">
        <v>304</v>
      </c>
      <c r="E335" s="28" t="s">
        <v>303</v>
      </c>
      <c r="F335" s="34" t="str">
        <f>IF(ISBLANK(Table2[[#This Row],[unique_id]]), "", PROPER(SUBSTITUTE(Table2[[#This Row],[unique_id]], "_", " ")))</f>
        <v>Column Break</v>
      </c>
      <c r="G335" s="28" t="s">
        <v>300</v>
      </c>
      <c r="H335" s="28" t="s">
        <v>1140</v>
      </c>
      <c r="I335" s="28" t="s">
        <v>262</v>
      </c>
      <c r="N335" s="28" t="s">
        <v>301</v>
      </c>
      <c r="O335" s="28" t="s">
        <v>302</v>
      </c>
      <c r="P335" s="29"/>
      <c r="Q335" s="28"/>
      <c r="U335" s="35"/>
      <c r="V335" s="35"/>
      <c r="W335" s="35"/>
      <c r="X335" s="28"/>
      <c r="AD335" s="29"/>
      <c r="AE335" s="29"/>
      <c r="AF335" s="29"/>
      <c r="AG335" s="29"/>
      <c r="AO335" s="29"/>
      <c r="AP335" s="29"/>
      <c r="AZ335" s="37"/>
      <c r="BA335" s="28"/>
      <c r="BB335" s="30"/>
      <c r="BC335" s="29"/>
      <c r="BD3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5" s="28" t="str">
        <f>IF(ISBLANK(Table2[[#This Row],[device_model]]), "", Table2[[#This Row],[device_suggested_area]])</f>
        <v/>
      </c>
      <c r="BN335" s="29"/>
      <c r="BT335" s="28"/>
      <c r="BV3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6" spans="1:74" ht="16" customHeight="1" x14ac:dyDescent="0.2">
      <c r="A336" s="28">
        <v>2554</v>
      </c>
      <c r="B336" s="28" t="s">
        <v>26</v>
      </c>
      <c r="C336" s="28" t="s">
        <v>585</v>
      </c>
      <c r="D336" s="28" t="s">
        <v>27</v>
      </c>
      <c r="E336" s="28" t="s">
        <v>623</v>
      </c>
      <c r="F336" s="34" t="str">
        <f>IF(ISBLANK(Table2[[#This Row],[unique_id]]), "", PROPER(SUBSTITUTE(Table2[[#This Row],[unique_id]], "_", " ")))</f>
        <v>Back Door Lock Battery</v>
      </c>
      <c r="G336" s="28" t="s">
        <v>609</v>
      </c>
      <c r="H336" s="28" t="s">
        <v>1125</v>
      </c>
      <c r="I336" s="28" t="s">
        <v>262</v>
      </c>
      <c r="N336" s="28" t="s">
        <v>127</v>
      </c>
      <c r="P336" s="29"/>
      <c r="Q336" s="28"/>
      <c r="U336" s="35"/>
      <c r="V336" s="35"/>
      <c r="W336" s="35"/>
      <c r="X336" s="28"/>
      <c r="AD336" s="29"/>
      <c r="AE336" s="29"/>
      <c r="AF336" s="29"/>
      <c r="AG336" s="29"/>
      <c r="AO336" s="29"/>
      <c r="AP336" s="29"/>
      <c r="BA336" s="28"/>
      <c r="BB336" s="38"/>
      <c r="BC336" s="29"/>
      <c r="BD3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6" s="28" t="str">
        <f>IF(ISBLANK(Table2[[#This Row],[device_model]]), "", Table2[[#This Row],[device_suggested_area]])</f>
        <v/>
      </c>
      <c r="BN336" s="29"/>
      <c r="BT336" s="28"/>
      <c r="BV3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7" spans="1:74" ht="16" customHeight="1" x14ac:dyDescent="0.2">
      <c r="A337" s="28">
        <v>2555</v>
      </c>
      <c r="B337" s="28" t="s">
        <v>26</v>
      </c>
      <c r="C337" s="28" t="s">
        <v>585</v>
      </c>
      <c r="D337" s="28" t="s">
        <v>27</v>
      </c>
      <c r="E337" s="28" t="s">
        <v>624</v>
      </c>
      <c r="F337" s="34" t="str">
        <f>IF(ISBLANK(Table2[[#This Row],[unique_id]]), "", PROPER(SUBSTITUTE(Table2[[#This Row],[unique_id]], "_", " ")))</f>
        <v>Front Door Lock Battery</v>
      </c>
      <c r="G337" s="28" t="s">
        <v>608</v>
      </c>
      <c r="H337" s="28" t="s">
        <v>1125</v>
      </c>
      <c r="I337" s="28" t="s">
        <v>262</v>
      </c>
      <c r="N337" s="28" t="s">
        <v>127</v>
      </c>
      <c r="P337" s="29"/>
      <c r="Q337" s="28"/>
      <c r="U337" s="35"/>
      <c r="V337" s="35"/>
      <c r="W337" s="35"/>
      <c r="X337" s="28"/>
      <c r="AD337" s="29"/>
      <c r="AE337" s="29"/>
      <c r="AF337" s="29"/>
      <c r="AG337" s="29"/>
      <c r="AO337" s="29"/>
      <c r="AP337" s="29"/>
      <c r="BA337" s="28"/>
      <c r="BB337" s="38"/>
      <c r="BC337" s="29"/>
      <c r="BD3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7" s="28" t="str">
        <f>IF(ISBLANK(Table2[[#This Row],[device_model]]), "", Table2[[#This Row],[device_suggested_area]])</f>
        <v/>
      </c>
      <c r="BN337" s="29"/>
      <c r="BT337" s="28"/>
      <c r="BV3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8" spans="1:74" ht="16" customHeight="1" x14ac:dyDescent="0.2">
      <c r="A338" s="28">
        <v>2556</v>
      </c>
      <c r="B338" s="28" t="s">
        <v>26</v>
      </c>
      <c r="C338" s="28" t="s">
        <v>305</v>
      </c>
      <c r="D338" s="28" t="s">
        <v>27</v>
      </c>
      <c r="E338" s="28" t="s">
        <v>626</v>
      </c>
      <c r="F338" s="34" t="str">
        <f>IF(ISBLANK(Table2[[#This Row],[unique_id]]), "", PROPER(SUBSTITUTE(Table2[[#This Row],[unique_id]], "_", " ")))</f>
        <v>Template Back Door Sensor Battery Last</v>
      </c>
      <c r="G338" s="28" t="s">
        <v>611</v>
      </c>
      <c r="H338" s="28" t="s">
        <v>1125</v>
      </c>
      <c r="I338" s="28" t="s">
        <v>262</v>
      </c>
      <c r="N338" s="28" t="s">
        <v>127</v>
      </c>
      <c r="P338" s="29"/>
      <c r="Q338" s="28"/>
      <c r="U338" s="35"/>
      <c r="V338" s="35"/>
      <c r="W338" s="35"/>
      <c r="X338" s="28"/>
      <c r="AD338" s="29"/>
      <c r="AE338" s="29"/>
      <c r="AF338" s="29"/>
      <c r="AG338" s="29"/>
      <c r="AO338" s="29"/>
      <c r="AP338" s="29"/>
      <c r="BA338" s="28"/>
      <c r="BB338" s="38"/>
      <c r="BC338" s="29"/>
      <c r="BD3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8" s="28" t="str">
        <f>IF(ISBLANK(Table2[[#This Row],[device_model]]), "", Table2[[#This Row],[device_suggested_area]])</f>
        <v/>
      </c>
      <c r="BN338" s="29"/>
      <c r="BT338" s="28"/>
      <c r="BV3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9" spans="1:74" ht="16" customHeight="1" x14ac:dyDescent="0.2">
      <c r="A339" s="28">
        <v>2557</v>
      </c>
      <c r="B339" s="28" t="s">
        <v>26</v>
      </c>
      <c r="C339" s="28" t="s">
        <v>305</v>
      </c>
      <c r="D339" s="28" t="s">
        <v>27</v>
      </c>
      <c r="E339" s="28" t="s">
        <v>625</v>
      </c>
      <c r="F339" s="34" t="str">
        <f>IF(ISBLANK(Table2[[#This Row],[unique_id]]), "", PROPER(SUBSTITUTE(Table2[[#This Row],[unique_id]], "_", " ")))</f>
        <v>Template Front Door Sensor Battery Last</v>
      </c>
      <c r="G339" s="28" t="s">
        <v>610</v>
      </c>
      <c r="H339" s="28" t="s">
        <v>1125</v>
      </c>
      <c r="I339" s="28" t="s">
        <v>262</v>
      </c>
      <c r="N339" s="28" t="s">
        <v>127</v>
      </c>
      <c r="P339" s="29"/>
      <c r="Q339" s="28"/>
      <c r="U339" s="35"/>
      <c r="V339" s="35"/>
      <c r="W339" s="35"/>
      <c r="X339" s="28"/>
      <c r="AD339" s="29"/>
      <c r="AE339" s="29"/>
      <c r="AF339" s="29"/>
      <c r="AG339" s="29"/>
      <c r="AO339" s="29"/>
      <c r="AP339" s="29"/>
      <c r="BA339" s="28"/>
      <c r="BB339" s="38"/>
      <c r="BC339" s="29"/>
      <c r="BD3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39" s="28" t="str">
        <f>IF(ISBLANK(Table2[[#This Row],[device_model]]), "", Table2[[#This Row],[device_suggested_area]])</f>
        <v/>
      </c>
      <c r="BN339" s="29"/>
      <c r="BT339" s="28"/>
      <c r="BV3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0" spans="1:74" ht="16" customHeight="1" x14ac:dyDescent="0.2">
      <c r="A340" s="28">
        <v>2558</v>
      </c>
      <c r="B340" s="28" t="s">
        <v>543</v>
      </c>
      <c r="C340" s="28" t="s">
        <v>425</v>
      </c>
      <c r="D340" s="28" t="s">
        <v>27</v>
      </c>
      <c r="E340" s="28" t="s">
        <v>451</v>
      </c>
      <c r="F340" s="34" t="str">
        <f>IF(ISBLANK(Table2[[#This Row],[unique_id]]), "", PROPER(SUBSTITUTE(Table2[[#This Row],[unique_id]], "_", " ")))</f>
        <v>Home Cube Remote Battery</v>
      </c>
      <c r="G340" s="28" t="s">
        <v>433</v>
      </c>
      <c r="H340" s="28" t="s">
        <v>1125</v>
      </c>
      <c r="I340" s="28" t="s">
        <v>262</v>
      </c>
      <c r="N340" s="28" t="s">
        <v>127</v>
      </c>
      <c r="P340" s="29"/>
      <c r="Q340" s="28"/>
      <c r="U340" s="35"/>
      <c r="V340" s="35"/>
      <c r="W340" s="35"/>
      <c r="X340" s="28"/>
      <c r="AD340" s="29"/>
      <c r="AE340" s="29"/>
      <c r="AF340" s="29"/>
      <c r="AG340" s="29"/>
      <c r="AO340" s="29"/>
      <c r="AP340" s="29"/>
      <c r="BA340" s="28"/>
      <c r="BB340" s="38"/>
      <c r="BC340" s="29"/>
      <c r="BD3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0" s="28" t="str">
        <f>IF(ISBLANK(Table2[[#This Row],[device_model]]), "", Table2[[#This Row],[device_suggested_area]])</f>
        <v/>
      </c>
      <c r="BN340" s="29"/>
      <c r="BT340" s="28"/>
      <c r="BV3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1" spans="1:74" ht="16" customHeight="1" x14ac:dyDescent="0.2">
      <c r="A341" s="28">
        <v>2559</v>
      </c>
      <c r="B341" s="46" t="s">
        <v>26</v>
      </c>
      <c r="C341" s="46" t="s">
        <v>141</v>
      </c>
      <c r="D341" s="46" t="s">
        <v>27</v>
      </c>
      <c r="E341" s="46" t="s">
        <v>620</v>
      </c>
      <c r="F341" s="47" t="str">
        <f>IF(ISBLANK(Table2[[#This Row],[unique_id]]), "", PROPER(SUBSTITUTE(Table2[[#This Row],[unique_id]], "_", " ")))</f>
        <v>Template Weatherstation Console Battery Percent Int</v>
      </c>
      <c r="G341" s="46" t="s">
        <v>618</v>
      </c>
      <c r="H341" s="46" t="s">
        <v>1125</v>
      </c>
      <c r="I341" s="46" t="s">
        <v>262</v>
      </c>
      <c r="J341" s="46"/>
      <c r="K341" s="46"/>
      <c r="L341" s="46"/>
      <c r="M341" s="46"/>
      <c r="N341" s="46" t="s">
        <v>127</v>
      </c>
      <c r="O341" s="46"/>
      <c r="P341" s="48"/>
      <c r="Q341" s="46"/>
      <c r="R341" s="46"/>
      <c r="S341" s="46"/>
      <c r="T341" s="46"/>
      <c r="U341" s="49"/>
      <c r="V341" s="49"/>
      <c r="W341" s="49"/>
      <c r="X341" s="46"/>
      <c r="Y341" s="46"/>
      <c r="Z341" s="46"/>
      <c r="AA341" s="46"/>
      <c r="AB341" s="46"/>
      <c r="AC341" s="46"/>
      <c r="AD341" s="48"/>
      <c r="AE341" s="48"/>
      <c r="AF341" s="48"/>
      <c r="AG341" s="48"/>
      <c r="AH341" s="48"/>
      <c r="AI341" s="48"/>
      <c r="AJ341" s="46" t="s">
        <v>31</v>
      </c>
      <c r="AK341" s="46" t="s">
        <v>32</v>
      </c>
      <c r="AL341" s="46" t="s">
        <v>619</v>
      </c>
      <c r="AM341" s="46"/>
      <c r="AN341" s="46"/>
      <c r="AO341" s="48"/>
      <c r="AP341" s="48"/>
      <c r="AQ341" s="46"/>
      <c r="AR341" s="46"/>
      <c r="AS341" s="46"/>
      <c r="AT341" s="46"/>
      <c r="AU341" s="46"/>
      <c r="AV341" s="46"/>
      <c r="AW341" s="46"/>
      <c r="AX341" s="46"/>
      <c r="AY341" s="46"/>
      <c r="AZ341" s="50"/>
      <c r="BA341" s="46"/>
      <c r="BB341" s="51"/>
      <c r="BC341" s="48"/>
      <c r="BD341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41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41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1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41" s="46"/>
      <c r="BI341" s="46" t="str">
        <f>IF(ISBLANK(Table2[[#This Row],[device_model]]), "", Table2[[#This Row],[device_suggested_area]])</f>
        <v/>
      </c>
      <c r="BJ341" s="46"/>
      <c r="BK341" s="46"/>
      <c r="BL341" s="46"/>
      <c r="BM341" s="46"/>
      <c r="BN341" s="48"/>
      <c r="BO341" s="46"/>
      <c r="BP341" s="46"/>
      <c r="BQ341" s="46"/>
      <c r="BR341" s="46"/>
      <c r="BS341" s="46"/>
      <c r="BT341" s="46"/>
      <c r="BU341" s="46"/>
      <c r="BV341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2" spans="1:74" s="46" customFormat="1" ht="16" customHeight="1" x14ac:dyDescent="0.2">
      <c r="A342" s="28">
        <v>2560</v>
      </c>
      <c r="B342" s="46" t="s">
        <v>26</v>
      </c>
      <c r="C342" s="46" t="s">
        <v>39</v>
      </c>
      <c r="D342" s="46" t="s">
        <v>27</v>
      </c>
      <c r="E342" s="46" t="s">
        <v>160</v>
      </c>
      <c r="F342" s="47" t="str">
        <f>IF(ISBLANK(Table2[[#This Row],[unique_id]]), "", PROPER(SUBSTITUTE(Table2[[#This Row],[unique_id]], "_", " ")))</f>
        <v>Weatherstation Console Battery Voltage</v>
      </c>
      <c r="G342" s="46" t="s">
        <v>432</v>
      </c>
      <c r="H342" s="46" t="s">
        <v>1125</v>
      </c>
      <c r="I342" s="46" t="s">
        <v>262</v>
      </c>
      <c r="P342" s="48"/>
      <c r="U342" s="49"/>
      <c r="V342" s="49"/>
      <c r="W342" s="49"/>
      <c r="AD342" s="48" t="s">
        <v>1154</v>
      </c>
      <c r="AE342" s="48"/>
      <c r="AF342" s="48"/>
      <c r="AG342" s="48"/>
      <c r="AH342" s="48"/>
      <c r="AI342" s="48"/>
      <c r="AJ342" s="46" t="s">
        <v>31</v>
      </c>
      <c r="AK342" s="46" t="s">
        <v>75</v>
      </c>
      <c r="AL342" s="46" t="s">
        <v>76</v>
      </c>
      <c r="AM342" s="46" t="s">
        <v>259</v>
      </c>
      <c r="AN342" s="46">
        <v>300</v>
      </c>
      <c r="AO342" s="48" t="s">
        <v>34</v>
      </c>
      <c r="AP342" s="48"/>
      <c r="AQ342" s="46" t="s">
        <v>77</v>
      </c>
      <c r="AR342" s="46" t="str">
        <f>IF(ISBLANK(Table2[[#This Row],[index]]),  "", _xlfn.CONCAT("homeassistant/sensor/", LOWER(Table2[[#This Row],[device_via_device]]), "/", Table2[[#This Row],[unique_id]], "/config"))</f>
        <v>homeassistant/sensor/weewx/weatherstation_console_battery_voltage/config</v>
      </c>
      <c r="AS342" s="46" t="str">
        <f>IF(ISBLANK(Table2[[#This Row],[index]]),  "", _xlfn.CONCAT(LOWER(Table2[[#This Row],[device_via_device]]), "/", Table2[[#This Row],[unique_id]]))</f>
        <v>weewx/weatherstation_console_battery_voltage</v>
      </c>
      <c r="AZ342" s="50" t="s">
        <v>1123</v>
      </c>
      <c r="BA342" s="46">
        <v>1</v>
      </c>
      <c r="BB342" s="51"/>
      <c r="BD342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BE342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F342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Weatherstation Console Battery Voltage</v>
      </c>
      <c r="BG342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2" s="46" t="str">
        <f>IF(ISBLANK(Table2[[#This Row],[device_model]]), "", Table2[[#This Row],[device_suggested_area]])</f>
        <v>Wardrobe</v>
      </c>
      <c r="BJ342" s="46" t="s">
        <v>1153</v>
      </c>
      <c r="BK342" s="46" t="s">
        <v>36</v>
      </c>
      <c r="BL342" s="46" t="s">
        <v>37</v>
      </c>
      <c r="BN342" s="46" t="s">
        <v>1010</v>
      </c>
      <c r="BO342" s="46" t="s">
        <v>460</v>
      </c>
      <c r="BV342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3" spans="1:74" s="46" customFormat="1" ht="16" customHeight="1" x14ac:dyDescent="0.2">
      <c r="A343" s="28">
        <v>2561</v>
      </c>
      <c r="B343" s="28" t="s">
        <v>26</v>
      </c>
      <c r="C343" s="28" t="s">
        <v>39</v>
      </c>
      <c r="D343" s="28" t="s">
        <v>27</v>
      </c>
      <c r="E343" s="28" t="s">
        <v>1493</v>
      </c>
      <c r="F343" s="34" t="str">
        <f>IF(ISBLANK(Table2[[#This Row],[unique_id]]), "", PROPER(SUBSTITUTE(Table2[[#This Row],[unique_id]], "_", " ")))</f>
        <v>Weatherstation Coms Signal Quality</v>
      </c>
      <c r="G343" s="28" t="s">
        <v>1494</v>
      </c>
      <c r="H343" s="28" t="s">
        <v>1125</v>
      </c>
      <c r="I343" s="28" t="s">
        <v>262</v>
      </c>
      <c r="J343" s="28"/>
      <c r="K343" s="28"/>
      <c r="L343" s="28"/>
      <c r="M343" s="28"/>
      <c r="N343" s="28"/>
      <c r="O343" s="28"/>
      <c r="P343" s="29"/>
      <c r="Q343" s="28"/>
      <c r="R343" s="28"/>
      <c r="S343" s="28"/>
      <c r="T343" s="28"/>
      <c r="U343" s="35"/>
      <c r="V343" s="35"/>
      <c r="W343" s="35"/>
      <c r="X343" s="28"/>
      <c r="Y343" s="28"/>
      <c r="Z343" s="28"/>
      <c r="AA343" s="28"/>
      <c r="AB343" s="28"/>
      <c r="AC343" s="28"/>
      <c r="AD343" s="29"/>
      <c r="AE343" s="29"/>
      <c r="AF343" s="29"/>
      <c r="AG343" s="29"/>
      <c r="AH343" s="29"/>
      <c r="AI343" s="29"/>
      <c r="AJ343" s="28"/>
      <c r="AK343" s="28"/>
      <c r="AL343" s="28"/>
      <c r="AM343" s="28"/>
      <c r="AN343" s="28">
        <v>300</v>
      </c>
      <c r="AO343" s="29" t="s">
        <v>34</v>
      </c>
      <c r="AP343" s="29"/>
      <c r="AQ343" s="28" t="s">
        <v>1495</v>
      </c>
      <c r="AR343" s="28" t="str">
        <f>IF(ISBLANK(Table2[[#This Row],[index]]),  "", _xlfn.CONCAT("homeassistant/sensor/", LOWER(Table2[[#This Row],[device_via_device]]), "/", Table2[[#This Row],[unique_id]], "/config"))</f>
        <v>homeassistant/sensor/weewx/weatherstation_coms_signal_quality/config</v>
      </c>
      <c r="AS343" s="28" t="str">
        <f>IF(ISBLANK(Table2[[#This Row],[index]]),  "", _xlfn.CONCAT(LOWER(Table2[[#This Row],[device_via_device]]), "/", Table2[[#This Row],[unique_id]]))</f>
        <v>weewx/weatherstation_coms_signal_quality</v>
      </c>
      <c r="AT343" s="28"/>
      <c r="AU343" s="28"/>
      <c r="AV343" s="28"/>
      <c r="AW343" s="28"/>
      <c r="AX343" s="28"/>
      <c r="AY343" s="28"/>
      <c r="AZ343" s="37" t="s">
        <v>1496</v>
      </c>
      <c r="BA343" s="28">
        <v>1</v>
      </c>
      <c r="BB343" s="30"/>
      <c r="BC343" s="28"/>
      <c r="BD3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BE3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F3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Weatherstation Coms Signal Quality</v>
      </c>
      <c r="BG3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43" s="28"/>
      <c r="BI343" s="28" t="str">
        <f>IF(ISBLANK(Table2[[#This Row],[device_model]]), "", Table2[[#This Row],[device_suggested_area]])</f>
        <v>Wardrobe</v>
      </c>
      <c r="BJ343" s="28" t="s">
        <v>1153</v>
      </c>
      <c r="BK343" s="28" t="s">
        <v>36</v>
      </c>
      <c r="BL343" s="28" t="s">
        <v>37</v>
      </c>
      <c r="BM343" s="28"/>
      <c r="BN343" s="28" t="s">
        <v>1010</v>
      </c>
      <c r="BO343" s="28" t="s">
        <v>460</v>
      </c>
      <c r="BP343" s="28"/>
      <c r="BQ343" s="28"/>
      <c r="BR343" s="28"/>
      <c r="BS343" s="28"/>
      <c r="BT343" s="28"/>
      <c r="BU343" s="28"/>
      <c r="BV3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4" spans="1:74" ht="16" customHeight="1" x14ac:dyDescent="0.2">
      <c r="A344" s="28">
        <v>2562</v>
      </c>
      <c r="B344" s="28" t="s">
        <v>26</v>
      </c>
      <c r="C344" s="28" t="s">
        <v>119</v>
      </c>
      <c r="D344" s="28" t="s">
        <v>27</v>
      </c>
      <c r="E344" s="37" t="s">
        <v>1280</v>
      </c>
      <c r="F344" s="34" t="str">
        <f>IF(ISBLANK(Table2[[#This Row],[unique_id]]), "", PROPER(SUBSTITUTE(Table2[[#This Row],[unique_id]], "_", " ")))</f>
        <v>Office Pantry Battery</v>
      </c>
      <c r="G344" s="28" t="s">
        <v>426</v>
      </c>
      <c r="H344" s="28" t="s">
        <v>1125</v>
      </c>
      <c r="I344" s="28" t="s">
        <v>262</v>
      </c>
      <c r="N344" s="28" t="s">
        <v>127</v>
      </c>
      <c r="P344" s="29"/>
      <c r="Q344" s="28"/>
      <c r="U344" s="35"/>
      <c r="V344" s="35"/>
      <c r="W344" s="35"/>
      <c r="X344" s="28"/>
      <c r="AD344" s="29"/>
      <c r="AE344" s="29"/>
      <c r="AF344" s="29"/>
      <c r="AG344" s="29"/>
      <c r="AO344" s="29"/>
      <c r="AP344" s="29"/>
      <c r="BA344" s="28"/>
      <c r="BB344" s="38"/>
      <c r="BD3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BE3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F3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4" s="28" t="str">
        <f>IF(ISBLANK(Table2[[#This Row],[device_model]]), "", Table2[[#This Row],[device_suggested_area]])</f>
        <v>Pantry</v>
      </c>
      <c r="BJ344" s="28" t="s">
        <v>938</v>
      </c>
      <c r="BK344" s="28" t="s">
        <v>940</v>
      </c>
      <c r="BL344" s="28" t="s">
        <v>119</v>
      </c>
      <c r="BN344" s="28" t="s">
        <v>395</v>
      </c>
      <c r="BO344" s="28" t="s">
        <v>200</v>
      </c>
      <c r="BT344" s="28"/>
      <c r="BV3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5" spans="1:74" ht="16" customHeight="1" x14ac:dyDescent="0.2">
      <c r="A345" s="28">
        <v>2563</v>
      </c>
      <c r="B345" s="28" t="s">
        <v>26</v>
      </c>
      <c r="C345" s="28" t="s">
        <v>119</v>
      </c>
      <c r="D345" s="28" t="s">
        <v>27</v>
      </c>
      <c r="E345" s="37" t="s">
        <v>1281</v>
      </c>
      <c r="F345" s="34" t="str">
        <f>IF(ISBLANK(Table2[[#This Row],[unique_id]]), "", PROPER(SUBSTITUTE(Table2[[#This Row],[unique_id]], "_", " ")))</f>
        <v>Office Lounge Battery</v>
      </c>
      <c r="G345" s="28" t="s">
        <v>427</v>
      </c>
      <c r="H345" s="28" t="s">
        <v>1125</v>
      </c>
      <c r="I345" s="28" t="s">
        <v>262</v>
      </c>
      <c r="N345" s="28" t="s">
        <v>127</v>
      </c>
      <c r="P345" s="29"/>
      <c r="Q345" s="28"/>
      <c r="U345" s="35"/>
      <c r="V345" s="35"/>
      <c r="W345" s="35"/>
      <c r="X345" s="28"/>
      <c r="AD345" s="29"/>
      <c r="AE345" s="29"/>
      <c r="AF345" s="29"/>
      <c r="AG345" s="29"/>
      <c r="AO345" s="29"/>
      <c r="AP345" s="29"/>
      <c r="BA345" s="28"/>
      <c r="BB345" s="38"/>
      <c r="BD3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BE3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F3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5" s="28" t="str">
        <f>IF(ISBLANK(Table2[[#This Row],[device_model]]), "", Table2[[#This Row],[device_suggested_area]])</f>
        <v>Lounge</v>
      </c>
      <c r="BJ345" s="28" t="s">
        <v>938</v>
      </c>
      <c r="BK345" s="28" t="s">
        <v>940</v>
      </c>
      <c r="BL345" s="28" t="s">
        <v>119</v>
      </c>
      <c r="BN345" s="28" t="s">
        <v>395</v>
      </c>
      <c r="BO345" s="28" t="s">
        <v>183</v>
      </c>
      <c r="BT345" s="28"/>
      <c r="BV3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6" spans="1:74" ht="16" customHeight="1" x14ac:dyDescent="0.2">
      <c r="A346" s="28">
        <v>2564</v>
      </c>
      <c r="B346" s="28" t="s">
        <v>26</v>
      </c>
      <c r="C346" s="28" t="s">
        <v>119</v>
      </c>
      <c r="D346" s="28" t="s">
        <v>27</v>
      </c>
      <c r="E346" s="37" t="s">
        <v>1282</v>
      </c>
      <c r="F346" s="34" t="str">
        <f>IF(ISBLANK(Table2[[#This Row],[unique_id]]), "", PROPER(SUBSTITUTE(Table2[[#This Row],[unique_id]], "_", " ")))</f>
        <v>Office Dining Battery</v>
      </c>
      <c r="G346" s="28" t="s">
        <v>428</v>
      </c>
      <c r="H346" s="28" t="s">
        <v>1125</v>
      </c>
      <c r="I346" s="28" t="s">
        <v>262</v>
      </c>
      <c r="N346" s="28" t="s">
        <v>127</v>
      </c>
      <c r="P346" s="29"/>
      <c r="Q346" s="28"/>
      <c r="U346" s="35"/>
      <c r="V346" s="35"/>
      <c r="W346" s="35"/>
      <c r="X346" s="28"/>
      <c r="AD346" s="29"/>
      <c r="AE346" s="29"/>
      <c r="AF346" s="29"/>
      <c r="AG346" s="29"/>
      <c r="AO346" s="29"/>
      <c r="AP346" s="29"/>
      <c r="BA346" s="28"/>
      <c r="BB346" s="38"/>
      <c r="BD3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BE3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F3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6" s="28" t="str">
        <f>IF(ISBLANK(Table2[[#This Row],[device_model]]), "", Table2[[#This Row],[device_suggested_area]])</f>
        <v>Dining</v>
      </c>
      <c r="BJ346" s="28" t="s">
        <v>938</v>
      </c>
      <c r="BK346" s="28" t="s">
        <v>940</v>
      </c>
      <c r="BL346" s="28" t="s">
        <v>119</v>
      </c>
      <c r="BN346" s="28" t="s">
        <v>395</v>
      </c>
      <c r="BO346" s="28" t="s">
        <v>182</v>
      </c>
      <c r="BT346" s="28"/>
      <c r="BV3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7" spans="1:74" ht="16" customHeight="1" x14ac:dyDescent="0.2">
      <c r="A347" s="28">
        <v>2565</v>
      </c>
      <c r="B347" s="28" t="s">
        <v>26</v>
      </c>
      <c r="C347" s="28" t="s">
        <v>119</v>
      </c>
      <c r="D347" s="28" t="s">
        <v>27</v>
      </c>
      <c r="E347" s="37" t="s">
        <v>1283</v>
      </c>
      <c r="F347" s="34" t="str">
        <f>IF(ISBLANK(Table2[[#This Row],[unique_id]]), "", PROPER(SUBSTITUTE(Table2[[#This Row],[unique_id]], "_", " ")))</f>
        <v>Office Basement Battery</v>
      </c>
      <c r="G347" s="28" t="s">
        <v>429</v>
      </c>
      <c r="H347" s="28" t="s">
        <v>1125</v>
      </c>
      <c r="I347" s="28" t="s">
        <v>262</v>
      </c>
      <c r="N347" s="28" t="s">
        <v>127</v>
      </c>
      <c r="P347" s="29"/>
      <c r="Q347" s="28"/>
      <c r="U347" s="35"/>
      <c r="V347" s="35"/>
      <c r="W347" s="35"/>
      <c r="X347" s="28"/>
      <c r="AD347" s="29"/>
      <c r="AE347" s="29"/>
      <c r="AF347" s="29"/>
      <c r="AG347" s="29"/>
      <c r="AO347" s="29"/>
      <c r="AP347" s="29"/>
      <c r="BA347" s="28"/>
      <c r="BB347" s="38"/>
      <c r="BD3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BE3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BF3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7" s="28" t="str">
        <f>IF(ISBLANK(Table2[[#This Row],[device_model]]), "", Table2[[#This Row],[device_suggested_area]])</f>
        <v>Basement</v>
      </c>
      <c r="BJ347" s="28" t="s">
        <v>938</v>
      </c>
      <c r="BK347" s="28" t="s">
        <v>940</v>
      </c>
      <c r="BL347" s="28" t="s">
        <v>119</v>
      </c>
      <c r="BN347" s="28" t="s">
        <v>395</v>
      </c>
      <c r="BO347" s="28" t="s">
        <v>199</v>
      </c>
      <c r="BT347" s="28"/>
      <c r="BV3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8" spans="1:74" ht="16" customHeight="1" x14ac:dyDescent="0.2">
      <c r="A348" s="28">
        <v>2566</v>
      </c>
      <c r="B348" s="28" t="s">
        <v>26</v>
      </c>
      <c r="C348" s="28" t="s">
        <v>171</v>
      </c>
      <c r="D348" s="28" t="s">
        <v>27</v>
      </c>
      <c r="E348" s="28" t="s">
        <v>684</v>
      </c>
      <c r="F348" s="34" t="str">
        <f>IF(ISBLANK(Table2[[#This Row],[unique_id]]), "", PROPER(SUBSTITUTE(Table2[[#This Row],[unique_id]], "_", " ")))</f>
        <v>Parents Move Battery</v>
      </c>
      <c r="G348" s="28" t="s">
        <v>430</v>
      </c>
      <c r="H348" s="28" t="s">
        <v>1125</v>
      </c>
      <c r="I348" s="28" t="s">
        <v>262</v>
      </c>
      <c r="N348" s="28" t="s">
        <v>127</v>
      </c>
      <c r="P348" s="29"/>
      <c r="Q348" s="28"/>
      <c r="U348" s="35"/>
      <c r="V348" s="35"/>
      <c r="W348" s="35"/>
      <c r="X348" s="28"/>
      <c r="AD348" s="29"/>
      <c r="AE348" s="29"/>
      <c r="AF348" s="29"/>
      <c r="AG348" s="29"/>
      <c r="AO348" s="29"/>
      <c r="AP348" s="29"/>
      <c r="BA348" s="28"/>
      <c r="BB348" s="38"/>
      <c r="BC348" s="29"/>
      <c r="BD3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8" s="28" t="str">
        <f>IF(ISBLANK(Table2[[#This Row],[device_model]]), "", Table2[[#This Row],[device_suggested_area]])</f>
        <v/>
      </c>
      <c r="BN348" s="29"/>
      <c r="BT348" s="28"/>
      <c r="BV3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9" spans="1:74" ht="16" customHeight="1" x14ac:dyDescent="0.2">
      <c r="A349" s="28">
        <v>2567</v>
      </c>
      <c r="B349" s="28" t="s">
        <v>26</v>
      </c>
      <c r="C349" s="28" t="s">
        <v>171</v>
      </c>
      <c r="D349" s="28" t="s">
        <v>27</v>
      </c>
      <c r="E349" s="28" t="s">
        <v>683</v>
      </c>
      <c r="F349" s="34" t="str">
        <f>IF(ISBLANK(Table2[[#This Row],[unique_id]]), "", PROPER(SUBSTITUTE(Table2[[#This Row],[unique_id]], "_", " ")))</f>
        <v>Kitchen Move Battery</v>
      </c>
      <c r="G349" s="28" t="s">
        <v>431</v>
      </c>
      <c r="H349" s="28" t="s">
        <v>1125</v>
      </c>
      <c r="I349" s="28" t="s">
        <v>262</v>
      </c>
      <c r="N349" s="28" t="s">
        <v>127</v>
      </c>
      <c r="P349" s="29"/>
      <c r="Q349" s="28"/>
      <c r="U349" s="35"/>
      <c r="V349" s="35"/>
      <c r="W349" s="35"/>
      <c r="X349" s="28"/>
      <c r="AD349" s="29"/>
      <c r="AE349" s="29"/>
      <c r="AF349" s="29"/>
      <c r="AG349" s="29"/>
      <c r="AO349" s="29"/>
      <c r="AP349" s="29"/>
      <c r="BA349" s="28"/>
      <c r="BB349" s="38"/>
      <c r="BC349" s="29"/>
      <c r="BD3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49" s="28" t="str">
        <f>IF(ISBLANK(Table2[[#This Row],[device_model]]), "", Table2[[#This Row],[device_suggested_area]])</f>
        <v/>
      </c>
      <c r="BN349" s="29"/>
      <c r="BT349" s="28"/>
      <c r="BV3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0" spans="1:74" ht="16" customHeight="1" x14ac:dyDescent="0.2">
      <c r="A350" s="28">
        <v>2568</v>
      </c>
      <c r="B350" s="28" t="s">
        <v>26</v>
      </c>
      <c r="C350" s="28" t="s">
        <v>409</v>
      </c>
      <c r="D350" s="28" t="s">
        <v>304</v>
      </c>
      <c r="E350" s="28" t="s">
        <v>303</v>
      </c>
      <c r="F350" s="34" t="str">
        <f>IF(ISBLANK(Table2[[#This Row],[unique_id]]), "", PROPER(SUBSTITUTE(Table2[[#This Row],[unique_id]], "_", " ")))</f>
        <v>Column Break</v>
      </c>
      <c r="G350" s="28" t="s">
        <v>300</v>
      </c>
      <c r="H350" s="28" t="s">
        <v>1125</v>
      </c>
      <c r="I350" s="28" t="s">
        <v>262</v>
      </c>
      <c r="N350" s="28" t="s">
        <v>301</v>
      </c>
      <c r="O350" s="28" t="s">
        <v>302</v>
      </c>
      <c r="P350" s="29"/>
      <c r="Q350" s="28"/>
      <c r="U350" s="35"/>
      <c r="V350" s="35"/>
      <c r="W350" s="35"/>
      <c r="X350" s="28"/>
      <c r="AD350" s="29"/>
      <c r="AE350" s="29"/>
      <c r="AF350" s="29"/>
      <c r="AG350" s="29"/>
      <c r="AO350" s="29"/>
      <c r="AP350" s="29"/>
      <c r="AZ350" s="37"/>
      <c r="BA350" s="28"/>
      <c r="BB350" s="30"/>
      <c r="BC350" s="29"/>
      <c r="BD3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0" s="28" t="str">
        <f>IF(ISBLANK(Table2[[#This Row],[device_model]]), "", Table2[[#This Row],[device_suggested_area]])</f>
        <v/>
      </c>
      <c r="BN350" s="29"/>
      <c r="BT350" s="28"/>
      <c r="BV3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1" spans="1:74" ht="16" customHeight="1" x14ac:dyDescent="0.2">
      <c r="A351" s="28">
        <v>2569</v>
      </c>
      <c r="B351" s="28" t="s">
        <v>26</v>
      </c>
      <c r="C351" s="28" t="s">
        <v>725</v>
      </c>
      <c r="D351" s="28" t="s">
        <v>27</v>
      </c>
      <c r="E351" s="28" t="s">
        <v>776</v>
      </c>
      <c r="F351" s="34" t="str">
        <f>IF(ISBLANK(Table2[[#This Row],[unique_id]]), "", PROPER(SUBSTITUTE(Table2[[#This Row],[unique_id]], "_", " ")))</f>
        <v>All Standby</v>
      </c>
      <c r="G351" s="28" t="s">
        <v>777</v>
      </c>
      <c r="H351" s="28" t="s">
        <v>491</v>
      </c>
      <c r="I351" s="28" t="s">
        <v>262</v>
      </c>
      <c r="P351" s="29" t="s">
        <v>1553</v>
      </c>
      <c r="Q351" s="28"/>
      <c r="S351" s="39"/>
      <c r="U351" s="35" t="s">
        <v>775</v>
      </c>
      <c r="V351" s="35"/>
      <c r="W351" s="35"/>
      <c r="X351" s="28"/>
      <c r="AD351" s="29"/>
      <c r="AE351" s="29"/>
      <c r="AF351" s="29"/>
      <c r="AG351" s="29"/>
      <c r="AO351" s="29"/>
      <c r="AP351" s="29"/>
      <c r="BA351" s="28"/>
      <c r="BB351" s="38"/>
      <c r="BC351" s="29"/>
      <c r="BD3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3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3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1" s="28" t="str">
        <f>IF(ISBLANK(Table2[[#This Row],[device_model]]), "", Table2[[#This Row],[device_suggested_area]])</f>
        <v/>
      </c>
      <c r="BN351" s="29"/>
      <c r="BT351" s="28"/>
      <c r="BV3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2" spans="1:74" ht="16" customHeight="1" x14ac:dyDescent="0.2">
      <c r="A352" s="28">
        <v>2570</v>
      </c>
      <c r="B352" s="28" t="s">
        <v>543</v>
      </c>
      <c r="C352" s="28" t="s">
        <v>658</v>
      </c>
      <c r="D352" s="28" t="s">
        <v>125</v>
      </c>
      <c r="E352" s="28" t="s">
        <v>1404</v>
      </c>
      <c r="F352" s="34" t="str">
        <f>IF(ISBLANK(Table2[[#This Row],[unique_id]]), "", PROPER(SUBSTITUTE(Table2[[#This Row],[unique_id]], "_", " ")))</f>
        <v>Rack Printer Plug</v>
      </c>
      <c r="G352" s="28" t="s">
        <v>1419</v>
      </c>
      <c r="H352" s="28" t="s">
        <v>491</v>
      </c>
      <c r="I352" s="28" t="s">
        <v>262</v>
      </c>
      <c r="N352" s="28" t="s">
        <v>244</v>
      </c>
      <c r="P352" s="29" t="s">
        <v>736</v>
      </c>
      <c r="Q352" s="28"/>
      <c r="U352" s="35" t="s">
        <v>918</v>
      </c>
      <c r="V352" s="35"/>
      <c r="W352" s="35"/>
      <c r="X352" s="28"/>
      <c r="AD352" s="29"/>
      <c r="AE352" s="29"/>
      <c r="AF352" s="29"/>
      <c r="AG352" s="29"/>
      <c r="AI352" s="29" t="s">
        <v>1052</v>
      </c>
      <c r="AM352" s="28" t="s">
        <v>1405</v>
      </c>
      <c r="AN352" s="28">
        <v>10</v>
      </c>
      <c r="AO352" s="29" t="s">
        <v>34</v>
      </c>
      <c r="AP352" s="29" t="s">
        <v>844</v>
      </c>
      <c r="AQ352" s="28" t="s">
        <v>1404</v>
      </c>
      <c r="AR352" s="28" t="str">
        <f>_xlfn.CONCAT("homeassistant/", Table2[[#This Row],[entity_namespace]], "/tasmota/",Table2[[#This Row],[unique_id]], "/config")</f>
        <v>homeassistant/switch/tasmota/rack_printer_plug/config</v>
      </c>
      <c r="AS352" s="28" t="str">
        <f>IF(ISBLANK(Table2[[#This Row],[unique_id_device]]), "", _xlfn.CONCAT("tasmota/device/", Table2[[#This Row],[unique_id_device]], IF(Table2[[#This Row],[entity_namespace]]="sensor", "/tele/SENSOR", "/stat/POWER")))</f>
        <v>tasmota/device/rack_printer_plug/stat/POWER</v>
      </c>
      <c r="AT352" s="28" t="str">
        <f>_xlfn.CONCAT("tasmota/device/",Table2[[#This Row],[unique_id]], "/cmnd/POWER")</f>
        <v>tasmota/device/rack_printer_plug/cmnd/POWER</v>
      </c>
      <c r="AU352" s="28" t="str">
        <f>_xlfn.CONCAT("tasmota/device/", ,SUBSTITUTE(SUBSTITUTE(SUBSTITUTE(SUBSTITUTE(Table2[[#This Row],[unique_id]], "_energy_power", ""), "_energy_total", ""), "_temperature", ""), "_humidity", ""), "/tele/LWT")</f>
        <v>tasmota/device/rack_printer_plug/tele/LWT</v>
      </c>
      <c r="AV352" s="28" t="s">
        <v>863</v>
      </c>
      <c r="AW352" s="28" t="s">
        <v>864</v>
      </c>
      <c r="AX352" s="28" t="s">
        <v>853</v>
      </c>
      <c r="AY352" s="28" t="s">
        <v>854</v>
      </c>
      <c r="AZ352" s="28" t="s">
        <v>917</v>
      </c>
      <c r="BA352" s="28">
        <v>1</v>
      </c>
      <c r="BB352" s="32" t="str">
        <f>HYPERLINK(_xlfn.CONCAT("http://", Table2[[#This Row],[connection_ip]], "/?"))</f>
        <v>http://10.0.4.111/?</v>
      </c>
      <c r="BD3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sonoff-rack-printer</v>
      </c>
      <c r="BE3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Printer</v>
      </c>
      <c r="BF3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Printer Rack Printer Plug</v>
      </c>
      <c r="BG3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2" s="28" t="str">
        <f>IF(ISBLANK(Table2[[#This Row],[device_model]]), "", Table2[[#This Row],[device_suggested_area]])</f>
        <v>Rack</v>
      </c>
      <c r="BJ352" s="28" t="s">
        <v>353</v>
      </c>
      <c r="BK352" s="37" t="s">
        <v>715</v>
      </c>
      <c r="BL352" s="28" t="s">
        <v>1053</v>
      </c>
      <c r="BN352" s="28" t="s">
        <v>835</v>
      </c>
      <c r="BO352" s="28" t="s">
        <v>28</v>
      </c>
      <c r="BS352" s="28" t="s">
        <v>1186</v>
      </c>
      <c r="BT352" s="28" t="s">
        <v>1424</v>
      </c>
      <c r="BU352" s="28" t="s">
        <v>1420</v>
      </c>
      <c r="BV3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"80:64:6f:91:14:c5"], ["ip", "10.0.4.111"]]</v>
      </c>
    </row>
    <row r="353" spans="1:74" ht="16" customHeight="1" x14ac:dyDescent="0.2">
      <c r="A353" s="28">
        <v>2571</v>
      </c>
      <c r="B353" s="28" t="s">
        <v>26</v>
      </c>
      <c r="C353" s="28" t="s">
        <v>658</v>
      </c>
      <c r="D353" s="28" t="s">
        <v>125</v>
      </c>
      <c r="E353" s="28" t="s">
        <v>1414</v>
      </c>
      <c r="F353" s="34" t="str">
        <f>IF(ISBLANK(Table2[[#This Row],[unique_id]]), "", PROPER(SUBSTITUTE(Table2[[#This Row],[unique_id]], "_", " ")))</f>
        <v>Rack Screen Plug</v>
      </c>
      <c r="G353" s="28" t="s">
        <v>1407</v>
      </c>
      <c r="H353" s="28" t="s">
        <v>491</v>
      </c>
      <c r="I353" s="28" t="s">
        <v>262</v>
      </c>
      <c r="N353" s="28" t="s">
        <v>244</v>
      </c>
      <c r="P353" s="29" t="s">
        <v>736</v>
      </c>
      <c r="Q353" s="28"/>
      <c r="U353" s="35" t="s">
        <v>918</v>
      </c>
      <c r="V353" s="35"/>
      <c r="W353" s="35"/>
      <c r="X353" s="28"/>
      <c r="AD353" s="29"/>
      <c r="AE353" s="29"/>
      <c r="AF353" s="29"/>
      <c r="AG353" s="29"/>
      <c r="AI353" s="29" t="s">
        <v>1504</v>
      </c>
      <c r="AM353" s="28" t="s">
        <v>1408</v>
      </c>
      <c r="AN353" s="28">
        <v>10</v>
      </c>
      <c r="AO353" s="29" t="s">
        <v>34</v>
      </c>
      <c r="AP353" s="29" t="s">
        <v>844</v>
      </c>
      <c r="AQ353" s="28" t="s">
        <v>1414</v>
      </c>
      <c r="AR353" s="28" t="str">
        <f>_xlfn.CONCAT("homeassistant/", Table2[[#This Row],[entity_namespace]], "/tasmota/",Table2[[#This Row],[unique_id]], "/config")</f>
        <v>homeassistant/switch/tasmota/rack_screen_plug/config</v>
      </c>
      <c r="AS353" s="28" t="str">
        <f>IF(ISBLANK(Table2[[#This Row],[unique_id_device]]), "", _xlfn.CONCAT("tasmota/device/", Table2[[#This Row],[unique_id_device]], IF(Table2[[#This Row],[entity_namespace]]="sensor", "/tele/SENSOR", "/stat/POWER")))</f>
        <v>tasmota/device/rack_screen_plug/stat/POWER</v>
      </c>
      <c r="AT353" s="28" t="str">
        <f>_xlfn.CONCAT("tasmota/device/",Table2[[#This Row],[unique_id]], "/cmnd/POWER")</f>
        <v>tasmota/device/rack_screen_plug/cmnd/POWER</v>
      </c>
      <c r="AU353" s="28" t="str">
        <f>_xlfn.CONCAT("tasmota/device/", ,SUBSTITUTE(SUBSTITUTE(SUBSTITUTE(SUBSTITUTE(Table2[[#This Row],[unique_id]], "_energy_power", ""), "_energy_total", ""), "_temperature", ""), "_humidity", ""), "/tele/LWT")</f>
        <v>tasmota/device/rack_screen_plug/tele/LWT</v>
      </c>
      <c r="AV353" s="28" t="s">
        <v>863</v>
      </c>
      <c r="AW353" s="28" t="s">
        <v>864</v>
      </c>
      <c r="AX353" s="28" t="s">
        <v>853</v>
      </c>
      <c r="AY353" s="28" t="s">
        <v>854</v>
      </c>
      <c r="AZ353" s="28" t="s">
        <v>917</v>
      </c>
      <c r="BA353" s="28">
        <v>1</v>
      </c>
      <c r="BB353" s="32" t="str">
        <f>HYPERLINK(_xlfn.CONCAT("http://", Table2[[#This Row],[connection_ip]], "/?"))</f>
        <v>http://10.0.4.109/?</v>
      </c>
      <c r="BD3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sonoff-rack-screen</v>
      </c>
      <c r="BE3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Screen</v>
      </c>
      <c r="BF3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Screen Rack Screen Plug</v>
      </c>
      <c r="BG3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3" s="28" t="str">
        <f>IF(ISBLANK(Table2[[#This Row],[device_model]]), "", Table2[[#This Row],[device_suggested_area]])</f>
        <v>Rack</v>
      </c>
      <c r="BJ353" s="28" t="s">
        <v>1411</v>
      </c>
      <c r="BK353" s="37" t="s">
        <v>715</v>
      </c>
      <c r="BL353" s="28" t="s">
        <v>1053</v>
      </c>
      <c r="BN353" s="28" t="s">
        <v>835</v>
      </c>
      <c r="BO353" s="28" t="s">
        <v>28</v>
      </c>
      <c r="BS353" s="28" t="s">
        <v>1186</v>
      </c>
      <c r="BT353" s="28" t="s">
        <v>1416</v>
      </c>
      <c r="BU353" s="28" t="s">
        <v>1412</v>
      </c>
      <c r="BV3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"48:55:19:74:06:19"], ["ip", "10.0.4.109"]]</v>
      </c>
    </row>
    <row r="354" spans="1:74" ht="16" customHeight="1" x14ac:dyDescent="0.2">
      <c r="A354" s="28">
        <v>2572</v>
      </c>
      <c r="B354" s="28" t="s">
        <v>26</v>
      </c>
      <c r="C354" s="28" t="s">
        <v>658</v>
      </c>
      <c r="D354" s="28" t="s">
        <v>125</v>
      </c>
      <c r="E354" s="28" t="s">
        <v>1388</v>
      </c>
      <c r="F354" s="34" t="str">
        <f>IF(ISBLANK(Table2[[#This Row],[unique_id]]), "", PROPER(SUBSTITUTE(Table2[[#This Row],[unique_id]], "_", " ")))</f>
        <v>Rack Backup Plug</v>
      </c>
      <c r="G354" s="28" t="s">
        <v>1406</v>
      </c>
      <c r="H354" s="28" t="s">
        <v>491</v>
      </c>
      <c r="I354" s="28" t="s">
        <v>262</v>
      </c>
      <c r="N354" s="28" t="s">
        <v>244</v>
      </c>
      <c r="P354" s="29" t="s">
        <v>736</v>
      </c>
      <c r="Q354" s="28"/>
      <c r="U354" s="35" t="s">
        <v>918</v>
      </c>
      <c r="V354" s="35"/>
      <c r="W354" s="35"/>
      <c r="X354" s="28"/>
      <c r="AD354" s="29"/>
      <c r="AE354" s="29"/>
      <c r="AF354" s="29"/>
      <c r="AG354" s="29"/>
      <c r="AI354" s="29" t="s">
        <v>1504</v>
      </c>
      <c r="AM354" s="28" t="s">
        <v>1409</v>
      </c>
      <c r="AN354" s="28">
        <v>10</v>
      </c>
      <c r="AO354" s="29" t="s">
        <v>34</v>
      </c>
      <c r="AP354" s="29" t="s">
        <v>844</v>
      </c>
      <c r="AQ354" s="28" t="s">
        <v>1388</v>
      </c>
      <c r="AR354" s="28" t="str">
        <f>_xlfn.CONCAT("homeassistant/", Table2[[#This Row],[entity_namespace]], "/tasmota/",Table2[[#This Row],[unique_id]], "/config")</f>
        <v>homeassistant/switch/tasmota/rack_backup_plug/config</v>
      </c>
      <c r="AS354" s="28" t="str">
        <f>IF(ISBLANK(Table2[[#This Row],[unique_id_device]]), "", _xlfn.CONCAT("tasmota/device/", Table2[[#This Row],[unique_id_device]], IF(Table2[[#This Row],[entity_namespace]]="sensor", "/tele/SENSOR", "/stat/POWER")))</f>
        <v>tasmota/device/rack_backup_plug/stat/POWER</v>
      </c>
      <c r="AT354" s="28" t="str">
        <f>_xlfn.CONCAT("tasmota/device/",Table2[[#This Row],[unique_id]], "/cmnd/POWER")</f>
        <v>tasmota/device/rack_backup_plug/cmnd/POWER</v>
      </c>
      <c r="AU354" s="28" t="str">
        <f>_xlfn.CONCAT("tasmota/device/", ,SUBSTITUTE(SUBSTITUTE(SUBSTITUTE(SUBSTITUTE(Table2[[#This Row],[unique_id]], "_energy_power", ""), "_energy_total", ""), "_temperature", ""), "_humidity", ""), "/tele/LWT")</f>
        <v>tasmota/device/rack_backup_plug/tele/LWT</v>
      </c>
      <c r="AV354" s="28" t="s">
        <v>863</v>
      </c>
      <c r="AW354" s="28" t="s">
        <v>864</v>
      </c>
      <c r="AX354" s="28" t="s">
        <v>853</v>
      </c>
      <c r="AY354" s="28" t="s">
        <v>854</v>
      </c>
      <c r="AZ354" s="28" t="s">
        <v>917</v>
      </c>
      <c r="BA354" s="28">
        <v>1</v>
      </c>
      <c r="BB354" s="32" t="str">
        <f>HYPERLINK(_xlfn.CONCAT("http://", Table2[[#This Row],[connection_ip]], "/?"))</f>
        <v>http://10.0.4.110/?</v>
      </c>
      <c r="BD3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sonoff-rack-backup</v>
      </c>
      <c r="BE3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Backup</v>
      </c>
      <c r="BF3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Backup Rack Backup Plug</v>
      </c>
      <c r="BG3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4" s="28" t="str">
        <f>IF(ISBLANK(Table2[[#This Row],[device_model]]), "", Table2[[#This Row],[device_suggested_area]])</f>
        <v>Rack</v>
      </c>
      <c r="BJ354" s="28" t="s">
        <v>1410</v>
      </c>
      <c r="BK354" s="37" t="s">
        <v>715</v>
      </c>
      <c r="BL354" s="28" t="s">
        <v>1053</v>
      </c>
      <c r="BN354" s="28" t="s">
        <v>835</v>
      </c>
      <c r="BO354" s="28" t="s">
        <v>28</v>
      </c>
      <c r="BS354" s="28" t="s">
        <v>1186</v>
      </c>
      <c r="BT354" s="28" t="s">
        <v>1415</v>
      </c>
      <c r="BU354" s="28" t="s">
        <v>1413</v>
      </c>
      <c r="BV3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"80:64:6f:91:0d:0f"], ["ip", "10.0.4.110"]]</v>
      </c>
    </row>
    <row r="355" spans="1:74" ht="16" customHeight="1" x14ac:dyDescent="0.2">
      <c r="A355" s="28">
        <v>2573</v>
      </c>
      <c r="B355" s="28" t="s">
        <v>26</v>
      </c>
      <c r="C355" s="28" t="s">
        <v>658</v>
      </c>
      <c r="D355" s="28" t="s">
        <v>125</v>
      </c>
      <c r="E355" s="28" t="s">
        <v>836</v>
      </c>
      <c r="F355" s="34" t="str">
        <f>IF(ISBLANK(Table2[[#This Row],[unique_id]]), "", PROPER(SUBSTITUTE(Table2[[#This Row],[unique_id]], "_", " ")))</f>
        <v>Rack Fans Plug</v>
      </c>
      <c r="G355" s="28" t="s">
        <v>552</v>
      </c>
      <c r="H355" s="28" t="s">
        <v>491</v>
      </c>
      <c r="I355" s="28" t="s">
        <v>262</v>
      </c>
      <c r="N355" s="28" t="s">
        <v>244</v>
      </c>
      <c r="P355" s="29" t="s">
        <v>736</v>
      </c>
      <c r="Q355" s="28"/>
      <c r="U355" s="35" t="s">
        <v>918</v>
      </c>
      <c r="V355" s="35"/>
      <c r="W355" s="35"/>
      <c r="X355" s="28"/>
      <c r="AD355" s="29"/>
      <c r="AE355" s="29"/>
      <c r="AF355" s="29"/>
      <c r="AG355" s="29"/>
      <c r="AI355" s="29" t="s">
        <v>1504</v>
      </c>
      <c r="AM355" s="28" t="s">
        <v>1487</v>
      </c>
      <c r="AN355" s="28">
        <v>10</v>
      </c>
      <c r="AO355" s="29" t="s">
        <v>34</v>
      </c>
      <c r="AP355" s="29" t="s">
        <v>844</v>
      </c>
      <c r="AQ355" s="28" t="s">
        <v>836</v>
      </c>
      <c r="AR355" s="28" t="str">
        <f>_xlfn.CONCAT("homeassistant/", Table2[[#This Row],[entity_namespace]], "/tasmota/",Table2[[#This Row],[unique_id]], "/config")</f>
        <v>homeassistant/switch/tasmota/rack_fans_plug/config</v>
      </c>
      <c r="AS355" s="28" t="str">
        <f>IF(ISBLANK(Table2[[#This Row],[unique_id_device]]), "", _xlfn.CONCAT("tasmota/device/", Table2[[#This Row],[unique_id_device]], IF(Table2[[#This Row],[entity_namespace]]="sensor", "/tele/SENSOR", "/stat/POWER")))</f>
        <v>tasmota/device/rack_fans_plug/stat/POWER</v>
      </c>
      <c r="AT355" s="28" t="str">
        <f>_xlfn.CONCAT("tasmota/device/",Table2[[#This Row],[unique_id]], "/cmnd/POWER")</f>
        <v>tasmota/device/rack_fans_plug/cmnd/POWER</v>
      </c>
      <c r="AU355" s="28" t="str">
        <f>_xlfn.CONCAT("tasmota/device/", ,SUBSTITUTE(SUBSTITUTE(SUBSTITUTE(SUBSTITUTE(Table2[[#This Row],[unique_id]], "_energy_power", ""), "_energy_total", ""), "_temperature", ""), "_humidity", ""), "/tele/LWT")</f>
        <v>tasmota/device/rack_fans_plug/tele/LWT</v>
      </c>
      <c r="AV355" s="28" t="s">
        <v>863</v>
      </c>
      <c r="AW355" s="28" t="s">
        <v>864</v>
      </c>
      <c r="AX355" s="28" t="s">
        <v>853</v>
      </c>
      <c r="AY355" s="28" t="s">
        <v>854</v>
      </c>
      <c r="AZ355" s="28" t="s">
        <v>917</v>
      </c>
      <c r="BA355" s="28">
        <v>1</v>
      </c>
      <c r="BB355" s="32" t="str">
        <f>HYPERLINK(_xlfn.CONCAT("http://", Table2[[#This Row],[connection_ip]], "/?"))</f>
        <v>http://10.0.4.101/?</v>
      </c>
      <c r="BD3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sonoff-rack-fans</v>
      </c>
      <c r="BE3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Fans</v>
      </c>
      <c r="BF3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Fans Rack Fans Plug</v>
      </c>
      <c r="BG3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5" s="28" t="str">
        <f>IF(ISBLANK(Table2[[#This Row],[device_model]]), "", Table2[[#This Row],[device_suggested_area]])</f>
        <v>Rack</v>
      </c>
      <c r="BJ355" s="28" t="s">
        <v>122</v>
      </c>
      <c r="BK355" s="37" t="s">
        <v>715</v>
      </c>
      <c r="BL355" s="28" t="s">
        <v>1053</v>
      </c>
      <c r="BN355" s="28" t="s">
        <v>835</v>
      </c>
      <c r="BO355" s="28" t="s">
        <v>28</v>
      </c>
      <c r="BS355" s="28" t="s">
        <v>1186</v>
      </c>
      <c r="BT355" s="28" t="s">
        <v>553</v>
      </c>
      <c r="BU355" s="28" t="s">
        <v>1240</v>
      </c>
      <c r="BV3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"4c:eb:d6:b5:a5:28"], ["ip", "10.0.4.101"]]</v>
      </c>
    </row>
    <row r="356" spans="1:74" ht="16" customHeight="1" x14ac:dyDescent="0.2">
      <c r="A356" s="28">
        <v>2574</v>
      </c>
      <c r="B356" s="28" t="s">
        <v>26</v>
      </c>
      <c r="C356" s="28" t="s">
        <v>756</v>
      </c>
      <c r="D356" s="28" t="s">
        <v>139</v>
      </c>
      <c r="E356" s="35" t="s">
        <v>1017</v>
      </c>
      <c r="F356" s="34" t="str">
        <f>IF(ISBLANK(Table2[[#This Row],[unique_id]]), "", PROPER(SUBSTITUTE(Table2[[#This Row],[unique_id]], "_", " ")))</f>
        <v>Template Lounge Tv Plug Proxy</v>
      </c>
      <c r="G356" s="28" t="s">
        <v>169</v>
      </c>
      <c r="H356" s="28" t="s">
        <v>491</v>
      </c>
      <c r="I356" s="28" t="s">
        <v>262</v>
      </c>
      <c r="P356" s="29" t="s">
        <v>736</v>
      </c>
      <c r="Q356" s="28" t="s">
        <v>155</v>
      </c>
      <c r="R356" s="28" t="s">
        <v>708</v>
      </c>
      <c r="S356" s="39" t="s">
        <v>693</v>
      </c>
      <c r="T356" s="28" t="str">
        <f>Table2[[#This Row],[friendly_name]]</f>
        <v>Lounge TV</v>
      </c>
      <c r="U356" s="35" t="s">
        <v>1014</v>
      </c>
      <c r="V356" s="35"/>
      <c r="W356" s="35"/>
      <c r="X356" s="28"/>
      <c r="AD356" s="29"/>
      <c r="AE356" s="29"/>
      <c r="AF356" s="29"/>
      <c r="AG356" s="29"/>
      <c r="AO356" s="29"/>
      <c r="AP356" s="29"/>
      <c r="AZ356" s="37"/>
      <c r="BA356" s="28"/>
      <c r="BB356" s="30"/>
      <c r="BC356" s="28" t="s">
        <v>125</v>
      </c>
      <c r="BD3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tplink-lounge-tv</v>
      </c>
      <c r="BE3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BF3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6" s="28" t="str">
        <f>IF(ISBLANK(Table2[[#This Row],[device_model]]), "", Table2[[#This Row],[device_suggested_area]])</f>
        <v>Lounge</v>
      </c>
      <c r="BJ356" s="28" t="s">
        <v>927</v>
      </c>
      <c r="BK356" s="28" t="s">
        <v>330</v>
      </c>
      <c r="BL356" s="28" t="s">
        <v>221</v>
      </c>
      <c r="BN356" s="28" t="s">
        <v>333</v>
      </c>
      <c r="BO356" s="28" t="s">
        <v>183</v>
      </c>
      <c r="BT356" s="28"/>
      <c r="BV3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7" spans="1:74" ht="16" customHeight="1" x14ac:dyDescent="0.2">
      <c r="A357" s="28">
        <v>2575</v>
      </c>
      <c r="B357" s="28" t="s">
        <v>26</v>
      </c>
      <c r="C357" s="28" t="s">
        <v>221</v>
      </c>
      <c r="D357" s="28" t="s">
        <v>125</v>
      </c>
      <c r="E357" s="28" t="s">
        <v>1016</v>
      </c>
      <c r="F357" s="34" t="str">
        <f>IF(ISBLANK(Table2[[#This Row],[unique_id]]), "", PROPER(SUBSTITUTE(Table2[[#This Row],[unique_id]], "_", " ")))</f>
        <v>Lounge Tv Plug</v>
      </c>
      <c r="G357" s="28" t="s">
        <v>169</v>
      </c>
      <c r="H357" s="28" t="s">
        <v>491</v>
      </c>
      <c r="I357" s="28" t="s">
        <v>262</v>
      </c>
      <c r="N357" s="28" t="s">
        <v>244</v>
      </c>
      <c r="P357" s="29" t="s">
        <v>736</v>
      </c>
      <c r="Q357" s="28" t="s">
        <v>155</v>
      </c>
      <c r="R357" s="28" t="s">
        <v>708</v>
      </c>
      <c r="S357" s="39" t="s">
        <v>693</v>
      </c>
      <c r="T357" s="28" t="str">
        <f>Table2[[#This Row],[friendly_name]]</f>
        <v>Lounge TV</v>
      </c>
      <c r="U357" s="35" t="str">
        <f>"power_sensor_id: sensor." &amp; Table2[[#This Row],[unique_id]] &amp; "_current_consumption" &amp; CHAR(10) &amp; "force_energy_sensor_creation: true" &amp; CHAR(10)</f>
        <v xml:space="preserve">power_sensor_id: sensor.lounge_tv_plug_current_consumption
force_energy_sensor_creation: true
</v>
      </c>
      <c r="V357" s="35"/>
      <c r="W357" s="35"/>
      <c r="X357" s="28"/>
      <c r="AD357" s="29"/>
      <c r="AE357" s="29"/>
      <c r="AF357" s="29"/>
      <c r="AG357" s="29"/>
      <c r="AM357" s="28" t="s">
        <v>237</v>
      </c>
      <c r="AO357" s="29"/>
      <c r="AP357" s="29"/>
      <c r="BA357" s="28"/>
      <c r="BB357" s="38"/>
      <c r="BD3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tplink-lounge-tv</v>
      </c>
      <c r="BE3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BF3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7" s="28" t="str">
        <f>IF(ISBLANK(Table2[[#This Row],[device_model]]), "", Table2[[#This Row],[device_suggested_area]])</f>
        <v>Lounge</v>
      </c>
      <c r="BJ357" s="28" t="s">
        <v>927</v>
      </c>
      <c r="BK357" s="28" t="s">
        <v>330</v>
      </c>
      <c r="BL357" s="28" t="s">
        <v>221</v>
      </c>
      <c r="BN357" s="28" t="s">
        <v>333</v>
      </c>
      <c r="BO357" s="28" t="s">
        <v>183</v>
      </c>
      <c r="BR357" s="28" t="s">
        <v>924</v>
      </c>
      <c r="BS357" s="28" t="s">
        <v>1186</v>
      </c>
      <c r="BT357" s="28" t="s">
        <v>320</v>
      </c>
      <c r="BU357" s="28" t="s">
        <v>1220</v>
      </c>
      <c r="BV3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"ac:84:c6:54:a3:a2"], ["ip", "10.0.4.80"]]</v>
      </c>
    </row>
    <row r="358" spans="1:74" ht="16" customHeight="1" x14ac:dyDescent="0.2">
      <c r="A358" s="28">
        <v>2576</v>
      </c>
      <c r="B358" s="52" t="s">
        <v>543</v>
      </c>
      <c r="C358" s="52" t="s">
        <v>756</v>
      </c>
      <c r="D358" s="52" t="s">
        <v>139</v>
      </c>
      <c r="E358" s="53" t="s">
        <v>1322</v>
      </c>
      <c r="F358" s="54" t="str">
        <f>IF(ISBLANK(Table2[[#This Row],[unique_id]]), "", PROPER(SUBSTITUTE(Table2[[#This Row],[unique_id]], "_", " ")))</f>
        <v>Broken Template Lounge Sub Plug Proxy</v>
      </c>
      <c r="G358" s="52" t="s">
        <v>740</v>
      </c>
      <c r="H358" s="52" t="s">
        <v>491</v>
      </c>
      <c r="I358" s="52" t="s">
        <v>262</v>
      </c>
      <c r="J358" s="52"/>
      <c r="K358" s="52"/>
      <c r="L358" s="52"/>
      <c r="M358" s="52"/>
      <c r="N358" s="52"/>
      <c r="O358" s="52"/>
      <c r="P358" s="55" t="s">
        <v>736</v>
      </c>
      <c r="Q358" s="52" t="s">
        <v>155</v>
      </c>
      <c r="R358" s="52" t="s">
        <v>708</v>
      </c>
      <c r="S358" s="58" t="s">
        <v>693</v>
      </c>
      <c r="T358" s="52" t="str">
        <f>Table2[[#This Row],[friendly_name]]</f>
        <v>Lounge Sub</v>
      </c>
      <c r="U358" s="53" t="s">
        <v>1014</v>
      </c>
      <c r="V358" s="53"/>
      <c r="W358" s="53"/>
      <c r="X358" s="52"/>
      <c r="Y358" s="52"/>
      <c r="Z358" s="52"/>
      <c r="AA358" s="52"/>
      <c r="AB358" s="52"/>
      <c r="AC358" s="52"/>
      <c r="AD358" s="55"/>
      <c r="AE358" s="55"/>
      <c r="AF358" s="55"/>
      <c r="AG358" s="55"/>
      <c r="AH358" s="55"/>
      <c r="AI358" s="55"/>
      <c r="AJ358" s="52"/>
      <c r="AK358" s="52"/>
      <c r="AL358" s="52"/>
      <c r="AM358" s="52"/>
      <c r="AN358" s="52"/>
      <c r="AO358" s="55"/>
      <c r="AP358" s="55"/>
      <c r="AQ358" s="52"/>
      <c r="AR358" s="52"/>
      <c r="AS358" s="52"/>
      <c r="AT358" s="52"/>
      <c r="AU358" s="52"/>
      <c r="AV358" s="52"/>
      <c r="AW358" s="52"/>
      <c r="AX358" s="52"/>
      <c r="AY358" s="52"/>
      <c r="AZ358" s="57"/>
      <c r="BA358" s="52"/>
      <c r="BB358" s="59"/>
      <c r="BC358" s="52" t="s">
        <v>125</v>
      </c>
      <c r="BD35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tplink-lounge-sub</v>
      </c>
      <c r="BE35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Sub</v>
      </c>
      <c r="BF35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5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58" s="52"/>
      <c r="BI358" s="52" t="str">
        <f>IF(ISBLANK(Table2[[#This Row],[device_model]]), "", Table2[[#This Row],[device_suggested_area]])</f>
        <v>Lounge</v>
      </c>
      <c r="BJ358" s="52" t="s">
        <v>967</v>
      </c>
      <c r="BK358" s="57" t="s">
        <v>331</v>
      </c>
      <c r="BL358" s="52" t="s">
        <v>221</v>
      </c>
      <c r="BM358" s="52"/>
      <c r="BN358" s="52" t="s">
        <v>332</v>
      </c>
      <c r="BO358" s="52" t="s">
        <v>183</v>
      </c>
      <c r="BP358" s="52"/>
      <c r="BQ358" s="52"/>
      <c r="BR358" s="52"/>
      <c r="BS358" s="52"/>
      <c r="BT358" s="52"/>
      <c r="BU358" s="52"/>
      <c r="BV35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9" spans="1:74" s="52" customFormat="1" ht="16" customHeight="1" x14ac:dyDescent="0.2">
      <c r="A359" s="28">
        <v>2577</v>
      </c>
      <c r="B359" s="52" t="s">
        <v>543</v>
      </c>
      <c r="C359" s="52" t="s">
        <v>221</v>
      </c>
      <c r="D359" s="52" t="s">
        <v>125</v>
      </c>
      <c r="E359" s="52" t="s">
        <v>1323</v>
      </c>
      <c r="F359" s="54" t="str">
        <f>IF(ISBLANK(Table2[[#This Row],[unique_id]]), "", PROPER(SUBSTITUTE(Table2[[#This Row],[unique_id]], "_", " ")))</f>
        <v>Broken Lounge Sub Plug</v>
      </c>
      <c r="G359" s="52" t="s">
        <v>740</v>
      </c>
      <c r="H359" s="52" t="s">
        <v>491</v>
      </c>
      <c r="I359" s="52" t="s">
        <v>262</v>
      </c>
      <c r="N359" s="52" t="s">
        <v>244</v>
      </c>
      <c r="P359" s="55" t="s">
        <v>736</v>
      </c>
      <c r="Q359" s="52" t="s">
        <v>155</v>
      </c>
      <c r="R359" s="52" t="s">
        <v>708</v>
      </c>
      <c r="S359" s="58" t="s">
        <v>693</v>
      </c>
      <c r="T359" s="52" t="str">
        <f>Table2[[#This Row],[friendly_name]]</f>
        <v>Lounge Sub</v>
      </c>
      <c r="U359" s="53" t="str">
        <f>"power_sensor_id: sensor." &amp; Table2[[#This Row],[unique_id]] &amp; "_current_consumption" &amp; CHAR(10) &amp; "force_energy_sensor_creation: true" &amp; CHAR(10)</f>
        <v xml:space="preserve">power_sensor_id: sensor.broken_lounge_sub_plug_current_consumption
force_energy_sensor_creation: true
</v>
      </c>
      <c r="V359" s="53"/>
      <c r="W359" s="53"/>
      <c r="AD359" s="55"/>
      <c r="AE359" s="55"/>
      <c r="AF359" s="55"/>
      <c r="AG359" s="55"/>
      <c r="AH359" s="55"/>
      <c r="AI359" s="55"/>
      <c r="AM359" s="52" t="s">
        <v>741</v>
      </c>
      <c r="AO359" s="55"/>
      <c r="AP359" s="55"/>
      <c r="BB359" s="56"/>
      <c r="BD35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tplink-lounge-sub</v>
      </c>
      <c r="BE35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Sub</v>
      </c>
      <c r="BF35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5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59" s="52" t="str">
        <f>IF(ISBLANK(Table2[[#This Row],[device_model]]), "", Table2[[#This Row],[device_suggested_area]])</f>
        <v>Lounge</v>
      </c>
      <c r="BJ359" s="52" t="s">
        <v>967</v>
      </c>
      <c r="BK359" s="57" t="s">
        <v>331</v>
      </c>
      <c r="BL359" s="52" t="s">
        <v>221</v>
      </c>
      <c r="BN359" s="52" t="s">
        <v>332</v>
      </c>
      <c r="BO359" s="52" t="s">
        <v>183</v>
      </c>
      <c r="BR359" s="52" t="s">
        <v>923</v>
      </c>
      <c r="BS359" s="52" t="s">
        <v>1186</v>
      </c>
      <c r="BT359" s="52" t="s">
        <v>311</v>
      </c>
      <c r="BU359" s="52" t="s">
        <v>1221</v>
      </c>
      <c r="BV35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"10:27:f5:31:f2:2b"], ["ip", "10.0.4.70"]]</v>
      </c>
    </row>
    <row r="360" spans="1:74" s="52" customFormat="1" ht="16" customHeight="1" x14ac:dyDescent="0.2">
      <c r="A360" s="28">
        <v>2578</v>
      </c>
      <c r="B360" s="52" t="s">
        <v>543</v>
      </c>
      <c r="C360" s="52" t="s">
        <v>756</v>
      </c>
      <c r="D360" s="52" t="s">
        <v>139</v>
      </c>
      <c r="E360" s="53" t="s">
        <v>1324</v>
      </c>
      <c r="F360" s="54" t="str">
        <f>IF(ISBLANK(Table2[[#This Row],[unique_id]]), "", PROPER(SUBSTITUTE(Table2[[#This Row],[unique_id]], "_", " ")))</f>
        <v>Broken Template Study Outlet Plug Proxy</v>
      </c>
      <c r="G360" s="52" t="s">
        <v>214</v>
      </c>
      <c r="H360" s="52" t="s">
        <v>491</v>
      </c>
      <c r="I360" s="52" t="s">
        <v>262</v>
      </c>
      <c r="P360" s="55" t="s">
        <v>736</v>
      </c>
      <c r="Q360" s="52" t="s">
        <v>155</v>
      </c>
      <c r="R360" s="52" t="s">
        <v>708</v>
      </c>
      <c r="S360" s="52" t="s">
        <v>491</v>
      </c>
      <c r="T360" s="52" t="str">
        <f>Table2[[#This Row],[friendly_name]]</f>
        <v>Study Outlet</v>
      </c>
      <c r="U360" s="53" t="s">
        <v>1013</v>
      </c>
      <c r="V360" s="53"/>
      <c r="W360" s="53"/>
      <c r="AD360" s="55"/>
      <c r="AE360" s="55"/>
      <c r="AF360" s="55"/>
      <c r="AG360" s="55"/>
      <c r="AH360" s="55"/>
      <c r="AI360" s="55"/>
      <c r="AO360" s="55"/>
      <c r="AP360" s="55"/>
      <c r="BB360" s="56"/>
      <c r="BC360" s="52" t="s">
        <v>125</v>
      </c>
      <c r="BD36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tplink-study-outlet</v>
      </c>
      <c r="BE36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Outlet</v>
      </c>
      <c r="BF36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0" s="52" t="str">
        <f>IF(ISBLANK(Table2[[#This Row],[device_model]]), "", Table2[[#This Row],[device_suggested_area]])</f>
        <v>Study</v>
      </c>
      <c r="BJ360" s="52" t="s">
        <v>965</v>
      </c>
      <c r="BK360" s="57" t="s">
        <v>331</v>
      </c>
      <c r="BL360" s="52" t="s">
        <v>221</v>
      </c>
      <c r="BN360" s="52" t="s">
        <v>332</v>
      </c>
      <c r="BO360" s="52" t="s">
        <v>327</v>
      </c>
      <c r="BV36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1" spans="1:74" s="52" customFormat="1" ht="16" customHeight="1" x14ac:dyDescent="0.2">
      <c r="A361" s="28">
        <v>2579</v>
      </c>
      <c r="B361" s="52" t="s">
        <v>543</v>
      </c>
      <c r="C361" s="52" t="s">
        <v>221</v>
      </c>
      <c r="D361" s="52" t="s">
        <v>125</v>
      </c>
      <c r="E361" s="52" t="s">
        <v>1325</v>
      </c>
      <c r="F361" s="54" t="str">
        <f>IF(ISBLANK(Table2[[#This Row],[unique_id]]), "", PROPER(SUBSTITUTE(Table2[[#This Row],[unique_id]], "_", " ")))</f>
        <v>Broken Study Outlet Plug</v>
      </c>
      <c r="G361" s="52" t="s">
        <v>214</v>
      </c>
      <c r="H361" s="52" t="s">
        <v>491</v>
      </c>
      <c r="I361" s="52" t="s">
        <v>262</v>
      </c>
      <c r="N361" s="52" t="s">
        <v>244</v>
      </c>
      <c r="P361" s="55" t="s">
        <v>736</v>
      </c>
      <c r="Q361" s="52" t="s">
        <v>155</v>
      </c>
      <c r="R361" s="52" t="s">
        <v>708</v>
      </c>
      <c r="S361" s="52" t="s">
        <v>491</v>
      </c>
      <c r="T361" s="52" t="str">
        <f>Table2[[#This Row],[friendly_name]]</f>
        <v>Study Outlet</v>
      </c>
      <c r="U361" s="53" t="str">
        <f>"power_sensor_id: sensor." &amp; Table2[[#This Row],[unique_id]] &amp; "_current_consumption" &amp; CHAR(10) &amp; "force_energy_sensor_creation: true" &amp; CHAR(10)</f>
        <v xml:space="preserve">power_sensor_id: sensor.broken_study_outlet_plug_current_consumption
force_energy_sensor_creation: true
</v>
      </c>
      <c r="V361" s="53"/>
      <c r="W361" s="53"/>
      <c r="AD361" s="55"/>
      <c r="AE361" s="55"/>
      <c r="AF361" s="55"/>
      <c r="AG361" s="55"/>
      <c r="AH361" s="55"/>
      <c r="AI361" s="55"/>
      <c r="AM361" s="52" t="s">
        <v>238</v>
      </c>
      <c r="AO361" s="55"/>
      <c r="AP361" s="55"/>
      <c r="BB361" s="56"/>
      <c r="BD36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tplink-study-outlet</v>
      </c>
      <c r="BE36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Outlet</v>
      </c>
      <c r="BF36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1" s="52" t="str">
        <f>IF(ISBLANK(Table2[[#This Row],[device_model]]), "", Table2[[#This Row],[device_suggested_area]])</f>
        <v>Study</v>
      </c>
      <c r="BJ361" s="52" t="s">
        <v>965</v>
      </c>
      <c r="BK361" s="57" t="s">
        <v>331</v>
      </c>
      <c r="BL361" s="52" t="s">
        <v>221</v>
      </c>
      <c r="BN361" s="52" t="s">
        <v>332</v>
      </c>
      <c r="BO361" s="52" t="s">
        <v>327</v>
      </c>
      <c r="BR361" s="52" t="s">
        <v>923</v>
      </c>
      <c r="BS361" s="52" t="s">
        <v>1186</v>
      </c>
      <c r="BT361" s="52" t="s">
        <v>322</v>
      </c>
      <c r="BU361" s="52" t="s">
        <v>1222</v>
      </c>
      <c r="BV36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"60:a4:b7:1f:72:0a"], ["ip", "10.0.4.82"]]</v>
      </c>
    </row>
    <row r="362" spans="1:74" s="52" customFormat="1" ht="16" customHeight="1" x14ac:dyDescent="0.2">
      <c r="A362" s="28">
        <v>2580</v>
      </c>
      <c r="B362" s="52" t="s">
        <v>543</v>
      </c>
      <c r="C362" s="52" t="s">
        <v>756</v>
      </c>
      <c r="D362" s="52" t="s">
        <v>139</v>
      </c>
      <c r="E362" s="53" t="s">
        <v>1326</v>
      </c>
      <c r="F362" s="54" t="str">
        <f>IF(ISBLANK(Table2[[#This Row],[unique_id]]), "", PROPER(SUBSTITUTE(Table2[[#This Row],[unique_id]], "_", " ")))</f>
        <v>Broken Template Office Outlet Plug Proxy</v>
      </c>
      <c r="G362" s="52" t="s">
        <v>213</v>
      </c>
      <c r="H362" s="52" t="s">
        <v>491</v>
      </c>
      <c r="I362" s="52" t="s">
        <v>262</v>
      </c>
      <c r="P362" s="55" t="s">
        <v>736</v>
      </c>
      <c r="Q362" s="52" t="s">
        <v>155</v>
      </c>
      <c r="R362" s="52" t="s">
        <v>708</v>
      </c>
      <c r="S362" s="52" t="s">
        <v>491</v>
      </c>
      <c r="T362" s="52" t="str">
        <f>Table2[[#This Row],[friendly_name]]</f>
        <v>Office Outlet</v>
      </c>
      <c r="U362" s="53" t="s">
        <v>1013</v>
      </c>
      <c r="V362" s="53"/>
      <c r="W362" s="53"/>
      <c r="AD362" s="55"/>
      <c r="AE362" s="55"/>
      <c r="AF362" s="55"/>
      <c r="AG362" s="55"/>
      <c r="AH362" s="55"/>
      <c r="AI362" s="55"/>
      <c r="AO362" s="55"/>
      <c r="AP362" s="55"/>
      <c r="BB362" s="56"/>
      <c r="BC362" s="52" t="s">
        <v>125</v>
      </c>
      <c r="BD362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tplink-office-outlet</v>
      </c>
      <c r="BE362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Outlet</v>
      </c>
      <c r="BF362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2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2" s="52" t="str">
        <f>IF(ISBLANK(Table2[[#This Row],[device_model]]), "", Table2[[#This Row],[device_suggested_area]])</f>
        <v>Office</v>
      </c>
      <c r="BJ362" s="52" t="s">
        <v>965</v>
      </c>
      <c r="BK362" s="57" t="s">
        <v>331</v>
      </c>
      <c r="BL362" s="52" t="s">
        <v>221</v>
      </c>
      <c r="BN362" s="52" t="s">
        <v>332</v>
      </c>
      <c r="BO362" s="52" t="s">
        <v>201</v>
      </c>
      <c r="BV362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3" spans="1:74" s="52" customFormat="1" ht="16" customHeight="1" x14ac:dyDescent="0.2">
      <c r="A363" s="28">
        <v>2581</v>
      </c>
      <c r="B363" s="52" t="s">
        <v>543</v>
      </c>
      <c r="C363" s="52" t="s">
        <v>221</v>
      </c>
      <c r="D363" s="52" t="s">
        <v>125</v>
      </c>
      <c r="E363" s="52" t="s">
        <v>1327</v>
      </c>
      <c r="F363" s="54" t="str">
        <f>IF(ISBLANK(Table2[[#This Row],[unique_id]]), "", PROPER(SUBSTITUTE(Table2[[#This Row],[unique_id]], "_", " ")))</f>
        <v>Broken Office Outlet Plug</v>
      </c>
      <c r="G363" s="52" t="s">
        <v>213</v>
      </c>
      <c r="H363" s="52" t="s">
        <v>491</v>
      </c>
      <c r="I363" s="52" t="s">
        <v>262</v>
      </c>
      <c r="N363" s="52" t="s">
        <v>244</v>
      </c>
      <c r="P363" s="55" t="s">
        <v>736</v>
      </c>
      <c r="Q363" s="52" t="s">
        <v>155</v>
      </c>
      <c r="R363" s="52" t="s">
        <v>708</v>
      </c>
      <c r="S363" s="52" t="s">
        <v>491</v>
      </c>
      <c r="T363" s="52" t="str">
        <f>Table2[[#This Row],[friendly_name]]</f>
        <v>Office Outlet</v>
      </c>
      <c r="U363" s="53" t="str">
        <f>"power_sensor_id: sensor." &amp; Table2[[#This Row],[unique_id]] &amp; "_current_consumption" &amp; CHAR(10) &amp; "force_energy_sensor_creation: true" &amp; CHAR(10)</f>
        <v xml:space="preserve">power_sensor_id: sensor.broken_office_outlet_plug_current_consumption
force_energy_sensor_creation: true
</v>
      </c>
      <c r="V363" s="53"/>
      <c r="W363" s="53"/>
      <c r="AD363" s="55"/>
      <c r="AE363" s="55"/>
      <c r="AF363" s="55"/>
      <c r="AG363" s="55"/>
      <c r="AH363" s="55"/>
      <c r="AI363" s="55"/>
      <c r="AM363" s="52" t="s">
        <v>238</v>
      </c>
      <c r="AO363" s="55"/>
      <c r="AP363" s="55"/>
      <c r="BB363" s="56"/>
      <c r="BD363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tplink-office-outlet</v>
      </c>
      <c r="BE363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Outlet</v>
      </c>
      <c r="BF363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3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3" s="52" t="str">
        <f>IF(ISBLANK(Table2[[#This Row],[device_model]]), "", Table2[[#This Row],[device_suggested_area]])</f>
        <v>Office</v>
      </c>
      <c r="BJ363" s="52" t="s">
        <v>965</v>
      </c>
      <c r="BK363" s="57" t="s">
        <v>331</v>
      </c>
      <c r="BL363" s="52" t="s">
        <v>221</v>
      </c>
      <c r="BN363" s="52" t="s">
        <v>332</v>
      </c>
      <c r="BO363" s="52" t="s">
        <v>201</v>
      </c>
      <c r="BR363" s="52" t="s">
        <v>924</v>
      </c>
      <c r="BS363" s="52" t="s">
        <v>1186</v>
      </c>
      <c r="BT363" s="52" t="s">
        <v>323</v>
      </c>
      <c r="BU363" s="52" t="s">
        <v>1223</v>
      </c>
      <c r="BV363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"10:27:f5:31:ec:58"], ["ip", "10.0.4.83"]]</v>
      </c>
    </row>
    <row r="364" spans="1:74" s="52" customFormat="1" ht="16" customHeight="1" x14ac:dyDescent="0.2">
      <c r="A364" s="28">
        <v>2582</v>
      </c>
      <c r="B364" s="52" t="s">
        <v>543</v>
      </c>
      <c r="C364" s="52" t="s">
        <v>756</v>
      </c>
      <c r="D364" s="52" t="s">
        <v>139</v>
      </c>
      <c r="E364" s="53" t="s">
        <v>1328</v>
      </c>
      <c r="F364" s="54" t="str">
        <f>IF(ISBLANK(Table2[[#This Row],[unique_id]]), "", PROPER(SUBSTITUTE(Table2[[#This Row],[unique_id]], "_", " ")))</f>
        <v>Broken Template Kitchen Dish Washer Plug Proxy</v>
      </c>
      <c r="G364" s="52" t="s">
        <v>216</v>
      </c>
      <c r="H364" s="52" t="s">
        <v>491</v>
      </c>
      <c r="I364" s="52" t="s">
        <v>262</v>
      </c>
      <c r="P364" s="55" t="s">
        <v>736</v>
      </c>
      <c r="Q364" s="52" t="s">
        <v>155</v>
      </c>
      <c r="R364" s="52" t="s">
        <v>709</v>
      </c>
      <c r="S364" s="52" t="s">
        <v>719</v>
      </c>
      <c r="T364" s="52" t="str">
        <f>Table2[[#This Row],[friendly_name]]</f>
        <v>Dish Washer</v>
      </c>
      <c r="U364" s="53" t="s">
        <v>1013</v>
      </c>
      <c r="V364" s="53"/>
      <c r="W364" s="53"/>
      <c r="AD364" s="55"/>
      <c r="AE364" s="55"/>
      <c r="AF364" s="55"/>
      <c r="AG364" s="55"/>
      <c r="AH364" s="55"/>
      <c r="AI364" s="55"/>
      <c r="AO364" s="55"/>
      <c r="AP364" s="55"/>
      <c r="BB364" s="56"/>
      <c r="BC364" s="52" t="s">
        <v>125</v>
      </c>
      <c r="BD364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BE364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F364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4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4" s="52" t="str">
        <f>IF(ISBLANK(Table2[[#This Row],[device_model]]), "", Table2[[#This Row],[device_suggested_area]])</f>
        <v>Kitchen</v>
      </c>
      <c r="BJ364" s="52" t="s">
        <v>216</v>
      </c>
      <c r="BK364" s="57" t="s">
        <v>331</v>
      </c>
      <c r="BL364" s="52" t="s">
        <v>221</v>
      </c>
      <c r="BN364" s="52" t="s">
        <v>332</v>
      </c>
      <c r="BO364" s="52" t="s">
        <v>195</v>
      </c>
      <c r="BV364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5" spans="1:74" s="52" customFormat="1" ht="16" customHeight="1" x14ac:dyDescent="0.2">
      <c r="A365" s="28">
        <v>2583</v>
      </c>
      <c r="B365" s="52" t="s">
        <v>543</v>
      </c>
      <c r="C365" s="52" t="s">
        <v>221</v>
      </c>
      <c r="D365" s="52" t="s">
        <v>125</v>
      </c>
      <c r="E365" s="52" t="s">
        <v>1329</v>
      </c>
      <c r="F365" s="54" t="str">
        <f>IF(ISBLANK(Table2[[#This Row],[unique_id]]), "", PROPER(SUBSTITUTE(Table2[[#This Row],[unique_id]], "_", " ")))</f>
        <v>Broken Kitchen Dish Washer Plug</v>
      </c>
      <c r="G365" s="52" t="s">
        <v>216</v>
      </c>
      <c r="H365" s="52" t="s">
        <v>491</v>
      </c>
      <c r="I365" s="52" t="s">
        <v>262</v>
      </c>
      <c r="N365" s="52" t="s">
        <v>244</v>
      </c>
      <c r="P365" s="55" t="s">
        <v>736</v>
      </c>
      <c r="Q365" s="52" t="s">
        <v>155</v>
      </c>
      <c r="R365" s="52" t="s">
        <v>709</v>
      </c>
      <c r="S365" s="52" t="s">
        <v>719</v>
      </c>
      <c r="T365" s="52" t="str">
        <f>Table2[[#This Row],[friendly_name]]</f>
        <v>Dish Washer</v>
      </c>
      <c r="U365" s="53" t="str">
        <f>"power_sensor_id: sensor." &amp; Table2[[#This Row],[unique_id]] &amp; "_current_consumption" &amp; CHAR(10) &amp; "force_energy_sensor_creation: true" &amp; CHAR(10)</f>
        <v xml:space="preserve">power_sensor_id: sensor.broken_kitchen_dish_washer_plug_current_consumption
force_energy_sensor_creation: true
</v>
      </c>
      <c r="V365" s="53"/>
      <c r="W365" s="53"/>
      <c r="AD365" s="55"/>
      <c r="AE365" s="55"/>
      <c r="AF365" s="55"/>
      <c r="AG365" s="55"/>
      <c r="AH365" s="55"/>
      <c r="AI365" s="55"/>
      <c r="AM365" s="52" t="s">
        <v>231</v>
      </c>
      <c r="AO365" s="55"/>
      <c r="AP365" s="55"/>
      <c r="BB365" s="56"/>
      <c r="BD365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BE365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F365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5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5" s="52" t="str">
        <f>IF(ISBLANK(Table2[[#This Row],[device_model]]), "", Table2[[#This Row],[device_suggested_area]])</f>
        <v>Kitchen</v>
      </c>
      <c r="BJ365" s="52" t="s">
        <v>216</v>
      </c>
      <c r="BK365" s="57" t="s">
        <v>331</v>
      </c>
      <c r="BL365" s="52" t="s">
        <v>221</v>
      </c>
      <c r="BN365" s="52" t="s">
        <v>332</v>
      </c>
      <c r="BO365" s="52" t="s">
        <v>195</v>
      </c>
      <c r="BR365" s="52" t="s">
        <v>924</v>
      </c>
      <c r="BS365" s="52" t="s">
        <v>1186</v>
      </c>
      <c r="BT365" s="52" t="s">
        <v>314</v>
      </c>
      <c r="BU365" s="52" t="s">
        <v>1224</v>
      </c>
      <c r="BV365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"5c:a6:e6:25:55:f7"], ["ip", "10.0.4.73"]]</v>
      </c>
    </row>
    <row r="366" spans="1:74" s="52" customFormat="1" ht="16" customHeight="1" x14ac:dyDescent="0.2">
      <c r="A366" s="28">
        <v>2584</v>
      </c>
      <c r="B366" s="28" t="s">
        <v>26</v>
      </c>
      <c r="C366" s="28" t="s">
        <v>756</v>
      </c>
      <c r="D366" s="28" t="s">
        <v>139</v>
      </c>
      <c r="E366" s="35" t="s">
        <v>911</v>
      </c>
      <c r="F366" s="34" t="str">
        <f>IF(ISBLANK(Table2[[#This Row],[unique_id]]), "", PROPER(SUBSTITUTE(Table2[[#This Row],[unique_id]], "_", " ")))</f>
        <v>Template Kitchen Dish Washer Plug Proxy</v>
      </c>
      <c r="G366" s="28" t="s">
        <v>216</v>
      </c>
      <c r="H366" s="28" t="s">
        <v>491</v>
      </c>
      <c r="I366" s="28" t="s">
        <v>262</v>
      </c>
      <c r="J366" s="28"/>
      <c r="K366" s="28"/>
      <c r="L366" s="28"/>
      <c r="M366" s="28"/>
      <c r="N366" s="28"/>
      <c r="O366" s="28"/>
      <c r="P366" s="29" t="s">
        <v>736</v>
      </c>
      <c r="Q366" s="28" t="s">
        <v>155</v>
      </c>
      <c r="R366" s="28" t="s">
        <v>709</v>
      </c>
      <c r="S366" s="28" t="s">
        <v>719</v>
      </c>
      <c r="T366" s="28" t="str">
        <f>Table2[[#This Row],[friendly_name]]</f>
        <v>Dish Washer</v>
      </c>
      <c r="U366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V366" s="35"/>
      <c r="W366" s="35"/>
      <c r="X366" s="28"/>
      <c r="Y366" s="28"/>
      <c r="Z366" s="28"/>
      <c r="AA366" s="28"/>
      <c r="AB366" s="28"/>
      <c r="AC366" s="28"/>
      <c r="AD366" s="29"/>
      <c r="AE366" s="29"/>
      <c r="AF366" s="29"/>
      <c r="AG366" s="29"/>
      <c r="AH366" s="29"/>
      <c r="AI366" s="29"/>
      <c r="AJ366" s="28"/>
      <c r="AK366" s="28"/>
      <c r="AL366" s="28"/>
      <c r="AM366" s="28"/>
      <c r="AN366" s="28"/>
      <c r="AO366" s="29"/>
      <c r="AP366" s="29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38"/>
      <c r="BC366" s="28" t="s">
        <v>125</v>
      </c>
      <c r="BD3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BE3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F3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66" s="28"/>
      <c r="BI366" s="28" t="str">
        <f>IF(ISBLANK(Table2[[#This Row],[device_model]]), "", Table2[[#This Row],[device_suggested_area]])</f>
        <v>Kitchen</v>
      </c>
      <c r="BJ366" s="28" t="s">
        <v>216</v>
      </c>
      <c r="BK366" s="28" t="s">
        <v>330</v>
      </c>
      <c r="BL366" s="28" t="s">
        <v>221</v>
      </c>
      <c r="BM366" s="28"/>
      <c r="BN366" s="28" t="s">
        <v>333</v>
      </c>
      <c r="BO366" s="28" t="s">
        <v>195</v>
      </c>
      <c r="BP366" s="28"/>
      <c r="BQ366" s="28"/>
      <c r="BR366" s="28"/>
      <c r="BS366" s="28"/>
      <c r="BT366" s="28"/>
      <c r="BU366" s="28"/>
      <c r="BV3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7" spans="1:74" ht="16" customHeight="1" x14ac:dyDescent="0.2">
      <c r="A367" s="28">
        <v>2585</v>
      </c>
      <c r="B367" s="28" t="s">
        <v>26</v>
      </c>
      <c r="C367" s="28" t="s">
        <v>221</v>
      </c>
      <c r="D367" s="28" t="s">
        <v>125</v>
      </c>
      <c r="E367" s="28" t="s">
        <v>783</v>
      </c>
      <c r="F367" s="34" t="str">
        <f>IF(ISBLANK(Table2[[#This Row],[unique_id]]), "", PROPER(SUBSTITUTE(Table2[[#This Row],[unique_id]], "_", " ")))</f>
        <v>Kitchen Dish Washer Plug</v>
      </c>
      <c r="G367" s="28" t="s">
        <v>216</v>
      </c>
      <c r="H367" s="28" t="s">
        <v>491</v>
      </c>
      <c r="I367" s="28" t="s">
        <v>262</v>
      </c>
      <c r="N367" s="28" t="s">
        <v>244</v>
      </c>
      <c r="P367" s="29" t="s">
        <v>736</v>
      </c>
      <c r="Q367" s="28" t="s">
        <v>155</v>
      </c>
      <c r="R367" s="28" t="s">
        <v>709</v>
      </c>
      <c r="S367" s="28" t="s">
        <v>719</v>
      </c>
      <c r="T367" s="28" t="str">
        <f>Table2[[#This Row],[friendly_name]]</f>
        <v>Dish Washer</v>
      </c>
      <c r="U367" s="35" t="str">
        <f>_xlfn.CONCAT("power_sensor_id: sensor.", Table2[[#This Row],[unique_id]], "_current_consumption", CHAR(10), "force_energy_sensor_creation: true", CHAR(10))</f>
        <v xml:space="preserve">power_sensor_id: sensor.kitchen_dish_washer_plug_current_consumption
force_energy_sensor_creation: true
</v>
      </c>
      <c r="V367" s="35"/>
      <c r="W367" s="35"/>
      <c r="X367" s="28"/>
      <c r="AD367" s="29"/>
      <c r="AE367" s="29"/>
      <c r="AF367" s="29"/>
      <c r="AG367" s="29"/>
      <c r="AM367" s="28" t="s">
        <v>231</v>
      </c>
      <c r="AO367" s="29"/>
      <c r="AP367" s="29"/>
      <c r="BA367" s="28"/>
      <c r="BB367" s="38"/>
      <c r="BD3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BE3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F3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7" s="28" t="str">
        <f>IF(ISBLANK(Table2[[#This Row],[device_model]]), "", Table2[[#This Row],[device_suggested_area]])</f>
        <v>Kitchen</v>
      </c>
      <c r="BJ367" s="28" t="s">
        <v>216</v>
      </c>
      <c r="BK367" s="28" t="s">
        <v>330</v>
      </c>
      <c r="BL367" s="28" t="s">
        <v>221</v>
      </c>
      <c r="BN367" s="28" t="s">
        <v>333</v>
      </c>
      <c r="BO367" s="28" t="s">
        <v>195</v>
      </c>
      <c r="BR367" s="28" t="s">
        <v>924</v>
      </c>
      <c r="BS367" s="28" t="s">
        <v>1186</v>
      </c>
      <c r="BT367" s="28" t="s">
        <v>326</v>
      </c>
      <c r="BU367" s="28" t="s">
        <v>1235</v>
      </c>
      <c r="BV3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"ac:84:c6:54:95:8b"], ["ip", "10.0.4.86"]]</v>
      </c>
    </row>
    <row r="368" spans="1:74" ht="16" customHeight="1" x14ac:dyDescent="0.2">
      <c r="A368" s="28">
        <v>2586</v>
      </c>
      <c r="B368" s="52" t="s">
        <v>543</v>
      </c>
      <c r="C368" s="52" t="s">
        <v>756</v>
      </c>
      <c r="D368" s="52" t="s">
        <v>139</v>
      </c>
      <c r="E368" s="53" t="s">
        <v>1330</v>
      </c>
      <c r="F368" s="54" t="str">
        <f>IF(ISBLANK(Table2[[#This Row],[unique_id]]), "", PROPER(SUBSTITUTE(Table2[[#This Row],[unique_id]], "_", " ")))</f>
        <v>Broken Template Laundry Clothes Dryer Plug Proxy</v>
      </c>
      <c r="G368" s="52" t="s">
        <v>217</v>
      </c>
      <c r="H368" s="52" t="s">
        <v>491</v>
      </c>
      <c r="I368" s="52" t="s">
        <v>262</v>
      </c>
      <c r="J368" s="52"/>
      <c r="K368" s="52"/>
      <c r="L368" s="52"/>
      <c r="M368" s="52"/>
      <c r="N368" s="52"/>
      <c r="O368" s="52"/>
      <c r="P368" s="55" t="s">
        <v>736</v>
      </c>
      <c r="Q368" s="52" t="s">
        <v>155</v>
      </c>
      <c r="R368" s="52" t="s">
        <v>709</v>
      </c>
      <c r="S368" s="52" t="s">
        <v>719</v>
      </c>
      <c r="T368" s="52" t="str">
        <f>Table2[[#This Row],[friendly_name]]</f>
        <v>Clothes Dryer</v>
      </c>
      <c r="U368" s="53" t="s">
        <v>1013</v>
      </c>
      <c r="V368" s="53"/>
      <c r="W368" s="53"/>
      <c r="X368" s="52"/>
      <c r="Y368" s="52"/>
      <c r="Z368" s="52"/>
      <c r="AA368" s="52"/>
      <c r="AB368" s="52"/>
      <c r="AC368" s="52"/>
      <c r="AD368" s="55"/>
      <c r="AE368" s="55"/>
      <c r="AF368" s="55"/>
      <c r="AG368" s="55"/>
      <c r="AH368" s="55"/>
      <c r="AI368" s="55"/>
      <c r="AJ368" s="52"/>
      <c r="AK368" s="52"/>
      <c r="AL368" s="52"/>
      <c r="AM368" s="52"/>
      <c r="AN368" s="52"/>
      <c r="AO368" s="55"/>
      <c r="AP368" s="55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6"/>
      <c r="BC368" s="52" t="s">
        <v>125</v>
      </c>
      <c r="BD36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tplink-laundry-clothes-dryer</v>
      </c>
      <c r="BE36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Clothes Dryer</v>
      </c>
      <c r="BF36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68" s="52"/>
      <c r="BI368" s="52" t="str">
        <f>IF(ISBLANK(Table2[[#This Row],[device_model]]), "", Table2[[#This Row],[device_suggested_area]])</f>
        <v>Laundry</v>
      </c>
      <c r="BJ368" s="52" t="s">
        <v>217</v>
      </c>
      <c r="BK368" s="57" t="s">
        <v>331</v>
      </c>
      <c r="BL368" s="52" t="s">
        <v>221</v>
      </c>
      <c r="BM368" s="52"/>
      <c r="BN368" s="52" t="s">
        <v>332</v>
      </c>
      <c r="BO368" s="52" t="s">
        <v>202</v>
      </c>
      <c r="BP368" s="52"/>
      <c r="BQ368" s="52"/>
      <c r="BR368" s="52"/>
      <c r="BS368" s="52"/>
      <c r="BT368" s="52"/>
      <c r="BU368" s="52"/>
      <c r="BV36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9" spans="1:74" s="52" customFormat="1" ht="16" customHeight="1" x14ac:dyDescent="0.2">
      <c r="A369" s="28">
        <v>2587</v>
      </c>
      <c r="B369" s="52" t="s">
        <v>543</v>
      </c>
      <c r="C369" s="52" t="s">
        <v>221</v>
      </c>
      <c r="D369" s="52" t="s">
        <v>125</v>
      </c>
      <c r="E369" s="52" t="s">
        <v>1331</v>
      </c>
      <c r="F369" s="54" t="str">
        <f>IF(ISBLANK(Table2[[#This Row],[unique_id]]), "", PROPER(SUBSTITUTE(Table2[[#This Row],[unique_id]], "_", " ")))</f>
        <v>Broken Laundry Clothes Dryer Plug</v>
      </c>
      <c r="G369" s="52" t="s">
        <v>217</v>
      </c>
      <c r="H369" s="52" t="s">
        <v>491</v>
      </c>
      <c r="I369" s="52" t="s">
        <v>262</v>
      </c>
      <c r="N369" s="52" t="s">
        <v>244</v>
      </c>
      <c r="P369" s="55" t="s">
        <v>736</v>
      </c>
      <c r="Q369" s="52" t="s">
        <v>155</v>
      </c>
      <c r="R369" s="52" t="s">
        <v>709</v>
      </c>
      <c r="S369" s="52" t="s">
        <v>719</v>
      </c>
      <c r="T369" s="52" t="str">
        <f>Table2[[#This Row],[friendly_name]]</f>
        <v>Clothes Dryer</v>
      </c>
      <c r="U369" s="53" t="str">
        <f>"power_sensor_id: sensor." &amp; Table2[[#This Row],[unique_id]] &amp; "_current_consumption" &amp; CHAR(10) &amp; "force_energy_sensor_creation: true" &amp; CHAR(10)</f>
        <v xml:space="preserve">power_sensor_id: sensor.broken_laundry_clothes_dryer_plug_current_consumption
force_energy_sensor_creation: true
</v>
      </c>
      <c r="V369" s="53"/>
      <c r="W369" s="53"/>
      <c r="AD369" s="55"/>
      <c r="AE369" s="55"/>
      <c r="AF369" s="55"/>
      <c r="AG369" s="55"/>
      <c r="AH369" s="55"/>
      <c r="AI369" s="55"/>
      <c r="AM369" s="52" t="s">
        <v>232</v>
      </c>
      <c r="AO369" s="55"/>
      <c r="AP369" s="55"/>
      <c r="BB369" s="56"/>
      <c r="BD36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tplink-laundry-clothes-dryer</v>
      </c>
      <c r="BE36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Clothes Dryer</v>
      </c>
      <c r="BF36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6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69" s="52" t="str">
        <f>IF(ISBLANK(Table2[[#This Row],[device_model]]), "", Table2[[#This Row],[device_suggested_area]])</f>
        <v>Laundry</v>
      </c>
      <c r="BJ369" s="52" t="s">
        <v>217</v>
      </c>
      <c r="BK369" s="57" t="s">
        <v>331</v>
      </c>
      <c r="BL369" s="52" t="s">
        <v>221</v>
      </c>
      <c r="BN369" s="52" t="s">
        <v>332</v>
      </c>
      <c r="BO369" s="52" t="s">
        <v>202</v>
      </c>
      <c r="BR369" s="52" t="s">
        <v>923</v>
      </c>
      <c r="BS369" s="52" t="s">
        <v>1186</v>
      </c>
      <c r="BT369" s="52" t="s">
        <v>315</v>
      </c>
      <c r="BU369" s="52" t="s">
        <v>1225</v>
      </c>
      <c r="BV36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"5c:a6:e6:25:55:f0"], ["ip", "10.0.4.74"]]</v>
      </c>
    </row>
    <row r="370" spans="1:74" s="52" customFormat="1" ht="16" customHeight="1" x14ac:dyDescent="0.2">
      <c r="A370" s="28">
        <v>2588</v>
      </c>
      <c r="B370" s="52" t="s">
        <v>543</v>
      </c>
      <c r="C370" s="52" t="s">
        <v>756</v>
      </c>
      <c r="D370" s="52" t="s">
        <v>139</v>
      </c>
      <c r="E370" s="53" t="s">
        <v>1332</v>
      </c>
      <c r="F370" s="54" t="str">
        <f>IF(ISBLANK(Table2[[#This Row],[unique_id]]), "", PROPER(SUBSTITUTE(Table2[[#This Row],[unique_id]], "_", " ")))</f>
        <v>Broken Template Laundry Washing Machine Plug Proxy</v>
      </c>
      <c r="G370" s="52" t="s">
        <v>215</v>
      </c>
      <c r="H370" s="52" t="s">
        <v>491</v>
      </c>
      <c r="I370" s="52" t="s">
        <v>262</v>
      </c>
      <c r="P370" s="55" t="s">
        <v>736</v>
      </c>
      <c r="Q370" s="52" t="s">
        <v>155</v>
      </c>
      <c r="R370" s="52" t="s">
        <v>709</v>
      </c>
      <c r="S370" s="52" t="s">
        <v>719</v>
      </c>
      <c r="T370" s="52" t="str">
        <f>Table2[[#This Row],[friendly_name]]</f>
        <v>Washing Machine</v>
      </c>
      <c r="U370" s="53" t="s">
        <v>1013</v>
      </c>
      <c r="V370" s="53"/>
      <c r="W370" s="53"/>
      <c r="AD370" s="55"/>
      <c r="AE370" s="55"/>
      <c r="AF370" s="55"/>
      <c r="AG370" s="55"/>
      <c r="AH370" s="55"/>
      <c r="AI370" s="55"/>
      <c r="AO370" s="55"/>
      <c r="AP370" s="55"/>
      <c r="BB370" s="56"/>
      <c r="BC370" s="52" t="s">
        <v>125</v>
      </c>
      <c r="BD37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tplink-laundry-washing-machine</v>
      </c>
      <c r="BE37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Washing Machine</v>
      </c>
      <c r="BF37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0" s="52" t="str">
        <f>IF(ISBLANK(Table2[[#This Row],[device_model]]), "", Table2[[#This Row],[device_suggested_area]])</f>
        <v>Laundry</v>
      </c>
      <c r="BJ370" s="52" t="s">
        <v>215</v>
      </c>
      <c r="BK370" s="57" t="s">
        <v>331</v>
      </c>
      <c r="BL370" s="52" t="s">
        <v>221</v>
      </c>
      <c r="BN370" s="52" t="s">
        <v>332</v>
      </c>
      <c r="BO370" s="52" t="s">
        <v>202</v>
      </c>
      <c r="BV37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1" spans="1:74" s="52" customFormat="1" ht="16" customHeight="1" x14ac:dyDescent="0.2">
      <c r="A371" s="28">
        <v>2589</v>
      </c>
      <c r="B371" s="52" t="s">
        <v>543</v>
      </c>
      <c r="C371" s="52" t="s">
        <v>221</v>
      </c>
      <c r="D371" s="52" t="s">
        <v>125</v>
      </c>
      <c r="E371" s="52" t="s">
        <v>1333</v>
      </c>
      <c r="F371" s="54" t="str">
        <f>IF(ISBLANK(Table2[[#This Row],[unique_id]]), "", PROPER(SUBSTITUTE(Table2[[#This Row],[unique_id]], "_", " ")))</f>
        <v>Broken Laundry Washing Machine Plug</v>
      </c>
      <c r="G371" s="52" t="s">
        <v>215</v>
      </c>
      <c r="H371" s="52" t="s">
        <v>491</v>
      </c>
      <c r="I371" s="52" t="s">
        <v>262</v>
      </c>
      <c r="N371" s="52" t="s">
        <v>244</v>
      </c>
      <c r="P371" s="55" t="s">
        <v>736</v>
      </c>
      <c r="Q371" s="52" t="s">
        <v>155</v>
      </c>
      <c r="R371" s="52" t="s">
        <v>709</v>
      </c>
      <c r="S371" s="52" t="s">
        <v>719</v>
      </c>
      <c r="T371" s="52" t="str">
        <f>Table2[[#This Row],[friendly_name]]</f>
        <v>Washing Machine</v>
      </c>
      <c r="U371" s="53" t="str">
        <f>"power_sensor_id: sensor." &amp; Table2[[#This Row],[unique_id]] &amp; "_current_consumption" &amp; CHAR(10) &amp; "force_energy_sensor_creation: true" &amp; CHAR(10)</f>
        <v xml:space="preserve">power_sensor_id: sensor.broken_laundry_washing_machine_plug_current_consumption
force_energy_sensor_creation: true
</v>
      </c>
      <c r="V371" s="53"/>
      <c r="W371" s="53"/>
      <c r="AD371" s="55"/>
      <c r="AE371" s="55"/>
      <c r="AF371" s="55"/>
      <c r="AG371" s="55"/>
      <c r="AH371" s="55"/>
      <c r="AI371" s="55"/>
      <c r="AM371" s="52" t="s">
        <v>233</v>
      </c>
      <c r="AO371" s="55"/>
      <c r="AP371" s="55"/>
      <c r="BB371" s="56"/>
      <c r="BD37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tplink-laundry-washing-machine</v>
      </c>
      <c r="BE37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Washing Machine</v>
      </c>
      <c r="BF37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1" s="52" t="str">
        <f>IF(ISBLANK(Table2[[#This Row],[device_model]]), "", Table2[[#This Row],[device_suggested_area]])</f>
        <v>Laundry</v>
      </c>
      <c r="BJ371" s="52" t="s">
        <v>215</v>
      </c>
      <c r="BK371" s="57" t="s">
        <v>331</v>
      </c>
      <c r="BL371" s="52" t="s">
        <v>221</v>
      </c>
      <c r="BN371" s="52" t="s">
        <v>332</v>
      </c>
      <c r="BO371" s="52" t="s">
        <v>202</v>
      </c>
      <c r="BR371" s="52" t="s">
        <v>923</v>
      </c>
      <c r="BS371" s="52" t="s">
        <v>1186</v>
      </c>
      <c r="BT371" s="52" t="s">
        <v>316</v>
      </c>
      <c r="BU371" s="52" t="s">
        <v>1226</v>
      </c>
      <c r="BV37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"5c:a6:e6:25:5a:a3"], ["ip", "10.0.4.75"]]</v>
      </c>
    </row>
    <row r="372" spans="1:74" s="52" customFormat="1" ht="16" customHeight="1" x14ac:dyDescent="0.2">
      <c r="A372" s="28">
        <v>2590</v>
      </c>
      <c r="B372" s="28" t="s">
        <v>26</v>
      </c>
      <c r="C372" s="28" t="s">
        <v>756</v>
      </c>
      <c r="D372" s="28" t="s">
        <v>139</v>
      </c>
      <c r="E372" s="35" t="s">
        <v>1418</v>
      </c>
      <c r="F372" s="34" t="str">
        <f>IF(ISBLANK(Table2[[#This Row],[unique_id]]), "", PROPER(SUBSTITUTE(Table2[[#This Row],[unique_id]], "_", " ")))</f>
        <v>Template Kitchen Fridge Plug Proxy</v>
      </c>
      <c r="G372" s="28" t="s">
        <v>211</v>
      </c>
      <c r="H372" s="28" t="s">
        <v>491</v>
      </c>
      <c r="I372" s="28" t="s">
        <v>262</v>
      </c>
      <c r="J372" s="28"/>
      <c r="K372" s="28"/>
      <c r="L372" s="28"/>
      <c r="M372" s="28"/>
      <c r="N372" s="28"/>
      <c r="O372" s="28"/>
      <c r="P372" s="29" t="s">
        <v>736</v>
      </c>
      <c r="Q372" s="28" t="s">
        <v>155</v>
      </c>
      <c r="R372" s="28" t="s">
        <v>708</v>
      </c>
      <c r="S372" s="28" t="s">
        <v>720</v>
      </c>
      <c r="T372" s="28" t="str">
        <f>Table2[[#This Row],[friendly_name]]</f>
        <v>Kitchen Fridge</v>
      </c>
      <c r="U372" s="35" t="s">
        <v>1014</v>
      </c>
      <c r="V372" s="35"/>
      <c r="W372" s="35"/>
      <c r="X372" s="28"/>
      <c r="Y372" s="28"/>
      <c r="Z372" s="28"/>
      <c r="AA372" s="28"/>
      <c r="AB372" s="28"/>
      <c r="AC372" s="28"/>
      <c r="AD372" s="29"/>
      <c r="AE372" s="29"/>
      <c r="AF372" s="29"/>
      <c r="AG372" s="29"/>
      <c r="AH372" s="29"/>
      <c r="AI372" s="29"/>
      <c r="AJ372" s="28"/>
      <c r="AK372" s="28"/>
      <c r="AL372" s="28"/>
      <c r="AM372" s="28"/>
      <c r="AN372" s="28"/>
      <c r="AO372" s="29"/>
      <c r="AP372" s="29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38"/>
      <c r="BC372" s="28" t="s">
        <v>125</v>
      </c>
      <c r="BD3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tplink-kitchen-fridge</v>
      </c>
      <c r="BE3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Fridge</v>
      </c>
      <c r="BF3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72" s="28"/>
      <c r="BI372" s="28" t="str">
        <f>IF(ISBLANK(Table2[[#This Row],[device_model]]), "", Table2[[#This Row],[device_suggested_area]])</f>
        <v>Kitchen</v>
      </c>
      <c r="BJ372" s="28" t="s">
        <v>968</v>
      </c>
      <c r="BK372" s="28" t="s">
        <v>330</v>
      </c>
      <c r="BL372" s="28" t="s">
        <v>221</v>
      </c>
      <c r="BM372" s="28"/>
      <c r="BN372" s="28" t="s">
        <v>333</v>
      </c>
      <c r="BO372" s="28" t="s">
        <v>195</v>
      </c>
      <c r="BP372" s="28"/>
      <c r="BQ372" s="28"/>
      <c r="BR372" s="28"/>
      <c r="BS372" s="28"/>
      <c r="BT372" s="28"/>
      <c r="BU372" s="28"/>
      <c r="BV3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3" spans="1:74" ht="16" customHeight="1" x14ac:dyDescent="0.2">
      <c r="A373" s="28">
        <v>2591</v>
      </c>
      <c r="B373" s="28" t="s">
        <v>26</v>
      </c>
      <c r="C373" s="28" t="s">
        <v>221</v>
      </c>
      <c r="D373" s="28" t="s">
        <v>125</v>
      </c>
      <c r="E373" s="28" t="s">
        <v>1417</v>
      </c>
      <c r="F373" s="34" t="str">
        <f>IF(ISBLANK(Table2[[#This Row],[unique_id]]), "", PROPER(SUBSTITUTE(Table2[[#This Row],[unique_id]], "_", " ")))</f>
        <v>Kitchen Fridge Plug</v>
      </c>
      <c r="G373" s="28" t="s">
        <v>211</v>
      </c>
      <c r="H373" s="28" t="s">
        <v>491</v>
      </c>
      <c r="I373" s="28" t="s">
        <v>262</v>
      </c>
      <c r="N373" s="28" t="s">
        <v>244</v>
      </c>
      <c r="P373" s="29" t="s">
        <v>736</v>
      </c>
      <c r="Q373" s="28" t="s">
        <v>155</v>
      </c>
      <c r="R373" s="28" t="s">
        <v>708</v>
      </c>
      <c r="S373" s="28" t="s">
        <v>720</v>
      </c>
      <c r="T373" s="28" t="str">
        <f>Table2[[#This Row],[friendly_name]]</f>
        <v>Kitchen Fridge</v>
      </c>
      <c r="U373" s="35" t="str">
        <f>"power_sensor_id: sensor." &amp; Table2[[#This Row],[unique_id]] &amp; "_current_consumption" &amp; CHAR(10) &amp; "force_energy_sensor_creation: true" &amp; CHAR(10)</f>
        <v xml:space="preserve">power_sensor_id: sensor.kitchen_fridge_plug_current_consumption
force_energy_sensor_creation: true
</v>
      </c>
      <c r="V373" s="35"/>
      <c r="W373" s="35"/>
      <c r="X373" s="28"/>
      <c r="AD373" s="29"/>
      <c r="AE373" s="29"/>
      <c r="AF373" s="29"/>
      <c r="AG373" s="29"/>
      <c r="AM373" s="28" t="s">
        <v>235</v>
      </c>
      <c r="AO373" s="29"/>
      <c r="AP373" s="29"/>
      <c r="BA373" s="28"/>
      <c r="BB373" s="38"/>
      <c r="BD3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tplink-kitchen-fridge</v>
      </c>
      <c r="BE3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Fridge</v>
      </c>
      <c r="BF3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3" s="28" t="str">
        <f>IF(ISBLANK(Table2[[#This Row],[device_model]]), "", Table2[[#This Row],[device_suggested_area]])</f>
        <v>Kitchen</v>
      </c>
      <c r="BJ373" s="28" t="s">
        <v>968</v>
      </c>
      <c r="BK373" s="28" t="s">
        <v>330</v>
      </c>
      <c r="BL373" s="28" t="s">
        <v>221</v>
      </c>
      <c r="BN373" s="28" t="s">
        <v>333</v>
      </c>
      <c r="BO373" s="28" t="s">
        <v>195</v>
      </c>
      <c r="BR373" s="28" t="s">
        <v>924</v>
      </c>
      <c r="BS373" s="61" t="s">
        <v>1186</v>
      </c>
      <c r="BT373" s="61" t="s">
        <v>1389</v>
      </c>
      <c r="BU373" s="61" t="s">
        <v>1390</v>
      </c>
      <c r="BV3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"50:d4:f7:3a:5a:e3"], ["ip", "10.0.4.93"]]</v>
      </c>
    </row>
    <row r="374" spans="1:74" ht="16" customHeight="1" x14ac:dyDescent="0.2">
      <c r="A374" s="28">
        <v>2592</v>
      </c>
      <c r="B374" s="28" t="s">
        <v>26</v>
      </c>
      <c r="C374" s="28" t="s">
        <v>756</v>
      </c>
      <c r="D374" s="28" t="s">
        <v>139</v>
      </c>
      <c r="E374" s="35" t="s">
        <v>913</v>
      </c>
      <c r="F374" s="34" t="str">
        <f>IF(ISBLANK(Table2[[#This Row],[unique_id]]), "", PROPER(SUBSTITUTE(Table2[[#This Row],[unique_id]], "_", " ")))</f>
        <v>Template Deck Freezer Plug Proxy</v>
      </c>
      <c r="G374" s="28" t="s">
        <v>212</v>
      </c>
      <c r="H374" s="28" t="s">
        <v>491</v>
      </c>
      <c r="I374" s="28" t="s">
        <v>262</v>
      </c>
      <c r="P374" s="29" t="s">
        <v>736</v>
      </c>
      <c r="Q374" s="28" t="s">
        <v>155</v>
      </c>
      <c r="R374" s="28" t="s">
        <v>708</v>
      </c>
      <c r="S374" s="28" t="s">
        <v>720</v>
      </c>
      <c r="T374" s="28" t="str">
        <f>Table2[[#This Row],[friendly_name]]</f>
        <v>Deck Freezer</v>
      </c>
      <c r="U374" s="35" t="s">
        <v>1014</v>
      </c>
      <c r="V374" s="35"/>
      <c r="W374" s="35"/>
      <c r="X374" s="28"/>
      <c r="AD374" s="29"/>
      <c r="AE374" s="29"/>
      <c r="AF374" s="29"/>
      <c r="AG374" s="29"/>
      <c r="AO374" s="29"/>
      <c r="AP374" s="29"/>
      <c r="BA374" s="28"/>
      <c r="BB374" s="38"/>
      <c r="BC374" s="28" t="s">
        <v>125</v>
      </c>
      <c r="BD3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tplink-deck-freezer</v>
      </c>
      <c r="BE3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Freezer</v>
      </c>
      <c r="BF3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4" s="28" t="str">
        <f>IF(ISBLANK(Table2[[#This Row],[device_model]]), "", Table2[[#This Row],[device_suggested_area]])</f>
        <v>Deck</v>
      </c>
      <c r="BJ374" s="28" t="s">
        <v>969</v>
      </c>
      <c r="BK374" s="28" t="s">
        <v>330</v>
      </c>
      <c r="BL374" s="28" t="s">
        <v>221</v>
      </c>
      <c r="BN374" s="28" t="s">
        <v>333</v>
      </c>
      <c r="BO374" s="28" t="s">
        <v>328</v>
      </c>
      <c r="BS374" s="62"/>
      <c r="BT374" s="62"/>
      <c r="BU374" s="62"/>
      <c r="BV3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5" spans="1:74" ht="16" customHeight="1" x14ac:dyDescent="0.2">
      <c r="A375" s="28">
        <v>2593</v>
      </c>
      <c r="B375" s="28" t="s">
        <v>26</v>
      </c>
      <c r="C375" s="28" t="s">
        <v>221</v>
      </c>
      <c r="D375" s="28" t="s">
        <v>125</v>
      </c>
      <c r="E375" s="28" t="s">
        <v>785</v>
      </c>
      <c r="F375" s="34" t="str">
        <f>IF(ISBLANK(Table2[[#This Row],[unique_id]]), "", PROPER(SUBSTITUTE(Table2[[#This Row],[unique_id]], "_", " ")))</f>
        <v>Deck Freezer Plug</v>
      </c>
      <c r="G375" s="28" t="s">
        <v>212</v>
      </c>
      <c r="H375" s="28" t="s">
        <v>491</v>
      </c>
      <c r="I375" s="28" t="s">
        <v>262</v>
      </c>
      <c r="N375" s="28" t="s">
        <v>244</v>
      </c>
      <c r="P375" s="29" t="s">
        <v>736</v>
      </c>
      <c r="Q375" s="28" t="s">
        <v>155</v>
      </c>
      <c r="R375" s="28" t="s">
        <v>708</v>
      </c>
      <c r="S375" s="28" t="s">
        <v>720</v>
      </c>
      <c r="T375" s="28" t="str">
        <f>Table2[[#This Row],[friendly_name]]</f>
        <v>Deck Freezer</v>
      </c>
      <c r="U375" s="35" t="str">
        <f>"power_sensor_id: sensor." &amp; Table2[[#This Row],[unique_id]] &amp; "_current_consumption" &amp; CHAR(10) &amp; "force_energy_sensor_creation: true" &amp; CHAR(10)</f>
        <v xml:space="preserve">power_sensor_id: sensor.deck_freezer_plug_current_consumption
force_energy_sensor_creation: true
</v>
      </c>
      <c r="V375" s="35"/>
      <c r="W375" s="35"/>
      <c r="X375" s="28"/>
      <c r="AD375" s="29"/>
      <c r="AE375" s="29"/>
      <c r="AF375" s="29"/>
      <c r="AG375" s="29"/>
      <c r="AM375" s="28" t="s">
        <v>236</v>
      </c>
      <c r="AO375" s="29"/>
      <c r="AP375" s="29"/>
      <c r="BA375" s="28"/>
      <c r="BB375" s="38"/>
      <c r="BD3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tplink-deck-freezer</v>
      </c>
      <c r="BE3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Freezer</v>
      </c>
      <c r="BF3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5" s="28" t="str">
        <f>IF(ISBLANK(Table2[[#This Row],[device_model]]), "", Table2[[#This Row],[device_suggested_area]])</f>
        <v>Deck</v>
      </c>
      <c r="BJ375" s="28" t="s">
        <v>969</v>
      </c>
      <c r="BK375" s="28" t="s">
        <v>330</v>
      </c>
      <c r="BL375" s="28" t="s">
        <v>221</v>
      </c>
      <c r="BN375" s="28" t="s">
        <v>333</v>
      </c>
      <c r="BO375" s="28" t="s">
        <v>328</v>
      </c>
      <c r="BR375" s="28" t="s">
        <v>924</v>
      </c>
      <c r="BS375" s="28" t="s">
        <v>1186</v>
      </c>
      <c r="BT375" s="28" t="s">
        <v>318</v>
      </c>
      <c r="BU375" s="28" t="s">
        <v>1228</v>
      </c>
      <c r="BV3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"ac:84:c6:54:9e:cf"], ["ip", "10.0.4.78"]]</v>
      </c>
    </row>
    <row r="376" spans="1:74" ht="16" customHeight="1" x14ac:dyDescent="0.2">
      <c r="A376" s="28">
        <v>2594</v>
      </c>
      <c r="B376" s="28" t="s">
        <v>26</v>
      </c>
      <c r="C376" s="28" t="s">
        <v>756</v>
      </c>
      <c r="D376" s="28" t="s">
        <v>139</v>
      </c>
      <c r="E376" s="35" t="s">
        <v>1314</v>
      </c>
      <c r="F376" s="34" t="str">
        <f>IF(ISBLANK(Table2[[#This Row],[unique_id]]), "", PROPER(SUBSTITUTE(Table2[[#This Row],[unique_id]], "_", " ")))</f>
        <v>Template Garden Sewerage Blower Plug Proxy</v>
      </c>
      <c r="G376" s="28" t="s">
        <v>1315</v>
      </c>
      <c r="H376" s="28" t="s">
        <v>491</v>
      </c>
      <c r="I376" s="28" t="s">
        <v>262</v>
      </c>
      <c r="P376" s="29" t="s">
        <v>736</v>
      </c>
      <c r="Q376" s="28" t="s">
        <v>155</v>
      </c>
      <c r="R376" s="28" t="s">
        <v>708</v>
      </c>
      <c r="S376" s="28" t="s">
        <v>491</v>
      </c>
      <c r="T376" s="28" t="str">
        <f>Table2[[#This Row],[friendly_name]]</f>
        <v>Sewerage Blower</v>
      </c>
      <c r="U376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V376" s="35"/>
      <c r="W376" s="35"/>
      <c r="X376" s="28"/>
      <c r="AD376" s="29"/>
      <c r="AE376" s="29"/>
      <c r="AF376" s="29"/>
      <c r="AG376" s="29"/>
      <c r="AO376" s="29"/>
      <c r="AP376" s="29"/>
      <c r="BA376" s="28"/>
      <c r="BB376" s="38"/>
      <c r="BC376" s="28" t="s">
        <v>125</v>
      </c>
      <c r="BD3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tplink-garden-sewerage-blower</v>
      </c>
      <c r="BE3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Sewerage Blower</v>
      </c>
      <c r="BF3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6" s="28" t="s">
        <v>540</v>
      </c>
      <c r="BJ376" s="28" t="s">
        <v>1315</v>
      </c>
      <c r="BK376" s="28" t="s">
        <v>330</v>
      </c>
      <c r="BL376" s="28" t="s">
        <v>221</v>
      </c>
      <c r="BN376" s="28" t="s">
        <v>333</v>
      </c>
      <c r="BO376" s="28" t="s">
        <v>540</v>
      </c>
      <c r="BT376" s="34"/>
      <c r="BU376" s="34"/>
      <c r="BV3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7" spans="1:74" ht="16" customHeight="1" x14ac:dyDescent="0.2">
      <c r="A377" s="28">
        <v>2595</v>
      </c>
      <c r="B377" s="28" t="s">
        <v>26</v>
      </c>
      <c r="C377" s="28" t="s">
        <v>221</v>
      </c>
      <c r="D377" s="28" t="s">
        <v>125</v>
      </c>
      <c r="E377" s="28" t="s">
        <v>1313</v>
      </c>
      <c r="F377" s="34" t="str">
        <f>IF(ISBLANK(Table2[[#This Row],[unique_id]]), "", PROPER(SUBSTITUTE(Table2[[#This Row],[unique_id]], "_", " ")))</f>
        <v>Garden Sewerage Blower Plug</v>
      </c>
      <c r="G377" s="28" t="s">
        <v>1315</v>
      </c>
      <c r="H377" s="28" t="s">
        <v>491</v>
      </c>
      <c r="I377" s="28" t="s">
        <v>262</v>
      </c>
      <c r="N377" s="28" t="s">
        <v>244</v>
      </c>
      <c r="P377" s="29" t="s">
        <v>736</v>
      </c>
      <c r="Q377" s="28" t="s">
        <v>155</v>
      </c>
      <c r="R377" s="28" t="s">
        <v>708</v>
      </c>
      <c r="S377" s="28" t="s">
        <v>491</v>
      </c>
      <c r="T377" s="28" t="str">
        <f>Table2[[#This Row],[friendly_name]]</f>
        <v>Sewerage Blower</v>
      </c>
      <c r="U377" s="35" t="str">
        <f>_xlfn.CONCAT("power_sensor_id: sensor.", Table2[[#This Row],[unique_id]], "_current_consumption", CHAR(10), "force_energy_sensor_creation: true", CHAR(10))</f>
        <v xml:space="preserve">power_sensor_id: sensor.garden_sewerage_blower_plug_current_consumption
force_energy_sensor_creation: true
</v>
      </c>
      <c r="V377" s="35"/>
      <c r="W377" s="35"/>
      <c r="X377" s="28"/>
      <c r="AD377" s="29"/>
      <c r="AE377" s="29"/>
      <c r="AF377" s="29"/>
      <c r="AG377" s="29"/>
      <c r="AM377" s="28" t="s">
        <v>230</v>
      </c>
      <c r="AO377" s="29"/>
      <c r="AP377" s="29"/>
      <c r="BA377" s="28"/>
      <c r="BB377" s="38"/>
      <c r="BD3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tplink-garden-sewerage-blower</v>
      </c>
      <c r="BE3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Sewerage Blower</v>
      </c>
      <c r="BF3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7" s="28" t="s">
        <v>540</v>
      </c>
      <c r="BJ377" s="28" t="s">
        <v>1315</v>
      </c>
      <c r="BK377" s="28" t="s">
        <v>330</v>
      </c>
      <c r="BL377" s="28" t="s">
        <v>221</v>
      </c>
      <c r="BN377" s="28" t="s">
        <v>333</v>
      </c>
      <c r="BO377" s="28" t="s">
        <v>540</v>
      </c>
      <c r="BR377" s="28" t="s">
        <v>924</v>
      </c>
      <c r="BS377" s="28" t="s">
        <v>1186</v>
      </c>
      <c r="BT377" s="34" t="s">
        <v>334</v>
      </c>
      <c r="BU377" s="34" t="s">
        <v>1207</v>
      </c>
      <c r="BV3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"ac:84:c6:0d:1b:9c"], ["ip", "10.0.4.87"]]</v>
      </c>
    </row>
    <row r="378" spans="1:74" ht="16" customHeight="1" x14ac:dyDescent="0.2">
      <c r="A378" s="28">
        <v>2596</v>
      </c>
      <c r="B378" s="52" t="s">
        <v>543</v>
      </c>
      <c r="C378" s="52" t="s">
        <v>756</v>
      </c>
      <c r="D378" s="52" t="s">
        <v>139</v>
      </c>
      <c r="E378" s="53" t="s">
        <v>1334</v>
      </c>
      <c r="F378" s="54" t="str">
        <f>IF(ISBLANK(Table2[[#This Row],[unique_id]]), "", PROPER(SUBSTITUTE(Table2[[#This Row],[unique_id]], "_", " ")))</f>
        <v>Broken Template Study Battery Charger Plug Proxy</v>
      </c>
      <c r="G378" s="52" t="s">
        <v>219</v>
      </c>
      <c r="H378" s="52" t="s">
        <v>491</v>
      </c>
      <c r="I378" s="52" t="s">
        <v>262</v>
      </c>
      <c r="J378" s="52"/>
      <c r="K378" s="52"/>
      <c r="L378" s="52"/>
      <c r="M378" s="52"/>
      <c r="N378" s="52"/>
      <c r="O378" s="52"/>
      <c r="P378" s="55" t="s">
        <v>736</v>
      </c>
      <c r="Q378" s="52" t="s">
        <v>155</v>
      </c>
      <c r="R378" s="52" t="s">
        <v>708</v>
      </c>
      <c r="S378" s="52" t="s">
        <v>491</v>
      </c>
      <c r="T378" s="52" t="str">
        <f>Table2[[#This Row],[friendly_name]]</f>
        <v>Battery Charger</v>
      </c>
      <c r="U378" s="53" t="s">
        <v>1013</v>
      </c>
      <c r="V378" s="53"/>
      <c r="W378" s="53"/>
      <c r="X378" s="52"/>
      <c r="Y378" s="52"/>
      <c r="Z378" s="52"/>
      <c r="AA378" s="52"/>
      <c r="AB378" s="52"/>
      <c r="AC378" s="52"/>
      <c r="AD378" s="55"/>
      <c r="AE378" s="55"/>
      <c r="AF378" s="55"/>
      <c r="AG378" s="55"/>
      <c r="AH378" s="55"/>
      <c r="AI378" s="55"/>
      <c r="AJ378" s="52"/>
      <c r="AK378" s="52"/>
      <c r="AL378" s="52"/>
      <c r="AM378" s="52"/>
      <c r="AN378" s="52"/>
      <c r="AO378" s="55"/>
      <c r="AP378" s="55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6"/>
      <c r="BC378" s="52" t="s">
        <v>125</v>
      </c>
      <c r="BD37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tplink-study-battery-charger</v>
      </c>
      <c r="BE37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Battery Charger</v>
      </c>
      <c r="BF37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78" s="52"/>
      <c r="BI378" s="52" t="str">
        <f>IF(ISBLANK(Table2[[#This Row],[device_model]]), "", Table2[[#This Row],[device_suggested_area]])</f>
        <v>Study</v>
      </c>
      <c r="BJ378" s="52" t="s">
        <v>219</v>
      </c>
      <c r="BK378" s="57" t="s">
        <v>331</v>
      </c>
      <c r="BL378" s="52" t="s">
        <v>221</v>
      </c>
      <c r="BM378" s="52"/>
      <c r="BN378" s="52" t="s">
        <v>332</v>
      </c>
      <c r="BO378" s="52" t="s">
        <v>327</v>
      </c>
      <c r="BP378" s="52"/>
      <c r="BQ378" s="52"/>
      <c r="BR378" s="52"/>
      <c r="BS378" s="52"/>
      <c r="BT378" s="52"/>
      <c r="BU378" s="52"/>
      <c r="BV37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9" spans="1:74" s="52" customFormat="1" ht="16" customHeight="1" x14ac:dyDescent="0.2">
      <c r="A379" s="28">
        <v>2597</v>
      </c>
      <c r="B379" s="52" t="s">
        <v>543</v>
      </c>
      <c r="C379" s="52" t="s">
        <v>221</v>
      </c>
      <c r="D379" s="52" t="s">
        <v>125</v>
      </c>
      <c r="E379" s="52" t="s">
        <v>1335</v>
      </c>
      <c r="F379" s="54" t="str">
        <f>IF(ISBLANK(Table2[[#This Row],[unique_id]]), "", PROPER(SUBSTITUTE(Table2[[#This Row],[unique_id]], "_", " ")))</f>
        <v>Broken Study Battery Charger Plug</v>
      </c>
      <c r="G379" s="52" t="s">
        <v>219</v>
      </c>
      <c r="H379" s="52" t="s">
        <v>491</v>
      </c>
      <c r="I379" s="52" t="s">
        <v>262</v>
      </c>
      <c r="N379" s="52" t="s">
        <v>244</v>
      </c>
      <c r="P379" s="55" t="s">
        <v>736</v>
      </c>
      <c r="Q379" s="52" t="s">
        <v>155</v>
      </c>
      <c r="R379" s="52" t="s">
        <v>708</v>
      </c>
      <c r="S379" s="52" t="s">
        <v>491</v>
      </c>
      <c r="T379" s="52" t="str">
        <f>Table2[[#This Row],[friendly_name]]</f>
        <v>Battery Charger</v>
      </c>
      <c r="U379" s="53" t="str">
        <f>"power_sensor_id: sensor." &amp; Table2[[#This Row],[unique_id]] &amp; "_current_consumption" &amp; CHAR(10) &amp; "force_energy_sensor_creation: true" &amp; CHAR(10)</f>
        <v xml:space="preserve">power_sensor_id: sensor.broken_study_battery_charger_plug_current_consumption
force_energy_sensor_creation: true
</v>
      </c>
      <c r="V379" s="53"/>
      <c r="W379" s="53"/>
      <c r="AD379" s="55"/>
      <c r="AE379" s="55"/>
      <c r="AF379" s="55"/>
      <c r="AG379" s="55"/>
      <c r="AH379" s="55"/>
      <c r="AI379" s="55"/>
      <c r="AM379" s="52" t="s">
        <v>242</v>
      </c>
      <c r="AO379" s="55"/>
      <c r="AP379" s="55"/>
      <c r="BB379" s="56"/>
      <c r="BD37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tplink-study-battery-charger</v>
      </c>
      <c r="BE37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Battery Charger</v>
      </c>
      <c r="BF37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7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79" s="52" t="str">
        <f>IF(ISBLANK(Table2[[#This Row],[device_model]]), "", Table2[[#This Row],[device_suggested_area]])</f>
        <v>Study</v>
      </c>
      <c r="BJ379" s="52" t="s">
        <v>219</v>
      </c>
      <c r="BK379" s="57" t="s">
        <v>331</v>
      </c>
      <c r="BL379" s="52" t="s">
        <v>221</v>
      </c>
      <c r="BN379" s="52" t="s">
        <v>332</v>
      </c>
      <c r="BO379" s="52" t="s">
        <v>327</v>
      </c>
      <c r="BR379" s="52" t="s">
        <v>923</v>
      </c>
      <c r="BS379" s="52" t="s">
        <v>1186</v>
      </c>
      <c r="BT379" s="52" t="s">
        <v>312</v>
      </c>
      <c r="BU379" s="52" t="s">
        <v>1229</v>
      </c>
      <c r="BV37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"5c:a6:e6:25:64:e9"], ["ip", "10.0.4.71"]]</v>
      </c>
    </row>
    <row r="380" spans="1:74" s="52" customFormat="1" ht="16" customHeight="1" x14ac:dyDescent="0.2">
      <c r="A380" s="28">
        <v>2598</v>
      </c>
      <c r="B380" s="52" t="s">
        <v>543</v>
      </c>
      <c r="C380" s="52" t="s">
        <v>756</v>
      </c>
      <c r="D380" s="52" t="s">
        <v>139</v>
      </c>
      <c r="E380" s="53" t="s">
        <v>1336</v>
      </c>
      <c r="F380" s="54" t="str">
        <f>IF(ISBLANK(Table2[[#This Row],[unique_id]]), "", PROPER(SUBSTITUTE(Table2[[#This Row],[unique_id]], "_", " ")))</f>
        <v>Broken Template Laundry Vacuum Charger Plug Proxy</v>
      </c>
      <c r="G380" s="52" t="s">
        <v>218</v>
      </c>
      <c r="H380" s="52" t="s">
        <v>491</v>
      </c>
      <c r="I380" s="52" t="s">
        <v>262</v>
      </c>
      <c r="P380" s="55" t="s">
        <v>736</v>
      </c>
      <c r="Q380" s="52" t="s">
        <v>155</v>
      </c>
      <c r="R380" s="52" t="s">
        <v>708</v>
      </c>
      <c r="S380" s="52" t="s">
        <v>491</v>
      </c>
      <c r="T380" s="52" t="str">
        <f>Table2[[#This Row],[friendly_name]]</f>
        <v>Vacuum Charger</v>
      </c>
      <c r="U380" s="53" t="s">
        <v>1013</v>
      </c>
      <c r="V380" s="53"/>
      <c r="W380" s="53"/>
      <c r="AD380" s="55"/>
      <c r="AE380" s="55"/>
      <c r="AF380" s="55"/>
      <c r="AG380" s="55"/>
      <c r="AH380" s="55"/>
      <c r="AI380" s="55"/>
      <c r="AO380" s="55"/>
      <c r="AP380" s="55"/>
      <c r="BB380" s="56"/>
      <c r="BC380" s="52" t="s">
        <v>125</v>
      </c>
      <c r="BD38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tplink-laundry-vacuum-charger</v>
      </c>
      <c r="BE38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Vacuum Charger</v>
      </c>
      <c r="BF38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80" s="52" t="str">
        <f>IF(ISBLANK(Table2[[#This Row],[device_model]]), "", Table2[[#This Row],[device_suggested_area]])</f>
        <v>Laundry</v>
      </c>
      <c r="BJ380" s="52" t="s">
        <v>218</v>
      </c>
      <c r="BK380" s="57" t="s">
        <v>331</v>
      </c>
      <c r="BL380" s="52" t="s">
        <v>221</v>
      </c>
      <c r="BN380" s="52" t="s">
        <v>332</v>
      </c>
      <c r="BO380" s="52" t="s">
        <v>202</v>
      </c>
      <c r="BV38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1" spans="1:74" s="52" customFormat="1" ht="16" customHeight="1" x14ac:dyDescent="0.2">
      <c r="A381" s="28">
        <v>2599</v>
      </c>
      <c r="B381" s="52" t="s">
        <v>543</v>
      </c>
      <c r="C381" s="52" t="s">
        <v>221</v>
      </c>
      <c r="D381" s="52" t="s">
        <v>125</v>
      </c>
      <c r="E381" s="52" t="s">
        <v>1337</v>
      </c>
      <c r="F381" s="54" t="str">
        <f>IF(ISBLANK(Table2[[#This Row],[unique_id]]), "", PROPER(SUBSTITUTE(Table2[[#This Row],[unique_id]], "_", " ")))</f>
        <v>Broken Laundry Vacuum Charger Plug</v>
      </c>
      <c r="G381" s="52" t="s">
        <v>218</v>
      </c>
      <c r="H381" s="52" t="s">
        <v>491</v>
      </c>
      <c r="I381" s="52" t="s">
        <v>262</v>
      </c>
      <c r="N381" s="52" t="s">
        <v>244</v>
      </c>
      <c r="P381" s="55" t="s">
        <v>736</v>
      </c>
      <c r="Q381" s="52" t="s">
        <v>155</v>
      </c>
      <c r="R381" s="52" t="s">
        <v>708</v>
      </c>
      <c r="S381" s="52" t="s">
        <v>491</v>
      </c>
      <c r="T381" s="52" t="str">
        <f>Table2[[#This Row],[friendly_name]]</f>
        <v>Vacuum Charger</v>
      </c>
      <c r="U381" s="53" t="str">
        <f>"power_sensor_id: sensor." &amp; Table2[[#This Row],[unique_id]] &amp; "_current_consumption" &amp; CHAR(10) &amp; "force_energy_sensor_creation: true" &amp; CHAR(10)</f>
        <v xml:space="preserve">power_sensor_id: sensor.broken_laundry_vacuum_charger_plug_current_consumption
force_energy_sensor_creation: true
</v>
      </c>
      <c r="V381" s="53"/>
      <c r="W381" s="53"/>
      <c r="AD381" s="55"/>
      <c r="AE381" s="55"/>
      <c r="AF381" s="55"/>
      <c r="AG381" s="55"/>
      <c r="AH381" s="55"/>
      <c r="AI381" s="55"/>
      <c r="AM381" s="52" t="s">
        <v>242</v>
      </c>
      <c r="AO381" s="55"/>
      <c r="AP381" s="55"/>
      <c r="BB381" s="56"/>
      <c r="BD38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tplink-laundry-vacuum-charger</v>
      </c>
      <c r="BE38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Vacuum Charger</v>
      </c>
      <c r="BF38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81" s="52" t="str">
        <f>IF(ISBLANK(Table2[[#This Row],[device_model]]), "", Table2[[#This Row],[device_suggested_area]])</f>
        <v>Laundry</v>
      </c>
      <c r="BJ381" s="52" t="s">
        <v>218</v>
      </c>
      <c r="BK381" s="57" t="s">
        <v>331</v>
      </c>
      <c r="BL381" s="52" t="s">
        <v>221</v>
      </c>
      <c r="BN381" s="52" t="s">
        <v>332</v>
      </c>
      <c r="BO381" s="52" t="s">
        <v>202</v>
      </c>
      <c r="BR381" s="52" t="s">
        <v>924</v>
      </c>
      <c r="BS381" s="52" t="s">
        <v>1186</v>
      </c>
      <c r="BT381" s="52" t="s">
        <v>313</v>
      </c>
      <c r="BU381" s="52" t="s">
        <v>1230</v>
      </c>
      <c r="BV38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"5c:a6:e6:25:57:fd"], ["ip", "10.0.4.72"]]</v>
      </c>
    </row>
    <row r="382" spans="1:74" s="52" customFormat="1" ht="16" customHeight="1" x14ac:dyDescent="0.2">
      <c r="A382" s="28">
        <v>2600</v>
      </c>
      <c r="B382" s="52" t="s">
        <v>543</v>
      </c>
      <c r="C382" s="52" t="s">
        <v>756</v>
      </c>
      <c r="D382" s="52" t="s">
        <v>139</v>
      </c>
      <c r="E382" s="53" t="s">
        <v>1338</v>
      </c>
      <c r="F382" s="54" t="str">
        <f>IF(ISBLANK(Table2[[#This Row],[unique_id]]), "", PROPER(SUBSTITUTE(Table2[[#This Row],[unique_id]], "_", " ")))</f>
        <v>Broken Template Ada Tablet Plug Proxy</v>
      </c>
      <c r="G382" s="52" t="s">
        <v>769</v>
      </c>
      <c r="H382" s="52" t="s">
        <v>491</v>
      </c>
      <c r="I382" s="52" t="s">
        <v>262</v>
      </c>
      <c r="P382" s="55" t="s">
        <v>736</v>
      </c>
      <c r="Q382" s="52" t="s">
        <v>155</v>
      </c>
      <c r="R382" s="52" t="s">
        <v>708</v>
      </c>
      <c r="S382" s="58" t="s">
        <v>693</v>
      </c>
      <c r="T382" s="52" t="str">
        <f>Table2[[#This Row],[friendly_name]]</f>
        <v>Ada Tablet</v>
      </c>
      <c r="U382" s="53" t="s">
        <v>1013</v>
      </c>
      <c r="V382" s="53"/>
      <c r="W382" s="53"/>
      <c r="AD382" s="55"/>
      <c r="AE382" s="55"/>
      <c r="AF382" s="55"/>
      <c r="AG382" s="55"/>
      <c r="AH382" s="55"/>
      <c r="AI382" s="55"/>
      <c r="AO382" s="55"/>
      <c r="AP382" s="55"/>
      <c r="AZ382" s="57"/>
      <c r="BB382" s="59"/>
      <c r="BC382" s="52" t="s">
        <v>125</v>
      </c>
      <c r="BD382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tplink-lounge-ada-tablet</v>
      </c>
      <c r="BE382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BF382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2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82" s="52" t="str">
        <f>IF(ISBLANK(Table2[[#This Row],[device_model]]), "", Table2[[#This Row],[device_suggested_area]])</f>
        <v>Lounge</v>
      </c>
      <c r="BJ382" s="52" t="s">
        <v>769</v>
      </c>
      <c r="BK382" s="57" t="s">
        <v>331</v>
      </c>
      <c r="BL382" s="52" t="s">
        <v>221</v>
      </c>
      <c r="BN382" s="52" t="s">
        <v>332</v>
      </c>
      <c r="BO382" s="52" t="s">
        <v>183</v>
      </c>
      <c r="BV382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3" spans="1:74" s="52" customFormat="1" ht="16" customHeight="1" x14ac:dyDescent="0.2">
      <c r="A383" s="28">
        <v>2601</v>
      </c>
      <c r="B383" s="52" t="s">
        <v>543</v>
      </c>
      <c r="C383" s="52" t="s">
        <v>221</v>
      </c>
      <c r="D383" s="52" t="s">
        <v>125</v>
      </c>
      <c r="E383" s="52" t="s">
        <v>1339</v>
      </c>
      <c r="F383" s="54" t="str">
        <f>IF(ISBLANK(Table2[[#This Row],[unique_id]]), "", PROPER(SUBSTITUTE(Table2[[#This Row],[unique_id]], "_", " ")))</f>
        <v>Broken Ada Tablet Plug</v>
      </c>
      <c r="G383" s="52" t="s">
        <v>769</v>
      </c>
      <c r="H383" s="52" t="s">
        <v>491</v>
      </c>
      <c r="I383" s="52" t="s">
        <v>262</v>
      </c>
      <c r="N383" s="52" t="s">
        <v>244</v>
      </c>
      <c r="P383" s="55" t="s">
        <v>736</v>
      </c>
      <c r="Q383" s="52" t="s">
        <v>155</v>
      </c>
      <c r="R383" s="52" t="s">
        <v>708</v>
      </c>
      <c r="S383" s="58" t="s">
        <v>693</v>
      </c>
      <c r="T383" s="52" t="str">
        <f>Table2[[#This Row],[friendly_name]]</f>
        <v>Ada Tablet</v>
      </c>
      <c r="U383" s="53" t="str">
        <f>"power_sensor_id: sensor." &amp; Table2[[#This Row],[unique_id]] &amp; "_current_consumption" &amp; CHAR(10) &amp; "force_energy_sensor_creation: true" &amp; CHAR(10)</f>
        <v xml:space="preserve">power_sensor_id: sensor.broken_ada_tablet_plug_current_consumption
force_energy_sensor_creation: true
</v>
      </c>
      <c r="V383" s="53"/>
      <c r="W383" s="53"/>
      <c r="AD383" s="55"/>
      <c r="AE383" s="55"/>
      <c r="AF383" s="55"/>
      <c r="AG383" s="55"/>
      <c r="AH383" s="55"/>
      <c r="AI383" s="55"/>
      <c r="AM383" s="52" t="s">
        <v>770</v>
      </c>
      <c r="AO383" s="55"/>
      <c r="AP383" s="55"/>
      <c r="AZ383" s="57"/>
      <c r="BB383" s="59"/>
      <c r="BD383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tplink-lounge-ada-tablet</v>
      </c>
      <c r="BE383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BF383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3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83" s="52" t="str">
        <f>IF(ISBLANK(Table2[[#This Row],[device_model]]), "", Table2[[#This Row],[device_suggested_area]])</f>
        <v>Lounge</v>
      </c>
      <c r="BJ383" s="52" t="s">
        <v>769</v>
      </c>
      <c r="BK383" s="57" t="s">
        <v>331</v>
      </c>
      <c r="BL383" s="52" t="s">
        <v>221</v>
      </c>
      <c r="BN383" s="52" t="s">
        <v>332</v>
      </c>
      <c r="BO383" s="52" t="s">
        <v>183</v>
      </c>
      <c r="BR383" s="52" t="s">
        <v>923</v>
      </c>
      <c r="BS383" s="52" t="s">
        <v>1186</v>
      </c>
      <c r="BT383" s="52" t="s">
        <v>748</v>
      </c>
      <c r="BU383" s="52" t="s">
        <v>1231</v>
      </c>
      <c r="BV383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"5c:a6:e6:25:59:03"], ["ip", "10.0.4.90"]]</v>
      </c>
    </row>
    <row r="384" spans="1:74" s="52" customFormat="1" ht="16" customHeight="1" x14ac:dyDescent="0.2">
      <c r="A384" s="28">
        <v>2602</v>
      </c>
      <c r="B384" s="28" t="s">
        <v>26</v>
      </c>
      <c r="C384" s="28" t="s">
        <v>348</v>
      </c>
      <c r="D384" s="28" t="s">
        <v>125</v>
      </c>
      <c r="E384" s="37" t="s">
        <v>575</v>
      </c>
      <c r="F384" s="34" t="str">
        <f>IF(ISBLANK(Table2[[#This Row],[unique_id]]), "", PROPER(SUBSTITUTE(Table2[[#This Row],[unique_id]], "_", " ")))</f>
        <v>Deck Fans Outlet</v>
      </c>
      <c r="G384" s="28" t="s">
        <v>578</v>
      </c>
      <c r="H384" s="28" t="s">
        <v>491</v>
      </c>
      <c r="I384" s="28" t="s">
        <v>262</v>
      </c>
      <c r="J384" s="28"/>
      <c r="K384" s="28"/>
      <c r="L384" s="28"/>
      <c r="M384" s="28"/>
      <c r="N384" s="28" t="s">
        <v>244</v>
      </c>
      <c r="O384" s="28"/>
      <c r="P384" s="29" t="s">
        <v>736</v>
      </c>
      <c r="Q384" s="28" t="s">
        <v>155</v>
      </c>
      <c r="R384" s="28" t="s">
        <v>708</v>
      </c>
      <c r="S384" s="28" t="s">
        <v>710</v>
      </c>
      <c r="T384" s="28" t="s">
        <v>767</v>
      </c>
      <c r="U384" s="35" t="s">
        <v>766</v>
      </c>
      <c r="V384" s="35"/>
      <c r="W384" s="35"/>
      <c r="X384" s="28"/>
      <c r="Y384" s="28"/>
      <c r="Z384" s="28"/>
      <c r="AA384" s="28"/>
      <c r="AB384" s="28"/>
      <c r="AC384" s="28"/>
      <c r="AD384" s="29"/>
      <c r="AE384" s="29" t="s">
        <v>455</v>
      </c>
      <c r="AF384" s="29"/>
      <c r="AG384" s="40" t="s">
        <v>705</v>
      </c>
      <c r="AH384" s="29"/>
      <c r="AI384" s="29"/>
      <c r="AJ384" s="28"/>
      <c r="AK384" s="28"/>
      <c r="AL384" s="28"/>
      <c r="AM384" s="28" t="s">
        <v>238</v>
      </c>
      <c r="AN384" s="28"/>
      <c r="AO384" s="29"/>
      <c r="AP384" s="29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https://zigbee2mqtt.janeandgraham.com/#/device/0x00178801086168ac</v>
      </c>
      <c r="BC384" s="35"/>
      <c r="BD3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deck-fans-outlet</v>
      </c>
      <c r="BE3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Fans Outlet</v>
      </c>
      <c r="BF3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84" s="28" t="str">
        <f>Table2[[#This Row],[device_suggested_area]]</f>
        <v>Deck</v>
      </c>
      <c r="BI384" s="28" t="str">
        <f>IF(ISBLANK(Table2[[#This Row],[device_model]]), "", Table2[[#This Row],[device_suggested_area]])</f>
        <v>Deck</v>
      </c>
      <c r="BJ384" s="35" t="s">
        <v>961</v>
      </c>
      <c r="BK384" s="35" t="s">
        <v>580</v>
      </c>
      <c r="BL384" s="28" t="s">
        <v>348</v>
      </c>
      <c r="BM384" s="28"/>
      <c r="BN384" s="35" t="s">
        <v>581</v>
      </c>
      <c r="BO384" s="28" t="s">
        <v>328</v>
      </c>
      <c r="BP384" s="28"/>
      <c r="BQ384" s="28"/>
      <c r="BR384" s="28"/>
      <c r="BS384" s="28"/>
      <c r="BT384" s="28" t="s">
        <v>582</v>
      </c>
      <c r="BU384" s="28"/>
      <c r="BV3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"0x00178801086168ac"]]</v>
      </c>
    </row>
    <row r="385" spans="1:74" ht="16" customHeight="1" x14ac:dyDescent="0.2">
      <c r="A385" s="28">
        <v>2603</v>
      </c>
      <c r="B385" s="28" t="s">
        <v>26</v>
      </c>
      <c r="C385" s="28" t="s">
        <v>348</v>
      </c>
      <c r="D385" s="28" t="s">
        <v>125</v>
      </c>
      <c r="E385" s="37" t="s">
        <v>576</v>
      </c>
      <c r="F385" s="34" t="str">
        <f>IF(ISBLANK(Table2[[#This Row],[unique_id]]), "", PROPER(SUBSTITUTE(Table2[[#This Row],[unique_id]], "_", " ")))</f>
        <v>Kitchen Fan Outlet</v>
      </c>
      <c r="G385" s="28" t="s">
        <v>577</v>
      </c>
      <c r="H385" s="28" t="s">
        <v>491</v>
      </c>
      <c r="I385" s="28" t="s">
        <v>262</v>
      </c>
      <c r="N385" s="28" t="s">
        <v>244</v>
      </c>
      <c r="P385" s="29" t="s">
        <v>736</v>
      </c>
      <c r="Q385" s="28" t="s">
        <v>155</v>
      </c>
      <c r="R385" s="28" t="s">
        <v>708</v>
      </c>
      <c r="S385" s="28" t="s">
        <v>710</v>
      </c>
      <c r="T385" s="28" t="s">
        <v>767</v>
      </c>
      <c r="U385" s="35" t="s">
        <v>766</v>
      </c>
      <c r="V385" s="35"/>
      <c r="W385" s="35"/>
      <c r="X385" s="28"/>
      <c r="AD385" s="29"/>
      <c r="AE385" s="29" t="s">
        <v>455</v>
      </c>
      <c r="AF385" s="29"/>
      <c r="AG385" s="40" t="s">
        <v>705</v>
      </c>
      <c r="AM385" s="28" t="s">
        <v>238</v>
      </c>
      <c r="AO385" s="29"/>
      <c r="AP385" s="29"/>
      <c r="BA385" s="28"/>
      <c r="BB38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https://zigbee2mqtt.janeandgraham.com/#/device/0x0017880109d4659c</v>
      </c>
      <c r="BC385" s="35"/>
      <c r="BD3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kitchen-fan-outlet</v>
      </c>
      <c r="BE3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 Outlet</v>
      </c>
      <c r="BF3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85" s="28" t="str">
        <f>Table2[[#This Row],[device_suggested_area]]</f>
        <v>Kitchen</v>
      </c>
      <c r="BI385" s="28" t="str">
        <f>IF(ISBLANK(Table2[[#This Row],[device_model]]), "", Table2[[#This Row],[device_suggested_area]])</f>
        <v>Kitchen</v>
      </c>
      <c r="BJ385" s="35" t="s">
        <v>962</v>
      </c>
      <c r="BK385" s="35" t="s">
        <v>580</v>
      </c>
      <c r="BL385" s="28" t="s">
        <v>348</v>
      </c>
      <c r="BN385" s="35" t="s">
        <v>581</v>
      </c>
      <c r="BO385" s="28" t="s">
        <v>195</v>
      </c>
      <c r="BT385" s="28" t="s">
        <v>583</v>
      </c>
      <c r="BV3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"0x0017880109d4659c"]]</v>
      </c>
    </row>
    <row r="386" spans="1:74" ht="16" customHeight="1" x14ac:dyDescent="0.2">
      <c r="A386" s="28">
        <v>2604</v>
      </c>
      <c r="B386" s="28" t="s">
        <v>26</v>
      </c>
      <c r="C386" s="28" t="s">
        <v>348</v>
      </c>
      <c r="D386" s="28" t="s">
        <v>125</v>
      </c>
      <c r="E386" s="37" t="s">
        <v>1434</v>
      </c>
      <c r="F386" s="34" t="str">
        <f>IF(ISBLANK(Table2[[#This Row],[unique_id]]), "", PROPER(SUBSTITUTE(Table2[[#This Row],[unique_id]], "_", " ")))</f>
        <v>Ada Desk Outlet</v>
      </c>
      <c r="G386" s="28" t="s">
        <v>1433</v>
      </c>
      <c r="H386" s="28" t="s">
        <v>491</v>
      </c>
      <c r="I386" s="28" t="s">
        <v>262</v>
      </c>
      <c r="N386" s="28" t="s">
        <v>244</v>
      </c>
      <c r="P386" s="29" t="s">
        <v>736</v>
      </c>
      <c r="Q386" s="28" t="s">
        <v>155</v>
      </c>
      <c r="R386" s="28" t="s">
        <v>708</v>
      </c>
      <c r="S386" s="28" t="s">
        <v>710</v>
      </c>
      <c r="T386" s="28" t="s">
        <v>767</v>
      </c>
      <c r="U386" s="35" t="s">
        <v>766</v>
      </c>
      <c r="V386" s="35"/>
      <c r="W386" s="35"/>
      <c r="X386" s="28"/>
      <c r="AD386" s="29"/>
      <c r="AE386" s="29" t="s">
        <v>455</v>
      </c>
      <c r="AF386" s="29"/>
      <c r="AG386" s="40" t="s">
        <v>705</v>
      </c>
      <c r="AH386" s="40"/>
      <c r="AI386" s="40"/>
      <c r="AM386" s="28" t="s">
        <v>238</v>
      </c>
      <c r="AO386" s="29"/>
      <c r="AP386" s="29"/>
      <c r="BA386" s="28"/>
      <c r="BB38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https://zigbee2mqtt.janeandgraham.com/#/device/0x001788010f03f035</v>
      </c>
      <c r="BC386" s="35"/>
      <c r="BD3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ada-desk-outlet</v>
      </c>
      <c r="BE3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Desk Outlet</v>
      </c>
      <c r="BF3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86" s="28" t="str">
        <f>Table2[[#This Row],[device_suggested_area]]</f>
        <v>Ada</v>
      </c>
      <c r="BI386" s="28" t="str">
        <f>IF(ISBLANK(Table2[[#This Row],[device_model]]), "", Table2[[#This Row],[device_suggested_area]])</f>
        <v>Ada</v>
      </c>
      <c r="BJ386" s="35" t="s">
        <v>1423</v>
      </c>
      <c r="BK386" s="35" t="s">
        <v>580</v>
      </c>
      <c r="BL386" s="28" t="s">
        <v>348</v>
      </c>
      <c r="BN386" s="35" t="s">
        <v>581</v>
      </c>
      <c r="BO386" s="28" t="s">
        <v>121</v>
      </c>
      <c r="BT386" s="28" t="s">
        <v>1435</v>
      </c>
      <c r="BV3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"0x001788010f03f035"]]</v>
      </c>
    </row>
    <row r="387" spans="1:74" ht="16" customHeight="1" x14ac:dyDescent="0.2">
      <c r="A387" s="28">
        <v>2605</v>
      </c>
      <c r="B387" s="28" t="s">
        <v>26</v>
      </c>
      <c r="C387" s="28" t="s">
        <v>348</v>
      </c>
      <c r="D387" s="28" t="s">
        <v>125</v>
      </c>
      <c r="E387" s="37" t="s">
        <v>1422</v>
      </c>
      <c r="F387" s="34" t="str">
        <f>IF(ISBLANK(Table2[[#This Row],[unique_id]]), "", PROPER(SUBSTITUTE(Table2[[#This Row],[unique_id]], "_", " ")))</f>
        <v>Edwin Desk Outlet</v>
      </c>
      <c r="G387" s="28" t="s">
        <v>1421</v>
      </c>
      <c r="H387" s="28" t="s">
        <v>491</v>
      </c>
      <c r="I387" s="28" t="s">
        <v>262</v>
      </c>
      <c r="N387" s="28" t="s">
        <v>244</v>
      </c>
      <c r="P387" s="29" t="s">
        <v>736</v>
      </c>
      <c r="Q387" s="28" t="s">
        <v>155</v>
      </c>
      <c r="R387" s="28" t="s">
        <v>708</v>
      </c>
      <c r="S387" s="28" t="s">
        <v>710</v>
      </c>
      <c r="T387" s="28" t="s">
        <v>767</v>
      </c>
      <c r="U387" s="35" t="s">
        <v>766</v>
      </c>
      <c r="V387" s="35"/>
      <c r="W387" s="35"/>
      <c r="X387" s="28"/>
      <c r="AD387" s="29"/>
      <c r="AE387" s="29" t="s">
        <v>455</v>
      </c>
      <c r="AF387" s="29"/>
      <c r="AG387" s="40" t="s">
        <v>705</v>
      </c>
      <c r="AH387" s="40"/>
      <c r="AI387" s="40"/>
      <c r="AM387" s="28" t="s">
        <v>238</v>
      </c>
      <c r="AO387" s="29"/>
      <c r="AP387" s="29"/>
      <c r="BA387" s="28"/>
      <c r="BB38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https://zigbee2mqtt.janeandgraham.com/#/device/0x0017880108fd8633</v>
      </c>
      <c r="BC387" s="35"/>
      <c r="BD3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edwin-desk-outlet</v>
      </c>
      <c r="BE3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Desk Outlet</v>
      </c>
      <c r="BF3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87" s="28" t="str">
        <f>Table2[[#This Row],[device_suggested_area]]</f>
        <v>Edwin</v>
      </c>
      <c r="BI387" s="28" t="str">
        <f>IF(ISBLANK(Table2[[#This Row],[device_model]]), "", Table2[[#This Row],[device_suggested_area]])</f>
        <v>Edwin</v>
      </c>
      <c r="BJ387" s="35" t="s">
        <v>1423</v>
      </c>
      <c r="BK387" s="35" t="s">
        <v>580</v>
      </c>
      <c r="BL387" s="28" t="s">
        <v>348</v>
      </c>
      <c r="BN387" s="35" t="s">
        <v>581</v>
      </c>
      <c r="BO387" s="28" t="s">
        <v>118</v>
      </c>
      <c r="BT387" s="28" t="s">
        <v>579</v>
      </c>
      <c r="BV3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"0x0017880108fd8633"]]</v>
      </c>
    </row>
    <row r="388" spans="1:74" ht="16" customHeight="1" x14ac:dyDescent="0.2">
      <c r="A388" s="28">
        <v>2606</v>
      </c>
      <c r="B388" s="52" t="s">
        <v>543</v>
      </c>
      <c r="C388" s="52" t="s">
        <v>756</v>
      </c>
      <c r="D388" s="52" t="s">
        <v>139</v>
      </c>
      <c r="E388" s="53" t="s">
        <v>1363</v>
      </c>
      <c r="F388" s="54" t="str">
        <f>IF(ISBLANK(Table2[[#This Row],[unique_id]]), "", PROPER(SUBSTITUTE(Table2[[#This Row],[unique_id]], "_", " ")))</f>
        <v>Broken Template Server May Plug Proxy</v>
      </c>
      <c r="G388" s="52" t="s">
        <v>1364</v>
      </c>
      <c r="H388" s="52" t="s">
        <v>491</v>
      </c>
      <c r="I388" s="52" t="s">
        <v>262</v>
      </c>
      <c r="J388" s="52"/>
      <c r="K388" s="52"/>
      <c r="L388" s="52"/>
      <c r="M388" s="52"/>
      <c r="N388" s="52"/>
      <c r="O388" s="52"/>
      <c r="P388" s="55" t="s">
        <v>736</v>
      </c>
      <c r="Q388" s="52"/>
      <c r="R388" s="52"/>
      <c r="S388" s="52" t="s">
        <v>749</v>
      </c>
      <c r="T388" s="52" t="str">
        <f>Table2[[#This Row],[friendly_name]]</f>
        <v>Server May</v>
      </c>
      <c r="U388" s="53" t="s">
        <v>1013</v>
      </c>
      <c r="V388" s="53"/>
      <c r="W388" s="53"/>
      <c r="X388" s="52"/>
      <c r="Y388" s="52"/>
      <c r="Z388" s="52"/>
      <c r="AA388" s="52"/>
      <c r="AB388" s="52"/>
      <c r="AC388" s="52"/>
      <c r="AD388" s="55"/>
      <c r="AE388" s="55"/>
      <c r="AF388" s="55"/>
      <c r="AG388" s="55"/>
      <c r="AH388" s="55"/>
      <c r="AI388" s="55"/>
      <c r="AJ388" s="52"/>
      <c r="AK388" s="52"/>
      <c r="AL388" s="52"/>
      <c r="AM388" s="52"/>
      <c r="AN388" s="52"/>
      <c r="AO388" s="55"/>
      <c r="AP388" s="55"/>
      <c r="AQ388" s="52"/>
      <c r="AR388" s="52"/>
      <c r="AS388" s="52"/>
      <c r="AT388" s="52"/>
      <c r="AU388" s="52"/>
      <c r="AV388" s="52"/>
      <c r="AW388" s="52"/>
      <c r="AX388" s="52"/>
      <c r="AY388" s="52"/>
      <c r="AZ388" s="57"/>
      <c r="BA388" s="52"/>
      <c r="BB388" s="59"/>
      <c r="BC388" s="52" t="s">
        <v>125</v>
      </c>
      <c r="BD38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tplink-rack-macmini-may</v>
      </c>
      <c r="BE38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May</v>
      </c>
      <c r="BF38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88" s="52"/>
      <c r="BI388" s="52" t="str">
        <f>IF(ISBLANK(Table2[[#This Row],[device_model]]), "", Table2[[#This Row],[device_suggested_area]])</f>
        <v>Rack</v>
      </c>
      <c r="BJ388" s="52" t="s">
        <v>1368</v>
      </c>
      <c r="BK388" s="57" t="s">
        <v>331</v>
      </c>
      <c r="BL388" s="52" t="s">
        <v>221</v>
      </c>
      <c r="BM388" s="52"/>
      <c r="BN388" s="52" t="s">
        <v>332</v>
      </c>
      <c r="BO388" s="52" t="s">
        <v>28</v>
      </c>
      <c r="BP388" s="52"/>
      <c r="BQ388" s="52"/>
      <c r="BR388" s="52"/>
      <c r="BS388" s="52"/>
      <c r="BT388" s="52"/>
      <c r="BU388" s="52"/>
      <c r="BV38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9" spans="1:74" s="52" customFormat="1" ht="16" customHeight="1" x14ac:dyDescent="0.2">
      <c r="A389" s="28">
        <v>2607</v>
      </c>
      <c r="B389" s="52" t="s">
        <v>543</v>
      </c>
      <c r="C389" s="52" t="s">
        <v>221</v>
      </c>
      <c r="D389" s="52" t="s">
        <v>125</v>
      </c>
      <c r="E389" s="52" t="s">
        <v>1365</v>
      </c>
      <c r="F389" s="54" t="str">
        <f>IF(ISBLANK(Table2[[#This Row],[unique_id]]), "", PROPER(SUBSTITUTE(Table2[[#This Row],[unique_id]], "_", " ")))</f>
        <v>Broken Server May Plug</v>
      </c>
      <c r="G389" s="52" t="s">
        <v>1364</v>
      </c>
      <c r="H389" s="52" t="s">
        <v>491</v>
      </c>
      <c r="I389" s="52" t="s">
        <v>262</v>
      </c>
      <c r="N389" s="52" t="s">
        <v>244</v>
      </c>
      <c r="P389" s="55" t="s">
        <v>736</v>
      </c>
      <c r="S389" s="52" t="s">
        <v>749</v>
      </c>
      <c r="T389" s="52" t="str">
        <f>Table2[[#This Row],[friendly_name]]</f>
        <v>Server May</v>
      </c>
      <c r="U389" s="53" t="str">
        <f>"power_sensor_id: sensor." &amp; Table2[[#This Row],[unique_id]] &amp; "_current_consumption" &amp; CHAR(10) &amp; "force_energy_sensor_creation: true" &amp; CHAR(10)</f>
        <v xml:space="preserve">power_sensor_id: sensor.broken_server_may_plug_current_consumption
force_energy_sensor_creation: true
</v>
      </c>
      <c r="V389" s="53"/>
      <c r="W389" s="53"/>
      <c r="AD389" s="55"/>
      <c r="AE389" s="55"/>
      <c r="AF389" s="55"/>
      <c r="AG389" s="55"/>
      <c r="AH389" s="55"/>
      <c r="AI389" s="55"/>
      <c r="AM389" s="52" t="s">
        <v>239</v>
      </c>
      <c r="AO389" s="55"/>
      <c r="AP389" s="55"/>
      <c r="AZ389" s="57"/>
      <c r="BB389" s="59"/>
      <c r="BD38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tplink-rack-macmini-may</v>
      </c>
      <c r="BE38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May</v>
      </c>
      <c r="BF38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8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89" s="52" t="str">
        <f>IF(ISBLANK(Table2[[#This Row],[device_model]]), "", Table2[[#This Row],[device_suggested_area]])</f>
        <v>Rack</v>
      </c>
      <c r="BJ389" s="52" t="s">
        <v>1368</v>
      </c>
      <c r="BK389" s="57" t="s">
        <v>331</v>
      </c>
      <c r="BL389" s="52" t="s">
        <v>221</v>
      </c>
      <c r="BN389" s="52" t="s">
        <v>332</v>
      </c>
      <c r="BO389" s="52" t="s">
        <v>28</v>
      </c>
      <c r="BR389" s="52" t="s">
        <v>924</v>
      </c>
      <c r="BS389" s="52" t="s">
        <v>1186</v>
      </c>
      <c r="BT389" s="52" t="s">
        <v>752</v>
      </c>
      <c r="BU389" s="52" t="s">
        <v>1232</v>
      </c>
      <c r="BV38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"5c:a6:e6:25:56:a7"], ["ip", "10.0.4.91"]]</v>
      </c>
    </row>
    <row r="390" spans="1:74" s="52" customFormat="1" ht="16" customHeight="1" x14ac:dyDescent="0.2">
      <c r="A390" s="28">
        <v>2608</v>
      </c>
      <c r="B390" s="52" t="s">
        <v>543</v>
      </c>
      <c r="C390" s="52" t="s">
        <v>756</v>
      </c>
      <c r="D390" s="52" t="s">
        <v>139</v>
      </c>
      <c r="E390" s="53" t="s">
        <v>1340</v>
      </c>
      <c r="F390" s="54" t="str">
        <f>IF(ISBLANK(Table2[[#This Row],[unique_id]]), "", PROPER(SUBSTITUTE(Table2[[#This Row],[unique_id]], "_", " ")))</f>
        <v>Broken Template Server Meg Plug Proxy</v>
      </c>
      <c r="G390" s="57" t="s">
        <v>753</v>
      </c>
      <c r="H390" s="52" t="s">
        <v>491</v>
      </c>
      <c r="I390" s="52" t="s">
        <v>262</v>
      </c>
      <c r="P390" s="55" t="s">
        <v>736</v>
      </c>
      <c r="S390" s="52" t="s">
        <v>749</v>
      </c>
      <c r="T390" s="52" t="str">
        <f>Table2[[#This Row],[friendly_name]]</f>
        <v>Server Meg</v>
      </c>
      <c r="U390" s="53" t="s">
        <v>1013</v>
      </c>
      <c r="V390" s="53"/>
      <c r="W390" s="53"/>
      <c r="AD390" s="55"/>
      <c r="AE390" s="55"/>
      <c r="AF390" s="55"/>
      <c r="AG390" s="55"/>
      <c r="AH390" s="55"/>
      <c r="AI390" s="55"/>
      <c r="AO390" s="55"/>
      <c r="AP390" s="55"/>
      <c r="AZ390" s="57"/>
      <c r="BB390" s="59"/>
      <c r="BC390" s="52" t="s">
        <v>125</v>
      </c>
      <c r="BD39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tplink-rack-macmini-meg</v>
      </c>
      <c r="BE39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Meg</v>
      </c>
      <c r="BF39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9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0" s="52" t="str">
        <f>IF(ISBLANK(Table2[[#This Row],[device_model]]), "", Table2[[#This Row],[device_suggested_area]])</f>
        <v>Rack</v>
      </c>
      <c r="BJ390" s="52" t="s">
        <v>1006</v>
      </c>
      <c r="BK390" s="57" t="s">
        <v>331</v>
      </c>
      <c r="BL390" s="52" t="s">
        <v>221</v>
      </c>
      <c r="BN390" s="52" t="s">
        <v>332</v>
      </c>
      <c r="BO390" s="52" t="s">
        <v>28</v>
      </c>
      <c r="BV39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1" spans="1:74" s="52" customFormat="1" ht="16" customHeight="1" x14ac:dyDescent="0.2">
      <c r="A391" s="28">
        <v>2609</v>
      </c>
      <c r="B391" s="52" t="s">
        <v>543</v>
      </c>
      <c r="C391" s="52" t="s">
        <v>221</v>
      </c>
      <c r="D391" s="52" t="s">
        <v>125</v>
      </c>
      <c r="E391" s="52" t="s">
        <v>1341</v>
      </c>
      <c r="F391" s="54" t="str">
        <f>IF(ISBLANK(Table2[[#This Row],[unique_id]]), "", PROPER(SUBSTITUTE(Table2[[#This Row],[unique_id]], "_", " ")))</f>
        <v>Broken Server Meg Plug</v>
      </c>
      <c r="G391" s="57" t="s">
        <v>753</v>
      </c>
      <c r="H391" s="52" t="s">
        <v>491</v>
      </c>
      <c r="I391" s="52" t="s">
        <v>262</v>
      </c>
      <c r="N391" s="52" t="s">
        <v>244</v>
      </c>
      <c r="P391" s="55" t="s">
        <v>736</v>
      </c>
      <c r="S391" s="52" t="s">
        <v>749</v>
      </c>
      <c r="T391" s="52" t="str">
        <f>Table2[[#This Row],[friendly_name]]</f>
        <v>Server Meg</v>
      </c>
      <c r="U391" s="53" t="str">
        <f>"power_sensor_id: sensor." &amp; Table2[[#This Row],[unique_id]] &amp; "_current_consumption" &amp; CHAR(10) &amp; "force_energy_sensor_creation: true" &amp; CHAR(10)</f>
        <v xml:space="preserve">power_sensor_id: sensor.broken_server_meg_plug_current_consumption
force_energy_sensor_creation: true
</v>
      </c>
      <c r="V391" s="53"/>
      <c r="W391" s="53"/>
      <c r="AD391" s="55"/>
      <c r="AE391" s="55"/>
      <c r="AF391" s="55"/>
      <c r="AG391" s="55"/>
      <c r="AH391" s="55"/>
      <c r="AI391" s="55"/>
      <c r="AM391" s="52" t="s">
        <v>239</v>
      </c>
      <c r="AO391" s="55"/>
      <c r="AP391" s="55"/>
      <c r="AZ391" s="57"/>
      <c r="BB391" s="59"/>
      <c r="BD39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tplink-rack-macmini-meg</v>
      </c>
      <c r="BE39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Meg</v>
      </c>
      <c r="BF39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9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1" s="52" t="str">
        <f>IF(ISBLANK(Table2[[#This Row],[device_model]]), "", Table2[[#This Row],[device_suggested_area]])</f>
        <v>Rack</v>
      </c>
      <c r="BJ391" s="52" t="s">
        <v>1006</v>
      </c>
      <c r="BK391" s="57" t="s">
        <v>331</v>
      </c>
      <c r="BL391" s="52" t="s">
        <v>221</v>
      </c>
      <c r="BN391" s="52" t="s">
        <v>332</v>
      </c>
      <c r="BO391" s="52" t="s">
        <v>28</v>
      </c>
      <c r="BR391" s="52" t="s">
        <v>924</v>
      </c>
      <c r="BS391" s="52" t="s">
        <v>1186</v>
      </c>
      <c r="BT391" s="52" t="s">
        <v>751</v>
      </c>
      <c r="BU391" s="52" t="s">
        <v>1233</v>
      </c>
      <c r="BV39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"5c:a6:e6:25:59:c0"], ["ip", "10.0.4.92"]]</v>
      </c>
    </row>
    <row r="392" spans="1:74" s="52" customFormat="1" ht="16" customHeight="1" x14ac:dyDescent="0.2">
      <c r="A392" s="28">
        <v>2610</v>
      </c>
      <c r="B392" s="28" t="s">
        <v>26</v>
      </c>
      <c r="C392" s="28" t="s">
        <v>756</v>
      </c>
      <c r="D392" s="28" t="s">
        <v>139</v>
      </c>
      <c r="E392" s="35" t="s">
        <v>1371</v>
      </c>
      <c r="F392" s="34" t="str">
        <f>IF(ISBLANK(Table2[[#This Row],[unique_id]]), "", PROPER(SUBSTITUTE(Table2[[#This Row],[unique_id]], "_", " ")))</f>
        <v>Template Server Jen Plug Proxy</v>
      </c>
      <c r="G392" s="28" t="s">
        <v>1375</v>
      </c>
      <c r="H392" s="28" t="s">
        <v>491</v>
      </c>
      <c r="I392" s="28" t="s">
        <v>262</v>
      </c>
      <c r="J392" s="28"/>
      <c r="K392" s="28"/>
      <c r="L392" s="28"/>
      <c r="M392" s="28"/>
      <c r="N392" s="28"/>
      <c r="O392" s="28"/>
      <c r="P392" s="29" t="s">
        <v>736</v>
      </c>
      <c r="Q392" s="28" t="s">
        <v>155</v>
      </c>
      <c r="R392" s="28" t="s">
        <v>708</v>
      </c>
      <c r="S392" s="28" t="s">
        <v>710</v>
      </c>
      <c r="T392" s="28" t="str">
        <f>Table2[[#This Row],[friendly_name]]</f>
        <v>Server Jen</v>
      </c>
      <c r="U392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V392" s="35"/>
      <c r="W392" s="35"/>
      <c r="X392" s="28"/>
      <c r="Y392" s="28"/>
      <c r="Z392" s="28"/>
      <c r="AA392" s="28"/>
      <c r="AB392" s="28"/>
      <c r="AC392" s="28"/>
      <c r="AD392" s="29"/>
      <c r="AE392" s="29"/>
      <c r="AF392" s="29"/>
      <c r="AG392" s="29"/>
      <c r="AH392" s="29"/>
      <c r="AI392" s="29"/>
      <c r="AJ392" s="28"/>
      <c r="AK392" s="28"/>
      <c r="AL392" s="28"/>
      <c r="AM392" s="28"/>
      <c r="AN392" s="28"/>
      <c r="AO392" s="29"/>
      <c r="AP392" s="29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38"/>
      <c r="BC392" s="28" t="s">
        <v>125</v>
      </c>
      <c r="BD3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tplink-wardrobe-raspberrypi-jen</v>
      </c>
      <c r="BE3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RaspberryPi Jen</v>
      </c>
      <c r="BF3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392" s="28"/>
      <c r="BI392" s="28" t="s">
        <v>460</v>
      </c>
      <c r="BJ392" s="28" t="s">
        <v>1376</v>
      </c>
      <c r="BK392" s="28" t="s">
        <v>330</v>
      </c>
      <c r="BL392" s="28" t="s">
        <v>221</v>
      </c>
      <c r="BM392" s="28"/>
      <c r="BN392" s="28" t="s">
        <v>333</v>
      </c>
      <c r="BO392" s="28" t="s">
        <v>460</v>
      </c>
      <c r="BP392" s="28"/>
      <c r="BQ392" s="28"/>
      <c r="BR392" s="28"/>
      <c r="BS392" s="28"/>
      <c r="BT392" s="28"/>
      <c r="BU392" s="28"/>
      <c r="BV3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3" spans="1:74" ht="16" customHeight="1" x14ac:dyDescent="0.2">
      <c r="A393" s="28">
        <v>2611</v>
      </c>
      <c r="B393" s="28" t="s">
        <v>26</v>
      </c>
      <c r="C393" s="28" t="s">
        <v>221</v>
      </c>
      <c r="D393" s="28" t="s">
        <v>125</v>
      </c>
      <c r="E393" s="28" t="s">
        <v>1372</v>
      </c>
      <c r="F393" s="34" t="str">
        <f>IF(ISBLANK(Table2[[#This Row],[unique_id]]), "", PROPER(SUBSTITUTE(Table2[[#This Row],[unique_id]], "_", " ")))</f>
        <v>Server Jen Plug</v>
      </c>
      <c r="G393" s="28" t="s">
        <v>1375</v>
      </c>
      <c r="H393" s="28" t="s">
        <v>491</v>
      </c>
      <c r="I393" s="28" t="s">
        <v>262</v>
      </c>
      <c r="N393" s="28" t="s">
        <v>244</v>
      </c>
      <c r="P393" s="29" t="s">
        <v>736</v>
      </c>
      <c r="Q393" s="28" t="s">
        <v>155</v>
      </c>
      <c r="R393" s="28" t="s">
        <v>708</v>
      </c>
      <c r="S393" s="28" t="s">
        <v>710</v>
      </c>
      <c r="T393" s="28" t="str">
        <f>Table2[[#This Row],[friendly_name]]</f>
        <v>Server Jen</v>
      </c>
      <c r="U393" s="35" t="str">
        <f>_xlfn.CONCAT("power_sensor_id: sensor.", Table2[[#This Row],[unique_id]], "_current_consumption", CHAR(10), "force_energy_sensor_creation: true", CHAR(10))</f>
        <v xml:space="preserve">power_sensor_id: sensor.server_jen_plug_current_consumption
force_energy_sensor_creation: true
</v>
      </c>
      <c r="V393" s="35"/>
      <c r="W393" s="35"/>
      <c r="X393" s="28"/>
      <c r="AD393" s="29"/>
      <c r="AE393" s="29"/>
      <c r="AF393" s="29"/>
      <c r="AG393" s="29"/>
      <c r="AM393" s="28" t="s">
        <v>239</v>
      </c>
      <c r="AO393" s="29"/>
      <c r="AP393" s="29"/>
      <c r="BA393" s="28"/>
      <c r="BB393" s="38"/>
      <c r="BD3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tplink-wardrobe-raspberrypi-jen</v>
      </c>
      <c r="BE3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RaspberryPi Jen</v>
      </c>
      <c r="BF3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3" s="28" t="s">
        <v>460</v>
      </c>
      <c r="BJ393" s="28" t="s">
        <v>1376</v>
      </c>
      <c r="BK393" s="28" t="s">
        <v>330</v>
      </c>
      <c r="BL393" s="28" t="s">
        <v>221</v>
      </c>
      <c r="BN393" s="28" t="s">
        <v>333</v>
      </c>
      <c r="BO393" s="28" t="s">
        <v>460</v>
      </c>
      <c r="BR393" s="28" t="s">
        <v>924</v>
      </c>
      <c r="BS393" s="28" t="s">
        <v>1186</v>
      </c>
      <c r="BT393" s="28" t="s">
        <v>319</v>
      </c>
      <c r="BU393" s="28" t="s">
        <v>1234</v>
      </c>
      <c r="BV3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"ac:84:c6:54:a3:96"], ["ip", "10.0.4.79"]]</v>
      </c>
    </row>
    <row r="394" spans="1:74" ht="16" customHeight="1" x14ac:dyDescent="0.2">
      <c r="A394" s="28">
        <v>2612</v>
      </c>
      <c r="B394" s="28" t="s">
        <v>26</v>
      </c>
      <c r="C394" s="28" t="s">
        <v>756</v>
      </c>
      <c r="D394" s="28" t="s">
        <v>139</v>
      </c>
      <c r="E394" s="35" t="s">
        <v>914</v>
      </c>
      <c r="F394" s="34" t="str">
        <f>IF(ISBLANK(Table2[[#This Row],[unique_id]]), "", PROPER(SUBSTITUTE(Table2[[#This Row],[unique_id]], "_", " ")))</f>
        <v>Template Rack Outlet Plug Proxy</v>
      </c>
      <c r="G394" s="28" t="s">
        <v>210</v>
      </c>
      <c r="H394" s="28" t="s">
        <v>491</v>
      </c>
      <c r="I394" s="28" t="s">
        <v>262</v>
      </c>
      <c r="P394" s="29" t="s">
        <v>736</v>
      </c>
      <c r="Q394" s="28" t="s">
        <v>155</v>
      </c>
      <c r="R394" s="28" t="s">
        <v>708</v>
      </c>
      <c r="S394" s="28" t="s">
        <v>710</v>
      </c>
      <c r="T394" s="28" t="str">
        <f>Table2[[#This Row],[friendly_name]]</f>
        <v>Server Rack</v>
      </c>
      <c r="U394" s="35" t="s">
        <v>1015</v>
      </c>
      <c r="V394" s="35"/>
      <c r="W394" s="35"/>
      <c r="X394" s="28"/>
      <c r="AD394" s="29"/>
      <c r="AE394" s="29"/>
      <c r="AF394" s="29"/>
      <c r="AG394" s="29"/>
      <c r="AO394" s="29"/>
      <c r="AP394" s="29"/>
      <c r="BA394" s="28"/>
      <c r="BB394" s="38"/>
      <c r="BC394" s="28" t="s">
        <v>125</v>
      </c>
      <c r="BD39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BE39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F3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4" s="28" t="str">
        <f>IF(ISBLANK(Table2[[#This Row],[device_model]]), "", Table2[[#This Row],[device_suggested_area]])</f>
        <v>Rack</v>
      </c>
      <c r="BJ394" s="28" t="s">
        <v>965</v>
      </c>
      <c r="BK394" s="28" t="s">
        <v>862</v>
      </c>
      <c r="BL394" s="28" t="s">
        <v>1053</v>
      </c>
      <c r="BN394" s="28" t="s">
        <v>835</v>
      </c>
      <c r="BO394" s="28" t="s">
        <v>28</v>
      </c>
      <c r="BT394" s="28"/>
      <c r="BV3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5" spans="1:74" ht="16" customHeight="1" x14ac:dyDescent="0.2">
      <c r="A395" s="28">
        <v>2613</v>
      </c>
      <c r="B395" s="28" t="s">
        <v>26</v>
      </c>
      <c r="C395" s="28" t="s">
        <v>658</v>
      </c>
      <c r="D395" s="28" t="s">
        <v>125</v>
      </c>
      <c r="E395" s="28" t="s">
        <v>786</v>
      </c>
      <c r="F395" s="34" t="str">
        <f>IF(ISBLANK(Table2[[#This Row],[unique_id]]), "", PROPER(SUBSTITUTE(Table2[[#This Row],[unique_id]], "_", " ")))</f>
        <v>Rack Outlet Plug</v>
      </c>
      <c r="G395" s="28" t="s">
        <v>210</v>
      </c>
      <c r="H395" s="28" t="s">
        <v>491</v>
      </c>
      <c r="I395" s="28" t="s">
        <v>262</v>
      </c>
      <c r="N395" s="28" t="s">
        <v>244</v>
      </c>
      <c r="P395" s="29" t="s">
        <v>736</v>
      </c>
      <c r="Q395" s="28" t="s">
        <v>155</v>
      </c>
      <c r="R395" s="28" t="s">
        <v>708</v>
      </c>
      <c r="S395" s="28" t="s">
        <v>710</v>
      </c>
      <c r="T395" s="28" t="str">
        <f>Table2[[#This Row],[friendly_name]]</f>
        <v>Server Rack</v>
      </c>
      <c r="U395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sensor.rack_outlet_plug_energy_power
energy_sensor_id: sensor.rack_outlet_plug_energy_total
</v>
      </c>
      <c r="V395" s="35"/>
      <c r="W395" s="35"/>
      <c r="X395" s="28"/>
      <c r="AD395" s="29"/>
      <c r="AE395" s="29"/>
      <c r="AF395" s="29"/>
      <c r="AG395" s="29"/>
      <c r="AI395" s="40" t="s">
        <v>1505</v>
      </c>
      <c r="AM395" s="28" t="s">
        <v>239</v>
      </c>
      <c r="AN395" s="28">
        <v>10</v>
      </c>
      <c r="AO395" s="29" t="s">
        <v>34</v>
      </c>
      <c r="AP395" s="29" t="s">
        <v>844</v>
      </c>
      <c r="AQ395" s="28" t="s">
        <v>786</v>
      </c>
      <c r="AR395" s="28" t="str">
        <f>_xlfn.CONCAT("homeassistant/", Table2[[#This Row],[entity_namespace]], "/tasmota/",Table2[[#This Row],[unique_id]], "/config")</f>
        <v>homeassistant/switch/tasmota/rack_outlet_plug/config</v>
      </c>
      <c r="AS395" s="28" t="str">
        <f>IF(ISBLANK(Table2[[#This Row],[unique_id_device]]), "", _xlfn.CONCAT("tasmota/device/", Table2[[#This Row],[unique_id_device]], IF(Table2[[#This Row],[entity_namespace]]="sensor", "/tele/SENSOR", "/stat/POWER")))</f>
        <v>tasmota/device/rack_outlet_plug/stat/POWER</v>
      </c>
      <c r="AT395" s="28" t="str">
        <f>_xlfn.CONCAT("tasmota/device/",Table2[[#This Row],[unique_id]], "/cmnd/POWER")</f>
        <v>tasmota/device/rack_outlet_plug/cmnd/POWER</v>
      </c>
      <c r="AU395" s="28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V395" s="28" t="s">
        <v>863</v>
      </c>
      <c r="AW395" s="28" t="s">
        <v>864</v>
      </c>
      <c r="AX395" s="28" t="s">
        <v>853</v>
      </c>
      <c r="AY395" s="28" t="s">
        <v>854</v>
      </c>
      <c r="AZ395" s="28" t="s">
        <v>917</v>
      </c>
      <c r="BA395" s="28">
        <v>1</v>
      </c>
      <c r="BB395" s="32" t="str">
        <f>HYPERLINK(_xlfn.CONCAT("http://", Table2[[#This Row],[connection_ip]], "/?"))</f>
        <v>http://10.0.4.102/?</v>
      </c>
      <c r="BD3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BE3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F3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</v>
      </c>
      <c r="BG3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5" s="28" t="str">
        <f>IF(ISBLANK(Table2[[#This Row],[device_model]]), "", Table2[[#This Row],[device_suggested_area]])</f>
        <v>Rack</v>
      </c>
      <c r="BJ395" s="28" t="s">
        <v>965</v>
      </c>
      <c r="BK395" s="28" t="s">
        <v>862</v>
      </c>
      <c r="BL395" s="28" t="s">
        <v>1053</v>
      </c>
      <c r="BN395" s="28" t="s">
        <v>835</v>
      </c>
      <c r="BO395" s="28" t="s">
        <v>28</v>
      </c>
      <c r="BS395" s="28" t="s">
        <v>1186</v>
      </c>
      <c r="BT395" s="28" t="s">
        <v>861</v>
      </c>
      <c r="BU395" s="28" t="s">
        <v>1236</v>
      </c>
      <c r="BV3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"c0:49:ef:cc:55:84"], ["ip", "10.0.4.102"]]</v>
      </c>
    </row>
    <row r="396" spans="1:74" ht="16" customHeight="1" x14ac:dyDescent="0.2">
      <c r="A396" s="28">
        <v>2614</v>
      </c>
      <c r="B396" s="28" t="s">
        <v>26</v>
      </c>
      <c r="C396" s="28" t="s">
        <v>658</v>
      </c>
      <c r="D396" s="28" t="s">
        <v>27</v>
      </c>
      <c r="E396" s="28" t="s">
        <v>915</v>
      </c>
      <c r="F396" s="34" t="str">
        <f>IF(ISBLANK(Table2[[#This Row],[unique_id]]), "", PROPER(SUBSTITUTE(Table2[[#This Row],[unique_id]], "_", " ")))</f>
        <v>Rack Outlet Plug Energy Power</v>
      </c>
      <c r="G396" s="28" t="s">
        <v>210</v>
      </c>
      <c r="H396" s="28" t="s">
        <v>491</v>
      </c>
      <c r="I396" s="28" t="s">
        <v>262</v>
      </c>
      <c r="P396" s="29"/>
      <c r="Q396" s="28"/>
      <c r="U396" s="35"/>
      <c r="V396" s="35"/>
      <c r="W396" s="35"/>
      <c r="X396" s="28"/>
      <c r="AD396" s="29"/>
      <c r="AE396" s="29"/>
      <c r="AF396" s="29"/>
      <c r="AG396" s="29"/>
      <c r="AJ396" s="28" t="s">
        <v>31</v>
      </c>
      <c r="AK396" s="28" t="s">
        <v>298</v>
      </c>
      <c r="AL396" s="28" t="s">
        <v>845</v>
      </c>
      <c r="AN396" s="28">
        <v>10</v>
      </c>
      <c r="AO396" s="29" t="s">
        <v>34</v>
      </c>
      <c r="AP396" s="29" t="s">
        <v>844</v>
      </c>
      <c r="AQ396" s="28" t="s">
        <v>786</v>
      </c>
      <c r="AR396" s="28" t="str">
        <f>_xlfn.CONCAT("homeassistant/", Table2[[#This Row],[entity_namespace]], "/tasmota/",Table2[[#This Row],[unique_id]], "/config")</f>
        <v>homeassistant/sensor/tasmota/rack_outlet_plug_energy_power/config</v>
      </c>
      <c r="AS396" s="28" t="str">
        <f>IF(ISBLANK(Table2[[#This Row],[unique_id_device]]), "", _xlfn.CONCAT("tasmota/device/", Table2[[#This Row],[unique_id_device]], IF(Table2[[#This Row],[entity_namespace]]="sensor", "/tele/SENSOR", "/stat/POWER")))</f>
        <v>tasmota/device/rack_outlet_plug/tele/SENSOR</v>
      </c>
      <c r="AU396" s="28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V396" s="28" t="s">
        <v>863</v>
      </c>
      <c r="AW396" s="28" t="s">
        <v>864</v>
      </c>
      <c r="AX396" s="28" t="s">
        <v>853</v>
      </c>
      <c r="AY396" s="28" t="s">
        <v>854</v>
      </c>
      <c r="AZ396" s="28" t="s">
        <v>1049</v>
      </c>
      <c r="BA396" s="28">
        <v>1</v>
      </c>
      <c r="BB396" s="32"/>
      <c r="BD3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BE3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F3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 Energy Power</v>
      </c>
      <c r="BG3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6" s="28" t="str">
        <f>IF(ISBLANK(Table2[[#This Row],[device_model]]), "", Table2[[#This Row],[device_suggested_area]])</f>
        <v>Rack</v>
      </c>
      <c r="BJ396" s="28" t="s">
        <v>965</v>
      </c>
      <c r="BK396" s="28" t="s">
        <v>862</v>
      </c>
      <c r="BL396" s="28" t="s">
        <v>1053</v>
      </c>
      <c r="BN396" s="28" t="s">
        <v>835</v>
      </c>
      <c r="BO396" s="28" t="s">
        <v>28</v>
      </c>
      <c r="BT396" s="28"/>
      <c r="BV3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7" spans="1:74" ht="16" customHeight="1" x14ac:dyDescent="0.2">
      <c r="A397" s="28">
        <v>2615</v>
      </c>
      <c r="B397" s="28" t="s">
        <v>26</v>
      </c>
      <c r="C397" s="28" t="s">
        <v>658</v>
      </c>
      <c r="D397" s="28" t="s">
        <v>27</v>
      </c>
      <c r="E397" s="28" t="s">
        <v>916</v>
      </c>
      <c r="F397" s="34" t="str">
        <f>IF(ISBLANK(Table2[[#This Row],[unique_id]]), "", PROPER(SUBSTITUTE(Table2[[#This Row],[unique_id]], "_", " ")))</f>
        <v>Rack Outlet Plug Energy Total</v>
      </c>
      <c r="G397" s="28" t="s">
        <v>210</v>
      </c>
      <c r="H397" s="28" t="s">
        <v>491</v>
      </c>
      <c r="I397" s="28" t="s">
        <v>262</v>
      </c>
      <c r="P397" s="29"/>
      <c r="Q397" s="28"/>
      <c r="U397" s="35"/>
      <c r="V397" s="35"/>
      <c r="W397" s="35"/>
      <c r="X397" s="28"/>
      <c r="AD397" s="29"/>
      <c r="AE397" s="29"/>
      <c r="AF397" s="29"/>
      <c r="AG397" s="29"/>
      <c r="AJ397" s="28" t="s">
        <v>70</v>
      </c>
      <c r="AK397" s="28" t="s">
        <v>299</v>
      </c>
      <c r="AL397" s="28" t="s">
        <v>846</v>
      </c>
      <c r="AN397" s="28">
        <v>10</v>
      </c>
      <c r="AO397" s="29" t="s">
        <v>34</v>
      </c>
      <c r="AP397" s="29" t="s">
        <v>844</v>
      </c>
      <c r="AQ397" s="28" t="s">
        <v>786</v>
      </c>
      <c r="AR397" s="28" t="str">
        <f>_xlfn.CONCAT("homeassistant/", Table2[[#This Row],[entity_namespace]], "/tasmota/",Table2[[#This Row],[unique_id]], "/config")</f>
        <v>homeassistant/sensor/tasmota/rack_outlet_plug_energy_total/config</v>
      </c>
      <c r="AS397" s="28" t="str">
        <f>IF(ISBLANK(Table2[[#This Row],[unique_id_device]]), "", _xlfn.CONCAT("tasmota/device/", Table2[[#This Row],[unique_id_device]], IF(Table2[[#This Row],[entity_namespace]]="sensor", "/tele/SENSOR", "/stat/POWER")))</f>
        <v>tasmota/device/rack_outlet_plug/tele/SENSOR</v>
      </c>
      <c r="AU397" s="28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V397" s="28" t="s">
        <v>863</v>
      </c>
      <c r="AW397" s="28" t="s">
        <v>864</v>
      </c>
      <c r="AX397" s="28" t="s">
        <v>853</v>
      </c>
      <c r="AY397" s="28" t="s">
        <v>854</v>
      </c>
      <c r="AZ397" s="28" t="s">
        <v>1050</v>
      </c>
      <c r="BA397" s="28">
        <v>1</v>
      </c>
      <c r="BB397" s="32"/>
      <c r="BD3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BE3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F3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 Energy Total</v>
      </c>
      <c r="BG3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7" s="28" t="str">
        <f>IF(ISBLANK(Table2[[#This Row],[device_model]]), "", Table2[[#This Row],[device_suggested_area]])</f>
        <v>Rack</v>
      </c>
      <c r="BJ397" s="28" t="s">
        <v>965</v>
      </c>
      <c r="BK397" s="28" t="s">
        <v>862</v>
      </c>
      <c r="BL397" s="28" t="s">
        <v>1053</v>
      </c>
      <c r="BN397" s="28" t="s">
        <v>835</v>
      </c>
      <c r="BO397" s="28" t="s">
        <v>28</v>
      </c>
      <c r="BT397" s="28"/>
      <c r="BV3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8" spans="1:74" ht="16" customHeight="1" x14ac:dyDescent="0.2">
      <c r="A398" s="28">
        <v>2616</v>
      </c>
      <c r="B398" s="28" t="s">
        <v>26</v>
      </c>
      <c r="C398" s="28" t="s">
        <v>756</v>
      </c>
      <c r="D398" s="28" t="s">
        <v>139</v>
      </c>
      <c r="E398" s="35" t="s">
        <v>1040</v>
      </c>
      <c r="F398" s="34" t="str">
        <f>IF(ISBLANK(Table2[[#This Row],[unique_id]]), "", PROPER(SUBSTITUTE(Table2[[#This Row],[unique_id]], "_", " ")))</f>
        <v>Template Ceiling Network Switch Plug Proxy</v>
      </c>
      <c r="G398" s="28" t="s">
        <v>1355</v>
      </c>
      <c r="H398" s="28" t="s">
        <v>491</v>
      </c>
      <c r="I398" s="28" t="s">
        <v>262</v>
      </c>
      <c r="P398" s="29" t="s">
        <v>736</v>
      </c>
      <c r="Q398" s="28" t="s">
        <v>155</v>
      </c>
      <c r="R398" s="28" t="s">
        <v>708</v>
      </c>
      <c r="S398" s="28" t="s">
        <v>710</v>
      </c>
      <c r="T398" s="28" t="str">
        <f>Table2[[#This Row],[friendly_name]]</f>
        <v>Ceiling Network Devices</v>
      </c>
      <c r="U398" s="35" t="s">
        <v>1015</v>
      </c>
      <c r="V398" s="35"/>
      <c r="W398" s="35"/>
      <c r="X398" s="28"/>
      <c r="AD398" s="29"/>
      <c r="AE398" s="29"/>
      <c r="AF398" s="29"/>
      <c r="AG398" s="29"/>
      <c r="AO398" s="29"/>
      <c r="AP398" s="29"/>
      <c r="BA398" s="28"/>
      <c r="BB398" s="38"/>
      <c r="BC398" s="28" t="s">
        <v>125</v>
      </c>
      <c r="BD3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BE3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F3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3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8" s="28" t="str">
        <f>IF(ISBLANK(Table2[[#This Row],[device_model]]), "", Table2[[#This Row],[device_suggested_area]])</f>
        <v>Ceiling</v>
      </c>
      <c r="BJ398" s="28" t="s">
        <v>208</v>
      </c>
      <c r="BK398" s="28" t="s">
        <v>862</v>
      </c>
      <c r="BL398" s="28" t="s">
        <v>1053</v>
      </c>
      <c r="BN398" s="28" t="s">
        <v>835</v>
      </c>
      <c r="BO398" s="28" t="s">
        <v>374</v>
      </c>
      <c r="BT398" s="28"/>
      <c r="BV3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9" spans="1:74" ht="16" customHeight="1" x14ac:dyDescent="0.2">
      <c r="A399" s="28">
        <v>2617</v>
      </c>
      <c r="B399" s="28" t="s">
        <v>26</v>
      </c>
      <c r="C399" s="28" t="s">
        <v>658</v>
      </c>
      <c r="D399" s="28" t="s">
        <v>125</v>
      </c>
      <c r="E399" s="28" t="s">
        <v>1041</v>
      </c>
      <c r="F399" s="34" t="str">
        <f>IF(ISBLANK(Table2[[#This Row],[unique_id]]), "", PROPER(SUBSTITUTE(Table2[[#This Row],[unique_id]], "_", " ")))</f>
        <v>Ceiling Network Switch Plug</v>
      </c>
      <c r="G399" s="28" t="s">
        <v>1355</v>
      </c>
      <c r="H399" s="28" t="s">
        <v>491</v>
      </c>
      <c r="I399" s="28" t="s">
        <v>262</v>
      </c>
      <c r="N399" s="28" t="s">
        <v>244</v>
      </c>
      <c r="P399" s="29" t="s">
        <v>736</v>
      </c>
      <c r="Q399" s="28" t="s">
        <v>155</v>
      </c>
      <c r="R399" s="28" t="s">
        <v>708</v>
      </c>
      <c r="S399" s="28" t="s">
        <v>710</v>
      </c>
      <c r="T399" s="28" t="str">
        <f>Table2[[#This Row],[friendly_name]]</f>
        <v>Ceiling Network Devices</v>
      </c>
      <c r="U399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sensor.ceiling_network_switch_plug_energy_power
energy_sensor_id: sensor.ceiling_network_switch_plug_energy_total
</v>
      </c>
      <c r="V399" s="35"/>
      <c r="W399" s="35"/>
      <c r="X399" s="28"/>
      <c r="AD399" s="29"/>
      <c r="AE399" s="29"/>
      <c r="AF399" s="29"/>
      <c r="AG399" s="29"/>
      <c r="AI399" s="40" t="s">
        <v>1506</v>
      </c>
      <c r="AM399" s="28" t="s">
        <v>240</v>
      </c>
      <c r="AN399" s="28">
        <v>10</v>
      </c>
      <c r="AO399" s="29" t="s">
        <v>34</v>
      </c>
      <c r="AP399" s="29" t="s">
        <v>844</v>
      </c>
      <c r="AQ399" s="28" t="s">
        <v>1041</v>
      </c>
      <c r="AR399" s="28" t="str">
        <f>_xlfn.CONCAT("homeassistant/", Table2[[#This Row],[entity_namespace]], "/tasmota/",Table2[[#This Row],[unique_id]], "/config")</f>
        <v>homeassistant/switch/tasmota/ceiling_network_switch_plug/config</v>
      </c>
      <c r="AS399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tasmota/device/ceiling_network_switch_plug/stat/POWER</v>
      </c>
      <c r="AT399" s="28" t="str">
        <f>_xlfn.CONCAT("tasmota/device/",Table2[[#This Row],[unique_id]], "/cmnd/POWER")</f>
        <v>tasmota/device/ceiling_network_switch_plug/cmnd/POWER</v>
      </c>
      <c r="AU399" s="28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V399" s="28" t="s">
        <v>863</v>
      </c>
      <c r="AW399" s="28" t="s">
        <v>864</v>
      </c>
      <c r="AX399" s="28" t="s">
        <v>853</v>
      </c>
      <c r="AY399" s="28" t="s">
        <v>854</v>
      </c>
      <c r="AZ399" s="28" t="s">
        <v>917</v>
      </c>
      <c r="BA399" s="28">
        <v>1</v>
      </c>
      <c r="BB399" s="32" t="str">
        <f>HYPERLINK(_xlfn.CONCAT("http://", Table2[[#This Row],[connection_ip]], "/?"))</f>
        <v>http://10.0.4.105/?</v>
      </c>
      <c r="BD3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BE3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F3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</v>
      </c>
      <c r="BG3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399" s="28" t="str">
        <f>IF(ISBLANK(Table2[[#This Row],[device_model]]), "", Table2[[#This Row],[device_suggested_area]])</f>
        <v>Ceiling</v>
      </c>
      <c r="BJ399" s="28" t="s">
        <v>208</v>
      </c>
      <c r="BK399" s="28" t="s">
        <v>862</v>
      </c>
      <c r="BL399" s="28" t="s">
        <v>1053</v>
      </c>
      <c r="BN399" s="28" t="s">
        <v>835</v>
      </c>
      <c r="BO399" s="28" t="s">
        <v>374</v>
      </c>
      <c r="BS399" s="28" t="s">
        <v>1186</v>
      </c>
      <c r="BT399" s="39" t="s">
        <v>926</v>
      </c>
      <c r="BU399" s="28" t="s">
        <v>1238</v>
      </c>
      <c r="BV3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"40:22:d8:62:9e:38"], ["ip", "10.0.4.105"]]</v>
      </c>
    </row>
    <row r="400" spans="1:74" ht="16" customHeight="1" x14ac:dyDescent="0.2">
      <c r="A400" s="28">
        <v>2618</v>
      </c>
      <c r="B400" s="28" t="s">
        <v>26</v>
      </c>
      <c r="C400" s="28" t="s">
        <v>658</v>
      </c>
      <c r="D400" s="28" t="s">
        <v>27</v>
      </c>
      <c r="E400" s="28" t="s">
        <v>1042</v>
      </c>
      <c r="F400" s="34" t="str">
        <f>IF(ISBLANK(Table2[[#This Row],[unique_id]]), "", PROPER(SUBSTITUTE(Table2[[#This Row],[unique_id]], "_", " ")))</f>
        <v>Ceiling Network Switch Plug Energy Power</v>
      </c>
      <c r="G400" s="28" t="s">
        <v>1355</v>
      </c>
      <c r="H400" s="28" t="s">
        <v>491</v>
      </c>
      <c r="I400" s="28" t="s">
        <v>262</v>
      </c>
      <c r="P400" s="29"/>
      <c r="Q400" s="28"/>
      <c r="U400" s="35"/>
      <c r="V400" s="35"/>
      <c r="W400" s="35"/>
      <c r="X400" s="28"/>
      <c r="AD400" s="29"/>
      <c r="AE400" s="29"/>
      <c r="AF400" s="29"/>
      <c r="AG400" s="29"/>
      <c r="AJ400" s="28" t="s">
        <v>31</v>
      </c>
      <c r="AK400" s="28" t="s">
        <v>298</v>
      </c>
      <c r="AL400" s="28" t="s">
        <v>845</v>
      </c>
      <c r="AN400" s="28">
        <v>10</v>
      </c>
      <c r="AO400" s="29" t="s">
        <v>34</v>
      </c>
      <c r="AP400" s="29" t="s">
        <v>844</v>
      </c>
      <c r="AQ400" s="28" t="s">
        <v>1041</v>
      </c>
      <c r="AR400" s="28" t="str">
        <f>_xlfn.CONCAT("homeassistant/", Table2[[#This Row],[entity_namespace]], "/tasmota/",Table2[[#This Row],[unique_id]], "/config")</f>
        <v>homeassistant/sensor/tasmota/ceiling_network_switch_plug_energy_power/config</v>
      </c>
      <c r="AS400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tasmota/device/ceiling_network_switch_plug/tele/SENSOR</v>
      </c>
      <c r="AU400" s="28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V400" s="28" t="s">
        <v>863</v>
      </c>
      <c r="AW400" s="28" t="s">
        <v>864</v>
      </c>
      <c r="AX400" s="28" t="s">
        <v>853</v>
      </c>
      <c r="AY400" s="28" t="s">
        <v>854</v>
      </c>
      <c r="AZ400" s="28" t="s">
        <v>1049</v>
      </c>
      <c r="BA400" s="28">
        <v>1</v>
      </c>
      <c r="BB400" s="32"/>
      <c r="BD40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BE40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F40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 Energy Power</v>
      </c>
      <c r="BG40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00" s="28" t="str">
        <f>IF(ISBLANK(Table2[[#This Row],[device_model]]), "", Table2[[#This Row],[device_suggested_area]])</f>
        <v>Ceiling</v>
      </c>
      <c r="BJ400" s="28" t="s">
        <v>208</v>
      </c>
      <c r="BK400" s="28" t="s">
        <v>862</v>
      </c>
      <c r="BL400" s="28" t="s">
        <v>1053</v>
      </c>
      <c r="BN400" s="28" t="s">
        <v>835</v>
      </c>
      <c r="BO400" s="28" t="s">
        <v>374</v>
      </c>
      <c r="BT400" s="28"/>
      <c r="BV40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1" spans="1:74" ht="16" customHeight="1" x14ac:dyDescent="0.2">
      <c r="A401" s="28">
        <v>2619</v>
      </c>
      <c r="B401" s="28" t="s">
        <v>26</v>
      </c>
      <c r="C401" s="28" t="s">
        <v>658</v>
      </c>
      <c r="D401" s="28" t="s">
        <v>27</v>
      </c>
      <c r="E401" s="28" t="s">
        <v>1043</v>
      </c>
      <c r="F401" s="34" t="str">
        <f>IF(ISBLANK(Table2[[#This Row],[unique_id]]), "", PROPER(SUBSTITUTE(Table2[[#This Row],[unique_id]], "_", " ")))</f>
        <v>Ceiling Network Switch Plug Energy Total</v>
      </c>
      <c r="G401" s="28" t="s">
        <v>1355</v>
      </c>
      <c r="H401" s="28" t="s">
        <v>491</v>
      </c>
      <c r="I401" s="28" t="s">
        <v>262</v>
      </c>
      <c r="P401" s="29"/>
      <c r="Q401" s="28"/>
      <c r="U401" s="35"/>
      <c r="V401" s="35"/>
      <c r="W401" s="35"/>
      <c r="X401" s="28"/>
      <c r="AD401" s="29"/>
      <c r="AE401" s="29"/>
      <c r="AF401" s="29"/>
      <c r="AG401" s="29"/>
      <c r="AJ401" s="28" t="s">
        <v>70</v>
      </c>
      <c r="AK401" s="28" t="s">
        <v>299</v>
      </c>
      <c r="AL401" s="28" t="s">
        <v>846</v>
      </c>
      <c r="AN401" s="28">
        <v>10</v>
      </c>
      <c r="AO401" s="29" t="s">
        <v>34</v>
      </c>
      <c r="AP401" s="29" t="s">
        <v>844</v>
      </c>
      <c r="AQ401" s="28" t="s">
        <v>1041</v>
      </c>
      <c r="AR401" s="28" t="str">
        <f>_xlfn.CONCAT("homeassistant/", Table2[[#This Row],[entity_namespace]], "/tasmota/",Table2[[#This Row],[unique_id]], "/config")</f>
        <v>homeassistant/sensor/tasmota/ceiling_network_switch_plug_energy_total/config</v>
      </c>
      <c r="AS401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tasmota/device/ceiling_network_switch_plug/tele/SENSOR</v>
      </c>
      <c r="AU401" s="28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V401" s="28" t="s">
        <v>863</v>
      </c>
      <c r="AW401" s="28" t="s">
        <v>864</v>
      </c>
      <c r="AX401" s="28" t="s">
        <v>853</v>
      </c>
      <c r="AY401" s="28" t="s">
        <v>854</v>
      </c>
      <c r="AZ401" s="28" t="s">
        <v>1050</v>
      </c>
      <c r="BA401" s="28">
        <v>1</v>
      </c>
      <c r="BB401" s="32"/>
      <c r="BD40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BE40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F40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 Energy Total</v>
      </c>
      <c r="BG40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01" s="28" t="str">
        <f>IF(ISBLANK(Table2[[#This Row],[device_model]]), "", Table2[[#This Row],[device_suggested_area]])</f>
        <v>Ceiling</v>
      </c>
      <c r="BJ401" s="28" t="s">
        <v>208</v>
      </c>
      <c r="BK401" s="28" t="s">
        <v>862</v>
      </c>
      <c r="BL401" s="28" t="s">
        <v>1053</v>
      </c>
      <c r="BN401" s="28" t="s">
        <v>835</v>
      </c>
      <c r="BO401" s="28" t="s">
        <v>374</v>
      </c>
      <c r="BT401" s="28"/>
      <c r="BV40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2" spans="1:74" ht="16" customHeight="1" x14ac:dyDescent="0.2">
      <c r="A402" s="28">
        <v>2620</v>
      </c>
      <c r="B402" s="52" t="s">
        <v>543</v>
      </c>
      <c r="C402" s="52" t="s">
        <v>756</v>
      </c>
      <c r="D402" s="52" t="s">
        <v>139</v>
      </c>
      <c r="E402" s="53" t="s">
        <v>1342</v>
      </c>
      <c r="F402" s="54" t="str">
        <f>IF(ISBLANK(Table2[[#This Row],[unique_id]]), "", PROPER(SUBSTITUTE(Table2[[#This Row],[unique_id]], "_", " ")))</f>
        <v>Broken Template Rack Internet Modem Plug Proxy</v>
      </c>
      <c r="G402" s="52" t="s">
        <v>209</v>
      </c>
      <c r="H402" s="52" t="s">
        <v>491</v>
      </c>
      <c r="I402" s="52" t="s">
        <v>262</v>
      </c>
      <c r="J402" s="52"/>
      <c r="K402" s="52"/>
      <c r="L402" s="52"/>
      <c r="M402" s="52"/>
      <c r="N402" s="52"/>
      <c r="O402" s="52"/>
      <c r="P402" s="55" t="s">
        <v>736</v>
      </c>
      <c r="Q402" s="52"/>
      <c r="R402" s="52"/>
      <c r="S402" s="52" t="s">
        <v>750</v>
      </c>
      <c r="T402" s="52" t="str">
        <f>Table2[[#This Row],[friendly_name]]</f>
        <v>Internet Modem</v>
      </c>
      <c r="U402" s="53" t="s">
        <v>1013</v>
      </c>
      <c r="V402" s="53"/>
      <c r="W402" s="53"/>
      <c r="X402" s="52"/>
      <c r="Y402" s="52"/>
      <c r="Z402" s="52"/>
      <c r="AA402" s="52"/>
      <c r="AB402" s="52"/>
      <c r="AC402" s="52"/>
      <c r="AD402" s="55"/>
      <c r="AE402" s="55"/>
      <c r="AF402" s="55"/>
      <c r="AG402" s="55"/>
      <c r="AH402" s="55"/>
      <c r="AI402" s="55"/>
      <c r="AJ402" s="52"/>
      <c r="AK402" s="52"/>
      <c r="AL402" s="52"/>
      <c r="AM402" s="52"/>
      <c r="AN402" s="52"/>
      <c r="AO402" s="55"/>
      <c r="AP402" s="55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6"/>
      <c r="BC402" s="52" t="s">
        <v>125</v>
      </c>
      <c r="BD402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tplink-rack-modem</v>
      </c>
      <c r="BE402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Modem</v>
      </c>
      <c r="BF402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2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02" s="52"/>
      <c r="BI402" s="52" t="str">
        <f>IF(ISBLANK(Table2[[#This Row],[device_model]]), "", Table2[[#This Row],[device_suggested_area]])</f>
        <v>Rack</v>
      </c>
      <c r="BJ402" s="52" t="s">
        <v>970</v>
      </c>
      <c r="BK402" s="57" t="s">
        <v>331</v>
      </c>
      <c r="BL402" s="52" t="s">
        <v>221</v>
      </c>
      <c r="BM402" s="52"/>
      <c r="BN402" s="52" t="s">
        <v>332</v>
      </c>
      <c r="BO402" s="52" t="s">
        <v>28</v>
      </c>
      <c r="BP402" s="52"/>
      <c r="BQ402" s="52"/>
      <c r="BR402" s="52"/>
      <c r="BS402" s="52"/>
      <c r="BT402" s="52"/>
      <c r="BU402" s="52"/>
      <c r="BV402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3" spans="1:74" s="52" customFormat="1" ht="16" customHeight="1" x14ac:dyDescent="0.2">
      <c r="A403" s="28">
        <v>2621</v>
      </c>
      <c r="B403" s="52" t="s">
        <v>543</v>
      </c>
      <c r="C403" s="52" t="s">
        <v>221</v>
      </c>
      <c r="D403" s="52" t="s">
        <v>125</v>
      </c>
      <c r="E403" s="52" t="s">
        <v>1343</v>
      </c>
      <c r="F403" s="54" t="str">
        <f>IF(ISBLANK(Table2[[#This Row],[unique_id]]), "", PROPER(SUBSTITUTE(Table2[[#This Row],[unique_id]], "_", " ")))</f>
        <v>Broken Rack Internet Modem Plug</v>
      </c>
      <c r="G403" s="52" t="s">
        <v>209</v>
      </c>
      <c r="H403" s="52" t="s">
        <v>491</v>
      </c>
      <c r="I403" s="52" t="s">
        <v>262</v>
      </c>
      <c r="N403" s="52" t="s">
        <v>244</v>
      </c>
      <c r="P403" s="55" t="s">
        <v>736</v>
      </c>
      <c r="S403" s="52" t="s">
        <v>750</v>
      </c>
      <c r="T403" s="52" t="str">
        <f>Table2[[#This Row],[friendly_name]]</f>
        <v>Internet Modem</v>
      </c>
      <c r="U403" s="53" t="str">
        <f>"power_sensor_id: sensor." &amp; Table2[[#This Row],[unique_id]] &amp; "_current_consumption" &amp; CHAR(10) &amp; "force_energy_sensor_creation: true" &amp; CHAR(10)</f>
        <v xml:space="preserve">power_sensor_id: sensor.broken_rack_internet_modem_plug_current_consumption
force_energy_sensor_creation: true
</v>
      </c>
      <c r="V403" s="53"/>
      <c r="W403" s="53"/>
      <c r="AD403" s="55"/>
      <c r="AE403" s="55"/>
      <c r="AF403" s="55"/>
      <c r="AG403" s="55"/>
      <c r="AH403" s="55"/>
      <c r="AI403" s="55"/>
      <c r="AM403" s="52" t="s">
        <v>241</v>
      </c>
      <c r="AO403" s="55"/>
      <c r="AP403" s="55"/>
      <c r="BB403" s="56"/>
      <c r="BD403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tplink-rack-modem</v>
      </c>
      <c r="BE403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Modem</v>
      </c>
      <c r="BF403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3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03" s="52" t="str">
        <f>IF(ISBLANK(Table2[[#This Row],[device_model]]), "", Table2[[#This Row],[device_suggested_area]])</f>
        <v>Rack</v>
      </c>
      <c r="BJ403" s="52" t="s">
        <v>970</v>
      </c>
      <c r="BK403" s="57" t="s">
        <v>331</v>
      </c>
      <c r="BL403" s="52" t="s">
        <v>221</v>
      </c>
      <c r="BN403" s="52" t="s">
        <v>332</v>
      </c>
      <c r="BO403" s="52" t="s">
        <v>28</v>
      </c>
      <c r="BR403" s="52" t="s">
        <v>923</v>
      </c>
      <c r="BS403" s="52" t="s">
        <v>1186</v>
      </c>
      <c r="BT403" s="52" t="s">
        <v>325</v>
      </c>
      <c r="BU403" s="52" t="s">
        <v>1239</v>
      </c>
      <c r="BV403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"10:27:f5:31:f6:7e"], ["ip", "10.0.4.85"]]</v>
      </c>
    </row>
    <row r="404" spans="1:74" s="52" customFormat="1" ht="16" customHeight="1" x14ac:dyDescent="0.2">
      <c r="A404" s="28">
        <v>2622</v>
      </c>
      <c r="B404" s="28" t="s">
        <v>26</v>
      </c>
      <c r="C404" s="28" t="s">
        <v>419</v>
      </c>
      <c r="D404" s="28" t="s">
        <v>27</v>
      </c>
      <c r="E404" s="28" t="s">
        <v>762</v>
      </c>
      <c r="F404" s="34" t="str">
        <f>IF(ISBLANK(Table2[[#This Row],[unique_id]]), "", PROPER(SUBSTITUTE(Table2[[#This Row],[unique_id]], "_", " ")))</f>
        <v>Garden Repeater Linkquality</v>
      </c>
      <c r="G404" s="28" t="s">
        <v>662</v>
      </c>
      <c r="H404" s="28" t="s">
        <v>491</v>
      </c>
      <c r="I404" s="28" t="s">
        <v>262</v>
      </c>
      <c r="J404" s="28"/>
      <c r="K404" s="28"/>
      <c r="L404" s="28"/>
      <c r="M404" s="28"/>
      <c r="N404" s="28"/>
      <c r="O404" s="28"/>
      <c r="P404" s="29" t="s">
        <v>736</v>
      </c>
      <c r="Q404" s="28" t="s">
        <v>155</v>
      </c>
      <c r="R404" s="28" t="s">
        <v>708</v>
      </c>
      <c r="S404" s="28" t="s">
        <v>710</v>
      </c>
      <c r="T404" s="28" t="s">
        <v>767</v>
      </c>
      <c r="U404" s="35" t="s">
        <v>765</v>
      </c>
      <c r="V404" s="35"/>
      <c r="W404" s="35"/>
      <c r="X404" s="28"/>
      <c r="Y404" s="28"/>
      <c r="Z404" s="28"/>
      <c r="AA404" s="28"/>
      <c r="AB404" s="28"/>
      <c r="AC404" s="28"/>
      <c r="AD404" s="29"/>
      <c r="AE404" s="29" t="s">
        <v>455</v>
      </c>
      <c r="AF404" s="29"/>
      <c r="AG404" s="40" t="s">
        <v>705</v>
      </c>
      <c r="AH404" s="29"/>
      <c r="AI404" s="29"/>
      <c r="AJ404" s="28"/>
      <c r="AK404" s="28"/>
      <c r="AL404" s="28"/>
      <c r="AM404" s="28"/>
      <c r="AN404" s="28"/>
      <c r="AO404" s="29"/>
      <c r="AP404" s="29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https://zigbee2mqtt.janeandgraham.com/#/device/0x2c1165fffec5a3f6</v>
      </c>
      <c r="BC404" s="28"/>
      <c r="BD40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garden-repeater</v>
      </c>
      <c r="BE40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Repeater</v>
      </c>
      <c r="BF4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04" s="28" t="str">
        <f>Table2[[#This Row],[device_suggested_area]]</f>
        <v>Garden</v>
      </c>
      <c r="BI404" s="28" t="str">
        <f>IF(ISBLANK(Table2[[#This Row],[device_model]]), "", Table2[[#This Row],[device_suggested_area]])</f>
        <v>Garden</v>
      </c>
      <c r="BJ404" s="28" t="s">
        <v>935</v>
      </c>
      <c r="BK404" s="37" t="s">
        <v>660</v>
      </c>
      <c r="BL404" s="28" t="s">
        <v>419</v>
      </c>
      <c r="BM404" s="28"/>
      <c r="BN404" s="28" t="s">
        <v>659</v>
      </c>
      <c r="BO404" s="28" t="s">
        <v>540</v>
      </c>
      <c r="BP404" s="28"/>
      <c r="BQ404" s="28"/>
      <c r="BR404" s="28"/>
      <c r="BS404" s="28"/>
      <c r="BT404" s="28" t="s">
        <v>661</v>
      </c>
      <c r="BU404" s="28"/>
      <c r="BV4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"0x2c1165fffec5a3f6"]]</v>
      </c>
    </row>
    <row r="405" spans="1:74" ht="16" customHeight="1" x14ac:dyDescent="0.2">
      <c r="A405" s="28">
        <v>2623</v>
      </c>
      <c r="B405" s="28" t="s">
        <v>26</v>
      </c>
      <c r="C405" s="28" t="s">
        <v>419</v>
      </c>
      <c r="D405" s="28" t="s">
        <v>27</v>
      </c>
      <c r="E405" s="28" t="s">
        <v>763</v>
      </c>
      <c r="F405" s="34" t="str">
        <f>IF(ISBLANK(Table2[[#This Row],[unique_id]]), "", PROPER(SUBSTITUTE(Table2[[#This Row],[unique_id]], "_", " ")))</f>
        <v>Landing Repeater Linkquality</v>
      </c>
      <c r="G405" s="28" t="s">
        <v>664</v>
      </c>
      <c r="H405" s="28" t="s">
        <v>491</v>
      </c>
      <c r="I405" s="28" t="s">
        <v>262</v>
      </c>
      <c r="P405" s="29" t="s">
        <v>736</v>
      </c>
      <c r="Q405" s="28" t="s">
        <v>155</v>
      </c>
      <c r="R405" s="28" t="s">
        <v>708</v>
      </c>
      <c r="S405" s="28" t="s">
        <v>710</v>
      </c>
      <c r="T405" s="28" t="s">
        <v>767</v>
      </c>
      <c r="U405" s="35" t="s">
        <v>765</v>
      </c>
      <c r="V405" s="35"/>
      <c r="W405" s="35"/>
      <c r="X405" s="28"/>
      <c r="AD405" s="29"/>
      <c r="AE405" s="29" t="s">
        <v>455</v>
      </c>
      <c r="AF405" s="29"/>
      <c r="AG405" s="40" t="s">
        <v>705</v>
      </c>
      <c r="AO405" s="29"/>
      <c r="AP405" s="29"/>
      <c r="BA405" s="28"/>
      <c r="BB40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https://zigbee2mqtt.janeandgraham.com/#/device/0x2c1165fffebaa93c</v>
      </c>
      <c r="BD40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landing-repeater</v>
      </c>
      <c r="BE40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Repeater</v>
      </c>
      <c r="BF40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05" s="28" t="str">
        <f>Table2[[#This Row],[device_suggested_area]]</f>
        <v>Landing</v>
      </c>
      <c r="BI405" s="28" t="str">
        <f>IF(ISBLANK(Table2[[#This Row],[device_model]]), "", Table2[[#This Row],[device_suggested_area]])</f>
        <v>Landing</v>
      </c>
      <c r="BJ405" s="28" t="s">
        <v>935</v>
      </c>
      <c r="BK405" s="37" t="s">
        <v>660</v>
      </c>
      <c r="BL405" s="28" t="s">
        <v>419</v>
      </c>
      <c r="BN405" s="28" t="s">
        <v>659</v>
      </c>
      <c r="BO405" s="28" t="s">
        <v>523</v>
      </c>
      <c r="BT405" s="28" t="s">
        <v>666</v>
      </c>
      <c r="BV40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"0x2c1165fffebaa93c"]]</v>
      </c>
    </row>
    <row r="406" spans="1:74" ht="16" customHeight="1" x14ac:dyDescent="0.2">
      <c r="A406" s="28">
        <v>2624</v>
      </c>
      <c r="B406" s="28" t="s">
        <v>26</v>
      </c>
      <c r="C406" s="28" t="s">
        <v>419</v>
      </c>
      <c r="D406" s="28" t="s">
        <v>27</v>
      </c>
      <c r="E406" s="28" t="s">
        <v>764</v>
      </c>
      <c r="F406" s="34" t="str">
        <f>IF(ISBLANK(Table2[[#This Row],[unique_id]]), "", PROPER(SUBSTITUTE(Table2[[#This Row],[unique_id]], "_", " ")))</f>
        <v>Driveway Repeater Linkquality</v>
      </c>
      <c r="G406" s="28" t="s">
        <v>663</v>
      </c>
      <c r="H406" s="28" t="s">
        <v>491</v>
      </c>
      <c r="I406" s="28" t="s">
        <v>262</v>
      </c>
      <c r="P406" s="29" t="s">
        <v>736</v>
      </c>
      <c r="Q406" s="28" t="s">
        <v>155</v>
      </c>
      <c r="R406" s="28" t="s">
        <v>708</v>
      </c>
      <c r="S406" s="28" t="s">
        <v>710</v>
      </c>
      <c r="T406" s="28" t="s">
        <v>767</v>
      </c>
      <c r="U406" s="35" t="s">
        <v>765</v>
      </c>
      <c r="V406" s="35"/>
      <c r="W406" s="35"/>
      <c r="X406" s="28"/>
      <c r="AD406" s="29"/>
      <c r="AE406" s="29" t="s">
        <v>455</v>
      </c>
      <c r="AF406" s="29"/>
      <c r="AG406" s="40" t="s">
        <v>705</v>
      </c>
      <c r="AO406" s="29"/>
      <c r="AP406" s="29"/>
      <c r="BA406" s="28"/>
      <c r="BB40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https://zigbee2mqtt.janeandgraham.com/#/device/0x50325ffffe47b8fa</v>
      </c>
      <c r="BD40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driveway-repeater</v>
      </c>
      <c r="BE40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Driveway Repeater</v>
      </c>
      <c r="BF40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06" s="28" t="str">
        <f>Table2[[#This Row],[device_suggested_area]]</f>
        <v>Driveway</v>
      </c>
      <c r="BI406" s="28" t="str">
        <f>IF(ISBLANK(Table2[[#This Row],[device_model]]), "", Table2[[#This Row],[device_suggested_area]])</f>
        <v>Driveway</v>
      </c>
      <c r="BJ406" s="28" t="s">
        <v>935</v>
      </c>
      <c r="BK406" s="37" t="s">
        <v>660</v>
      </c>
      <c r="BL406" s="28" t="s">
        <v>419</v>
      </c>
      <c r="BN406" s="28" t="s">
        <v>659</v>
      </c>
      <c r="BO406" s="28" t="s">
        <v>665</v>
      </c>
      <c r="BT406" s="28" t="s">
        <v>667</v>
      </c>
      <c r="BV40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"0x50325ffffe47b8fa"]]</v>
      </c>
    </row>
    <row r="407" spans="1:74" ht="16" customHeight="1" x14ac:dyDescent="0.2">
      <c r="A407" s="28">
        <v>2625</v>
      </c>
      <c r="B407" s="28" t="s">
        <v>26</v>
      </c>
      <c r="C407" s="28" t="s">
        <v>141</v>
      </c>
      <c r="D407" s="28" t="s">
        <v>281</v>
      </c>
      <c r="E407" s="28" t="s">
        <v>834</v>
      </c>
      <c r="F407" s="34" t="str">
        <f>IF(ISBLANK(Table2[[#This Row],[unique_id]]), "", PROPER(SUBSTITUTE(Table2[[#This Row],[unique_id]], "_", " ")))</f>
        <v>Lighting Reset Adaptive Lighting All</v>
      </c>
      <c r="G407" s="28" t="s">
        <v>738</v>
      </c>
      <c r="H407" s="28" t="s">
        <v>508</v>
      </c>
      <c r="I407" s="28" t="s">
        <v>262</v>
      </c>
      <c r="P407" s="29"/>
      <c r="Q407" s="28"/>
      <c r="U407" s="35"/>
      <c r="V407" s="35"/>
      <c r="W407" s="35"/>
      <c r="X407" s="28"/>
      <c r="AD407" s="29"/>
      <c r="AE407" s="29"/>
      <c r="AF407" s="29"/>
      <c r="AG407" s="29"/>
      <c r="AM407" s="28" t="s">
        <v>263</v>
      </c>
      <c r="AO407" s="29"/>
      <c r="AP407" s="29"/>
      <c r="BA407" s="28"/>
      <c r="BB407" s="38"/>
      <c r="BC407" s="29"/>
      <c r="BD40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0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0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07" s="28" t="str">
        <f>IF(ISBLANK(Table2[[#This Row],[device_model]]), "", Table2[[#This Row],[device_suggested_area]])</f>
        <v/>
      </c>
      <c r="BN407" s="29"/>
      <c r="BO407" s="28" t="s">
        <v>155</v>
      </c>
      <c r="BT407" s="28"/>
      <c r="BV40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8" spans="1:74" ht="16" customHeight="1" x14ac:dyDescent="0.2">
      <c r="A408" s="28">
        <v>2626</v>
      </c>
      <c r="B408" s="28" t="s">
        <v>26</v>
      </c>
      <c r="C408" s="28" t="s">
        <v>141</v>
      </c>
      <c r="D408" s="28" t="s">
        <v>281</v>
      </c>
      <c r="E408" s="34" t="s">
        <v>495</v>
      </c>
      <c r="F408" s="34" t="str">
        <f>IF(ISBLANK(Table2[[#This Row],[unique_id]]), "", PROPER(SUBSTITUTE(Table2[[#This Row],[unique_id]], "_", " ")))</f>
        <v>Lighting Reset Adaptive Lighting Ada Lamp</v>
      </c>
      <c r="G408" s="34" t="s">
        <v>184</v>
      </c>
      <c r="H408" s="28" t="s">
        <v>508</v>
      </c>
      <c r="I408" s="28" t="s">
        <v>262</v>
      </c>
      <c r="J408" s="28" t="s">
        <v>494</v>
      </c>
      <c r="P408" s="29"/>
      <c r="Q408" s="28"/>
      <c r="U408" s="35"/>
      <c r="V408" s="35"/>
      <c r="W408" s="35"/>
      <c r="X408" s="28"/>
      <c r="AD408" s="29"/>
      <c r="AE408" s="29"/>
      <c r="AF408" s="29"/>
      <c r="AG408" s="29"/>
      <c r="AM408" s="28" t="s">
        <v>263</v>
      </c>
      <c r="AO408" s="29"/>
      <c r="AP408" s="29"/>
      <c r="BA408" s="28"/>
      <c r="BB408" s="30"/>
      <c r="BC408" s="29"/>
      <c r="BD4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08" s="28" t="str">
        <f>IF(ISBLANK(Table2[[#This Row],[device_model]]), "", Table2[[#This Row],[device_suggested_area]])</f>
        <v/>
      </c>
      <c r="BN408" s="29"/>
      <c r="BO408" s="28" t="s">
        <v>121</v>
      </c>
      <c r="BQ408" s="28" t="s">
        <v>650</v>
      </c>
      <c r="BT408" s="28"/>
      <c r="BV4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9" spans="1:74" ht="16" customHeight="1" x14ac:dyDescent="0.2">
      <c r="A409" s="28">
        <v>2627</v>
      </c>
      <c r="B409" s="28" t="s">
        <v>26</v>
      </c>
      <c r="C409" s="28" t="s">
        <v>141</v>
      </c>
      <c r="D409" s="28" t="s">
        <v>281</v>
      </c>
      <c r="E409" s="34" t="s">
        <v>490</v>
      </c>
      <c r="F409" s="34" t="str">
        <f>IF(ISBLANK(Table2[[#This Row],[unique_id]]), "", PROPER(SUBSTITUTE(Table2[[#This Row],[unique_id]], "_", " ")))</f>
        <v>Lighting Reset Adaptive Lighting Edwin Lamp</v>
      </c>
      <c r="G409" s="34" t="s">
        <v>194</v>
      </c>
      <c r="H409" s="28" t="s">
        <v>508</v>
      </c>
      <c r="I409" s="28" t="s">
        <v>262</v>
      </c>
      <c r="J409" s="28" t="s">
        <v>494</v>
      </c>
      <c r="P409" s="29"/>
      <c r="Q409" s="28"/>
      <c r="U409" s="35"/>
      <c r="V409" s="35"/>
      <c r="W409" s="35"/>
      <c r="X409" s="28"/>
      <c r="AD409" s="29"/>
      <c r="AE409" s="29"/>
      <c r="AF409" s="29"/>
      <c r="AG409" s="29"/>
      <c r="AM409" s="28" t="s">
        <v>263</v>
      </c>
      <c r="AO409" s="29"/>
      <c r="AP409" s="29"/>
      <c r="BA409" s="28"/>
      <c r="BB409" s="38"/>
      <c r="BC409" s="29"/>
      <c r="BD4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09" s="28" t="str">
        <f>IF(ISBLANK(Table2[[#This Row],[device_model]]), "", Table2[[#This Row],[device_suggested_area]])</f>
        <v/>
      </c>
      <c r="BN409" s="29"/>
      <c r="BO409" s="28" t="s">
        <v>118</v>
      </c>
      <c r="BQ409" s="28" t="s">
        <v>650</v>
      </c>
      <c r="BT409" s="28"/>
      <c r="BV4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0" spans="1:74" ht="16" customHeight="1" x14ac:dyDescent="0.2">
      <c r="A410" s="28">
        <v>2628</v>
      </c>
      <c r="B410" s="28" t="s">
        <v>26</v>
      </c>
      <c r="C410" s="28" t="s">
        <v>141</v>
      </c>
      <c r="D410" s="28" t="s">
        <v>281</v>
      </c>
      <c r="E410" s="34" t="s">
        <v>496</v>
      </c>
      <c r="F410" s="34" t="str">
        <f>IF(ISBLANK(Table2[[#This Row],[unique_id]]), "", PROPER(SUBSTITUTE(Table2[[#This Row],[unique_id]], "_", " ")))</f>
        <v>Lighting Reset Adaptive Lighting Edwin Night Light</v>
      </c>
      <c r="G410" s="34" t="s">
        <v>379</v>
      </c>
      <c r="H410" s="28" t="s">
        <v>508</v>
      </c>
      <c r="I410" s="28" t="s">
        <v>262</v>
      </c>
      <c r="J410" s="28" t="s">
        <v>507</v>
      </c>
      <c r="P410" s="29"/>
      <c r="Q410" s="28"/>
      <c r="U410" s="35"/>
      <c r="V410" s="35"/>
      <c r="W410" s="35"/>
      <c r="X410" s="28"/>
      <c r="AD410" s="29"/>
      <c r="AE410" s="29"/>
      <c r="AF410" s="29"/>
      <c r="AG410" s="29"/>
      <c r="AM410" s="28" t="s">
        <v>263</v>
      </c>
      <c r="AO410" s="29"/>
      <c r="AP410" s="29"/>
      <c r="BA410" s="28"/>
      <c r="BB410" s="38"/>
      <c r="BC410" s="29"/>
      <c r="BD4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0" s="28" t="str">
        <f>IF(ISBLANK(Table2[[#This Row],[device_model]]), "", Table2[[#This Row],[device_suggested_area]])</f>
        <v/>
      </c>
      <c r="BN410" s="29"/>
      <c r="BO410" s="28" t="s">
        <v>118</v>
      </c>
      <c r="BQ410" s="28" t="s">
        <v>650</v>
      </c>
      <c r="BT410" s="28"/>
      <c r="BV4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1" spans="1:74" ht="16" customHeight="1" x14ac:dyDescent="0.2">
      <c r="A411" s="28">
        <v>2629</v>
      </c>
      <c r="B411" s="28" t="s">
        <v>26</v>
      </c>
      <c r="C411" s="28" t="s">
        <v>141</v>
      </c>
      <c r="D411" s="28" t="s">
        <v>281</v>
      </c>
      <c r="E411" s="34" t="s">
        <v>497</v>
      </c>
      <c r="F411" s="34" t="str">
        <f>IF(ISBLANK(Table2[[#This Row],[unique_id]]), "", PROPER(SUBSTITUTE(Table2[[#This Row],[unique_id]], "_", " ")))</f>
        <v>Lighting Reset Adaptive Lighting Hallway Main</v>
      </c>
      <c r="G411" s="34" t="s">
        <v>189</v>
      </c>
      <c r="H411" s="28" t="s">
        <v>508</v>
      </c>
      <c r="I411" s="28" t="s">
        <v>262</v>
      </c>
      <c r="J411" s="28" t="s">
        <v>515</v>
      </c>
      <c r="P411" s="29"/>
      <c r="Q411" s="28"/>
      <c r="U411" s="35"/>
      <c r="V411" s="35"/>
      <c r="W411" s="35"/>
      <c r="X411" s="28"/>
      <c r="AD411" s="29"/>
      <c r="AE411" s="29"/>
      <c r="AF411" s="29"/>
      <c r="AG411" s="29"/>
      <c r="AM411" s="28" t="s">
        <v>263</v>
      </c>
      <c r="AO411" s="29"/>
      <c r="AP411" s="29"/>
      <c r="BA411" s="28"/>
      <c r="BB411" s="38"/>
      <c r="BC411" s="29"/>
      <c r="BD4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1" s="28" t="str">
        <f>IF(ISBLANK(Table2[[#This Row],[device_model]]), "", Table2[[#This Row],[device_suggested_area]])</f>
        <v/>
      </c>
      <c r="BN411" s="29"/>
      <c r="BO411" s="28" t="s">
        <v>375</v>
      </c>
      <c r="BT411" s="28"/>
      <c r="BV4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2" spans="1:74" ht="16" customHeight="1" x14ac:dyDescent="0.2">
      <c r="A412" s="28">
        <v>2630</v>
      </c>
      <c r="B412" s="28" t="s">
        <v>26</v>
      </c>
      <c r="C412" s="28" t="s">
        <v>141</v>
      </c>
      <c r="D412" s="28" t="s">
        <v>281</v>
      </c>
      <c r="E412" s="34" t="s">
        <v>818</v>
      </c>
      <c r="F412" s="34" t="str">
        <f>IF(ISBLANK(Table2[[#This Row],[unique_id]]), "", PROPER(SUBSTITUTE(Table2[[#This Row],[unique_id]], "_", " ")))</f>
        <v>Lighting Reset Adaptive Lighting Hallway Sconces</v>
      </c>
      <c r="G412" s="34" t="s">
        <v>803</v>
      </c>
      <c r="H412" s="28" t="s">
        <v>508</v>
      </c>
      <c r="I412" s="28" t="s">
        <v>262</v>
      </c>
      <c r="J412" s="28" t="s">
        <v>819</v>
      </c>
      <c r="P412" s="29"/>
      <c r="Q412" s="28"/>
      <c r="U412" s="35"/>
      <c r="V412" s="35"/>
      <c r="W412" s="35"/>
      <c r="X412" s="28"/>
      <c r="AD412" s="29"/>
      <c r="AE412" s="29"/>
      <c r="AF412" s="29"/>
      <c r="AG412" s="29"/>
      <c r="AM412" s="28" t="s">
        <v>263</v>
      </c>
      <c r="AO412" s="29"/>
      <c r="AP412" s="29"/>
      <c r="BA412" s="28"/>
      <c r="BB412" s="38"/>
      <c r="BC412" s="29"/>
      <c r="BD4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2" s="28" t="str">
        <f>IF(ISBLANK(Table2[[#This Row],[device_model]]), "", Table2[[#This Row],[device_suggested_area]])</f>
        <v/>
      </c>
      <c r="BN412" s="29"/>
      <c r="BO412" s="28" t="s">
        <v>375</v>
      </c>
      <c r="BT412" s="28"/>
      <c r="BV4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3" spans="1:74" ht="16" customHeight="1" x14ac:dyDescent="0.2">
      <c r="A413" s="28">
        <v>2631</v>
      </c>
      <c r="B413" s="28" t="s">
        <v>26</v>
      </c>
      <c r="C413" s="28" t="s">
        <v>141</v>
      </c>
      <c r="D413" s="28" t="s">
        <v>281</v>
      </c>
      <c r="E413" s="34" t="s">
        <v>498</v>
      </c>
      <c r="F413" s="34" t="str">
        <f>IF(ISBLANK(Table2[[#This Row],[unique_id]]), "", PROPER(SUBSTITUTE(Table2[[#This Row],[unique_id]], "_", " ")))</f>
        <v>Lighting Reset Adaptive Lighting Dining Main</v>
      </c>
      <c r="G413" s="34" t="s">
        <v>129</v>
      </c>
      <c r="H413" s="28" t="s">
        <v>508</v>
      </c>
      <c r="I413" s="28" t="s">
        <v>262</v>
      </c>
      <c r="J413" s="28" t="s">
        <v>515</v>
      </c>
      <c r="P413" s="29"/>
      <c r="Q413" s="28"/>
      <c r="U413" s="35"/>
      <c r="V413" s="35"/>
      <c r="W413" s="35"/>
      <c r="X413" s="28"/>
      <c r="AD413" s="29"/>
      <c r="AE413" s="29"/>
      <c r="AF413" s="29"/>
      <c r="AG413" s="29"/>
      <c r="AM413" s="28" t="s">
        <v>263</v>
      </c>
      <c r="AO413" s="29"/>
      <c r="AP413" s="29"/>
      <c r="BA413" s="28"/>
      <c r="BB413" s="38"/>
      <c r="BC413" s="29"/>
      <c r="BD4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3" s="28" t="str">
        <f>IF(ISBLANK(Table2[[#This Row],[device_model]]), "", Table2[[#This Row],[device_suggested_area]])</f>
        <v/>
      </c>
      <c r="BN413" s="29"/>
      <c r="BO413" s="28" t="s">
        <v>182</v>
      </c>
      <c r="BT413" s="28"/>
      <c r="BV4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4" spans="1:74" ht="16" customHeight="1" x14ac:dyDescent="0.2">
      <c r="A414" s="28">
        <v>2632</v>
      </c>
      <c r="B414" s="28" t="s">
        <v>26</v>
      </c>
      <c r="C414" s="28" t="s">
        <v>141</v>
      </c>
      <c r="D414" s="28" t="s">
        <v>281</v>
      </c>
      <c r="E414" s="34" t="s">
        <v>499</v>
      </c>
      <c r="F414" s="34" t="str">
        <f>IF(ISBLANK(Table2[[#This Row],[unique_id]]), "", PROPER(SUBSTITUTE(Table2[[#This Row],[unique_id]], "_", " ")))</f>
        <v>Lighting Reset Adaptive Lighting Lounge Main</v>
      </c>
      <c r="G414" s="34" t="s">
        <v>196</v>
      </c>
      <c r="H414" s="28" t="s">
        <v>508</v>
      </c>
      <c r="I414" s="28" t="s">
        <v>262</v>
      </c>
      <c r="J414" s="28" t="s">
        <v>515</v>
      </c>
      <c r="P414" s="29"/>
      <c r="Q414" s="28"/>
      <c r="U414" s="35"/>
      <c r="V414" s="35"/>
      <c r="W414" s="35"/>
      <c r="X414" s="28"/>
      <c r="AD414" s="29"/>
      <c r="AE414" s="29"/>
      <c r="AF414" s="29"/>
      <c r="AG414" s="29"/>
      <c r="AM414" s="28" t="s">
        <v>263</v>
      </c>
      <c r="AO414" s="29"/>
      <c r="AP414" s="29"/>
      <c r="BA414" s="28"/>
      <c r="BB414" s="38"/>
      <c r="BC414" s="29"/>
      <c r="BD4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4" s="28" t="str">
        <f>IF(ISBLANK(Table2[[#This Row],[device_model]]), "", Table2[[#This Row],[device_suggested_area]])</f>
        <v/>
      </c>
      <c r="BN414" s="29"/>
      <c r="BO414" s="28" t="s">
        <v>183</v>
      </c>
      <c r="BT414" s="28"/>
      <c r="BV4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5" spans="1:74" ht="16" customHeight="1" x14ac:dyDescent="0.2">
      <c r="A415" s="28">
        <v>2633</v>
      </c>
      <c r="B415" s="28" t="s">
        <v>26</v>
      </c>
      <c r="C415" s="28" t="s">
        <v>141</v>
      </c>
      <c r="D415" s="28" t="s">
        <v>281</v>
      </c>
      <c r="E415" s="34" t="s">
        <v>550</v>
      </c>
      <c r="F415" s="34" t="str">
        <f>IF(ISBLANK(Table2[[#This Row],[unique_id]]), "", PROPER(SUBSTITUTE(Table2[[#This Row],[unique_id]], "_", " ")))</f>
        <v>Lighting Reset Adaptive Lighting Lounge Lamp</v>
      </c>
      <c r="G415" s="34" t="s">
        <v>520</v>
      </c>
      <c r="H415" s="28" t="s">
        <v>508</v>
      </c>
      <c r="I415" s="28" t="s">
        <v>262</v>
      </c>
      <c r="J415" s="28" t="s">
        <v>494</v>
      </c>
      <c r="P415" s="29"/>
      <c r="Q415" s="28"/>
      <c r="U415" s="35"/>
      <c r="V415" s="35"/>
      <c r="W415" s="35"/>
      <c r="X415" s="28"/>
      <c r="AD415" s="29"/>
      <c r="AE415" s="29"/>
      <c r="AF415" s="29"/>
      <c r="AG415" s="29"/>
      <c r="AM415" s="28" t="s">
        <v>263</v>
      </c>
      <c r="AO415" s="29"/>
      <c r="AP415" s="29"/>
      <c r="BA415" s="28"/>
      <c r="BB415" s="38"/>
      <c r="BC415" s="29"/>
      <c r="BD4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5" s="28" t="str">
        <f>IF(ISBLANK(Table2[[#This Row],[device_model]]), "", Table2[[#This Row],[device_suggested_area]])</f>
        <v/>
      </c>
      <c r="BN415" s="29"/>
      <c r="BO415" s="28" t="s">
        <v>155</v>
      </c>
      <c r="BQ415" s="28" t="s">
        <v>650</v>
      </c>
      <c r="BT415" s="28"/>
      <c r="BV4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6" spans="1:74" ht="16" customHeight="1" x14ac:dyDescent="0.2">
      <c r="A416" s="28">
        <v>2634</v>
      </c>
      <c r="B416" s="28" t="s">
        <v>26</v>
      </c>
      <c r="C416" s="28" t="s">
        <v>141</v>
      </c>
      <c r="D416" s="28" t="s">
        <v>281</v>
      </c>
      <c r="E416" s="34" t="s">
        <v>1427</v>
      </c>
      <c r="F416" s="34" t="str">
        <f>IF(ISBLANK(Table2[[#This Row],[unique_id]]), "", PROPER(SUBSTITUTE(Table2[[#This Row],[unique_id]], "_", " ")))</f>
        <v>Lighting Reset Adaptive Lighting Lounge Reading</v>
      </c>
      <c r="G416" s="34" t="s">
        <v>520</v>
      </c>
      <c r="H416" s="28" t="s">
        <v>508</v>
      </c>
      <c r="I416" s="28" t="s">
        <v>262</v>
      </c>
      <c r="J416" s="28" t="s">
        <v>494</v>
      </c>
      <c r="P416" s="29"/>
      <c r="Q416" s="28"/>
      <c r="U416" s="35"/>
      <c r="V416" s="35"/>
      <c r="W416" s="35"/>
      <c r="X416" s="28"/>
      <c r="AD416" s="29"/>
      <c r="AE416" s="29"/>
      <c r="AF416" s="29"/>
      <c r="AG416" s="29"/>
      <c r="AM416" s="28" t="s">
        <v>263</v>
      </c>
      <c r="AO416" s="29"/>
      <c r="AP416" s="29"/>
      <c r="BA416" s="28"/>
      <c r="BB416" s="38"/>
      <c r="BC416" s="29"/>
      <c r="BD4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6" s="28" t="str">
        <f>IF(ISBLANK(Table2[[#This Row],[device_model]]), "", Table2[[#This Row],[device_suggested_area]])</f>
        <v/>
      </c>
      <c r="BN416" s="29"/>
      <c r="BO416" s="28" t="s">
        <v>155</v>
      </c>
      <c r="BQ416" s="28" t="s">
        <v>650</v>
      </c>
      <c r="BT416" s="28"/>
      <c r="BV4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7" spans="1:74" ht="16" customHeight="1" x14ac:dyDescent="0.2">
      <c r="A417" s="28">
        <v>2635</v>
      </c>
      <c r="B417" s="28" t="s">
        <v>26</v>
      </c>
      <c r="C417" s="28" t="s">
        <v>141</v>
      </c>
      <c r="D417" s="28" t="s">
        <v>281</v>
      </c>
      <c r="E417" s="34" t="s">
        <v>500</v>
      </c>
      <c r="F417" s="34" t="str">
        <f>IF(ISBLANK(Table2[[#This Row],[unique_id]]), "", PROPER(SUBSTITUTE(Table2[[#This Row],[unique_id]], "_", " ")))</f>
        <v>Lighting Reset Adaptive Lighting Parents Main</v>
      </c>
      <c r="G417" s="34" t="s">
        <v>185</v>
      </c>
      <c r="H417" s="28" t="s">
        <v>508</v>
      </c>
      <c r="I417" s="28" t="s">
        <v>262</v>
      </c>
      <c r="J417" s="28" t="s">
        <v>515</v>
      </c>
      <c r="P417" s="29"/>
      <c r="Q417" s="28"/>
      <c r="U417" s="35"/>
      <c r="V417" s="35"/>
      <c r="W417" s="35"/>
      <c r="X417" s="28"/>
      <c r="AD417" s="29"/>
      <c r="AE417" s="29"/>
      <c r="AF417" s="29"/>
      <c r="AG417" s="29"/>
      <c r="AM417" s="28" t="s">
        <v>263</v>
      </c>
      <c r="AO417" s="29"/>
      <c r="AP417" s="29"/>
      <c r="BA417" s="28"/>
      <c r="BB417" s="38"/>
      <c r="BC417" s="29"/>
      <c r="BD4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7" s="28" t="str">
        <f>IF(ISBLANK(Table2[[#This Row],[device_model]]), "", Table2[[#This Row],[device_suggested_area]])</f>
        <v/>
      </c>
      <c r="BN417" s="29"/>
      <c r="BO417" s="28" t="s">
        <v>181</v>
      </c>
      <c r="BT417" s="28"/>
      <c r="BV4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8" spans="1:74" ht="16" customHeight="1" x14ac:dyDescent="0.2">
      <c r="A418" s="28">
        <v>2636</v>
      </c>
      <c r="B418" s="28" t="s">
        <v>26</v>
      </c>
      <c r="C418" s="28" t="s">
        <v>141</v>
      </c>
      <c r="D418" s="28" t="s">
        <v>281</v>
      </c>
      <c r="E418" s="34" t="s">
        <v>820</v>
      </c>
      <c r="F418" s="34" t="str">
        <f>IF(ISBLANK(Table2[[#This Row],[unique_id]]), "", PROPER(SUBSTITUTE(Table2[[#This Row],[unique_id]], "_", " ")))</f>
        <v>Lighting Reset Adaptive Lighting Parents Jane Bedside</v>
      </c>
      <c r="G418" s="34" t="s">
        <v>812</v>
      </c>
      <c r="H418" s="28" t="s">
        <v>508</v>
      </c>
      <c r="I418" s="28" t="s">
        <v>262</v>
      </c>
      <c r="J418" s="28" t="s">
        <v>822</v>
      </c>
      <c r="P418" s="29"/>
      <c r="Q418" s="28"/>
      <c r="U418" s="35"/>
      <c r="V418" s="35"/>
      <c r="W418" s="35"/>
      <c r="X418" s="28"/>
      <c r="AD418" s="29"/>
      <c r="AE418" s="29"/>
      <c r="AF418" s="29"/>
      <c r="AG418" s="29"/>
      <c r="AM418" s="28" t="s">
        <v>263</v>
      </c>
      <c r="AO418" s="29"/>
      <c r="AP418" s="29"/>
      <c r="BA418" s="28"/>
      <c r="BB418" s="38"/>
      <c r="BC418" s="29"/>
      <c r="BD4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8" s="28" t="str">
        <f>IF(ISBLANK(Table2[[#This Row],[device_model]]), "", Table2[[#This Row],[device_suggested_area]])</f>
        <v/>
      </c>
      <c r="BN418" s="29"/>
      <c r="BO418" s="28" t="s">
        <v>181</v>
      </c>
      <c r="BT418" s="28"/>
      <c r="BV4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9" spans="1:74" ht="16" customHeight="1" x14ac:dyDescent="0.2">
      <c r="A419" s="28">
        <v>2637</v>
      </c>
      <c r="B419" s="28" t="s">
        <v>26</v>
      </c>
      <c r="C419" s="28" t="s">
        <v>141</v>
      </c>
      <c r="D419" s="28" t="s">
        <v>281</v>
      </c>
      <c r="E419" s="34" t="s">
        <v>821</v>
      </c>
      <c r="F419" s="34" t="str">
        <f>IF(ISBLANK(Table2[[#This Row],[unique_id]]), "", PROPER(SUBSTITUTE(Table2[[#This Row],[unique_id]], "_", " ")))</f>
        <v>Lighting Reset Adaptive Lighting Parents Graham Bedside</v>
      </c>
      <c r="G419" s="34" t="s">
        <v>813</v>
      </c>
      <c r="H419" s="28" t="s">
        <v>508</v>
      </c>
      <c r="I419" s="28" t="s">
        <v>262</v>
      </c>
      <c r="J419" s="28" t="s">
        <v>823</v>
      </c>
      <c r="P419" s="29"/>
      <c r="Q419" s="28"/>
      <c r="U419" s="35"/>
      <c r="V419" s="35"/>
      <c r="W419" s="35"/>
      <c r="X419" s="28"/>
      <c r="AD419" s="29"/>
      <c r="AE419" s="29"/>
      <c r="AF419" s="29"/>
      <c r="AG419" s="29"/>
      <c r="AM419" s="28" t="s">
        <v>263</v>
      </c>
      <c r="AO419" s="29"/>
      <c r="AP419" s="29"/>
      <c r="BA419" s="28"/>
      <c r="BB419" s="38"/>
      <c r="BC419" s="29"/>
      <c r="BD4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19" s="28" t="str">
        <f>IF(ISBLANK(Table2[[#This Row],[device_model]]), "", Table2[[#This Row],[device_suggested_area]])</f>
        <v/>
      </c>
      <c r="BN419" s="29"/>
      <c r="BO419" s="28" t="s">
        <v>181</v>
      </c>
      <c r="BT419" s="28"/>
      <c r="BV4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0" spans="1:74" ht="16" customHeight="1" x14ac:dyDescent="0.2">
      <c r="A420" s="28">
        <v>2638</v>
      </c>
      <c r="B420" s="28" t="s">
        <v>26</v>
      </c>
      <c r="C420" s="28" t="s">
        <v>141</v>
      </c>
      <c r="D420" s="28" t="s">
        <v>281</v>
      </c>
      <c r="E420" s="34" t="s">
        <v>824</v>
      </c>
      <c r="F420" s="34" t="str">
        <f>IF(ISBLANK(Table2[[#This Row],[unique_id]]), "", PROPER(SUBSTITUTE(Table2[[#This Row],[unique_id]], "_", " ")))</f>
        <v>Lighting Reset Adaptive Lighting Study Lamp</v>
      </c>
      <c r="G420" s="34" t="s">
        <v>690</v>
      </c>
      <c r="H420" s="28" t="s">
        <v>508</v>
      </c>
      <c r="I420" s="28" t="s">
        <v>262</v>
      </c>
      <c r="J420" s="28" t="s">
        <v>494</v>
      </c>
      <c r="P420" s="29"/>
      <c r="Q420" s="28"/>
      <c r="U420" s="35"/>
      <c r="V420" s="35"/>
      <c r="W420" s="35"/>
      <c r="X420" s="28"/>
      <c r="AD420" s="29"/>
      <c r="AE420" s="29"/>
      <c r="AF420" s="29"/>
      <c r="AG420" s="29"/>
      <c r="AM420" s="28" t="s">
        <v>263</v>
      </c>
      <c r="AO420" s="29"/>
      <c r="AP420" s="29"/>
      <c r="BA420" s="28"/>
      <c r="BB420" s="38"/>
      <c r="BC420" s="29"/>
      <c r="BD4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0" s="28" t="str">
        <f>IF(ISBLANK(Table2[[#This Row],[device_model]]), "", Table2[[#This Row],[device_suggested_area]])</f>
        <v/>
      </c>
      <c r="BN420" s="29"/>
      <c r="BO420" s="28" t="s">
        <v>327</v>
      </c>
      <c r="BT420" s="28"/>
      <c r="BV4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1" spans="1:74" ht="16" customHeight="1" x14ac:dyDescent="0.2">
      <c r="A421" s="28">
        <v>2639</v>
      </c>
      <c r="B421" s="28" t="s">
        <v>26</v>
      </c>
      <c r="C421" s="28" t="s">
        <v>141</v>
      </c>
      <c r="D421" s="28" t="s">
        <v>281</v>
      </c>
      <c r="E421" s="34" t="s">
        <v>501</v>
      </c>
      <c r="F421" s="34" t="str">
        <f>IF(ISBLANK(Table2[[#This Row],[unique_id]]), "", PROPER(SUBSTITUTE(Table2[[#This Row],[unique_id]], "_", " ")))</f>
        <v>Lighting Reset Adaptive Lighting Kitchen Main</v>
      </c>
      <c r="G421" s="34" t="s">
        <v>191</v>
      </c>
      <c r="H421" s="28" t="s">
        <v>508</v>
      </c>
      <c r="I421" s="28" t="s">
        <v>262</v>
      </c>
      <c r="J421" s="28" t="s">
        <v>515</v>
      </c>
      <c r="P421" s="29"/>
      <c r="Q421" s="28"/>
      <c r="U421" s="35"/>
      <c r="V421" s="35"/>
      <c r="W421" s="35"/>
      <c r="X421" s="28"/>
      <c r="AD421" s="29"/>
      <c r="AE421" s="29"/>
      <c r="AF421" s="29"/>
      <c r="AG421" s="29"/>
      <c r="AM421" s="28" t="s">
        <v>263</v>
      </c>
      <c r="AO421" s="29"/>
      <c r="AP421" s="29"/>
      <c r="BA421" s="28"/>
      <c r="BB421" s="38"/>
      <c r="BC421" s="29"/>
      <c r="BD4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1" s="28" t="str">
        <f>IF(ISBLANK(Table2[[#This Row],[device_model]]), "", Table2[[#This Row],[device_suggested_area]])</f>
        <v/>
      </c>
      <c r="BN421" s="29"/>
      <c r="BO421" s="28" t="s">
        <v>195</v>
      </c>
      <c r="BT421" s="28"/>
      <c r="BV4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2" spans="1:74" ht="16" customHeight="1" x14ac:dyDescent="0.2">
      <c r="A422" s="28">
        <v>2640</v>
      </c>
      <c r="B422" s="28" t="s">
        <v>26</v>
      </c>
      <c r="C422" s="28" t="s">
        <v>141</v>
      </c>
      <c r="D422" s="28" t="s">
        <v>281</v>
      </c>
      <c r="E422" s="34" t="s">
        <v>502</v>
      </c>
      <c r="F422" s="34" t="str">
        <f>IF(ISBLANK(Table2[[#This Row],[unique_id]]), "", PROPER(SUBSTITUTE(Table2[[#This Row],[unique_id]], "_", " ")))</f>
        <v>Lighting Reset Adaptive Lighting Laundry Main</v>
      </c>
      <c r="G422" s="34" t="s">
        <v>193</v>
      </c>
      <c r="H422" s="28" t="s">
        <v>508</v>
      </c>
      <c r="I422" s="28" t="s">
        <v>262</v>
      </c>
      <c r="J422" s="28" t="s">
        <v>515</v>
      </c>
      <c r="P422" s="29"/>
      <c r="Q422" s="28"/>
      <c r="U422" s="35"/>
      <c r="V422" s="35"/>
      <c r="W422" s="35"/>
      <c r="X422" s="28"/>
      <c r="AD422" s="29"/>
      <c r="AE422" s="29"/>
      <c r="AF422" s="29"/>
      <c r="AG422" s="29"/>
      <c r="AM422" s="28" t="s">
        <v>263</v>
      </c>
      <c r="AO422" s="29"/>
      <c r="AP422" s="29"/>
      <c r="BA422" s="28"/>
      <c r="BB422" s="38"/>
      <c r="BC422" s="29"/>
      <c r="BD4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2" s="28" t="str">
        <f>IF(ISBLANK(Table2[[#This Row],[device_model]]), "", Table2[[#This Row],[device_suggested_area]])</f>
        <v/>
      </c>
      <c r="BN422" s="29"/>
      <c r="BO422" s="28" t="s">
        <v>202</v>
      </c>
      <c r="BT422" s="28"/>
      <c r="BV4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3" spans="1:74" ht="16" customHeight="1" x14ac:dyDescent="0.2">
      <c r="A423" s="28">
        <v>2641</v>
      </c>
      <c r="B423" s="28" t="s">
        <v>26</v>
      </c>
      <c r="C423" s="28" t="s">
        <v>141</v>
      </c>
      <c r="D423" s="28" t="s">
        <v>281</v>
      </c>
      <c r="E423" s="34" t="s">
        <v>503</v>
      </c>
      <c r="F423" s="34" t="str">
        <f>IF(ISBLANK(Table2[[#This Row],[unique_id]]), "", PROPER(SUBSTITUTE(Table2[[#This Row],[unique_id]], "_", " ")))</f>
        <v>Lighting Reset Adaptive Lighting Pantry Main</v>
      </c>
      <c r="G423" s="34" t="s">
        <v>192</v>
      </c>
      <c r="H423" s="28" t="s">
        <v>508</v>
      </c>
      <c r="I423" s="28" t="s">
        <v>262</v>
      </c>
      <c r="J423" s="28" t="s">
        <v>515</v>
      </c>
      <c r="P423" s="29"/>
      <c r="Q423" s="28"/>
      <c r="U423" s="35"/>
      <c r="V423" s="35"/>
      <c r="W423" s="35"/>
      <c r="X423" s="28"/>
      <c r="AD423" s="29"/>
      <c r="AE423" s="29"/>
      <c r="AF423" s="29"/>
      <c r="AG423" s="29"/>
      <c r="AM423" s="28" t="s">
        <v>263</v>
      </c>
      <c r="AO423" s="29"/>
      <c r="AP423" s="29"/>
      <c r="BA423" s="28"/>
      <c r="BB423" s="38"/>
      <c r="BC423" s="29"/>
      <c r="BD4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3" s="28" t="str">
        <f>IF(ISBLANK(Table2[[#This Row],[device_model]]), "", Table2[[#This Row],[device_suggested_area]])</f>
        <v/>
      </c>
      <c r="BN423" s="29"/>
      <c r="BO423" s="28" t="s">
        <v>200</v>
      </c>
      <c r="BT423" s="28"/>
      <c r="BV4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4" spans="1:74" ht="16" customHeight="1" x14ac:dyDescent="0.2">
      <c r="A424" s="28">
        <v>2642</v>
      </c>
      <c r="B424" s="28" t="s">
        <v>26</v>
      </c>
      <c r="C424" s="28" t="s">
        <v>141</v>
      </c>
      <c r="D424" s="28" t="s">
        <v>281</v>
      </c>
      <c r="E424" s="34" t="s">
        <v>516</v>
      </c>
      <c r="F424" s="34" t="str">
        <f>IF(ISBLANK(Table2[[#This Row],[unique_id]]), "", PROPER(SUBSTITUTE(Table2[[#This Row],[unique_id]], "_", " ")))</f>
        <v>Lighting Reset Adaptive Lighting Office Main</v>
      </c>
      <c r="G424" s="34" t="s">
        <v>188</v>
      </c>
      <c r="H424" s="28" t="s">
        <v>508</v>
      </c>
      <c r="I424" s="28" t="s">
        <v>262</v>
      </c>
      <c r="J424" s="28" t="s">
        <v>515</v>
      </c>
      <c r="P424" s="29"/>
      <c r="Q424" s="28"/>
      <c r="U424" s="35"/>
      <c r="V424" s="35"/>
      <c r="W424" s="35"/>
      <c r="X424" s="28"/>
      <c r="AD424" s="29"/>
      <c r="AE424" s="29"/>
      <c r="AF424" s="29"/>
      <c r="AG424" s="29"/>
      <c r="AM424" s="28" t="s">
        <v>263</v>
      </c>
      <c r="AO424" s="29"/>
      <c r="AP424" s="29"/>
      <c r="BA424" s="28"/>
      <c r="BB424" s="38"/>
      <c r="BC424" s="29"/>
      <c r="BD4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4" s="28" t="str">
        <f>IF(ISBLANK(Table2[[#This Row],[device_model]]), "", Table2[[#This Row],[device_suggested_area]])</f>
        <v/>
      </c>
      <c r="BN424" s="29"/>
      <c r="BO424" s="28" t="s">
        <v>201</v>
      </c>
      <c r="BT424" s="28"/>
      <c r="BV4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5" spans="1:74" ht="16" customHeight="1" x14ac:dyDescent="0.2">
      <c r="A425" s="28">
        <v>2643</v>
      </c>
      <c r="B425" s="28" t="s">
        <v>26</v>
      </c>
      <c r="C425" s="28" t="s">
        <v>141</v>
      </c>
      <c r="D425" s="28" t="s">
        <v>281</v>
      </c>
      <c r="E425" s="34" t="s">
        <v>504</v>
      </c>
      <c r="F425" s="34" t="str">
        <f>IF(ISBLANK(Table2[[#This Row],[unique_id]]), "", PROPER(SUBSTITUTE(Table2[[#This Row],[unique_id]], "_", " ")))</f>
        <v>Lighting Reset Adaptive Lighting Bathroom Main</v>
      </c>
      <c r="G425" s="34" t="s">
        <v>187</v>
      </c>
      <c r="H425" s="28" t="s">
        <v>508</v>
      </c>
      <c r="I425" s="28" t="s">
        <v>262</v>
      </c>
      <c r="J425" s="28" t="s">
        <v>515</v>
      </c>
      <c r="P425" s="29"/>
      <c r="Q425" s="28"/>
      <c r="U425" s="35"/>
      <c r="V425" s="35"/>
      <c r="W425" s="35"/>
      <c r="X425" s="28"/>
      <c r="AD425" s="29"/>
      <c r="AE425" s="29"/>
      <c r="AF425" s="29"/>
      <c r="AG425" s="29"/>
      <c r="AM425" s="28" t="s">
        <v>263</v>
      </c>
      <c r="AO425" s="29"/>
      <c r="AP425" s="29"/>
      <c r="BA425" s="28"/>
      <c r="BB425" s="38"/>
      <c r="BC425" s="29"/>
      <c r="BD4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5" s="28" t="str">
        <f>IF(ISBLANK(Table2[[#This Row],[device_model]]), "", Table2[[#This Row],[device_suggested_area]])</f>
        <v/>
      </c>
      <c r="BN425" s="29"/>
      <c r="BO425" s="28" t="s">
        <v>329</v>
      </c>
      <c r="BT425" s="28"/>
      <c r="BV4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6" spans="1:74" ht="16" customHeight="1" x14ac:dyDescent="0.2">
      <c r="A426" s="28">
        <v>2644</v>
      </c>
      <c r="B426" s="28" t="s">
        <v>26</v>
      </c>
      <c r="C426" s="28" t="s">
        <v>141</v>
      </c>
      <c r="D426" s="28" t="s">
        <v>281</v>
      </c>
      <c r="E426" s="34" t="s">
        <v>825</v>
      </c>
      <c r="F426" s="34" t="str">
        <f>IF(ISBLANK(Table2[[#This Row],[unique_id]]), "", PROPER(SUBSTITUTE(Table2[[#This Row],[unique_id]], "_", " ")))</f>
        <v>Lighting Reset Adaptive Lighting Bathroom Sconces</v>
      </c>
      <c r="G426" s="34" t="s">
        <v>809</v>
      </c>
      <c r="H426" s="28" t="s">
        <v>508</v>
      </c>
      <c r="I426" s="28" t="s">
        <v>262</v>
      </c>
      <c r="J426" s="28" t="s">
        <v>819</v>
      </c>
      <c r="P426" s="29"/>
      <c r="Q426" s="28"/>
      <c r="U426" s="35"/>
      <c r="V426" s="35"/>
      <c r="W426" s="35"/>
      <c r="X426" s="28"/>
      <c r="AD426" s="29"/>
      <c r="AE426" s="29"/>
      <c r="AF426" s="29"/>
      <c r="AG426" s="29"/>
      <c r="AM426" s="28" t="s">
        <v>263</v>
      </c>
      <c r="AO426" s="29"/>
      <c r="AP426" s="29"/>
      <c r="BA426" s="28"/>
      <c r="BB426" s="38"/>
      <c r="BC426" s="29"/>
      <c r="BD4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6" s="28" t="str">
        <f>IF(ISBLANK(Table2[[#This Row],[device_model]]), "", Table2[[#This Row],[device_suggested_area]])</f>
        <v/>
      </c>
      <c r="BN426" s="29"/>
      <c r="BO426" s="28" t="s">
        <v>329</v>
      </c>
      <c r="BT426" s="28"/>
      <c r="BV4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7" spans="1:74" ht="16" customHeight="1" x14ac:dyDescent="0.2">
      <c r="A427" s="28">
        <v>2645</v>
      </c>
      <c r="B427" s="28" t="s">
        <v>26</v>
      </c>
      <c r="C427" s="28" t="s">
        <v>141</v>
      </c>
      <c r="D427" s="28" t="s">
        <v>281</v>
      </c>
      <c r="E427" s="34" t="s">
        <v>505</v>
      </c>
      <c r="F427" s="34" t="str">
        <f>IF(ISBLANK(Table2[[#This Row],[unique_id]]), "", PROPER(SUBSTITUTE(Table2[[#This Row],[unique_id]], "_", " ")))</f>
        <v>Lighting Reset Adaptive Lighting Ensuite Main</v>
      </c>
      <c r="G427" s="34" t="s">
        <v>186</v>
      </c>
      <c r="H427" s="28" t="s">
        <v>508</v>
      </c>
      <c r="I427" s="28" t="s">
        <v>262</v>
      </c>
      <c r="J427" s="28" t="s">
        <v>515</v>
      </c>
      <c r="P427" s="29"/>
      <c r="Q427" s="28"/>
      <c r="U427" s="35"/>
      <c r="V427" s="35"/>
      <c r="W427" s="35"/>
      <c r="X427" s="28"/>
      <c r="AD427" s="29"/>
      <c r="AE427" s="29"/>
      <c r="AF427" s="29"/>
      <c r="AG427" s="29"/>
      <c r="AM427" s="28" t="s">
        <v>263</v>
      </c>
      <c r="AO427" s="29"/>
      <c r="AP427" s="29"/>
      <c r="BA427" s="28"/>
      <c r="BB427" s="38"/>
      <c r="BC427" s="29"/>
      <c r="BD4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7" s="28" t="str">
        <f>IF(ISBLANK(Table2[[#This Row],[device_model]]), "", Table2[[#This Row],[device_suggested_area]])</f>
        <v/>
      </c>
      <c r="BN427" s="29"/>
      <c r="BO427" s="28" t="s">
        <v>365</v>
      </c>
      <c r="BT427" s="28"/>
      <c r="BV4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8" spans="1:74" ht="16" customHeight="1" x14ac:dyDescent="0.2">
      <c r="A428" s="28">
        <v>2646</v>
      </c>
      <c r="B428" s="28" t="s">
        <v>26</v>
      </c>
      <c r="C428" s="28" t="s">
        <v>141</v>
      </c>
      <c r="D428" s="28" t="s">
        <v>281</v>
      </c>
      <c r="E428" s="34" t="s">
        <v>826</v>
      </c>
      <c r="F428" s="34" t="str">
        <f>IF(ISBLANK(Table2[[#This Row],[unique_id]]), "", PROPER(SUBSTITUTE(Table2[[#This Row],[unique_id]], "_", " ")))</f>
        <v>Lighting Reset Adaptive Lighting Ensuite Sconces</v>
      </c>
      <c r="G428" s="34" t="s">
        <v>792</v>
      </c>
      <c r="H428" s="28" t="s">
        <v>508</v>
      </c>
      <c r="I428" s="28" t="s">
        <v>262</v>
      </c>
      <c r="J428" s="28" t="s">
        <v>819</v>
      </c>
      <c r="P428" s="29"/>
      <c r="Q428" s="28"/>
      <c r="U428" s="35"/>
      <c r="V428" s="35"/>
      <c r="W428" s="35"/>
      <c r="X428" s="28"/>
      <c r="AD428" s="29"/>
      <c r="AE428" s="29"/>
      <c r="AF428" s="29"/>
      <c r="AG428" s="29"/>
      <c r="AM428" s="28" t="s">
        <v>263</v>
      </c>
      <c r="AO428" s="29"/>
      <c r="AP428" s="29"/>
      <c r="BA428" s="28"/>
      <c r="BB428" s="38"/>
      <c r="BC428" s="29"/>
      <c r="BD4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8" s="28" t="str">
        <f>IF(ISBLANK(Table2[[#This Row],[device_model]]), "", Table2[[#This Row],[device_suggested_area]])</f>
        <v/>
      </c>
      <c r="BN428" s="29"/>
      <c r="BO428" s="28" t="s">
        <v>365</v>
      </c>
      <c r="BT428" s="28"/>
      <c r="BV4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9" spans="1:74" ht="16" customHeight="1" x14ac:dyDescent="0.2">
      <c r="A429" s="28">
        <v>2647</v>
      </c>
      <c r="B429" s="28" t="s">
        <v>26</v>
      </c>
      <c r="C429" s="28" t="s">
        <v>141</v>
      </c>
      <c r="D429" s="28" t="s">
        <v>281</v>
      </c>
      <c r="E429" s="34" t="s">
        <v>506</v>
      </c>
      <c r="F429" s="34" t="str">
        <f>IF(ISBLANK(Table2[[#This Row],[unique_id]]), "", PROPER(SUBSTITUTE(Table2[[#This Row],[unique_id]], "_", " ")))</f>
        <v>Lighting Reset Adaptive Lighting Wardrobe Main</v>
      </c>
      <c r="G429" s="34" t="s">
        <v>190</v>
      </c>
      <c r="H429" s="28" t="s">
        <v>508</v>
      </c>
      <c r="I429" s="28" t="s">
        <v>262</v>
      </c>
      <c r="J429" s="28" t="s">
        <v>515</v>
      </c>
      <c r="P429" s="29"/>
      <c r="Q429" s="28"/>
      <c r="U429" s="35"/>
      <c r="V429" s="35"/>
      <c r="W429" s="35"/>
      <c r="X429" s="28"/>
      <c r="AD429" s="29"/>
      <c r="AE429" s="29"/>
      <c r="AF429" s="29"/>
      <c r="AG429" s="29"/>
      <c r="AM429" s="28" t="s">
        <v>263</v>
      </c>
      <c r="AO429" s="29"/>
      <c r="AP429" s="29"/>
      <c r="BA429" s="28"/>
      <c r="BB429" s="38"/>
      <c r="BC429" s="29"/>
      <c r="BD4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29" s="28" t="str">
        <f>IF(ISBLANK(Table2[[#This Row],[device_model]]), "", Table2[[#This Row],[device_suggested_area]])</f>
        <v/>
      </c>
      <c r="BN429" s="29"/>
      <c r="BO429" s="28" t="s">
        <v>460</v>
      </c>
      <c r="BT429" s="28"/>
      <c r="BV4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0" spans="1:74" ht="16" customHeight="1" x14ac:dyDescent="0.2">
      <c r="A430" s="28">
        <v>2648</v>
      </c>
      <c r="B430" s="28" t="s">
        <v>26</v>
      </c>
      <c r="C430" s="28" t="s">
        <v>141</v>
      </c>
      <c r="D430" s="28" t="s">
        <v>569</v>
      </c>
      <c r="E430" s="28" t="s">
        <v>1252</v>
      </c>
      <c r="F430" s="34" t="str">
        <f>IF(ISBLANK(Table2[[#This Row],[unique_id]]), "", PROPER(SUBSTITUTE(Table2[[#This Row],[unique_id]], "_", " ")))</f>
        <v>Google Assistant Synchronize Devices</v>
      </c>
      <c r="G430" s="28" t="s">
        <v>1126</v>
      </c>
      <c r="H430" s="28" t="s">
        <v>570</v>
      </c>
      <c r="I430" s="28" t="s">
        <v>262</v>
      </c>
      <c r="N430" s="28" t="s">
        <v>244</v>
      </c>
      <c r="P430" s="29"/>
      <c r="Q430" s="28"/>
      <c r="U430" s="35"/>
      <c r="V430" s="35"/>
      <c r="W430" s="35"/>
      <c r="X430" s="28"/>
      <c r="AD430" s="29"/>
      <c r="AE430" s="29"/>
      <c r="AF430" s="29"/>
      <c r="AG430" s="29"/>
      <c r="AO430" s="29"/>
      <c r="AP430" s="29"/>
      <c r="AZ430" s="37"/>
      <c r="BA430" s="28"/>
      <c r="BB430" s="30"/>
      <c r="BC430" s="29"/>
      <c r="BD4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0" s="28" t="str">
        <f>IF(ISBLANK(Table2[[#This Row],[device_model]]), "", Table2[[#This Row],[device_suggested_area]])</f>
        <v/>
      </c>
      <c r="BN430" s="29"/>
      <c r="BT430" s="28"/>
      <c r="BV4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1" spans="1:74" ht="16" customHeight="1" x14ac:dyDescent="0.2">
      <c r="A431" s="28">
        <v>2700</v>
      </c>
      <c r="B431" s="28" t="s">
        <v>26</v>
      </c>
      <c r="C431" s="28" t="s">
        <v>223</v>
      </c>
      <c r="D431" s="28" t="s">
        <v>136</v>
      </c>
      <c r="E431" s="28" t="s">
        <v>137</v>
      </c>
      <c r="F431" s="34" t="str">
        <f>IF(ISBLANK(Table2[[#This Row],[unique_id]]), "", PROPER(SUBSTITUTE(Table2[[#This Row],[unique_id]], "_", " ")))</f>
        <v>Ada Home</v>
      </c>
      <c r="G431" s="28" t="s">
        <v>174</v>
      </c>
      <c r="H431" s="28" t="s">
        <v>693</v>
      </c>
      <c r="I431" s="28" t="s">
        <v>135</v>
      </c>
      <c r="N431" s="28" t="s">
        <v>127</v>
      </c>
      <c r="O431" s="28" t="s">
        <v>257</v>
      </c>
      <c r="P431" s="29" t="s">
        <v>736</v>
      </c>
      <c r="Q431" s="28" t="s">
        <v>155</v>
      </c>
      <c r="R431" s="28" t="s">
        <v>708</v>
      </c>
      <c r="S431" s="39" t="s">
        <v>693</v>
      </c>
      <c r="T431" s="28" t="str">
        <f>_xlfn.CONCAT( Table2[[#This Row],[friendly_name]], " Devices")</f>
        <v>Ada Home Devices</v>
      </c>
      <c r="U431" s="35"/>
      <c r="V431" s="35"/>
      <c r="W431" s="35"/>
      <c r="X431" s="28"/>
      <c r="AD431" s="29"/>
      <c r="AE431" s="29"/>
      <c r="AF431" s="29"/>
      <c r="AG431" s="29"/>
      <c r="AO431" s="29"/>
      <c r="AP431" s="29"/>
      <c r="BA431" s="28"/>
      <c r="BB431" s="38"/>
      <c r="BD43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google-ada-home</v>
      </c>
      <c r="BE43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Home</v>
      </c>
      <c r="BF4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1" s="28" t="str">
        <f>IF(ISBLANK(Table2[[#This Row],[device_model]]), "", Table2[[#This Row],[device_suggested_area]])</f>
        <v>Ada</v>
      </c>
      <c r="BJ431" s="28" t="s">
        <v>155</v>
      </c>
      <c r="BK431" s="28" t="s">
        <v>362</v>
      </c>
      <c r="BL431" s="28" t="s">
        <v>223</v>
      </c>
      <c r="BN431" s="28" t="s">
        <v>989</v>
      </c>
      <c r="BO431" s="28" t="s">
        <v>121</v>
      </c>
      <c r="BS431" s="28" t="s">
        <v>1185</v>
      </c>
      <c r="BT431" s="39" t="s">
        <v>391</v>
      </c>
      <c r="BU431" s="37" t="s">
        <v>1187</v>
      </c>
      <c r="BV4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"d4:f5:47:1c:cc:2d"], ["ip", "10.0.3.50"]]</v>
      </c>
    </row>
    <row r="432" spans="1:74" ht="16" customHeight="1" x14ac:dyDescent="0.2">
      <c r="A432" s="28">
        <v>2701</v>
      </c>
      <c r="B432" s="28" t="s">
        <v>26</v>
      </c>
      <c r="C432" s="28" t="s">
        <v>223</v>
      </c>
      <c r="D432" s="28" t="s">
        <v>136</v>
      </c>
      <c r="E432" s="28" t="s">
        <v>245</v>
      </c>
      <c r="F432" s="34" t="str">
        <f>IF(ISBLANK(Table2[[#This Row],[unique_id]]), "", PROPER(SUBSTITUTE(Table2[[#This Row],[unique_id]], "_", " ")))</f>
        <v>Edwin Home</v>
      </c>
      <c r="G432" s="28" t="s">
        <v>246</v>
      </c>
      <c r="H432" s="28" t="s">
        <v>693</v>
      </c>
      <c r="I432" s="28" t="s">
        <v>135</v>
      </c>
      <c r="N432" s="28" t="s">
        <v>127</v>
      </c>
      <c r="O432" s="28" t="s">
        <v>257</v>
      </c>
      <c r="P432" s="29" t="s">
        <v>736</v>
      </c>
      <c r="Q432" s="28" t="s">
        <v>155</v>
      </c>
      <c r="R432" s="28" t="s">
        <v>708</v>
      </c>
      <c r="S432" s="39" t="s">
        <v>693</v>
      </c>
      <c r="T432" s="28" t="str">
        <f>_xlfn.CONCAT( Table2[[#This Row],[friendly_name]], " Devices")</f>
        <v>Edwin Home Devices</v>
      </c>
      <c r="U432" s="35"/>
      <c r="V432" s="35"/>
      <c r="W432" s="35"/>
      <c r="X432" s="28"/>
      <c r="AD432" s="29"/>
      <c r="AE432" s="29"/>
      <c r="AF432" s="29"/>
      <c r="AG432" s="29"/>
      <c r="AO432" s="29"/>
      <c r="AP432" s="29"/>
      <c r="BA432" s="28"/>
      <c r="BB432" s="38"/>
      <c r="BD4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google-edwin-home</v>
      </c>
      <c r="BE4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Home</v>
      </c>
      <c r="BF4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2" s="28" t="str">
        <f>IF(ISBLANK(Table2[[#This Row],[device_model]]), "", Table2[[#This Row],[device_suggested_area]])</f>
        <v>Edwin</v>
      </c>
      <c r="BJ432" s="28" t="s">
        <v>155</v>
      </c>
      <c r="BK432" s="28" t="s">
        <v>362</v>
      </c>
      <c r="BL432" s="28" t="s">
        <v>223</v>
      </c>
      <c r="BN432" s="28" t="s">
        <v>989</v>
      </c>
      <c r="BO432" s="28" t="s">
        <v>118</v>
      </c>
      <c r="BS432" s="28" t="s">
        <v>1185</v>
      </c>
      <c r="BT432" s="39" t="s">
        <v>390</v>
      </c>
      <c r="BU432" s="37" t="s">
        <v>1188</v>
      </c>
      <c r="BV4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"d4:f5:47:25:92:d5"], ["ip", "10.0.3.51"]]</v>
      </c>
    </row>
    <row r="433" spans="1:74" ht="16" customHeight="1" x14ac:dyDescent="0.2">
      <c r="A433" s="28">
        <v>2702</v>
      </c>
      <c r="B433" s="28" t="s">
        <v>26</v>
      </c>
      <c r="C433" s="28" t="s">
        <v>223</v>
      </c>
      <c r="D433" s="28" t="s">
        <v>136</v>
      </c>
      <c r="E433" s="28" t="s">
        <v>253</v>
      </c>
      <c r="F433" s="34" t="str">
        <f>IF(ISBLANK(Table2[[#This Row],[unique_id]]), "", PROPER(SUBSTITUTE(Table2[[#This Row],[unique_id]], "_", " ")))</f>
        <v>Parents Home</v>
      </c>
      <c r="G433" s="28" t="s">
        <v>247</v>
      </c>
      <c r="H433" s="28" t="s">
        <v>693</v>
      </c>
      <c r="I433" s="28" t="s">
        <v>135</v>
      </c>
      <c r="N433" s="28" t="s">
        <v>127</v>
      </c>
      <c r="O433" s="28" t="s">
        <v>257</v>
      </c>
      <c r="P433" s="29" t="s">
        <v>736</v>
      </c>
      <c r="Q433" s="28" t="s">
        <v>155</v>
      </c>
      <c r="R433" s="28" t="s">
        <v>708</v>
      </c>
      <c r="S433" s="39" t="s">
        <v>693</v>
      </c>
      <c r="T433" s="28" t="str">
        <f>_xlfn.CONCAT( Table2[[#This Row],[friendly_name]], " Devices")</f>
        <v>Parents Home Devices</v>
      </c>
      <c r="U433" s="35" t="s">
        <v>718</v>
      </c>
      <c r="V433" s="35"/>
      <c r="W433" s="35"/>
      <c r="X433" s="28"/>
      <c r="AD433" s="29"/>
      <c r="AE433" s="29"/>
      <c r="AF433" s="29"/>
      <c r="AG433" s="29"/>
      <c r="AO433" s="29"/>
      <c r="AP433" s="29"/>
      <c r="BA433" s="28"/>
      <c r="BB433" s="38"/>
      <c r="BD4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google-parents-home</v>
      </c>
      <c r="BE4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Home</v>
      </c>
      <c r="BF4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3" s="28" t="str">
        <f>IF(ISBLANK(Table2[[#This Row],[device_model]]), "", Table2[[#This Row],[device_suggested_area]])</f>
        <v>Parents</v>
      </c>
      <c r="BJ433" s="28" t="s">
        <v>155</v>
      </c>
      <c r="BK433" s="28" t="s">
        <v>983</v>
      </c>
      <c r="BL433" s="28" t="s">
        <v>223</v>
      </c>
      <c r="BN433" s="28" t="s">
        <v>990</v>
      </c>
      <c r="BO433" s="28" t="s">
        <v>181</v>
      </c>
      <c r="BS433" s="28" t="s">
        <v>1185</v>
      </c>
      <c r="BT433" s="39" t="s">
        <v>600</v>
      </c>
      <c r="BU433" s="37" t="s">
        <v>1189</v>
      </c>
      <c r="BV4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"dc:e5:5b:a5:a3:0d"], ["ip", "10.0.3.55"]]</v>
      </c>
    </row>
    <row r="434" spans="1:74" ht="16" customHeight="1" x14ac:dyDescent="0.2">
      <c r="A434" s="28">
        <v>2703</v>
      </c>
      <c r="B434" s="28" t="s">
        <v>26</v>
      </c>
      <c r="C434" s="28" t="s">
        <v>223</v>
      </c>
      <c r="D434" s="28" t="s">
        <v>136</v>
      </c>
      <c r="E434" s="28" t="s">
        <v>249</v>
      </c>
      <c r="F434" s="34" t="str">
        <f>IF(ISBLANK(Table2[[#This Row],[unique_id]]), "", PROPER(SUBSTITUTE(Table2[[#This Row],[unique_id]], "_", " ")))</f>
        <v>Kitchen Home</v>
      </c>
      <c r="G434" s="28" t="s">
        <v>248</v>
      </c>
      <c r="H434" s="28" t="s">
        <v>693</v>
      </c>
      <c r="I434" s="28" t="s">
        <v>135</v>
      </c>
      <c r="N434" s="28" t="s">
        <v>127</v>
      </c>
      <c r="O434" s="28" t="s">
        <v>257</v>
      </c>
      <c r="P434" s="29" t="s">
        <v>736</v>
      </c>
      <c r="Q434" s="28" t="s">
        <v>155</v>
      </c>
      <c r="R434" s="28" t="s">
        <v>708</v>
      </c>
      <c r="S434" s="39" t="s">
        <v>693</v>
      </c>
      <c r="T434" s="28" t="str">
        <f>_xlfn.CONCAT( Table2[[#This Row],[friendly_name]], " Devices")</f>
        <v>Kitchen Home Devices</v>
      </c>
      <c r="U434" s="35" t="s">
        <v>718</v>
      </c>
      <c r="V434" s="35"/>
      <c r="W434" s="35"/>
      <c r="X434" s="28"/>
      <c r="AD434" s="29"/>
      <c r="AE434" s="29"/>
      <c r="AF434" s="29"/>
      <c r="AG434" s="29"/>
      <c r="AO434" s="29"/>
      <c r="AP434" s="29"/>
      <c r="BA434" s="28"/>
      <c r="BB434" s="38"/>
      <c r="BD43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google-kitchen-home</v>
      </c>
      <c r="BE43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Home</v>
      </c>
      <c r="BF4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4" s="28" t="str">
        <f>IF(ISBLANK(Table2[[#This Row],[device_model]]), "", Table2[[#This Row],[device_suggested_area]])</f>
        <v>Kitchen</v>
      </c>
      <c r="BJ434" s="28" t="s">
        <v>155</v>
      </c>
      <c r="BK434" s="28" t="s">
        <v>983</v>
      </c>
      <c r="BL434" s="28" t="s">
        <v>223</v>
      </c>
      <c r="BN434" s="28" t="s">
        <v>990</v>
      </c>
      <c r="BO434" s="28" t="s">
        <v>195</v>
      </c>
      <c r="BS434" s="28" t="s">
        <v>1185</v>
      </c>
      <c r="BT434" s="39" t="s">
        <v>678</v>
      </c>
      <c r="BU434" s="37" t="s">
        <v>1190</v>
      </c>
      <c r="BV4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"dc:e5:5b:4c:e9:69"], ["ip", "10.0.3.56"]]</v>
      </c>
    </row>
    <row r="435" spans="1:74" ht="16" customHeight="1" x14ac:dyDescent="0.2">
      <c r="A435" s="28">
        <v>2704</v>
      </c>
      <c r="B435" s="28" t="s">
        <v>26</v>
      </c>
      <c r="C435" s="28" t="s">
        <v>223</v>
      </c>
      <c r="D435" s="28" t="s">
        <v>136</v>
      </c>
      <c r="E435" s="28" t="s">
        <v>571</v>
      </c>
      <c r="F435" s="34" t="str">
        <f>IF(ISBLANK(Table2[[#This Row],[unique_id]]), "", PROPER(SUBSTITUTE(Table2[[#This Row],[unique_id]], "_", " ")))</f>
        <v>Office Home</v>
      </c>
      <c r="G435" s="28" t="s">
        <v>572</v>
      </c>
      <c r="H435" s="28" t="s">
        <v>693</v>
      </c>
      <c r="I435" s="28" t="s">
        <v>135</v>
      </c>
      <c r="N435" s="28" t="s">
        <v>127</v>
      </c>
      <c r="O435" s="28" t="s">
        <v>257</v>
      </c>
      <c r="P435" s="29" t="s">
        <v>736</v>
      </c>
      <c r="Q435" s="28" t="s">
        <v>155</v>
      </c>
      <c r="R435" s="28" t="s">
        <v>708</v>
      </c>
      <c r="S435" s="39" t="s">
        <v>693</v>
      </c>
      <c r="T435" s="28" t="str">
        <f>_xlfn.CONCAT( Table2[[#This Row],[friendly_name]], " Devices")</f>
        <v>Office Home Devices</v>
      </c>
      <c r="U435" s="35"/>
      <c r="V435" s="35"/>
      <c r="W435" s="35"/>
      <c r="X435" s="28"/>
      <c r="AD435" s="29"/>
      <c r="AE435" s="29"/>
      <c r="AF435" s="29"/>
      <c r="AG435" s="29"/>
      <c r="AO435" s="29"/>
      <c r="AP435" s="29"/>
      <c r="BA435" s="28"/>
      <c r="BB435" s="38"/>
      <c r="BD4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google-office-home</v>
      </c>
      <c r="BE4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Home</v>
      </c>
      <c r="BF4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5" s="28" t="str">
        <f>IF(ISBLANK(Table2[[#This Row],[device_model]]), "", Table2[[#This Row],[device_suggested_area]])</f>
        <v>Office</v>
      </c>
      <c r="BJ435" s="28" t="s">
        <v>155</v>
      </c>
      <c r="BK435" s="28" t="s">
        <v>362</v>
      </c>
      <c r="BL435" s="28" t="s">
        <v>223</v>
      </c>
      <c r="BN435" s="28" t="s">
        <v>989</v>
      </c>
      <c r="BO435" s="28" t="s">
        <v>201</v>
      </c>
      <c r="BS435" s="28" t="s">
        <v>1185</v>
      </c>
      <c r="BT435" s="39" t="s">
        <v>388</v>
      </c>
      <c r="BU435" s="37" t="s">
        <v>1191</v>
      </c>
      <c r="BV4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"d4:f5:47:32:df:7b"], ["ip", "10.0.3.54"]]</v>
      </c>
    </row>
    <row r="436" spans="1:74" ht="16" customHeight="1" x14ac:dyDescent="0.2">
      <c r="A436" s="28">
        <v>2705</v>
      </c>
      <c r="B436" s="28" t="s">
        <v>26</v>
      </c>
      <c r="C436" s="28" t="s">
        <v>223</v>
      </c>
      <c r="D436" s="28" t="s">
        <v>136</v>
      </c>
      <c r="E436" s="28" t="s">
        <v>603</v>
      </c>
      <c r="F436" s="34" t="str">
        <f>IF(ISBLANK(Table2[[#This Row],[unique_id]]), "", PROPER(SUBSTITUTE(Table2[[#This Row],[unique_id]], "_", " ")))</f>
        <v>Lounge Home</v>
      </c>
      <c r="G436" s="28" t="s">
        <v>604</v>
      </c>
      <c r="H436" s="28" t="s">
        <v>693</v>
      </c>
      <c r="I436" s="28" t="s">
        <v>135</v>
      </c>
      <c r="N436" s="28" t="s">
        <v>127</v>
      </c>
      <c r="O436" s="28" t="s">
        <v>257</v>
      </c>
      <c r="P436" s="29" t="s">
        <v>736</v>
      </c>
      <c r="Q436" s="28" t="s">
        <v>155</v>
      </c>
      <c r="R436" s="28" t="s">
        <v>708</v>
      </c>
      <c r="S436" s="39" t="s">
        <v>693</v>
      </c>
      <c r="T436" s="28" t="str">
        <f>_xlfn.CONCAT( Table2[[#This Row],[friendly_name]], " Devices")</f>
        <v>Lounge Home Devices</v>
      </c>
      <c r="U436" s="35"/>
      <c r="V436" s="35"/>
      <c r="W436" s="35"/>
      <c r="X436" s="28"/>
      <c r="AD436" s="29"/>
      <c r="AE436" s="29"/>
      <c r="AF436" s="29"/>
      <c r="AG436" s="29"/>
      <c r="AO436" s="29"/>
      <c r="AP436" s="29"/>
      <c r="BA436" s="28"/>
      <c r="BB436" s="38"/>
      <c r="BD4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google-lounge-home</v>
      </c>
      <c r="BE4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Home</v>
      </c>
      <c r="BF4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6" s="28" t="str">
        <f>IF(ISBLANK(Table2[[#This Row],[device_model]]), "", Table2[[#This Row],[device_suggested_area]])</f>
        <v>Lounge</v>
      </c>
      <c r="BJ436" s="28" t="s">
        <v>155</v>
      </c>
      <c r="BK436" s="28" t="s">
        <v>362</v>
      </c>
      <c r="BL436" s="28" t="s">
        <v>223</v>
      </c>
      <c r="BN436" s="28" t="s">
        <v>989</v>
      </c>
      <c r="BO436" s="28" t="s">
        <v>183</v>
      </c>
      <c r="BS436" s="28" t="s">
        <v>1185</v>
      </c>
      <c r="BT436" s="39" t="s">
        <v>389</v>
      </c>
      <c r="BU436" s="37" t="s">
        <v>1192</v>
      </c>
      <c r="BV4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"d4:f5:47:8c:d1:7e"], ["ip", "10.0.3.52"]]</v>
      </c>
    </row>
    <row r="437" spans="1:74" ht="16" customHeight="1" x14ac:dyDescent="0.2">
      <c r="A437" s="28">
        <v>2706</v>
      </c>
      <c r="B437" s="28" t="s">
        <v>26</v>
      </c>
      <c r="C437" s="28" t="s">
        <v>223</v>
      </c>
      <c r="D437" s="28" t="s">
        <v>136</v>
      </c>
      <c r="E437" s="28" t="s">
        <v>768</v>
      </c>
      <c r="F437" s="34" t="str">
        <f>IF(ISBLANK(Table2[[#This Row],[unique_id]]), "", PROPER(SUBSTITUTE(Table2[[#This Row],[unique_id]], "_", " ")))</f>
        <v>Ada Tablet</v>
      </c>
      <c r="G437" s="28" t="s">
        <v>769</v>
      </c>
      <c r="H437" s="28" t="s">
        <v>693</v>
      </c>
      <c r="I437" s="28" t="s">
        <v>135</v>
      </c>
      <c r="N437" s="28" t="s">
        <v>127</v>
      </c>
      <c r="O437" s="28" t="s">
        <v>257</v>
      </c>
      <c r="P437" s="29"/>
      <c r="Q437" s="28"/>
      <c r="S437" s="39"/>
      <c r="U437" s="35"/>
      <c r="V437" s="35"/>
      <c r="W437" s="35"/>
      <c r="X437" s="28"/>
      <c r="AD437" s="29"/>
      <c r="AE437" s="29"/>
      <c r="AF437" s="29"/>
      <c r="AG437" s="29"/>
      <c r="AO437" s="29"/>
      <c r="AP437" s="29"/>
      <c r="BA437" s="28"/>
      <c r="BB437" s="38"/>
      <c r="BD4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google-lounge-ada-tablet</v>
      </c>
      <c r="BE4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BF4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7" s="28" t="str">
        <f>IF(ISBLANK(Table2[[#This Row],[device_model]]), "", Table2[[#This Row],[device_suggested_area]])</f>
        <v>Lounge</v>
      </c>
      <c r="BJ437" s="28" t="s">
        <v>769</v>
      </c>
      <c r="BK437" s="28" t="s">
        <v>991</v>
      </c>
      <c r="BL437" s="28" t="s">
        <v>223</v>
      </c>
      <c r="BN437" s="28" t="s">
        <v>771</v>
      </c>
      <c r="BO437" s="28" t="s">
        <v>183</v>
      </c>
      <c r="BS437" s="28" t="s">
        <v>1185</v>
      </c>
      <c r="BT437" s="39" t="s">
        <v>1164</v>
      </c>
      <c r="BU437" s="37" t="s">
        <v>1193</v>
      </c>
      <c r="BV4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"24:95:2f:7e:73:23"], ["ip", "10.0.3.57"]]</v>
      </c>
    </row>
    <row r="438" spans="1:74" ht="16" customHeight="1" x14ac:dyDescent="0.2">
      <c r="A438" s="28">
        <v>2707</v>
      </c>
      <c r="B438" s="28" t="s">
        <v>26</v>
      </c>
      <c r="C438" s="28" t="s">
        <v>223</v>
      </c>
      <c r="D438" s="28" t="s">
        <v>136</v>
      </c>
      <c r="E438" s="28" t="s">
        <v>772</v>
      </c>
      <c r="F438" s="34" t="str">
        <f>IF(ISBLANK(Table2[[#This Row],[unique_id]]), "", PROPER(SUBSTITUTE(Table2[[#This Row],[unique_id]], "_", " ")))</f>
        <v>Edwin Tablet</v>
      </c>
      <c r="G438" s="28" t="s">
        <v>773</v>
      </c>
      <c r="H438" s="28" t="s">
        <v>693</v>
      </c>
      <c r="I438" s="28" t="s">
        <v>135</v>
      </c>
      <c r="N438" s="28" t="s">
        <v>127</v>
      </c>
      <c r="O438" s="28" t="s">
        <v>257</v>
      </c>
      <c r="P438" s="29"/>
      <c r="Q438" s="28"/>
      <c r="S438" s="39"/>
      <c r="U438" s="35"/>
      <c r="V438" s="35"/>
      <c r="W438" s="35"/>
      <c r="X438" s="28"/>
      <c r="AD438" s="29"/>
      <c r="AE438" s="29"/>
      <c r="AF438" s="29"/>
      <c r="AG438" s="29"/>
      <c r="AO438" s="29"/>
      <c r="AP438" s="29"/>
      <c r="BA438" s="28"/>
      <c r="BB438" s="38"/>
      <c r="BD4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google-kitchen-edwin-tablet</v>
      </c>
      <c r="BE4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Edwin Tablet</v>
      </c>
      <c r="BF4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8" s="28" t="str">
        <f>IF(ISBLANK(Table2[[#This Row],[device_model]]), "", Table2[[#This Row],[device_suggested_area]])</f>
        <v>Kitchen</v>
      </c>
      <c r="BJ438" s="28" t="s">
        <v>773</v>
      </c>
      <c r="BK438" s="28" t="s">
        <v>991</v>
      </c>
      <c r="BL438" s="28" t="s">
        <v>223</v>
      </c>
      <c r="BN438" s="28" t="s">
        <v>771</v>
      </c>
      <c r="BO438" s="28" t="s">
        <v>195</v>
      </c>
      <c r="BS438" s="28" t="s">
        <v>1185</v>
      </c>
      <c r="BT438" s="39" t="s">
        <v>1165</v>
      </c>
      <c r="BU438" s="37" t="s">
        <v>1196</v>
      </c>
      <c r="BV4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"24:95:2f:7f:ab:03"], ["ip", "10.0.3.58"]]</v>
      </c>
    </row>
    <row r="439" spans="1:74" ht="16" customHeight="1" x14ac:dyDescent="0.2">
      <c r="A439" s="28">
        <v>2708</v>
      </c>
      <c r="B439" s="28" t="s">
        <v>26</v>
      </c>
      <c r="C439" s="28" t="s">
        <v>544</v>
      </c>
      <c r="D439" s="28" t="s">
        <v>136</v>
      </c>
      <c r="E439" s="28" t="s">
        <v>568</v>
      </c>
      <c r="F439" s="34" t="str">
        <f>IF(ISBLANK(Table2[[#This Row],[unique_id]]), "", PROPER(SUBSTITUTE(Table2[[#This Row],[unique_id]], "_", " ")))</f>
        <v>Lg Webos Smart Tv</v>
      </c>
      <c r="G439" s="28" t="s">
        <v>169</v>
      </c>
      <c r="H439" s="28" t="s">
        <v>693</v>
      </c>
      <c r="I439" s="28" t="s">
        <v>135</v>
      </c>
      <c r="N439" s="28" t="s">
        <v>127</v>
      </c>
      <c r="O439" s="28" t="s">
        <v>257</v>
      </c>
      <c r="P439" s="29"/>
      <c r="Q439" s="28"/>
      <c r="S439" s="39"/>
      <c r="U439" s="35"/>
      <c r="V439" s="35"/>
      <c r="W439" s="35"/>
      <c r="X439" s="28"/>
      <c r="AD439" s="29"/>
      <c r="AE439" s="29"/>
      <c r="AF439" s="29"/>
      <c r="AG439" s="29"/>
      <c r="AO439" s="29"/>
      <c r="AP439" s="29"/>
      <c r="BA439" s="28"/>
      <c r="BB439" s="38"/>
      <c r="BD4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lg-lounge-tv</v>
      </c>
      <c r="BE4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BF4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39" s="28" t="str">
        <f>IF(ISBLANK(Table2[[#This Row],[device_model]]), "", Table2[[#This Row],[device_suggested_area]])</f>
        <v>Lounge</v>
      </c>
      <c r="BJ439" s="28" t="s">
        <v>927</v>
      </c>
      <c r="BK439" s="28" t="s">
        <v>547</v>
      </c>
      <c r="BL439" s="28" t="s">
        <v>544</v>
      </c>
      <c r="BN439" s="28" t="s">
        <v>546</v>
      </c>
      <c r="BO439" s="28" t="s">
        <v>183</v>
      </c>
      <c r="BS439" s="28" t="s">
        <v>1185</v>
      </c>
      <c r="BT439" s="39" t="s">
        <v>545</v>
      </c>
      <c r="BU439" s="37" t="s">
        <v>1194</v>
      </c>
      <c r="BV4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"4c:ba:d7:bf:94:d0"], ["ip", "10.0.3.49"]]</v>
      </c>
    </row>
    <row r="440" spans="1:74" ht="16" customHeight="1" x14ac:dyDescent="0.2">
      <c r="A440" s="28">
        <v>2709</v>
      </c>
      <c r="B440" s="28" t="s">
        <v>543</v>
      </c>
      <c r="C440" s="28" t="s">
        <v>251</v>
      </c>
      <c r="D440" s="28" t="s">
        <v>136</v>
      </c>
      <c r="E440" s="28" t="s">
        <v>252</v>
      </c>
      <c r="F440" s="34" t="str">
        <f>IF(ISBLANK(Table2[[#This Row],[unique_id]]), "", PROPER(SUBSTITUTE(Table2[[#This Row],[unique_id]], "_", " ")))</f>
        <v>Parents Tv</v>
      </c>
      <c r="G440" s="28" t="s">
        <v>250</v>
      </c>
      <c r="H440" s="28" t="s">
        <v>693</v>
      </c>
      <c r="I440" s="28" t="s">
        <v>135</v>
      </c>
      <c r="N440" s="28" t="s">
        <v>127</v>
      </c>
      <c r="O440" s="28" t="s">
        <v>257</v>
      </c>
      <c r="P440" s="29"/>
      <c r="Q440" s="28"/>
      <c r="U440" s="35"/>
      <c r="V440" s="35"/>
      <c r="W440" s="35"/>
      <c r="X440" s="28"/>
      <c r="AD440" s="29"/>
      <c r="AE440" s="29"/>
      <c r="AF440" s="29"/>
      <c r="AG440" s="29"/>
      <c r="AO440" s="29"/>
      <c r="AP440" s="29"/>
      <c r="BA440" s="28"/>
      <c r="BB440" s="38"/>
      <c r="BD4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apple-parents-tv</v>
      </c>
      <c r="BE4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TV</v>
      </c>
      <c r="BF4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0" s="28" t="str">
        <f>IF(ISBLANK(Table2[[#This Row],[device_model]]), "", Table2[[#This Row],[device_suggested_area]])</f>
        <v>Parents</v>
      </c>
      <c r="BJ440" s="28" t="s">
        <v>927</v>
      </c>
      <c r="BK440" s="28" t="s">
        <v>984</v>
      </c>
      <c r="BL440" s="28" t="s">
        <v>251</v>
      </c>
      <c r="BN440" s="28" t="s">
        <v>368</v>
      </c>
      <c r="BO440" s="28" t="s">
        <v>181</v>
      </c>
      <c r="BS440" s="28" t="s">
        <v>1185</v>
      </c>
      <c r="BT440" s="39" t="s">
        <v>370</v>
      </c>
      <c r="BU440" s="37" t="s">
        <v>1195</v>
      </c>
      <c r="BV4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"90:dd:5d:ce:1e:96"], ["ip", "10.0.3.47"]]</v>
      </c>
    </row>
    <row r="441" spans="1:74" ht="16" customHeight="1" x14ac:dyDescent="0.2">
      <c r="A441" s="28">
        <v>2710</v>
      </c>
      <c r="B441" s="28" t="s">
        <v>543</v>
      </c>
      <c r="C441" s="28" t="s">
        <v>223</v>
      </c>
      <c r="D441" s="28" t="s">
        <v>136</v>
      </c>
      <c r="E441" s="28" t="s">
        <v>648</v>
      </c>
      <c r="F441" s="34" t="str">
        <f>IF(ISBLANK(Table2[[#This Row],[unique_id]]), "", PROPER(SUBSTITUTE(Table2[[#This Row],[unique_id]], "_", " ")))</f>
        <v>Office Tv</v>
      </c>
      <c r="G441" s="28" t="s">
        <v>649</v>
      </c>
      <c r="H441" s="28" t="s">
        <v>693</v>
      </c>
      <c r="I441" s="28" t="s">
        <v>135</v>
      </c>
      <c r="N441" s="28" t="s">
        <v>127</v>
      </c>
      <c r="O441" s="28" t="s">
        <v>257</v>
      </c>
      <c r="P441" s="29"/>
      <c r="Q441" s="28"/>
      <c r="U441" s="35"/>
      <c r="V441" s="35"/>
      <c r="W441" s="35"/>
      <c r="X441" s="28"/>
      <c r="AD441" s="29"/>
      <c r="AE441" s="29"/>
      <c r="AF441" s="29"/>
      <c r="AG441" s="29"/>
      <c r="AO441" s="29"/>
      <c r="AP441" s="29"/>
      <c r="BA441" s="28"/>
      <c r="BB441" s="38"/>
      <c r="BD44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google-office-tv</v>
      </c>
      <c r="BE44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TV</v>
      </c>
      <c r="BF44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1" s="28" t="str">
        <f>IF(ISBLANK(Table2[[#This Row],[device_model]]), "", Table2[[#This Row],[device_suggested_area]])</f>
        <v>Office</v>
      </c>
      <c r="BJ441" s="28" t="s">
        <v>927</v>
      </c>
      <c r="BK441" s="28" t="s">
        <v>363</v>
      </c>
      <c r="BL441" s="28" t="s">
        <v>223</v>
      </c>
      <c r="BN441" s="28" t="s">
        <v>364</v>
      </c>
      <c r="BO441" s="28" t="s">
        <v>201</v>
      </c>
      <c r="BS441" s="28" t="s">
        <v>1185</v>
      </c>
      <c r="BT441" s="39" t="s">
        <v>392</v>
      </c>
      <c r="BU441" s="37" t="s">
        <v>1197</v>
      </c>
      <c r="BV44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"48:d6:d5:33:7c:28"], ["ip", "10.0.3.53"]]</v>
      </c>
    </row>
    <row r="442" spans="1:74" ht="16" customHeight="1" x14ac:dyDescent="0.2">
      <c r="A442" s="28">
        <v>2711</v>
      </c>
      <c r="B442" s="28" t="s">
        <v>26</v>
      </c>
      <c r="C442" s="28" t="s">
        <v>409</v>
      </c>
      <c r="D442" s="28" t="s">
        <v>304</v>
      </c>
      <c r="E442" s="28" t="s">
        <v>303</v>
      </c>
      <c r="F442" s="34" t="str">
        <f>IF(ISBLANK(Table2[[#This Row],[unique_id]]), "", PROPER(SUBSTITUTE(Table2[[#This Row],[unique_id]], "_", " ")))</f>
        <v>Column Break</v>
      </c>
      <c r="G442" s="28" t="s">
        <v>300</v>
      </c>
      <c r="H442" s="28" t="s">
        <v>693</v>
      </c>
      <c r="I442" s="28" t="s">
        <v>135</v>
      </c>
      <c r="N442" s="28" t="s">
        <v>301</v>
      </c>
      <c r="O442" s="28" t="s">
        <v>302</v>
      </c>
      <c r="P442" s="29"/>
      <c r="Q442" s="28"/>
      <c r="U442" s="35"/>
      <c r="V442" s="35"/>
      <c r="W442" s="35"/>
      <c r="X442" s="28"/>
      <c r="AD442" s="29"/>
      <c r="AE442" s="29"/>
      <c r="AF442" s="29"/>
      <c r="AG442" s="29"/>
      <c r="AO442" s="29"/>
      <c r="AP442" s="29"/>
      <c r="BA442" s="28"/>
      <c r="BB442" s="38"/>
      <c r="BC442" s="29"/>
      <c r="BD44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4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4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2" s="28" t="str">
        <f>IF(ISBLANK(Table2[[#This Row],[device_model]]), "", Table2[[#This Row],[device_suggested_area]])</f>
        <v/>
      </c>
      <c r="BN442" s="29"/>
      <c r="BT442" s="28"/>
      <c r="BV44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3" spans="1:74" ht="16" customHeight="1" x14ac:dyDescent="0.2">
      <c r="A443" s="28">
        <v>2712</v>
      </c>
      <c r="B443" s="28" t="s">
        <v>26</v>
      </c>
      <c r="C443" s="28" t="s">
        <v>171</v>
      </c>
      <c r="D443" s="28" t="s">
        <v>136</v>
      </c>
      <c r="E443" s="28" t="s">
        <v>682</v>
      </c>
      <c r="F443" s="34" t="str">
        <f>IF(ISBLANK(Table2[[#This Row],[unique_id]]), "", PROPER(SUBSTITUTE(Table2[[#This Row],[unique_id]], "_", " ")))</f>
        <v>Lounge Arc</v>
      </c>
      <c r="G443" s="28" t="s">
        <v>685</v>
      </c>
      <c r="H443" s="28" t="s">
        <v>693</v>
      </c>
      <c r="I443" s="28" t="s">
        <v>135</v>
      </c>
      <c r="N443" s="28" t="s">
        <v>127</v>
      </c>
      <c r="O443" s="28" t="s">
        <v>257</v>
      </c>
      <c r="P443" s="29" t="s">
        <v>736</v>
      </c>
      <c r="Q443" s="28"/>
      <c r="S443" s="39"/>
      <c r="U443" s="35" t="str">
        <f>_xlfn.CONCAT("name: ", Table2[[#This Row],[friendly_name]])</f>
        <v>name: Lounge Arc</v>
      </c>
      <c r="V443" s="35"/>
      <c r="W443" s="35"/>
      <c r="X443" s="28"/>
      <c r="AD443" s="29"/>
      <c r="AE443" s="29"/>
      <c r="AF443" s="29"/>
      <c r="AG443" s="29"/>
      <c r="AO443" s="29"/>
      <c r="AP443" s="29"/>
      <c r="BA443" s="28"/>
      <c r="BB443" s="38"/>
      <c r="BD4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sonos-lounge-arc</v>
      </c>
      <c r="BE4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Arc</v>
      </c>
      <c r="BF4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3" s="28" t="str">
        <f>IF(ISBLANK(Table2[[#This Row],[device_model]]), "", Table2[[#This Row],[device_suggested_area]])</f>
        <v>Lounge</v>
      </c>
      <c r="BJ443" s="28" t="s">
        <v>548</v>
      </c>
      <c r="BK443" s="28" t="s">
        <v>987</v>
      </c>
      <c r="BL443" s="28" t="s">
        <v>171</v>
      </c>
      <c r="BN443" s="28">
        <v>15.4</v>
      </c>
      <c r="BO443" s="28" t="s">
        <v>183</v>
      </c>
      <c r="BS443" s="28" t="s">
        <v>1185</v>
      </c>
      <c r="BT443" s="28" t="s">
        <v>549</v>
      </c>
      <c r="BU443" s="37" t="s">
        <v>1198</v>
      </c>
      <c r="BV4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"38:42:0b:47:73:dc"], ["ip", "10.0.3.43"]]</v>
      </c>
    </row>
    <row r="444" spans="1:74" ht="16" customHeight="1" x14ac:dyDescent="0.2">
      <c r="A444" s="28">
        <v>2713</v>
      </c>
      <c r="B444" s="28" t="s">
        <v>543</v>
      </c>
      <c r="C444" s="28" t="s">
        <v>756</v>
      </c>
      <c r="D444" s="28" t="s">
        <v>139</v>
      </c>
      <c r="E444" s="28" t="s">
        <v>758</v>
      </c>
      <c r="F444" s="34" t="str">
        <f>IF(ISBLANK(Table2[[#This Row],[unique_id]]), "", PROPER(SUBSTITUTE(Table2[[#This Row],[unique_id]], "_", " ")))</f>
        <v>Template Kitchen Move Proxy</v>
      </c>
      <c r="G444" s="28" t="s">
        <v>686</v>
      </c>
      <c r="H444" s="28" t="s">
        <v>693</v>
      </c>
      <c r="I444" s="28" t="s">
        <v>135</v>
      </c>
      <c r="P444" s="29" t="s">
        <v>736</v>
      </c>
      <c r="Q444" s="28" t="s">
        <v>155</v>
      </c>
      <c r="R444" s="28" t="s">
        <v>708</v>
      </c>
      <c r="S444" s="39" t="s">
        <v>693</v>
      </c>
      <c r="T444" s="28" t="str">
        <f>_xlfn.CONCAT( Table2[[#This Row],[friendly_name]], " Devices")</f>
        <v>Kitchen Move Devices</v>
      </c>
      <c r="U444" s="35" t="s">
        <v>761</v>
      </c>
      <c r="V444" s="35"/>
      <c r="W444" s="35"/>
      <c r="X444" s="28"/>
      <c r="AD444" s="29"/>
      <c r="AE444" s="29"/>
      <c r="AF444" s="29"/>
      <c r="AG444" s="29"/>
      <c r="AO444" s="29"/>
      <c r="AP444" s="29"/>
      <c r="BA444" s="28"/>
      <c r="BB444" s="38"/>
      <c r="BC444" s="28" t="s">
        <v>136</v>
      </c>
      <c r="BD4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sonos-kitchen-move</v>
      </c>
      <c r="BE4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Move</v>
      </c>
      <c r="BF4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4" s="28" t="str">
        <f>IF(ISBLANK(Table2[[#This Row],[device_model]]), "", Table2[[#This Row],[device_suggested_area]])</f>
        <v>Kitchen</v>
      </c>
      <c r="BJ444" s="28" t="s">
        <v>336</v>
      </c>
      <c r="BK444" s="28" t="s">
        <v>985</v>
      </c>
      <c r="BL444" s="28" t="s">
        <v>171</v>
      </c>
      <c r="BN444" s="28">
        <v>15.4</v>
      </c>
      <c r="BO444" s="28" t="s">
        <v>195</v>
      </c>
      <c r="BT444" s="28"/>
      <c r="BU444" s="37"/>
      <c r="BV4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5" spans="1:74" ht="16" customHeight="1" x14ac:dyDescent="0.2">
      <c r="A445" s="28">
        <v>2714</v>
      </c>
      <c r="B445" s="28" t="s">
        <v>26</v>
      </c>
      <c r="C445" s="28" t="s">
        <v>171</v>
      </c>
      <c r="D445" s="28" t="s">
        <v>136</v>
      </c>
      <c r="E445" s="28" t="s">
        <v>681</v>
      </c>
      <c r="F445" s="34" t="str">
        <f>IF(ISBLANK(Table2[[#This Row],[unique_id]]), "", PROPER(SUBSTITUTE(Table2[[#This Row],[unique_id]], "_", " ")))</f>
        <v>Kitchen Move</v>
      </c>
      <c r="G445" s="28" t="s">
        <v>686</v>
      </c>
      <c r="H445" s="28" t="s">
        <v>693</v>
      </c>
      <c r="I445" s="28" t="s">
        <v>135</v>
      </c>
      <c r="N445" s="28" t="s">
        <v>127</v>
      </c>
      <c r="O445" s="28" t="s">
        <v>257</v>
      </c>
      <c r="P445" s="29" t="s">
        <v>736</v>
      </c>
      <c r="Q445" s="28" t="s">
        <v>155</v>
      </c>
      <c r="R445" s="28" t="s">
        <v>708</v>
      </c>
      <c r="S445" s="39" t="s">
        <v>693</v>
      </c>
      <c r="T445" s="28" t="str">
        <f>_xlfn.CONCAT( Table2[[#This Row],[friendly_name]], " Devices")</f>
        <v>Kitchen Move Devices</v>
      </c>
      <c r="U445" s="35"/>
      <c r="V445" s="35"/>
      <c r="W445" s="35"/>
      <c r="X445" s="28"/>
      <c r="AD445" s="29"/>
      <c r="AE445" s="29"/>
      <c r="AF445" s="29"/>
      <c r="AG445" s="29"/>
      <c r="AO445" s="29"/>
      <c r="AP445" s="29"/>
      <c r="BA445" s="28"/>
      <c r="BB445" s="38"/>
      <c r="BD4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sonos-kitchen-move</v>
      </c>
      <c r="BE4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Move</v>
      </c>
      <c r="BF4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5" s="28" t="str">
        <f>IF(ISBLANK(Table2[[#This Row],[device_model]]), "", Table2[[#This Row],[device_suggested_area]])</f>
        <v>Kitchen</v>
      </c>
      <c r="BJ445" s="28" t="s">
        <v>336</v>
      </c>
      <c r="BK445" s="28" t="s">
        <v>985</v>
      </c>
      <c r="BL445" s="28" t="s">
        <v>171</v>
      </c>
      <c r="BN445" s="28">
        <v>15.4</v>
      </c>
      <c r="BO445" s="28" t="s">
        <v>195</v>
      </c>
      <c r="BS445" s="28" t="s">
        <v>1185</v>
      </c>
      <c r="BT445" s="28" t="s">
        <v>339</v>
      </c>
      <c r="BU445" s="37" t="s">
        <v>1199</v>
      </c>
      <c r="BV4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"48:a6:b8:e2:50:40"], ["ip", "10.0.3.41"]]</v>
      </c>
    </row>
    <row r="446" spans="1:74" ht="16" customHeight="1" x14ac:dyDescent="0.2">
      <c r="A446" s="28">
        <v>2715</v>
      </c>
      <c r="B446" s="28" t="s">
        <v>26</v>
      </c>
      <c r="C446" s="28" t="s">
        <v>171</v>
      </c>
      <c r="D446" s="28" t="s">
        <v>136</v>
      </c>
      <c r="E446" s="28" t="s">
        <v>680</v>
      </c>
      <c r="F446" s="34" t="str">
        <f>IF(ISBLANK(Table2[[#This Row],[unique_id]]), "", PROPER(SUBSTITUTE(Table2[[#This Row],[unique_id]], "_", " ")))</f>
        <v>Kitchen Five</v>
      </c>
      <c r="G446" s="28" t="s">
        <v>687</v>
      </c>
      <c r="H446" s="28" t="s">
        <v>693</v>
      </c>
      <c r="I446" s="28" t="s">
        <v>135</v>
      </c>
      <c r="N446" s="28" t="s">
        <v>127</v>
      </c>
      <c r="O446" s="28" t="s">
        <v>257</v>
      </c>
      <c r="P446" s="29" t="s">
        <v>736</v>
      </c>
      <c r="Q446" s="28" t="s">
        <v>155</v>
      </c>
      <c r="R446" s="28" t="s">
        <v>708</v>
      </c>
      <c r="S446" s="39" t="s">
        <v>693</v>
      </c>
      <c r="T446" s="28" t="str">
        <f>_xlfn.CONCAT( Table2[[#This Row],[friendly_name]], " Devices")</f>
        <v>Kitchen Five Devices</v>
      </c>
      <c r="U446" s="35"/>
      <c r="V446" s="35"/>
      <c r="W446" s="35"/>
      <c r="X446" s="28"/>
      <c r="AD446" s="29"/>
      <c r="AE446" s="29"/>
      <c r="AF446" s="29"/>
      <c r="AG446" s="29"/>
      <c r="AO446" s="29"/>
      <c r="AP446" s="29"/>
      <c r="BA446" s="28"/>
      <c r="BB446" s="38"/>
      <c r="BD4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sonos-kitchen-five</v>
      </c>
      <c r="BE4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Five</v>
      </c>
      <c r="BF4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6" s="28" t="str">
        <f>IF(ISBLANK(Table2[[#This Row],[device_model]]), "", Table2[[#This Row],[device_suggested_area]])</f>
        <v>Kitchen</v>
      </c>
      <c r="BJ446" s="28" t="s">
        <v>760</v>
      </c>
      <c r="BK446" s="28" t="s">
        <v>986</v>
      </c>
      <c r="BL446" s="28" t="s">
        <v>171</v>
      </c>
      <c r="BN446" s="28">
        <v>15.4</v>
      </c>
      <c r="BO446" s="28" t="s">
        <v>195</v>
      </c>
      <c r="BS446" s="28" t="s">
        <v>1185</v>
      </c>
      <c r="BT446" s="35" t="s">
        <v>338</v>
      </c>
      <c r="BU446" s="37" t="s">
        <v>1200</v>
      </c>
      <c r="BV4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"5c:aa:fd:f1:a3:d4"], ["ip", "10.0.3.42"]]</v>
      </c>
    </row>
    <row r="447" spans="1:74" ht="16" customHeight="1" x14ac:dyDescent="0.2">
      <c r="A447" s="28">
        <v>2716</v>
      </c>
      <c r="B447" s="28" t="s">
        <v>543</v>
      </c>
      <c r="C447" s="28" t="s">
        <v>756</v>
      </c>
      <c r="D447" s="28" t="s">
        <v>139</v>
      </c>
      <c r="E447" s="28" t="s">
        <v>759</v>
      </c>
      <c r="F447" s="34" t="str">
        <f>IF(ISBLANK(Table2[[#This Row],[unique_id]]), "", PROPER(SUBSTITUTE(Table2[[#This Row],[unique_id]], "_", " ")))</f>
        <v>Template Parents Move Proxy</v>
      </c>
      <c r="G447" s="28" t="s">
        <v>688</v>
      </c>
      <c r="H447" s="28" t="s">
        <v>693</v>
      </c>
      <c r="I447" s="28" t="s">
        <v>135</v>
      </c>
      <c r="P447" s="29" t="s">
        <v>736</v>
      </c>
      <c r="Q447" s="28" t="s">
        <v>155</v>
      </c>
      <c r="R447" s="28" t="s">
        <v>708</v>
      </c>
      <c r="S447" s="39" t="s">
        <v>693</v>
      </c>
      <c r="T447" s="28" t="str">
        <f>_xlfn.CONCAT( Table2[[#This Row],[friendly_name]], " Devices")</f>
        <v>Parents Move Devices</v>
      </c>
      <c r="U447" s="35" t="s">
        <v>761</v>
      </c>
      <c r="V447" s="35"/>
      <c r="W447" s="35"/>
      <c r="X447" s="28"/>
      <c r="AD447" s="29"/>
      <c r="AE447" s="29"/>
      <c r="AF447" s="29"/>
      <c r="AG447" s="29"/>
      <c r="AO447" s="29"/>
      <c r="AP447" s="29"/>
      <c r="BA447" s="28"/>
      <c r="BB447" s="38"/>
      <c r="BC447" s="28" t="s">
        <v>136</v>
      </c>
      <c r="BD4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sonos-parents-move</v>
      </c>
      <c r="BE4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Move</v>
      </c>
      <c r="BF4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7" s="28" t="str">
        <f>IF(ISBLANK(Table2[[#This Row],[device_model]]), "", Table2[[#This Row],[device_suggested_area]])</f>
        <v>Parents</v>
      </c>
      <c r="BJ447" s="28" t="s">
        <v>336</v>
      </c>
      <c r="BK447" s="28" t="s">
        <v>985</v>
      </c>
      <c r="BL447" s="28" t="s">
        <v>171</v>
      </c>
      <c r="BN447" s="28">
        <v>15.4</v>
      </c>
      <c r="BO447" s="28" t="s">
        <v>181</v>
      </c>
      <c r="BT447" s="28"/>
      <c r="BU447" s="37"/>
      <c r="BV4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8" spans="1:74" ht="16" customHeight="1" x14ac:dyDescent="0.2">
      <c r="A448" s="28">
        <v>2717</v>
      </c>
      <c r="B448" s="28" t="s">
        <v>26</v>
      </c>
      <c r="C448" s="28" t="s">
        <v>171</v>
      </c>
      <c r="D448" s="28" t="s">
        <v>136</v>
      </c>
      <c r="E448" s="28" t="s">
        <v>679</v>
      </c>
      <c r="F448" s="34" t="str">
        <f>IF(ISBLANK(Table2[[#This Row],[unique_id]]), "", PROPER(SUBSTITUTE(Table2[[#This Row],[unique_id]], "_", " ")))</f>
        <v>Parents Move</v>
      </c>
      <c r="G448" s="28" t="s">
        <v>688</v>
      </c>
      <c r="H448" s="28" t="s">
        <v>693</v>
      </c>
      <c r="I448" s="28" t="s">
        <v>135</v>
      </c>
      <c r="N448" s="28" t="s">
        <v>127</v>
      </c>
      <c r="O448" s="28" t="s">
        <v>257</v>
      </c>
      <c r="P448" s="29" t="s">
        <v>736</v>
      </c>
      <c r="Q448" s="28" t="s">
        <v>155</v>
      </c>
      <c r="R448" s="28" t="s">
        <v>708</v>
      </c>
      <c r="S448" s="39" t="s">
        <v>693</v>
      </c>
      <c r="T448" s="28" t="str">
        <f>_xlfn.CONCAT( Table2[[#This Row],[friendly_name]], " Devices")</f>
        <v>Parents Move Devices</v>
      </c>
      <c r="U448" s="35"/>
      <c r="V448" s="35"/>
      <c r="W448" s="35"/>
      <c r="X448" s="28"/>
      <c r="AD448" s="29"/>
      <c r="AE448" s="29"/>
      <c r="AF448" s="29"/>
      <c r="AG448" s="29"/>
      <c r="AO448" s="29"/>
      <c r="AP448" s="29"/>
      <c r="BA448" s="28"/>
      <c r="BB448" s="38"/>
      <c r="BD4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sonos-parents-move</v>
      </c>
      <c r="BE4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Move</v>
      </c>
      <c r="BF4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8" s="28" t="str">
        <f>IF(ISBLANK(Table2[[#This Row],[device_model]]), "", Table2[[#This Row],[device_suggested_area]])</f>
        <v>Parents</v>
      </c>
      <c r="BJ448" s="28" t="s">
        <v>336</v>
      </c>
      <c r="BK448" s="28" t="s">
        <v>985</v>
      </c>
      <c r="BL448" s="28" t="s">
        <v>171</v>
      </c>
      <c r="BN448" s="28">
        <v>15.4</v>
      </c>
      <c r="BO448" s="28" t="s">
        <v>181</v>
      </c>
      <c r="BS448" s="28" t="s">
        <v>1185</v>
      </c>
      <c r="BT448" s="28" t="s">
        <v>337</v>
      </c>
      <c r="BU448" s="37" t="s">
        <v>1201</v>
      </c>
      <c r="BV4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"5c:aa:fd:d1:23:be"], ["ip", "10.0.3.40"]]</v>
      </c>
    </row>
    <row r="449" spans="1:74" ht="16" customHeight="1" x14ac:dyDescent="0.2">
      <c r="A449" s="28">
        <v>2718</v>
      </c>
      <c r="B449" s="28" t="s">
        <v>26</v>
      </c>
      <c r="C449" s="28" t="s">
        <v>251</v>
      </c>
      <c r="D449" s="28" t="s">
        <v>136</v>
      </c>
      <c r="E449" s="28" t="s">
        <v>1244</v>
      </c>
      <c r="F449" s="34" t="str">
        <f>IF(ISBLANK(Table2[[#This Row],[unique_id]]), "", PROPER(SUBSTITUTE(Table2[[#This Row],[unique_id]], "_", " ")))</f>
        <v>Parents Homepod</v>
      </c>
      <c r="G449" s="28" t="s">
        <v>1245</v>
      </c>
      <c r="H449" s="28" t="s">
        <v>693</v>
      </c>
      <c r="I449" s="28" t="s">
        <v>135</v>
      </c>
      <c r="P449" s="29"/>
      <c r="Q449" s="28"/>
      <c r="U449" s="35"/>
      <c r="V449" s="35"/>
      <c r="W449" s="35"/>
      <c r="X449" s="28"/>
      <c r="AD449" s="29"/>
      <c r="AE449" s="29"/>
      <c r="AF449" s="29"/>
      <c r="AG449" s="29"/>
      <c r="AO449" s="29"/>
      <c r="AP449" s="29"/>
      <c r="BA449" s="28"/>
      <c r="BB449" s="38"/>
      <c r="BD4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apple-parents-homepod</v>
      </c>
      <c r="BE4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HomePod</v>
      </c>
      <c r="BF4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49" s="28" t="str">
        <f>IF(ISBLANK(Table2[[#This Row],[device_model]]), "", Table2[[#This Row],[device_suggested_area]])</f>
        <v>Parents</v>
      </c>
      <c r="BJ449" s="28" t="s">
        <v>1246</v>
      </c>
      <c r="BK449" s="28" t="s">
        <v>988</v>
      </c>
      <c r="BL449" s="28" t="s">
        <v>251</v>
      </c>
      <c r="BN449" s="28" t="s">
        <v>368</v>
      </c>
      <c r="BO449" s="28" t="s">
        <v>181</v>
      </c>
      <c r="BS449" s="28" t="s">
        <v>1185</v>
      </c>
      <c r="BT449" s="39" t="s">
        <v>371</v>
      </c>
      <c r="BU449" s="37" t="s">
        <v>1202</v>
      </c>
      <c r="BV4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"d4:a3:3d:5c:8c:28"], ["ip", "10.0.3.48"]]</v>
      </c>
    </row>
    <row r="450" spans="1:74" ht="16" customHeight="1" x14ac:dyDescent="0.2">
      <c r="A450" s="28">
        <v>2750</v>
      </c>
      <c r="B450" s="28" t="s">
        <v>26</v>
      </c>
      <c r="C450" s="28" t="s">
        <v>141</v>
      </c>
      <c r="D450" s="28" t="s">
        <v>281</v>
      </c>
      <c r="E450" s="28" t="s">
        <v>616</v>
      </c>
      <c r="F450" s="34" t="str">
        <f>IF(ISBLANK(Table2[[#This Row],[unique_id]]), "", PROPER(SUBSTITUTE(Table2[[#This Row],[unique_id]], "_", " ")))</f>
        <v>Back Door Lock Security</v>
      </c>
      <c r="G450" s="28" t="s">
        <v>612</v>
      </c>
      <c r="H450" s="28" t="s">
        <v>594</v>
      </c>
      <c r="I450" s="28" t="s">
        <v>198</v>
      </c>
      <c r="N450" s="28" t="s">
        <v>127</v>
      </c>
      <c r="P450" s="29"/>
      <c r="Q450" s="28"/>
      <c r="U450" s="35"/>
      <c r="V450" s="35"/>
      <c r="W450" s="35"/>
      <c r="X450" s="28"/>
      <c r="AD450" s="29"/>
      <c r="AE450" s="29"/>
      <c r="AF450" s="29"/>
      <c r="AG450" s="29"/>
      <c r="AM450" s="28" t="s">
        <v>627</v>
      </c>
      <c r="AO450" s="29"/>
      <c r="AP450" s="29"/>
      <c r="BA450" s="28"/>
      <c r="BB450" s="38"/>
      <c r="BC450" s="29"/>
      <c r="BD4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50" s="28" t="str">
        <f>IF(ISBLANK(Table2[[#This Row],[device_model]]), "", Table2[[#This Row],[device_suggested_area]])</f>
        <v/>
      </c>
      <c r="BN450" s="29"/>
      <c r="BT450" s="39"/>
      <c r="BU450" s="37"/>
      <c r="BV4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1" spans="1:74" ht="16" customHeight="1" x14ac:dyDescent="0.2">
      <c r="A451" s="28">
        <v>2751</v>
      </c>
      <c r="B451" s="28" t="s">
        <v>26</v>
      </c>
      <c r="C451" s="28" t="s">
        <v>141</v>
      </c>
      <c r="D451" s="28" t="s">
        <v>139</v>
      </c>
      <c r="E451" s="28" t="s">
        <v>629</v>
      </c>
      <c r="F451" s="34" t="str">
        <f>IF(ISBLANK(Table2[[#This Row],[unique_id]]), "", PROPER(SUBSTITUTE(Table2[[#This Row],[unique_id]], "_", " ")))</f>
        <v>Template Back Door State</v>
      </c>
      <c r="G451" s="28" t="s">
        <v>261</v>
      </c>
      <c r="H451" s="28" t="s">
        <v>594</v>
      </c>
      <c r="I451" s="28" t="s">
        <v>198</v>
      </c>
      <c r="P451" s="29"/>
      <c r="Q451" s="28"/>
      <c r="U451" s="35"/>
      <c r="V451" s="35"/>
      <c r="W451" s="35"/>
      <c r="X451" s="28"/>
      <c r="AD451" s="29"/>
      <c r="AE451" s="29"/>
      <c r="AF451" s="29"/>
      <c r="AG451" s="29"/>
      <c r="AO451" s="29"/>
      <c r="AP451" s="29"/>
      <c r="BA451" s="28"/>
      <c r="BB451" s="38"/>
      <c r="BC451" s="29"/>
      <c r="BD4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51" s="28" t="str">
        <f>IF(ISBLANK(Table2[[#This Row],[device_model]]), "", Table2[[#This Row],[device_suggested_area]])</f>
        <v/>
      </c>
      <c r="BN451" s="29"/>
      <c r="BT451" s="39"/>
      <c r="BU451" s="37"/>
      <c r="BV4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2" spans="1:74" ht="16" customHeight="1" x14ac:dyDescent="0.2">
      <c r="A452" s="28">
        <v>2752</v>
      </c>
      <c r="B452" s="28" t="s">
        <v>26</v>
      </c>
      <c r="C452" s="28" t="s">
        <v>585</v>
      </c>
      <c r="D452" s="28" t="s">
        <v>588</v>
      </c>
      <c r="E452" s="28" t="s">
        <v>589</v>
      </c>
      <c r="F452" s="34" t="str">
        <f>IF(ISBLANK(Table2[[#This Row],[unique_id]]), "", PROPER(SUBSTITUTE(Table2[[#This Row],[unique_id]], "_", " ")))</f>
        <v>Back Door Lock</v>
      </c>
      <c r="G452" s="28" t="s">
        <v>631</v>
      </c>
      <c r="H452" s="28" t="s">
        <v>594</v>
      </c>
      <c r="I452" s="28" t="s">
        <v>198</v>
      </c>
      <c r="N452" s="28" t="s">
        <v>127</v>
      </c>
      <c r="P452" s="29"/>
      <c r="Q452" s="28"/>
      <c r="U452" s="35"/>
      <c r="V452" s="35"/>
      <c r="W452" s="35"/>
      <c r="X452" s="28"/>
      <c r="AD452" s="29"/>
      <c r="AE452" s="29" t="s">
        <v>455</v>
      </c>
      <c r="AF452" s="29"/>
      <c r="AG452" s="40" t="s">
        <v>704</v>
      </c>
      <c r="AO452" s="29"/>
      <c r="AP452" s="29"/>
      <c r="BA452" s="28"/>
      <c r="BB452" s="38"/>
      <c r="BD4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back-door-lock</v>
      </c>
      <c r="BE4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Back Door Lock</v>
      </c>
      <c r="BF4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52" s="28" t="str">
        <f>Table2[[#This Row],[device_suggested_area]]</f>
        <v>Back Door</v>
      </c>
      <c r="BI452" s="28" t="str">
        <f>IF(ISBLANK(Table2[[#This Row],[device_model]]), "", Table2[[#This Row],[device_suggested_area]])</f>
        <v>Back Door</v>
      </c>
      <c r="BJ452" s="28" t="s">
        <v>978</v>
      </c>
      <c r="BK452" s="28" t="s">
        <v>586</v>
      </c>
      <c r="BL452" s="28" t="s">
        <v>585</v>
      </c>
      <c r="BN452" s="28" t="s">
        <v>587</v>
      </c>
      <c r="BO452" s="28" t="s">
        <v>594</v>
      </c>
      <c r="BT452" s="28" t="s">
        <v>584</v>
      </c>
      <c r="BV4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"0x000d6f0011274420"]]</v>
      </c>
    </row>
    <row r="453" spans="1:74" ht="16" customHeight="1" x14ac:dyDescent="0.2">
      <c r="A453" s="28">
        <v>2753</v>
      </c>
      <c r="B453" s="28" t="s">
        <v>26</v>
      </c>
      <c r="C453" s="28" t="s">
        <v>305</v>
      </c>
      <c r="D453" s="28" t="s">
        <v>139</v>
      </c>
      <c r="E453" s="28" t="s">
        <v>622</v>
      </c>
      <c r="F453" s="34" t="str">
        <f>IF(ISBLANK(Table2[[#This Row],[unique_id]]), "", PROPER(SUBSTITUTE(Table2[[#This Row],[unique_id]], "_", " ")))</f>
        <v>Template Back Door Sensor Contact Last</v>
      </c>
      <c r="G453" s="28" t="s">
        <v>630</v>
      </c>
      <c r="H453" s="28" t="s">
        <v>594</v>
      </c>
      <c r="I453" s="28" t="s">
        <v>198</v>
      </c>
      <c r="N453" s="28" t="s">
        <v>127</v>
      </c>
      <c r="P453" s="29"/>
      <c r="Q453" s="28"/>
      <c r="U453" s="35"/>
      <c r="V453" s="35"/>
      <c r="W453" s="35"/>
      <c r="X453" s="28"/>
      <c r="AD453" s="29"/>
      <c r="AE453" s="29" t="s">
        <v>455</v>
      </c>
      <c r="AF453" s="29"/>
      <c r="AG453" s="40" t="s">
        <v>704</v>
      </c>
      <c r="AO453" s="29"/>
      <c r="AP453" s="29"/>
      <c r="BA453" s="28"/>
      <c r="BB453" s="38"/>
      <c r="BD4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back-door-sensor</v>
      </c>
      <c r="BE4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Back Door Sensor</v>
      </c>
      <c r="BF4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53" s="35" t="str">
        <f>Table2[[#This Row],[device_suggested_area]]</f>
        <v>Back Door</v>
      </c>
      <c r="BI453" s="28" t="str">
        <f>IF(ISBLANK(Table2[[#This Row],[device_model]]), "", Table2[[#This Row],[device_suggested_area]])</f>
        <v>Back Door</v>
      </c>
      <c r="BJ453" s="35" t="s">
        <v>982</v>
      </c>
      <c r="BK453" s="35" t="s">
        <v>605</v>
      </c>
      <c r="BL453" s="28" t="s">
        <v>1053</v>
      </c>
      <c r="BN453" s="28" t="s">
        <v>587</v>
      </c>
      <c r="BO453" s="28" t="s">
        <v>594</v>
      </c>
      <c r="BT453" s="28" t="s">
        <v>607</v>
      </c>
      <c r="BV4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"0x00124b0029119f9a"]]</v>
      </c>
    </row>
    <row r="454" spans="1:74" ht="16" customHeight="1" x14ac:dyDescent="0.2">
      <c r="A454" s="28">
        <v>2754</v>
      </c>
      <c r="B454" s="28" t="s">
        <v>543</v>
      </c>
      <c r="C454" s="28" t="s">
        <v>222</v>
      </c>
      <c r="D454" s="28" t="s">
        <v>138</v>
      </c>
      <c r="F454" s="34" t="str">
        <f>IF(ISBLANK(Table2[[#This Row],[unique_id]]), "", PROPER(SUBSTITUTE(Table2[[#This Row],[unique_id]], "_", " ")))</f>
        <v/>
      </c>
      <c r="G454" s="28" t="s">
        <v>594</v>
      </c>
      <c r="H454" s="28" t="s">
        <v>602</v>
      </c>
      <c r="I454" s="28" t="s">
        <v>198</v>
      </c>
      <c r="P454" s="29"/>
      <c r="Q454" s="28"/>
      <c r="U454" s="35"/>
      <c r="V454" s="35"/>
      <c r="W454" s="35"/>
      <c r="X454" s="28"/>
      <c r="AD454" s="29"/>
      <c r="AE454" s="29"/>
      <c r="AF454" s="29"/>
      <c r="AG454" s="29"/>
      <c r="AO454" s="29"/>
      <c r="AP454" s="29"/>
      <c r="BA454" s="28"/>
      <c r="BB454" s="38"/>
      <c r="BC454" s="29"/>
      <c r="BD4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54" s="28" t="str">
        <f>IF(ISBLANK(Table2[[#This Row],[device_model]]), "", Table2[[#This Row],[device_suggested_area]])</f>
        <v/>
      </c>
      <c r="BK454" s="35"/>
      <c r="BN454" s="29"/>
      <c r="BT454" s="28"/>
      <c r="BV4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5" spans="1:74" ht="16" customHeight="1" x14ac:dyDescent="0.2">
      <c r="A455" s="28">
        <v>2755</v>
      </c>
      <c r="B455" s="28" t="s">
        <v>26</v>
      </c>
      <c r="C455" s="28" t="s">
        <v>141</v>
      </c>
      <c r="D455" s="28" t="s">
        <v>281</v>
      </c>
      <c r="E455" s="28" t="s">
        <v>617</v>
      </c>
      <c r="F455" s="34" t="str">
        <f>IF(ISBLANK(Table2[[#This Row],[unique_id]]), "", PROPER(SUBSTITUTE(Table2[[#This Row],[unique_id]], "_", " ")))</f>
        <v>Front Door Lock Security</v>
      </c>
      <c r="G455" s="28" t="s">
        <v>612</v>
      </c>
      <c r="H455" s="28" t="s">
        <v>593</v>
      </c>
      <c r="I455" s="28" t="s">
        <v>198</v>
      </c>
      <c r="N455" s="28" t="s">
        <v>127</v>
      </c>
      <c r="P455" s="29"/>
      <c r="Q455" s="28"/>
      <c r="U455" s="35"/>
      <c r="V455" s="35"/>
      <c r="W455" s="35"/>
      <c r="X455" s="28"/>
      <c r="AD455" s="29"/>
      <c r="AE455" s="29"/>
      <c r="AF455" s="29"/>
      <c r="AG455" s="29"/>
      <c r="AM455" s="28" t="s">
        <v>627</v>
      </c>
      <c r="AO455" s="29"/>
      <c r="AP455" s="29"/>
      <c r="BA455" s="28"/>
      <c r="BB455" s="38"/>
      <c r="BC455" s="29"/>
      <c r="BD4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55" s="28" t="str">
        <f>IF(ISBLANK(Table2[[#This Row],[device_model]]), "", Table2[[#This Row],[device_suggested_area]])</f>
        <v/>
      </c>
      <c r="BN455" s="29"/>
      <c r="BT455" s="39"/>
      <c r="BU455" s="37"/>
      <c r="BV4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6" spans="1:74" ht="16" customHeight="1" x14ac:dyDescent="0.2">
      <c r="A456" s="28">
        <v>2756</v>
      </c>
      <c r="B456" s="28" t="s">
        <v>26</v>
      </c>
      <c r="C456" s="28" t="s">
        <v>141</v>
      </c>
      <c r="D456" s="28" t="s">
        <v>139</v>
      </c>
      <c r="E456" s="28" t="s">
        <v>628</v>
      </c>
      <c r="F456" s="34" t="str">
        <f>IF(ISBLANK(Table2[[#This Row],[unique_id]]), "", PROPER(SUBSTITUTE(Table2[[#This Row],[unique_id]], "_", " ")))</f>
        <v>Template Front Door State</v>
      </c>
      <c r="G456" s="28" t="s">
        <v>261</v>
      </c>
      <c r="H456" s="28" t="s">
        <v>593</v>
      </c>
      <c r="I456" s="28" t="s">
        <v>198</v>
      </c>
      <c r="P456" s="29"/>
      <c r="Q456" s="28"/>
      <c r="U456" s="35"/>
      <c r="V456" s="35"/>
      <c r="W456" s="35"/>
      <c r="X456" s="28"/>
      <c r="AD456" s="29"/>
      <c r="AE456" s="29"/>
      <c r="AF456" s="29"/>
      <c r="AG456" s="29"/>
      <c r="AO456" s="29"/>
      <c r="AP456" s="29"/>
      <c r="BA456" s="28"/>
      <c r="BB456" s="38"/>
      <c r="BC456" s="29"/>
      <c r="BD4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56" s="28" t="str">
        <f>IF(ISBLANK(Table2[[#This Row],[device_model]]), "", Table2[[#This Row],[device_suggested_area]])</f>
        <v/>
      </c>
      <c r="BN456" s="29"/>
      <c r="BT456" s="39"/>
      <c r="BU456" s="37"/>
      <c r="BV4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7" spans="1:74" ht="16" customHeight="1" x14ac:dyDescent="0.2">
      <c r="A457" s="28">
        <v>2757</v>
      </c>
      <c r="B457" s="28" t="s">
        <v>26</v>
      </c>
      <c r="C457" s="28" t="s">
        <v>585</v>
      </c>
      <c r="D457" s="28" t="s">
        <v>588</v>
      </c>
      <c r="E457" s="28" t="s">
        <v>590</v>
      </c>
      <c r="F457" s="34" t="str">
        <f>IF(ISBLANK(Table2[[#This Row],[unique_id]]), "", PROPER(SUBSTITUTE(Table2[[#This Row],[unique_id]], "_", " ")))</f>
        <v>Front Door Lock</v>
      </c>
      <c r="G457" s="28" t="s">
        <v>631</v>
      </c>
      <c r="H457" s="28" t="s">
        <v>593</v>
      </c>
      <c r="I457" s="28" t="s">
        <v>198</v>
      </c>
      <c r="N457" s="28" t="s">
        <v>127</v>
      </c>
      <c r="P457" s="29"/>
      <c r="Q457" s="28"/>
      <c r="U457" s="35"/>
      <c r="V457" s="35"/>
      <c r="W457" s="35"/>
      <c r="X457" s="28"/>
      <c r="AD457" s="29"/>
      <c r="AE457" s="29" t="s">
        <v>455</v>
      </c>
      <c r="AF457" s="29"/>
      <c r="AG457" s="40" t="s">
        <v>704</v>
      </c>
      <c r="AO457" s="29"/>
      <c r="AP457" s="29"/>
      <c r="BA457" s="28"/>
      <c r="BB457" s="38"/>
      <c r="BD4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front-door-lock</v>
      </c>
      <c r="BE4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Front Door Lock</v>
      </c>
      <c r="BF4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57" s="28" t="str">
        <f>Table2[[#This Row],[device_suggested_area]]</f>
        <v>Front Door</v>
      </c>
      <c r="BI457" s="28" t="str">
        <f>IF(ISBLANK(Table2[[#This Row],[device_model]]), "", Table2[[#This Row],[device_suggested_area]])</f>
        <v>Front Door</v>
      </c>
      <c r="BJ457" s="28" t="s">
        <v>978</v>
      </c>
      <c r="BK457" s="28" t="s">
        <v>586</v>
      </c>
      <c r="BL457" s="28" t="s">
        <v>585</v>
      </c>
      <c r="BN457" s="28" t="s">
        <v>587</v>
      </c>
      <c r="BO457" s="28" t="s">
        <v>593</v>
      </c>
      <c r="BT457" s="28" t="s">
        <v>591</v>
      </c>
      <c r="BV4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"0x000d6f001127f08c"]]</v>
      </c>
    </row>
    <row r="458" spans="1:74" ht="16" customHeight="1" x14ac:dyDescent="0.2">
      <c r="A458" s="28">
        <v>2758</v>
      </c>
      <c r="B458" s="28" t="s">
        <v>26</v>
      </c>
      <c r="C458" s="28" t="s">
        <v>305</v>
      </c>
      <c r="D458" s="28" t="s">
        <v>139</v>
      </c>
      <c r="E458" s="28" t="s">
        <v>621</v>
      </c>
      <c r="F458" s="34" t="str">
        <f>IF(ISBLANK(Table2[[#This Row],[unique_id]]), "", PROPER(SUBSTITUTE(Table2[[#This Row],[unique_id]], "_", " ")))</f>
        <v>Template Front Door Sensor Contact Last</v>
      </c>
      <c r="G458" s="28" t="s">
        <v>630</v>
      </c>
      <c r="H458" s="28" t="s">
        <v>593</v>
      </c>
      <c r="I458" s="28" t="s">
        <v>198</v>
      </c>
      <c r="N458" s="28" t="s">
        <v>127</v>
      </c>
      <c r="P458" s="29"/>
      <c r="Q458" s="28"/>
      <c r="U458" s="35"/>
      <c r="V458" s="35"/>
      <c r="W458" s="35"/>
      <c r="X458" s="28"/>
      <c r="AD458" s="29"/>
      <c r="AE458" s="29" t="s">
        <v>455</v>
      </c>
      <c r="AF458" s="29"/>
      <c r="AG458" s="40" t="s">
        <v>704</v>
      </c>
      <c r="AO458" s="29"/>
      <c r="AP458" s="29"/>
      <c r="BA458" s="28"/>
      <c r="BB458" s="38"/>
      <c r="BD4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front-door-sensor</v>
      </c>
      <c r="BE4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Front Door Sensor</v>
      </c>
      <c r="BF4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58" s="35" t="str">
        <f>Table2[[#This Row],[device_suggested_area]]</f>
        <v>Front Door</v>
      </c>
      <c r="BI458" s="28" t="str">
        <f>IF(ISBLANK(Table2[[#This Row],[device_model]]), "", Table2[[#This Row],[device_suggested_area]])</f>
        <v>Front Door</v>
      </c>
      <c r="BJ458" s="35" t="s">
        <v>982</v>
      </c>
      <c r="BK458" s="35" t="s">
        <v>605</v>
      </c>
      <c r="BL458" s="28" t="s">
        <v>1053</v>
      </c>
      <c r="BN458" s="28" t="s">
        <v>587</v>
      </c>
      <c r="BO458" s="28" t="s">
        <v>593</v>
      </c>
      <c r="BT458" s="28" t="s">
        <v>606</v>
      </c>
      <c r="BV4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"0x00124b0029113713"]]</v>
      </c>
    </row>
    <row r="459" spans="1:74" ht="16" customHeight="1" x14ac:dyDescent="0.2">
      <c r="A459" s="28">
        <v>2759</v>
      </c>
      <c r="B459" s="28" t="s">
        <v>543</v>
      </c>
      <c r="C459" s="28" t="s">
        <v>222</v>
      </c>
      <c r="D459" s="28" t="s">
        <v>138</v>
      </c>
      <c r="F459" s="34" t="str">
        <f>IF(ISBLANK(Table2[[#This Row],[unique_id]]), "", PROPER(SUBSTITUTE(Table2[[#This Row],[unique_id]], "_", " ")))</f>
        <v/>
      </c>
      <c r="G459" s="28" t="s">
        <v>593</v>
      </c>
      <c r="H459" s="28" t="s">
        <v>601</v>
      </c>
      <c r="I459" s="28" t="s">
        <v>198</v>
      </c>
      <c r="P459" s="29"/>
      <c r="Q459" s="28"/>
      <c r="U459" s="35"/>
      <c r="V459" s="35"/>
      <c r="W459" s="35"/>
      <c r="X459" s="28"/>
      <c r="AD459" s="29"/>
      <c r="AE459" s="29"/>
      <c r="AF459" s="29"/>
      <c r="AG459" s="29"/>
      <c r="AO459" s="29"/>
      <c r="AP459" s="29"/>
      <c r="BA459" s="28"/>
      <c r="BB459" s="38"/>
      <c r="BC459" s="29"/>
      <c r="BD4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59" s="28" t="str">
        <f>IF(ISBLANK(Table2[[#This Row],[device_model]]), "", Table2[[#This Row],[device_suggested_area]])</f>
        <v/>
      </c>
      <c r="BK459" s="35"/>
      <c r="BN459" s="29"/>
      <c r="BT459" s="28"/>
      <c r="BV4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0" spans="1:74" ht="16" customHeight="1" x14ac:dyDescent="0.2">
      <c r="A460" s="28">
        <v>2760</v>
      </c>
      <c r="B460" s="28" t="s">
        <v>26</v>
      </c>
      <c r="C460" s="28" t="s">
        <v>124</v>
      </c>
      <c r="D460" s="28" t="s">
        <v>139</v>
      </c>
      <c r="E460" s="28" t="s">
        <v>563</v>
      </c>
      <c r="F460" s="34" t="str">
        <f>IF(ISBLANK(Table2[[#This Row],[unique_id]]), "", PROPER(SUBSTITUTE(Table2[[#This Row],[unique_id]], "_", " ")))</f>
        <v>Ada Fan Occupancy</v>
      </c>
      <c r="G460" s="28" t="s">
        <v>121</v>
      </c>
      <c r="H460" s="28" t="s">
        <v>599</v>
      </c>
      <c r="I460" s="28" t="s">
        <v>198</v>
      </c>
      <c r="N460" s="28" t="s">
        <v>127</v>
      </c>
      <c r="P460" s="29"/>
      <c r="Q460" s="28"/>
      <c r="U460" s="35"/>
      <c r="V460" s="35"/>
      <c r="W460" s="35"/>
      <c r="X460" s="28"/>
      <c r="AD460" s="29"/>
      <c r="AE460" s="29"/>
      <c r="AF460" s="29"/>
      <c r="AG460" s="29"/>
      <c r="AO460" s="29"/>
      <c r="AP460" s="29"/>
      <c r="BA460" s="28"/>
      <c r="BB460" s="38"/>
      <c r="BC460" s="29"/>
      <c r="BD4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0" s="28" t="str">
        <f>IF(ISBLANK(Table2[[#This Row],[device_model]]), "", Table2[[#This Row],[device_suggested_area]])</f>
        <v/>
      </c>
      <c r="BN460" s="29"/>
      <c r="BT460" s="28"/>
      <c r="BV4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1" spans="1:74" ht="16" customHeight="1" x14ac:dyDescent="0.2">
      <c r="A461" s="28">
        <v>2761</v>
      </c>
      <c r="B461" s="28" t="s">
        <v>26</v>
      </c>
      <c r="C461" s="28" t="s">
        <v>124</v>
      </c>
      <c r="D461" s="28" t="s">
        <v>139</v>
      </c>
      <c r="E461" s="28" t="s">
        <v>562</v>
      </c>
      <c r="F461" s="34" t="str">
        <f>IF(ISBLANK(Table2[[#This Row],[unique_id]]), "", PROPER(SUBSTITUTE(Table2[[#This Row],[unique_id]], "_", " ")))</f>
        <v>Edwin Fan Occupancy</v>
      </c>
      <c r="G461" s="28" t="s">
        <v>118</v>
      </c>
      <c r="H461" s="28" t="s">
        <v>599</v>
      </c>
      <c r="I461" s="28" t="s">
        <v>198</v>
      </c>
      <c r="N461" s="28" t="s">
        <v>127</v>
      </c>
      <c r="P461" s="29"/>
      <c r="Q461" s="28"/>
      <c r="U461" s="35"/>
      <c r="V461" s="35"/>
      <c r="W461" s="35"/>
      <c r="X461" s="28"/>
      <c r="AD461" s="29"/>
      <c r="AE461" s="29"/>
      <c r="AF461" s="29"/>
      <c r="AG461" s="29"/>
      <c r="AO461" s="29"/>
      <c r="AP461" s="29"/>
      <c r="BA461" s="28"/>
      <c r="BB461" s="38"/>
      <c r="BC461" s="29"/>
      <c r="BD4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1" s="28" t="str">
        <f>IF(ISBLANK(Table2[[#This Row],[device_model]]), "", Table2[[#This Row],[device_suggested_area]])</f>
        <v/>
      </c>
      <c r="BN461" s="29"/>
      <c r="BT461" s="28"/>
      <c r="BV4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2" spans="1:74" ht="16" customHeight="1" x14ac:dyDescent="0.2">
      <c r="A462" s="28">
        <v>2762</v>
      </c>
      <c r="B462" s="28" t="s">
        <v>26</v>
      </c>
      <c r="C462" s="28" t="s">
        <v>124</v>
      </c>
      <c r="D462" s="28" t="s">
        <v>139</v>
      </c>
      <c r="E462" s="28" t="s">
        <v>564</v>
      </c>
      <c r="F462" s="34" t="str">
        <f>IF(ISBLANK(Table2[[#This Row],[unique_id]]), "", PROPER(SUBSTITUTE(Table2[[#This Row],[unique_id]], "_", " ")))</f>
        <v>Parents Fan Occupancy</v>
      </c>
      <c r="G462" s="28" t="s">
        <v>181</v>
      </c>
      <c r="H462" s="28" t="s">
        <v>599</v>
      </c>
      <c r="I462" s="28" t="s">
        <v>198</v>
      </c>
      <c r="N462" s="28" t="s">
        <v>127</v>
      </c>
      <c r="P462" s="29"/>
      <c r="Q462" s="28"/>
      <c r="U462" s="35"/>
      <c r="V462" s="35"/>
      <c r="W462" s="35"/>
      <c r="X462" s="28"/>
      <c r="AD462" s="29"/>
      <c r="AE462" s="29"/>
      <c r="AF462" s="29"/>
      <c r="AG462" s="29"/>
      <c r="AO462" s="29"/>
      <c r="AP462" s="29"/>
      <c r="BA462" s="28"/>
      <c r="BB462" s="38"/>
      <c r="BC462" s="29"/>
      <c r="BD4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2" s="28" t="str">
        <f>IF(ISBLANK(Table2[[#This Row],[device_model]]), "", Table2[[#This Row],[device_suggested_area]])</f>
        <v/>
      </c>
      <c r="BN462" s="29"/>
      <c r="BT462" s="28"/>
      <c r="BV4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3" spans="1:74" ht="16" customHeight="1" x14ac:dyDescent="0.2">
      <c r="A463" s="28">
        <v>2763</v>
      </c>
      <c r="B463" s="28" t="s">
        <v>26</v>
      </c>
      <c r="C463" s="28" t="s">
        <v>124</v>
      </c>
      <c r="D463" s="28" t="s">
        <v>139</v>
      </c>
      <c r="E463" s="28" t="s">
        <v>565</v>
      </c>
      <c r="F463" s="34" t="str">
        <f>IF(ISBLANK(Table2[[#This Row],[unique_id]]), "", PROPER(SUBSTITUTE(Table2[[#This Row],[unique_id]], "_", " ")))</f>
        <v>Lounge Fan Occupancy</v>
      </c>
      <c r="G463" s="28" t="s">
        <v>183</v>
      </c>
      <c r="H463" s="28" t="s">
        <v>599</v>
      </c>
      <c r="I463" s="28" t="s">
        <v>198</v>
      </c>
      <c r="N463" s="28" t="s">
        <v>127</v>
      </c>
      <c r="P463" s="29"/>
      <c r="Q463" s="28"/>
      <c r="U463" s="35"/>
      <c r="V463" s="35"/>
      <c r="W463" s="35"/>
      <c r="X463" s="28"/>
      <c r="AD463" s="29"/>
      <c r="AE463" s="29"/>
      <c r="AF463" s="29"/>
      <c r="AG463" s="29"/>
      <c r="AO463" s="29"/>
      <c r="AP463" s="29"/>
      <c r="BA463" s="28"/>
      <c r="BB463" s="38"/>
      <c r="BC463" s="29"/>
      <c r="BD4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3" s="28" t="str">
        <f>IF(ISBLANK(Table2[[#This Row],[device_model]]), "", Table2[[#This Row],[device_suggested_area]])</f>
        <v/>
      </c>
      <c r="BN463" s="29"/>
      <c r="BT463" s="28"/>
      <c r="BV4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4" spans="1:74" ht="16" customHeight="1" x14ac:dyDescent="0.2">
      <c r="A464" s="28">
        <v>2764</v>
      </c>
      <c r="B464" s="28" t="s">
        <v>26</v>
      </c>
      <c r="C464" s="28" t="s">
        <v>124</v>
      </c>
      <c r="D464" s="28" t="s">
        <v>139</v>
      </c>
      <c r="E464" s="28" t="s">
        <v>566</v>
      </c>
      <c r="F464" s="34" t="str">
        <f>IF(ISBLANK(Table2[[#This Row],[unique_id]]), "", PROPER(SUBSTITUTE(Table2[[#This Row],[unique_id]], "_", " ")))</f>
        <v>Deck East Fan Occupancy</v>
      </c>
      <c r="G464" s="28" t="s">
        <v>204</v>
      </c>
      <c r="H464" s="28" t="s">
        <v>599</v>
      </c>
      <c r="I464" s="28" t="s">
        <v>198</v>
      </c>
      <c r="N464" s="28" t="s">
        <v>127</v>
      </c>
      <c r="P464" s="29"/>
      <c r="Q464" s="28"/>
      <c r="U464" s="35"/>
      <c r="V464" s="35"/>
      <c r="W464" s="35"/>
      <c r="X464" s="28"/>
      <c r="AD464" s="29"/>
      <c r="AE464" s="29"/>
      <c r="AF464" s="29"/>
      <c r="AG464" s="29"/>
      <c r="AO464" s="29"/>
      <c r="AP464" s="29"/>
      <c r="BA464" s="28"/>
      <c r="BB464" s="38"/>
      <c r="BC464" s="29"/>
      <c r="BD4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4" s="28" t="str">
        <f>IF(ISBLANK(Table2[[#This Row],[device_model]]), "", Table2[[#This Row],[device_suggested_area]])</f>
        <v/>
      </c>
      <c r="BN464" s="29"/>
      <c r="BT464" s="28"/>
      <c r="BV4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5" spans="1:74" ht="16" customHeight="1" x14ac:dyDescent="0.2">
      <c r="A465" s="28">
        <v>2765</v>
      </c>
      <c r="B465" s="28" t="s">
        <v>26</v>
      </c>
      <c r="C465" s="28" t="s">
        <v>124</v>
      </c>
      <c r="D465" s="28" t="s">
        <v>139</v>
      </c>
      <c r="E465" s="28" t="s">
        <v>567</v>
      </c>
      <c r="F465" s="34" t="str">
        <f>IF(ISBLANK(Table2[[#This Row],[unique_id]]), "", PROPER(SUBSTITUTE(Table2[[#This Row],[unique_id]], "_", " ")))</f>
        <v>Deck West Fan Occupancy</v>
      </c>
      <c r="G465" s="28" t="s">
        <v>203</v>
      </c>
      <c r="H465" s="28" t="s">
        <v>599</v>
      </c>
      <c r="I465" s="28" t="s">
        <v>198</v>
      </c>
      <c r="N465" s="28" t="s">
        <v>127</v>
      </c>
      <c r="P465" s="29"/>
      <c r="Q465" s="28"/>
      <c r="U465" s="35"/>
      <c r="V465" s="35"/>
      <c r="W465" s="35"/>
      <c r="X465" s="28"/>
      <c r="AD465" s="29"/>
      <c r="AE465" s="29"/>
      <c r="AF465" s="29"/>
      <c r="AG465" s="29"/>
      <c r="AO465" s="29"/>
      <c r="AP465" s="29"/>
      <c r="BA465" s="28"/>
      <c r="BB465" s="38"/>
      <c r="BC465" s="29"/>
      <c r="BD4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5" s="28" t="str">
        <f>IF(ISBLANK(Table2[[#This Row],[device_model]]), "", Table2[[#This Row],[device_suggested_area]])</f>
        <v/>
      </c>
      <c r="BN465" s="29"/>
      <c r="BT465" s="28"/>
      <c r="BV4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6" spans="1:74" ht="16" customHeight="1" x14ac:dyDescent="0.2">
      <c r="A466" s="28">
        <v>2766</v>
      </c>
      <c r="B466" s="28" t="s">
        <v>26</v>
      </c>
      <c r="C466" s="28" t="s">
        <v>409</v>
      </c>
      <c r="D466" s="28" t="s">
        <v>304</v>
      </c>
      <c r="E466" s="28" t="s">
        <v>303</v>
      </c>
      <c r="F466" s="34" t="str">
        <f>IF(ISBLANK(Table2[[#This Row],[unique_id]]), "", PROPER(SUBSTITUTE(Table2[[#This Row],[unique_id]], "_", " ")))</f>
        <v>Column Break</v>
      </c>
      <c r="G466" s="28" t="s">
        <v>300</v>
      </c>
      <c r="H466" s="28" t="s">
        <v>596</v>
      </c>
      <c r="I466" s="28" t="s">
        <v>198</v>
      </c>
      <c r="N466" s="28" t="s">
        <v>301</v>
      </c>
      <c r="O466" s="28" t="s">
        <v>302</v>
      </c>
      <c r="P466" s="29"/>
      <c r="Q466" s="28"/>
      <c r="U466" s="35"/>
      <c r="V466" s="35"/>
      <c r="W466" s="35"/>
      <c r="X466" s="28"/>
      <c r="AD466" s="29"/>
      <c r="AE466" s="29"/>
      <c r="AF466" s="29"/>
      <c r="AG466" s="29"/>
      <c r="AO466" s="29"/>
      <c r="AP466" s="29"/>
      <c r="BA466" s="28"/>
      <c r="BB466" s="38"/>
      <c r="BC466" s="29"/>
      <c r="BD4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6" s="28" t="str">
        <f>IF(ISBLANK(Table2[[#This Row],[device_model]]), "", Table2[[#This Row],[device_suggested_area]])</f>
        <v/>
      </c>
      <c r="BN466" s="29"/>
      <c r="BT466" s="28"/>
      <c r="BV4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7" spans="1:74" ht="16" customHeight="1" x14ac:dyDescent="0.2">
      <c r="A467" s="28">
        <v>2767</v>
      </c>
      <c r="B467" s="28" t="s">
        <v>26</v>
      </c>
      <c r="C467" s="28" t="s">
        <v>222</v>
      </c>
      <c r="D467" s="28" t="s">
        <v>139</v>
      </c>
      <c r="E467" s="28" t="s">
        <v>140</v>
      </c>
      <c r="F467" s="34" t="str">
        <f>IF(ISBLANK(Table2[[#This Row],[unique_id]]), "", PROPER(SUBSTITUTE(Table2[[#This Row],[unique_id]], "_", " ")))</f>
        <v>Uvc Ada Motion</v>
      </c>
      <c r="G467" s="28" t="s">
        <v>592</v>
      </c>
      <c r="H467" s="28" t="s">
        <v>596</v>
      </c>
      <c r="I467" s="28" t="s">
        <v>198</v>
      </c>
      <c r="N467" s="28" t="s">
        <v>127</v>
      </c>
      <c r="P467" s="29"/>
      <c r="Q467" s="28"/>
      <c r="U467" s="35"/>
      <c r="V467" s="35"/>
      <c r="W467" s="35"/>
      <c r="X467" s="28"/>
      <c r="AD467" s="29"/>
      <c r="AE467" s="29"/>
      <c r="AF467" s="29"/>
      <c r="AG467" s="29"/>
      <c r="AO467" s="29"/>
      <c r="AP467" s="29"/>
      <c r="BA467" s="28"/>
      <c r="BB467" s="38"/>
      <c r="BC467" s="29"/>
      <c r="BD4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BE4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7" s="28" t="str">
        <f>IF(ISBLANK(Table2[[#This Row],[device_model]]), "", Table2[[#This Row],[device_suggested_area]])</f>
        <v/>
      </c>
      <c r="BN467" s="29"/>
      <c r="BT467" s="28"/>
      <c r="BV4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8" spans="1:74" ht="16" customHeight="1" x14ac:dyDescent="0.2">
      <c r="A468" s="28">
        <v>2768</v>
      </c>
      <c r="B468" s="28" t="s">
        <v>26</v>
      </c>
      <c r="C468" s="28" t="s">
        <v>222</v>
      </c>
      <c r="D468" s="28" t="s">
        <v>138</v>
      </c>
      <c r="E468" s="28" t="s">
        <v>1257</v>
      </c>
      <c r="F468" s="34" t="str">
        <f>IF(ISBLANK(Table2[[#This Row],[unique_id]]), "", PROPER(SUBSTITUTE(Table2[[#This Row],[unique_id]], "_", " ")))</f>
        <v>Uvc Ada Medium Resolution Channel</v>
      </c>
      <c r="G468" s="28" t="s">
        <v>121</v>
      </c>
      <c r="H468" s="28" t="s">
        <v>598</v>
      </c>
      <c r="I468" s="28" t="s">
        <v>198</v>
      </c>
      <c r="N468" s="28" t="s">
        <v>127</v>
      </c>
      <c r="O468" s="28" t="s">
        <v>258</v>
      </c>
      <c r="P468" s="29"/>
      <c r="Q468" s="28"/>
      <c r="U468" s="35"/>
      <c r="V468" s="35"/>
      <c r="W468" s="35"/>
      <c r="X468" s="28"/>
      <c r="AD468" s="29"/>
      <c r="AE468" s="29"/>
      <c r="AF468" s="29"/>
      <c r="AG468" s="29"/>
      <c r="AO468" s="29"/>
      <c r="AP468" s="29"/>
      <c r="BA468" s="28"/>
      <c r="BB468" s="38"/>
      <c r="BD468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uvc-dar-ada</v>
      </c>
      <c r="BE4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UVC DAR Ada</v>
      </c>
      <c r="BF4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68" s="28" t="s">
        <v>1356</v>
      </c>
      <c r="BI468" s="28" t="str">
        <f>IF(ISBLANK(Table2[[#This Row],[device_model]]), "", Table2[[#This Row],[device_suggested_area]])</f>
        <v>Ada</v>
      </c>
      <c r="BJ468" s="28" t="str">
        <f>Table2[[#This Row],[device_suggested_area]]</f>
        <v>Ada</v>
      </c>
      <c r="BK468" s="28" t="s">
        <v>356</v>
      </c>
      <c r="BL468" s="28" t="s">
        <v>222</v>
      </c>
      <c r="BN468" s="28" t="s">
        <v>357</v>
      </c>
      <c r="BO468" s="28" t="s">
        <v>121</v>
      </c>
      <c r="BS468" s="28" t="s">
        <v>1186</v>
      </c>
      <c r="BT468" s="28" t="s">
        <v>354</v>
      </c>
      <c r="BU468" s="28" t="s">
        <v>1241</v>
      </c>
      <c r="BV4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"74:83:c2:3f:6c:4c"], ["ip", "10.0.4.31"]]</v>
      </c>
    </row>
    <row r="469" spans="1:74" ht="16" customHeight="1" x14ac:dyDescent="0.2">
      <c r="A469" s="28">
        <v>2769</v>
      </c>
      <c r="B469" s="28" t="s">
        <v>26</v>
      </c>
      <c r="C469" s="28" t="s">
        <v>222</v>
      </c>
      <c r="D469" s="28" t="s">
        <v>139</v>
      </c>
      <c r="E469" s="28" t="s">
        <v>197</v>
      </c>
      <c r="F469" s="34" t="str">
        <f>IF(ISBLANK(Table2[[#This Row],[unique_id]]), "", PROPER(SUBSTITUTE(Table2[[#This Row],[unique_id]], "_", " ")))</f>
        <v>Uvc Edwin Motion</v>
      </c>
      <c r="G469" s="28" t="s">
        <v>592</v>
      </c>
      <c r="H469" s="28" t="s">
        <v>595</v>
      </c>
      <c r="I469" s="28" t="s">
        <v>198</v>
      </c>
      <c r="N469" s="28" t="s">
        <v>127</v>
      </c>
      <c r="P469" s="29"/>
      <c r="Q469" s="28"/>
      <c r="U469" s="35"/>
      <c r="V469" s="35"/>
      <c r="W469" s="35"/>
      <c r="X469" s="28"/>
      <c r="AD469" s="29"/>
      <c r="AE469" s="29"/>
      <c r="AF469" s="29"/>
      <c r="AG469" s="29"/>
      <c r="AO469" s="29"/>
      <c r="AP469" s="29"/>
      <c r="BA469" s="28"/>
      <c r="BB469" s="38"/>
      <c r="BC469" s="29"/>
      <c r="BD469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/>
      </c>
      <c r="BE4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69" s="28" t="str">
        <f>IF(ISBLANK(Table2[[#This Row],[device_model]]), "", Table2[[#This Row],[device_suggested_area]])</f>
        <v/>
      </c>
      <c r="BN469" s="29"/>
      <c r="BT469" s="28"/>
      <c r="BV4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70" spans="1:74" ht="16" customHeight="1" x14ac:dyDescent="0.2">
      <c r="A470" s="28">
        <v>2770</v>
      </c>
      <c r="B470" s="28" t="s">
        <v>26</v>
      </c>
      <c r="C470" s="28" t="s">
        <v>222</v>
      </c>
      <c r="D470" s="28" t="s">
        <v>138</v>
      </c>
      <c r="E470" s="28" t="s">
        <v>1258</v>
      </c>
      <c r="F470" s="34" t="str">
        <f>IF(ISBLANK(Table2[[#This Row],[unique_id]]), "", PROPER(SUBSTITUTE(Table2[[#This Row],[unique_id]], "_", " ")))</f>
        <v>Uvc Edwin Medium Resolution Channel</v>
      </c>
      <c r="G470" s="28" t="s">
        <v>118</v>
      </c>
      <c r="H470" s="28" t="s">
        <v>597</v>
      </c>
      <c r="I470" s="28" t="s">
        <v>198</v>
      </c>
      <c r="N470" s="28" t="s">
        <v>127</v>
      </c>
      <c r="O470" s="28" t="s">
        <v>258</v>
      </c>
      <c r="P470" s="29"/>
      <c r="Q470" s="28"/>
      <c r="U470" s="35"/>
      <c r="V470" s="35"/>
      <c r="W470" s="35"/>
      <c r="X470" s="28"/>
      <c r="AD470" s="29"/>
      <c r="AE470" s="29"/>
      <c r="AF470" s="29"/>
      <c r="AG470" s="29"/>
      <c r="AO470" s="29"/>
      <c r="AP470" s="29"/>
      <c r="BA470" s="28"/>
      <c r="BB470" s="38"/>
      <c r="BD470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uvc-dar-edwin</v>
      </c>
      <c r="BE4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UVC DAR Edwin</v>
      </c>
      <c r="BF4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0" s="28" t="s">
        <v>1356</v>
      </c>
      <c r="BI470" s="28" t="str">
        <f>IF(ISBLANK(Table2[[#This Row],[device_model]]), "", Table2[[#This Row],[device_suggested_area]])</f>
        <v>Edwin</v>
      </c>
      <c r="BJ470" s="28" t="str">
        <f>Table2[[#This Row],[device_suggested_area]]</f>
        <v>Edwin</v>
      </c>
      <c r="BK470" s="28" t="s">
        <v>356</v>
      </c>
      <c r="BL470" s="28" t="s">
        <v>222</v>
      </c>
      <c r="BN470" s="28" t="s">
        <v>357</v>
      </c>
      <c r="BO470" s="28" t="s">
        <v>118</v>
      </c>
      <c r="BS470" s="28" t="s">
        <v>1186</v>
      </c>
      <c r="BT470" s="28" t="s">
        <v>355</v>
      </c>
      <c r="BU470" s="28" t="s">
        <v>1242</v>
      </c>
      <c r="BV4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"74:83:c2:3f:6e:5c"], ["ip", "10.0.4.32"]]</v>
      </c>
    </row>
    <row r="471" spans="1:74" ht="16" customHeight="1" x14ac:dyDescent="0.2">
      <c r="A471" s="28">
        <v>2771</v>
      </c>
      <c r="B471" s="28" t="s">
        <v>26</v>
      </c>
      <c r="C471" s="28" t="s">
        <v>409</v>
      </c>
      <c r="D471" s="28" t="s">
        <v>304</v>
      </c>
      <c r="E471" s="28" t="s">
        <v>303</v>
      </c>
      <c r="F471" s="34" t="str">
        <f>IF(ISBLANK(Table2[[#This Row],[unique_id]]), "", PROPER(SUBSTITUTE(Table2[[#This Row],[unique_id]], "_", " ")))</f>
        <v>Column Break</v>
      </c>
      <c r="G471" s="28" t="s">
        <v>300</v>
      </c>
      <c r="H471" s="28" t="s">
        <v>597</v>
      </c>
      <c r="I471" s="28" t="s">
        <v>198</v>
      </c>
      <c r="N471" s="28" t="s">
        <v>301</v>
      </c>
      <c r="O471" s="28" t="s">
        <v>302</v>
      </c>
      <c r="P471" s="29"/>
      <c r="Q471" s="28"/>
      <c r="U471" s="35"/>
      <c r="V471" s="35"/>
      <c r="W471" s="35"/>
      <c r="X471" s="28"/>
      <c r="AD471" s="29"/>
      <c r="AE471" s="29"/>
      <c r="AF471" s="29"/>
      <c r="AG471" s="29"/>
      <c r="AO471" s="29"/>
      <c r="AP471" s="29"/>
      <c r="BA471" s="28"/>
      <c r="BB471" s="38"/>
      <c r="BC471" s="29"/>
      <c r="BD471" s="28"/>
      <c r="BE4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F4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I471" s="28" t="str">
        <f>IF(ISBLANK(Table2[[#This Row],[device_model]]), "", Table2[[#This Row],[device_suggested_area]])</f>
        <v/>
      </c>
      <c r="BN471" s="29"/>
      <c r="BT471" s="28"/>
      <c r="BV4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72" spans="1:74" ht="16" customHeight="1" x14ac:dyDescent="0.2">
      <c r="A472" s="28">
        <v>5000</v>
      </c>
      <c r="B472" s="37" t="s">
        <v>26</v>
      </c>
      <c r="C472" s="28" t="s">
        <v>222</v>
      </c>
      <c r="F472" s="34" t="str">
        <f>IF(ISBLANK(Table2[[#This Row],[unique_id]]), "", PROPER(SUBSTITUTE(Table2[[#This Row],[unique_id]], "_", " ")))</f>
        <v/>
      </c>
      <c r="P472" s="29"/>
      <c r="Q472" s="28"/>
      <c r="U472" s="35"/>
      <c r="V472" s="35"/>
      <c r="W472" s="35"/>
      <c r="X472" s="28"/>
      <c r="AD472" s="29"/>
      <c r="AE472" s="29"/>
      <c r="AF472" s="29"/>
      <c r="AG472" s="29"/>
      <c r="AO472" s="29"/>
      <c r="AP472" s="29"/>
      <c r="BA472" s="28"/>
      <c r="BB472" s="38"/>
      <c r="BD472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udm-dar</v>
      </c>
      <c r="BE4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 xml:space="preserve">UDM DAR </v>
      </c>
      <c r="BF4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2" s="28" t="s">
        <v>1357</v>
      </c>
      <c r="BI472" s="28" t="str">
        <f>IF(ISBLANK(Table2[[#This Row],[device_model]]), "", Table2[[#This Row],[device_suggested_area]])</f>
        <v>Rack</v>
      </c>
      <c r="BK472" s="28" t="s">
        <v>974</v>
      </c>
      <c r="BL472" s="28" t="s">
        <v>222</v>
      </c>
      <c r="BN472" s="28" t="s">
        <v>373</v>
      </c>
      <c r="BO472" s="28" t="s">
        <v>28</v>
      </c>
      <c r="BS472" s="28" t="s">
        <v>1179</v>
      </c>
      <c r="BT472" s="28" t="s">
        <v>376</v>
      </c>
      <c r="BU472" s="28" t="s">
        <v>1180</v>
      </c>
      <c r="BV4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"74:ac:b9:1c:15:f1"], ["ip", "10.0.1.1"]]</v>
      </c>
    </row>
    <row r="473" spans="1:74" ht="16" customHeight="1" x14ac:dyDescent="0.2">
      <c r="A473" s="28">
        <v>5001</v>
      </c>
      <c r="B473" s="37" t="s">
        <v>26</v>
      </c>
      <c r="C473" s="28" t="s">
        <v>222</v>
      </c>
      <c r="F473" s="34" t="str">
        <f>IF(ISBLANK(Table2[[#This Row],[unique_id]]), "", PROPER(SUBSTITUTE(Table2[[#This Row],[unique_id]], "_", " ")))</f>
        <v/>
      </c>
      <c r="P473" s="29"/>
      <c r="Q473" s="28"/>
      <c r="U473" s="35"/>
      <c r="V473" s="35"/>
      <c r="W473" s="35"/>
      <c r="X473" s="28"/>
      <c r="AD473" s="29"/>
      <c r="AE473" s="29"/>
      <c r="AF473" s="29"/>
      <c r="AG473" s="29"/>
      <c r="AO473" s="29"/>
      <c r="AP473" s="29"/>
      <c r="BA473" s="28"/>
      <c r="BB473" s="38"/>
      <c r="BD473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usw-dar-rack</v>
      </c>
      <c r="BE4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Rack</v>
      </c>
      <c r="BF4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3" s="28" t="s">
        <v>1358</v>
      </c>
      <c r="BI473" s="28" t="str">
        <f>IF(ISBLANK(Table2[[#This Row],[device_model]]), "", Table2[[#This Row],[device_suggested_area]])</f>
        <v>Rack</v>
      </c>
      <c r="BJ473" s="28" t="str">
        <f>Table2[[#This Row],[device_suggested_area]]</f>
        <v>Rack</v>
      </c>
      <c r="BK473" s="28" t="s">
        <v>971</v>
      </c>
      <c r="BL473" s="28" t="s">
        <v>222</v>
      </c>
      <c r="BN473" s="28" t="s">
        <v>573</v>
      </c>
      <c r="BO473" s="28" t="s">
        <v>28</v>
      </c>
      <c r="BS473" s="28" t="s">
        <v>1179</v>
      </c>
      <c r="BT473" s="28" t="s">
        <v>574</v>
      </c>
      <c r="BU473" s="28" t="s">
        <v>1181</v>
      </c>
      <c r="BV4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"78:45:58:cb:14:b5"], ["ip", "10.0.1.2"]]</v>
      </c>
    </row>
    <row r="474" spans="1:74" ht="16" customHeight="1" x14ac:dyDescent="0.2">
      <c r="A474" s="28">
        <v>5002</v>
      </c>
      <c r="B474" s="37" t="s">
        <v>26</v>
      </c>
      <c r="C474" s="28" t="s">
        <v>222</v>
      </c>
      <c r="F474" s="34" t="str">
        <f>IF(ISBLANK(Table2[[#This Row],[unique_id]]), "", PROPER(SUBSTITUTE(Table2[[#This Row],[unique_id]], "_", " ")))</f>
        <v/>
      </c>
      <c r="P474" s="29"/>
      <c r="Q474" s="28"/>
      <c r="U474" s="35"/>
      <c r="V474" s="35"/>
      <c r="W474" s="35"/>
      <c r="X474" s="28"/>
      <c r="AD474" s="29"/>
      <c r="AE474" s="29"/>
      <c r="AF474" s="29"/>
      <c r="AG474" s="29"/>
      <c r="AO474" s="29"/>
      <c r="AP474" s="29"/>
      <c r="BA474" s="28"/>
      <c r="BB474" s="38"/>
      <c r="BD474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usw-dar-office</v>
      </c>
      <c r="BE4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Office</v>
      </c>
      <c r="BF4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4" s="28" t="s">
        <v>1358</v>
      </c>
      <c r="BI474" s="28" t="str">
        <f>IF(ISBLANK(Table2[[#This Row],[device_model]]), "", Table2[[#This Row],[device_suggested_area]])</f>
        <v>Office</v>
      </c>
      <c r="BJ474" s="28" t="str">
        <f>Table2[[#This Row],[device_suggested_area]]</f>
        <v>Office</v>
      </c>
      <c r="BK474" s="28" t="s">
        <v>972</v>
      </c>
      <c r="BL474" s="28" t="s">
        <v>222</v>
      </c>
      <c r="BN474" s="28" t="s">
        <v>1012</v>
      </c>
      <c r="BO474" s="28" t="s">
        <v>201</v>
      </c>
      <c r="BS474" s="28" t="s">
        <v>1179</v>
      </c>
      <c r="BT474" s="28" t="s">
        <v>377</v>
      </c>
      <c r="BU474" s="28" t="s">
        <v>1394</v>
      </c>
      <c r="BV4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"b4:fb:e4:e3:83:32"], ["ip", "10.0.1.7"]]</v>
      </c>
    </row>
    <row r="475" spans="1:74" ht="16" customHeight="1" x14ac:dyDescent="0.2">
      <c r="A475" s="28">
        <v>5003</v>
      </c>
      <c r="B475" s="37" t="s">
        <v>26</v>
      </c>
      <c r="C475" s="28" t="s">
        <v>222</v>
      </c>
      <c r="F475" s="34" t="str">
        <f>IF(ISBLANK(Table2[[#This Row],[unique_id]]), "", PROPER(SUBSTITUTE(Table2[[#This Row],[unique_id]], "_", " ")))</f>
        <v/>
      </c>
      <c r="P475" s="29"/>
      <c r="Q475" s="28"/>
      <c r="U475" s="35"/>
      <c r="V475" s="35"/>
      <c r="W475" s="35"/>
      <c r="X475" s="28"/>
      <c r="AD475" s="29"/>
      <c r="AE475" s="29"/>
      <c r="AF475" s="29"/>
      <c r="AG475" s="29"/>
      <c r="AO475" s="29"/>
      <c r="AP475" s="29"/>
      <c r="BA475" s="28"/>
      <c r="BB475" s="38"/>
      <c r="BD475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usw-dar-ceiling</v>
      </c>
      <c r="BE4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Ceiling</v>
      </c>
      <c r="BF4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5" s="28" t="s">
        <v>1358</v>
      </c>
      <c r="BI475" s="28" t="str">
        <f>IF(ISBLANK(Table2[[#This Row],[device_model]]), "", Table2[[#This Row],[device_suggested_area]])</f>
        <v>Ceiling</v>
      </c>
      <c r="BJ475" s="28" t="str">
        <f>Table2[[#This Row],[device_suggested_area]]</f>
        <v>Ceiling</v>
      </c>
      <c r="BK475" s="28" t="s">
        <v>1393</v>
      </c>
      <c r="BL475" s="28" t="s">
        <v>222</v>
      </c>
      <c r="BN475" s="28" t="s">
        <v>1012</v>
      </c>
      <c r="BO475" s="28" t="s">
        <v>374</v>
      </c>
      <c r="BS475" s="28" t="s">
        <v>1179</v>
      </c>
      <c r="BT475" s="28" t="s">
        <v>1395</v>
      </c>
      <c r="BU475" s="28" t="s">
        <v>1182</v>
      </c>
      <c r="BV4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"0c:ea:14:ce:2d:e4"], ["ip", "10.0.1.3"]]</v>
      </c>
    </row>
    <row r="476" spans="1:74" ht="16" customHeight="1" x14ac:dyDescent="0.2">
      <c r="A476" s="28">
        <v>5004</v>
      </c>
      <c r="B476" s="37" t="s">
        <v>26</v>
      </c>
      <c r="C476" s="28" t="s">
        <v>222</v>
      </c>
      <c r="F476" s="34" t="str">
        <f>IF(ISBLANK(Table2[[#This Row],[unique_id]]), "", PROPER(SUBSTITUTE(Table2[[#This Row],[unique_id]], "_", " ")))</f>
        <v/>
      </c>
      <c r="P476" s="29"/>
      <c r="Q476" s="28"/>
      <c r="U476" s="35"/>
      <c r="V476" s="35"/>
      <c r="W476" s="35"/>
      <c r="X476" s="28"/>
      <c r="AD476" s="29"/>
      <c r="AE476" s="29"/>
      <c r="AF476" s="29"/>
      <c r="AG476" s="29"/>
      <c r="AO476" s="29"/>
      <c r="AP476" s="29"/>
      <c r="BA476" s="28"/>
      <c r="BB476" s="38"/>
      <c r="BD476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uap-dar-hallway</v>
      </c>
      <c r="BE4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Hallway</v>
      </c>
      <c r="BF4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6" s="28" t="s">
        <v>1359</v>
      </c>
      <c r="BI476" s="28" t="str">
        <f>IF(ISBLANK(Table2[[#This Row],[device_model]]), "", Table2[[#This Row],[device_suggested_area]])</f>
        <v>Hallway</v>
      </c>
      <c r="BJ476" s="28" t="str">
        <f>Table2[[#This Row],[device_suggested_area]]</f>
        <v>Hallway</v>
      </c>
      <c r="BK476" s="28" t="s">
        <v>1301</v>
      </c>
      <c r="BL476" s="28" t="s">
        <v>222</v>
      </c>
      <c r="BN476" s="28" t="s">
        <v>1011</v>
      </c>
      <c r="BO476" s="28" t="s">
        <v>375</v>
      </c>
      <c r="BS476" s="28" t="s">
        <v>1179</v>
      </c>
      <c r="BT476" s="28" t="s">
        <v>1300</v>
      </c>
      <c r="BU476" s="28" t="s">
        <v>1183</v>
      </c>
      <c r="BV4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"28:70:4e:61:87:00"], ["ip", "10.0.1.4"]]</v>
      </c>
    </row>
    <row r="477" spans="1:74" ht="16" customHeight="1" x14ac:dyDescent="0.2">
      <c r="A477" s="28">
        <v>5005</v>
      </c>
      <c r="B477" s="37" t="s">
        <v>26</v>
      </c>
      <c r="C477" s="28" t="s">
        <v>222</v>
      </c>
      <c r="F477" s="34" t="str">
        <f>IF(ISBLANK(Table2[[#This Row],[unique_id]]), "", PROPER(SUBSTITUTE(Table2[[#This Row],[unique_id]], "_", " ")))</f>
        <v/>
      </c>
      <c r="P477" s="29"/>
      <c r="Q477" s="28"/>
      <c r="U477" s="35"/>
      <c r="V477" s="35"/>
      <c r="W477" s="35"/>
      <c r="X477" s="28"/>
      <c r="AD477" s="29"/>
      <c r="AE477" s="29"/>
      <c r="AF477" s="29"/>
      <c r="AG477" s="29"/>
      <c r="AO477" s="29"/>
      <c r="AP477" s="29"/>
      <c r="BA477" s="28"/>
      <c r="BB477" s="38"/>
      <c r="BD477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uap-dar-deck-north</v>
      </c>
      <c r="BE4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Deck North</v>
      </c>
      <c r="BF4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7" s="28" t="s">
        <v>1359</v>
      </c>
      <c r="BI477" s="28" t="str">
        <f>IF(ISBLANK(Table2[[#This Row],[device_model]]), "", Table2[[#This Row],[device_suggested_area]])</f>
        <v>Deck North</v>
      </c>
      <c r="BJ477" s="28" t="str">
        <f>Table2[[#This Row],[device_suggested_area]]</f>
        <v>Deck North</v>
      </c>
      <c r="BK477" s="28" t="s">
        <v>973</v>
      </c>
      <c r="BL477" s="28" t="s">
        <v>222</v>
      </c>
      <c r="BN477" s="28" t="s">
        <v>1011</v>
      </c>
      <c r="BO477" s="28" t="s">
        <v>1352</v>
      </c>
      <c r="BS477" s="28" t="s">
        <v>1179</v>
      </c>
      <c r="BT477" s="28" t="s">
        <v>1354</v>
      </c>
      <c r="BU477" s="28" t="s">
        <v>1184</v>
      </c>
      <c r="BV4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"78:8a:20:b3:26:c8"], ["ip", "10.0.1.5"]]</v>
      </c>
    </row>
    <row r="478" spans="1:74" ht="16" customHeight="1" x14ac:dyDescent="0.2">
      <c r="A478" s="28">
        <v>5006</v>
      </c>
      <c r="B478" s="37" t="s">
        <v>26</v>
      </c>
      <c r="C478" s="28" t="s">
        <v>222</v>
      </c>
      <c r="F478" s="34" t="str">
        <f>IF(ISBLANK(Table2[[#This Row],[unique_id]]), "", PROPER(SUBSTITUTE(Table2[[#This Row],[unique_id]], "_", " ")))</f>
        <v/>
      </c>
      <c r="P478" s="29"/>
      <c r="Q478" s="28"/>
      <c r="U478" s="35"/>
      <c r="V478" s="35"/>
      <c r="W478" s="35"/>
      <c r="X478" s="28"/>
      <c r="AD478" s="29"/>
      <c r="AE478" s="29"/>
      <c r="AF478" s="29"/>
      <c r="AG478" s="29"/>
      <c r="AO478" s="29"/>
      <c r="AP478" s="29"/>
      <c r="BA478" s="28"/>
      <c r="BB478" s="38"/>
      <c r="BD478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uap-dar-deck-south</v>
      </c>
      <c r="BE4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Deck South</v>
      </c>
      <c r="BF4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8" s="28" t="s">
        <v>1359</v>
      </c>
      <c r="BI478" s="28" t="str">
        <f>IF(ISBLANK(Table2[[#This Row],[device_model]]), "", Table2[[#This Row],[device_suggested_area]])</f>
        <v>Deck South</v>
      </c>
      <c r="BJ478" s="28" t="str">
        <f>Table2[[#This Row],[device_suggested_area]]</f>
        <v>Deck South</v>
      </c>
      <c r="BK478" s="28" t="s">
        <v>973</v>
      </c>
      <c r="BL478" s="28" t="s">
        <v>222</v>
      </c>
      <c r="BN478" s="28" t="s">
        <v>1011</v>
      </c>
      <c r="BO478" s="28" t="s">
        <v>1351</v>
      </c>
      <c r="BS478" s="28" t="s">
        <v>1179</v>
      </c>
      <c r="BT478" s="28" t="s">
        <v>378</v>
      </c>
      <c r="BU478" s="28" t="s">
        <v>1353</v>
      </c>
      <c r="BV4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"78:8a:20:70:d3:79"], ["ip", "10.0.1.6"]]</v>
      </c>
    </row>
    <row r="479" spans="1:74" ht="16" customHeight="1" x14ac:dyDescent="0.2">
      <c r="A479" s="28">
        <v>5007</v>
      </c>
      <c r="B479" s="37" t="s">
        <v>543</v>
      </c>
      <c r="C479" s="37" t="s">
        <v>222</v>
      </c>
      <c r="D479" s="37"/>
      <c r="E479" s="37"/>
      <c r="F479" s="34" t="str">
        <f>IF(ISBLANK(Table2[[#This Row],[unique_id]]), "", PROPER(SUBSTITUTE(Table2[[#This Row],[unique_id]], "_", " ")))</f>
        <v/>
      </c>
      <c r="G479" s="37"/>
      <c r="H479" s="37"/>
      <c r="I479" s="37"/>
      <c r="K479" s="37"/>
      <c r="L479" s="37"/>
      <c r="M479" s="37"/>
      <c r="N479" s="37"/>
      <c r="P479" s="29"/>
      <c r="Q479" s="28"/>
      <c r="U479" s="35"/>
      <c r="V479" s="35"/>
      <c r="W479" s="35"/>
      <c r="X479" s="28"/>
      <c r="AD479" s="29"/>
      <c r="AE479" s="29"/>
      <c r="AF479" s="29"/>
      <c r="AG479" s="29"/>
      <c r="AO479" s="29"/>
      <c r="AP479" s="29"/>
      <c r="BA479" s="28"/>
      <c r="BB479" s="38"/>
      <c r="BD479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sagecom-gateway</v>
      </c>
      <c r="BE4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Sagecom Gateway</v>
      </c>
      <c r="BF4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79" s="28" t="s">
        <v>1287</v>
      </c>
      <c r="BI479" s="28" t="str">
        <f>IF(ISBLANK(Table2[[#This Row],[device_model]]), "", Table2[[#This Row],[device_suggested_area]])</f>
        <v>Rack</v>
      </c>
      <c r="BJ479" s="28" t="s">
        <v>1298</v>
      </c>
      <c r="BK479" s="28" t="s">
        <v>1289</v>
      </c>
      <c r="BL479" s="28" t="s">
        <v>1287</v>
      </c>
      <c r="BN479" s="28" t="s">
        <v>1295</v>
      </c>
      <c r="BO479" s="28" t="s">
        <v>28</v>
      </c>
      <c r="BT479" s="39"/>
      <c r="BU479" s="28" t="s">
        <v>1297</v>
      </c>
      <c r="BV4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"10.0.0.1"]]</v>
      </c>
    </row>
    <row r="480" spans="1:74" ht="16" customHeight="1" x14ac:dyDescent="0.2">
      <c r="A480" s="28">
        <v>5008</v>
      </c>
      <c r="B480" s="37" t="s">
        <v>543</v>
      </c>
      <c r="C480" s="37" t="s">
        <v>1287</v>
      </c>
      <c r="D480" s="37"/>
      <c r="E480" s="37"/>
      <c r="F480" s="34" t="str">
        <f>IF(ISBLANK(Table2[[#This Row],[unique_id]]), "", PROPER(SUBSTITUTE(Table2[[#This Row],[unique_id]], "_", " ")))</f>
        <v/>
      </c>
      <c r="G480" s="37"/>
      <c r="H480" s="37"/>
      <c r="I480" s="37"/>
      <c r="K480" s="37"/>
      <c r="L480" s="37"/>
      <c r="M480" s="37"/>
      <c r="N480" s="37"/>
      <c r="P480" s="29"/>
      <c r="Q480" s="28"/>
      <c r="U480" s="35"/>
      <c r="V480" s="35"/>
      <c r="W480" s="35"/>
      <c r="X480" s="28"/>
      <c r="AD480" s="29"/>
      <c r="AE480" s="29"/>
      <c r="AF480" s="29"/>
      <c r="AG480" s="29"/>
      <c r="AO480" s="29"/>
      <c r="AP480" s="29"/>
      <c r="BA480" s="28"/>
      <c r="BB480" s="38"/>
      <c r="BD480" s="28" t="s">
        <v>1288</v>
      </c>
      <c r="BE4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Sagecom Modem</v>
      </c>
      <c r="BF4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0" s="28" t="s">
        <v>1287</v>
      </c>
      <c r="BI480" s="28" t="str">
        <f>IF(ISBLANK(Table2[[#This Row],[device_model]]), "", Table2[[#This Row],[device_suggested_area]])</f>
        <v>Rack</v>
      </c>
      <c r="BJ480" s="28" t="s">
        <v>970</v>
      </c>
      <c r="BK480" s="28" t="s">
        <v>1289</v>
      </c>
      <c r="BL480" s="28" t="s">
        <v>1287</v>
      </c>
      <c r="BN480" s="28" t="s">
        <v>1295</v>
      </c>
      <c r="BO480" s="28" t="s">
        <v>28</v>
      </c>
      <c r="BT480" s="39"/>
      <c r="BU480" s="28" t="s">
        <v>1290</v>
      </c>
      <c r="BV4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"10.0.0.138"]]</v>
      </c>
    </row>
    <row r="481" spans="1:74" ht="16" customHeight="1" x14ac:dyDescent="0.2">
      <c r="A481" s="28">
        <v>5009</v>
      </c>
      <c r="B481" s="37" t="s">
        <v>543</v>
      </c>
      <c r="C481" s="37" t="s">
        <v>1291</v>
      </c>
      <c r="D481" s="37"/>
      <c r="E481" s="37"/>
      <c r="F481" s="34" t="str">
        <f>IF(ISBLANK(Table2[[#This Row],[unique_id]]), "", PROPER(SUBSTITUTE(Table2[[#This Row],[unique_id]], "_", " ")))</f>
        <v/>
      </c>
      <c r="G481" s="37"/>
      <c r="H481" s="37"/>
      <c r="I481" s="37"/>
      <c r="K481" s="37"/>
      <c r="L481" s="37"/>
      <c r="M481" s="37"/>
      <c r="N481" s="37"/>
      <c r="P481" s="29"/>
      <c r="Q481" s="28"/>
      <c r="U481" s="35"/>
      <c r="V481" s="35"/>
      <c r="W481" s="35"/>
      <c r="X481" s="28"/>
      <c r="AD481" s="29"/>
      <c r="AE481" s="29"/>
      <c r="AF481" s="29"/>
      <c r="AG481" s="29"/>
      <c r="AO481" s="29"/>
      <c r="AP481" s="29"/>
      <c r="BA481" s="28"/>
      <c r="BB481" s="38"/>
      <c r="BD481" s="28" t="s">
        <v>1292</v>
      </c>
      <c r="BE4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Exetel Static IP</v>
      </c>
      <c r="BF4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1" s="28" t="s">
        <v>1291</v>
      </c>
      <c r="BI481" s="28" t="str">
        <f>IF(ISBLANK(Table2[[#This Row],[device_model]]), "", Table2[[#This Row],[device_suggested_area]])</f>
        <v>Rack</v>
      </c>
      <c r="BJ481" s="28" t="s">
        <v>1293</v>
      </c>
      <c r="BK481" s="28" t="s">
        <v>1294</v>
      </c>
      <c r="BL481" s="28" t="s">
        <v>1291</v>
      </c>
      <c r="BN481" s="28" t="s">
        <v>1295</v>
      </c>
      <c r="BO481" s="28" t="s">
        <v>28</v>
      </c>
      <c r="BT481" s="39"/>
      <c r="BU481" s="28" t="s">
        <v>1296</v>
      </c>
      <c r="BV4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"123.176.113.184"]]</v>
      </c>
    </row>
    <row r="482" spans="1:74" ht="16" customHeight="1" x14ac:dyDescent="0.2">
      <c r="A482" s="28">
        <v>5010</v>
      </c>
      <c r="B482" s="37" t="s">
        <v>543</v>
      </c>
      <c r="C482" s="37" t="s">
        <v>358</v>
      </c>
      <c r="D482" s="37"/>
      <c r="E482" s="37"/>
      <c r="F482" s="34" t="str">
        <f>IF(ISBLANK(Table2[[#This Row],[unique_id]]), "", PROPER(SUBSTITUTE(Table2[[#This Row],[unique_id]], "_", " ")))</f>
        <v/>
      </c>
      <c r="G482" s="37"/>
      <c r="H482" s="37"/>
      <c r="I482" s="37"/>
      <c r="K482" s="37"/>
      <c r="L482" s="37"/>
      <c r="M482" s="37"/>
      <c r="N482" s="37"/>
      <c r="P482" s="29"/>
      <c r="Q482" s="28"/>
      <c r="U482" s="35"/>
      <c r="V482" s="35"/>
      <c r="W482" s="35"/>
      <c r="X482" s="28"/>
      <c r="AD482" s="29"/>
      <c r="AE482" s="29"/>
      <c r="AF482" s="29"/>
      <c r="AG482" s="29"/>
      <c r="AO482" s="29"/>
      <c r="AP482" s="29"/>
      <c r="BA482" s="28"/>
      <c r="BB482" s="38"/>
      <c r="BD4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udm-pihole</v>
      </c>
      <c r="BE4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UDM PiHole</v>
      </c>
      <c r="BF4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2" s="28" t="s">
        <v>975</v>
      </c>
      <c r="BI482" s="28" t="str">
        <f>IF(ISBLANK(Table2[[#This Row],[device_model]]), "", Table2[[#This Row],[device_suggested_area]])</f>
        <v>Rack</v>
      </c>
      <c r="BJ482" s="28" t="s">
        <v>358</v>
      </c>
      <c r="BK482" s="28" t="s">
        <v>359</v>
      </c>
      <c r="BL482" s="28" t="s">
        <v>361</v>
      </c>
      <c r="BN482" s="28" t="s">
        <v>360</v>
      </c>
      <c r="BO482" s="28" t="s">
        <v>28</v>
      </c>
      <c r="BS482" s="28" t="s">
        <v>1185</v>
      </c>
      <c r="BT482" s="39" t="s">
        <v>403</v>
      </c>
      <c r="BU482" s="28" t="s">
        <v>1203</v>
      </c>
      <c r="BV4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"4a:9a:06:5d:53:66"], ["ip", "10.0.3.14"]]</v>
      </c>
    </row>
    <row r="483" spans="1:74" ht="16" customHeight="1" x14ac:dyDescent="0.2">
      <c r="A483" s="28">
        <v>5011</v>
      </c>
      <c r="B483" s="37" t="s">
        <v>26</v>
      </c>
      <c r="C483" s="37" t="s">
        <v>349</v>
      </c>
      <c r="D483" s="37"/>
      <c r="E483" s="37"/>
      <c r="F483" s="28" t="str">
        <f>IF(ISBLANK(Table2[[#This Row],[unique_id]]), "", PROPER(SUBSTITUTE(Table2[[#This Row],[unique_id]], "_", " ")))</f>
        <v/>
      </c>
      <c r="G483" s="37"/>
      <c r="H483" s="37"/>
      <c r="I483" s="37"/>
      <c r="K483" s="37"/>
      <c r="L483" s="37"/>
      <c r="N483" s="37"/>
      <c r="P483" s="29"/>
      <c r="Q483" s="28"/>
      <c r="U483" s="35"/>
      <c r="V483" s="35"/>
      <c r="W483" s="35"/>
      <c r="X483" s="28"/>
      <c r="AD483" s="29"/>
      <c r="AE483" s="29"/>
      <c r="AF483" s="29"/>
      <c r="AG483" s="29"/>
      <c r="AO483" s="29"/>
      <c r="AP483" s="29"/>
      <c r="AR483" s="28" t="str">
        <f t="shared" ref="AR483:AR488" si="3">IF(ISBLANK(AQ483),  "", _xlfn.CONCAT("haas/entity/sensor/", LOWER(C483), "/", E483, "/config"))</f>
        <v/>
      </c>
      <c r="AS483" s="28" t="str">
        <f t="shared" ref="AS483:AS488" si="4">IF(ISBLANK(AQ483),  "", _xlfn.CONCAT(LOWER(C483), "/", E483))</f>
        <v/>
      </c>
      <c r="BA483" s="28"/>
      <c r="BB483" s="38"/>
      <c r="BC483" s="38"/>
      <c r="BD4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raspbpi-jen</v>
      </c>
      <c r="BE4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RaspbPi Jen</v>
      </c>
      <c r="BF4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3" s="28" t="s">
        <v>1002</v>
      </c>
      <c r="BI483" s="28" t="str">
        <f>IF(ISBLANK(Table2[[#This Row],[device_model]]), "", Table2[[#This Row],[device_suggested_area]])</f>
        <v>Wardrobe</v>
      </c>
      <c r="BJ483" s="28" t="s">
        <v>1377</v>
      </c>
      <c r="BK483" s="28" t="s">
        <v>981</v>
      </c>
      <c r="BL483" s="28" t="s">
        <v>518</v>
      </c>
      <c r="BN483" s="60" t="s">
        <v>1381</v>
      </c>
      <c r="BO483" s="28" t="s">
        <v>460</v>
      </c>
      <c r="BS483" s="28" t="s">
        <v>372</v>
      </c>
      <c r="BT483" s="28" t="s">
        <v>517</v>
      </c>
      <c r="BU483" s="28" t="s">
        <v>1178</v>
      </c>
      <c r="BV4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"b8:27:eb:78:74:0e"], ["ip", "10.0.2.19"]]</v>
      </c>
    </row>
    <row r="484" spans="1:74" ht="16" customHeight="1" x14ac:dyDescent="0.2">
      <c r="A484" s="28">
        <v>5012</v>
      </c>
      <c r="B484" s="37" t="s">
        <v>543</v>
      </c>
      <c r="C484" s="37" t="s">
        <v>349</v>
      </c>
      <c r="D484" s="37"/>
      <c r="E484" s="37"/>
      <c r="F484" s="28" t="str">
        <f>IF(ISBLANK(Table2[[#This Row],[unique_id]]), "", PROPER(SUBSTITUTE(Table2[[#This Row],[unique_id]], "_", " ")))</f>
        <v/>
      </c>
      <c r="G484" s="37"/>
      <c r="H484" s="37"/>
      <c r="I484" s="37"/>
      <c r="K484" s="37"/>
      <c r="L484" s="37"/>
      <c r="N484" s="37"/>
      <c r="P484" s="29"/>
      <c r="Q484" s="28"/>
      <c r="U484" s="35"/>
      <c r="V484" s="35"/>
      <c r="W484" s="35"/>
      <c r="X484" s="28"/>
      <c r="AD484" s="29"/>
      <c r="AE484" s="29"/>
      <c r="AF484" s="29"/>
      <c r="AG484" s="29"/>
      <c r="AO484" s="29"/>
      <c r="AP484" s="29"/>
      <c r="AR484" s="28" t="str">
        <f t="shared" si="3"/>
        <v/>
      </c>
      <c r="AS484" s="28" t="str">
        <f t="shared" si="4"/>
        <v/>
      </c>
      <c r="BA484" s="28"/>
      <c r="BB484" s="38"/>
      <c r="BC484" s="38"/>
      <c r="BD4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raspbpi-jil</v>
      </c>
      <c r="BE4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RaspbPi Jil</v>
      </c>
      <c r="BF4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4" s="28" t="s">
        <v>1002</v>
      </c>
      <c r="BI484" s="28" t="str">
        <f>IF(ISBLANK(Table2[[#This Row],[device_model]]), "", Table2[[#This Row],[device_suggested_area]])</f>
        <v>Guildford</v>
      </c>
      <c r="BJ484" s="28" t="s">
        <v>1379</v>
      </c>
      <c r="BK484" s="28" t="s">
        <v>1380</v>
      </c>
      <c r="BL484" s="28" t="s">
        <v>518</v>
      </c>
      <c r="BN484" s="60" t="s">
        <v>1381</v>
      </c>
      <c r="BO484" s="28" t="s">
        <v>1378</v>
      </c>
      <c r="BT484" s="28" t="s">
        <v>1385</v>
      </c>
      <c r="BV4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"dc:a6:32:5c:de:d5"]]</v>
      </c>
    </row>
    <row r="485" spans="1:74" ht="16" customHeight="1" x14ac:dyDescent="0.2">
      <c r="A485" s="28">
        <v>5013</v>
      </c>
      <c r="B485" s="37" t="s">
        <v>26</v>
      </c>
      <c r="C485" s="37" t="s">
        <v>349</v>
      </c>
      <c r="D485" s="37"/>
      <c r="E485" s="37"/>
      <c r="F485" s="28" t="str">
        <f>IF(ISBLANK(Table2[[#This Row],[unique_id]]), "", PROPER(SUBSTITUTE(Table2[[#This Row],[unique_id]], "_", " ")))</f>
        <v/>
      </c>
      <c r="G485" s="37"/>
      <c r="H485" s="37"/>
      <c r="I485" s="37"/>
      <c r="K485" s="37"/>
      <c r="L485" s="37"/>
      <c r="N485" s="37"/>
      <c r="P485" s="29"/>
      <c r="Q485" s="28"/>
      <c r="U485" s="35"/>
      <c r="V485" s="35"/>
      <c r="W485" s="35"/>
      <c r="X485" s="28"/>
      <c r="AD485" s="29"/>
      <c r="AE485" s="29"/>
      <c r="AF485" s="29"/>
      <c r="AG485" s="29"/>
      <c r="AO485" s="29"/>
      <c r="AP485" s="29"/>
      <c r="AR485" s="28" t="str">
        <f t="shared" si="3"/>
        <v/>
      </c>
      <c r="AS485" s="28" t="str">
        <f t="shared" si="4"/>
        <v/>
      </c>
      <c r="BA485" s="28"/>
      <c r="BB485" s="38"/>
      <c r="BC485" s="38"/>
      <c r="BD4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macmini-mad</v>
      </c>
      <c r="BE4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Mad</v>
      </c>
      <c r="BF4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5" s="28" t="s">
        <v>1001</v>
      </c>
      <c r="BI485" s="28" t="str">
        <f>IF(ISBLANK(Table2[[#This Row],[device_model]]), "", Table2[[#This Row],[device_suggested_area]])</f>
        <v>Rack</v>
      </c>
      <c r="BJ485" s="28" t="s">
        <v>1382</v>
      </c>
      <c r="BK485" s="28" t="s">
        <v>1383</v>
      </c>
      <c r="BL485" s="28" t="s">
        <v>251</v>
      </c>
      <c r="BN485" s="60" t="s">
        <v>1387</v>
      </c>
      <c r="BO485" s="28" t="s">
        <v>28</v>
      </c>
      <c r="BS485" s="28" t="s">
        <v>372</v>
      </c>
      <c r="BT485" s="39" t="s">
        <v>1386</v>
      </c>
      <c r="BU485" s="28" t="s">
        <v>1174</v>
      </c>
      <c r="BV4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"5c:e9:1e:e6:47:f8"], ["ip", "10.0.2.15"]]</v>
      </c>
    </row>
    <row r="486" spans="1:74" ht="16" customHeight="1" x14ac:dyDescent="0.2">
      <c r="A486" s="28">
        <v>5014</v>
      </c>
      <c r="B486" s="37" t="s">
        <v>26</v>
      </c>
      <c r="C486" s="37" t="s">
        <v>349</v>
      </c>
      <c r="D486" s="37"/>
      <c r="E486" s="37"/>
      <c r="F486" s="28" t="str">
        <f>IF(ISBLANK(Table2[[#This Row],[unique_id]]), "", PROPER(SUBSTITUTE(Table2[[#This Row],[unique_id]], "_", " ")))</f>
        <v/>
      </c>
      <c r="G486" s="37"/>
      <c r="H486" s="37"/>
      <c r="I486" s="37"/>
      <c r="K486" s="37"/>
      <c r="L486" s="37"/>
      <c r="N486" s="37"/>
      <c r="P486" s="29"/>
      <c r="Q486" s="28"/>
      <c r="U486" s="35"/>
      <c r="V486" s="35"/>
      <c r="W486" s="35"/>
      <c r="X486" s="28"/>
      <c r="AD486" s="29"/>
      <c r="AE486" s="29"/>
      <c r="AF486" s="29"/>
      <c r="AG486" s="29"/>
      <c r="AO486" s="29"/>
      <c r="AP486" s="29"/>
      <c r="AR486" s="28" t="str">
        <f t="shared" si="3"/>
        <v/>
      </c>
      <c r="AS486" s="28" t="str">
        <f t="shared" si="4"/>
        <v/>
      </c>
      <c r="BA486" s="28"/>
      <c r="BB486" s="38"/>
      <c r="BC486" s="38"/>
      <c r="BD4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macmini-max</v>
      </c>
      <c r="BE4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Max</v>
      </c>
      <c r="BF4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6" s="28" t="s">
        <v>1001</v>
      </c>
      <c r="BI486" s="28" t="str">
        <f>IF(ISBLANK(Table2[[#This Row],[device_model]]), "", Table2[[#This Row],[device_suggested_area]])</f>
        <v>Rack</v>
      </c>
      <c r="BJ486" s="28" t="s">
        <v>1384</v>
      </c>
      <c r="BK486" s="28" t="s">
        <v>979</v>
      </c>
      <c r="BL486" s="28" t="s">
        <v>251</v>
      </c>
      <c r="BN486" s="60" t="s">
        <v>1391</v>
      </c>
      <c r="BO486" s="28" t="s">
        <v>28</v>
      </c>
      <c r="BS486" s="28" t="s">
        <v>372</v>
      </c>
      <c r="BT486" s="44" t="s">
        <v>1392</v>
      </c>
      <c r="BU486" s="28" t="s">
        <v>1175</v>
      </c>
      <c r="BV4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"ac:87:a3:25:8d:3f"], ["ip", "10.0.2.16"]]</v>
      </c>
    </row>
    <row r="487" spans="1:74" ht="16" customHeight="1" x14ac:dyDescent="0.2">
      <c r="A487" s="28">
        <v>5015</v>
      </c>
      <c r="B487" s="37" t="s">
        <v>26</v>
      </c>
      <c r="C487" s="37" t="s">
        <v>349</v>
      </c>
      <c r="D487" s="37"/>
      <c r="E487" s="37"/>
      <c r="F487" s="28" t="str">
        <f>IF(ISBLANK(Table2[[#This Row],[unique_id]]), "", PROPER(SUBSTITUTE(Table2[[#This Row],[unique_id]], "_", " ")))</f>
        <v/>
      </c>
      <c r="G487" s="37"/>
      <c r="H487" s="37"/>
      <c r="I487" s="37"/>
      <c r="K487" s="37"/>
      <c r="L487" s="37"/>
      <c r="N487" s="37"/>
      <c r="P487" s="29"/>
      <c r="Q487" s="28"/>
      <c r="U487" s="35"/>
      <c r="V487" s="35"/>
      <c r="W487" s="35"/>
      <c r="X487" s="28"/>
      <c r="AD487" s="29"/>
      <c r="AE487" s="29"/>
      <c r="AF487" s="29"/>
      <c r="AG487" s="29"/>
      <c r="AO487" s="29"/>
      <c r="AP487" s="29"/>
      <c r="AR487" s="28" t="str">
        <f t="shared" si="3"/>
        <v/>
      </c>
      <c r="AS487" s="28" t="str">
        <f t="shared" si="4"/>
        <v/>
      </c>
      <c r="BA487" s="28"/>
      <c r="BB487" s="38"/>
      <c r="BC487" s="38"/>
      <c r="BD4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macmini-may</v>
      </c>
      <c r="BE4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May</v>
      </c>
      <c r="BF4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7" s="28" t="s">
        <v>1001</v>
      </c>
      <c r="BI487" s="28" t="str">
        <f>IF(ISBLANK(Table2[[#This Row],[device_model]]), "", Table2[[#This Row],[device_suggested_area]])</f>
        <v>Rack</v>
      </c>
      <c r="BJ487" s="28" t="s">
        <v>1366</v>
      </c>
      <c r="BK487" s="28" t="s">
        <v>979</v>
      </c>
      <c r="BL487" s="28" t="s">
        <v>251</v>
      </c>
      <c r="BN487" s="60" t="s">
        <v>1381</v>
      </c>
      <c r="BO487" s="28" t="s">
        <v>28</v>
      </c>
      <c r="BS487" s="28" t="s">
        <v>372</v>
      </c>
      <c r="BT487" s="44" t="s">
        <v>1253</v>
      </c>
      <c r="BU487" s="28" t="s">
        <v>1176</v>
      </c>
      <c r="BV4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"38:c9:86:59:f1:6f"], ["ip", "10.0.2.17"]]</v>
      </c>
    </row>
    <row r="488" spans="1:74" ht="16" customHeight="1" x14ac:dyDescent="0.2">
      <c r="A488" s="28">
        <v>5016</v>
      </c>
      <c r="B488" s="37" t="s">
        <v>26</v>
      </c>
      <c r="C488" s="37" t="s">
        <v>349</v>
      </c>
      <c r="D488" s="37"/>
      <c r="E488" s="37"/>
      <c r="F488" s="28" t="str">
        <f>IF(ISBLANK(Table2[[#This Row],[unique_id]]), "", PROPER(SUBSTITUTE(Table2[[#This Row],[unique_id]], "_", " ")))</f>
        <v/>
      </c>
      <c r="G488" s="37"/>
      <c r="H488" s="37"/>
      <c r="I488" s="37"/>
      <c r="K488" s="37"/>
      <c r="L488" s="37"/>
      <c r="N488" s="37"/>
      <c r="P488" s="29"/>
      <c r="Q488" s="28"/>
      <c r="U488" s="35"/>
      <c r="V488" s="35"/>
      <c r="W488" s="35"/>
      <c r="X488" s="28"/>
      <c r="AD488" s="29"/>
      <c r="AE488" s="29"/>
      <c r="AF488" s="29"/>
      <c r="AG488" s="29"/>
      <c r="AO488" s="29"/>
      <c r="AP488" s="29"/>
      <c r="AR488" s="28" t="str">
        <f t="shared" si="3"/>
        <v/>
      </c>
      <c r="AS488" s="28" t="str">
        <f t="shared" si="4"/>
        <v/>
      </c>
      <c r="BA488" s="28"/>
      <c r="BB488" s="38"/>
      <c r="BC488" s="38"/>
      <c r="BD4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macmini-meg</v>
      </c>
      <c r="BE4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Meg</v>
      </c>
      <c r="BF4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8" s="28" t="s">
        <v>1001</v>
      </c>
      <c r="BI488" s="28" t="str">
        <f>IF(ISBLANK(Table2[[#This Row],[device_model]]), "", Table2[[#This Row],[device_suggested_area]])</f>
        <v>Rack</v>
      </c>
      <c r="BJ488" s="28" t="s">
        <v>980</v>
      </c>
      <c r="BK488" s="28" t="s">
        <v>979</v>
      </c>
      <c r="BL488" s="28" t="s">
        <v>251</v>
      </c>
      <c r="BN488" s="60" t="s">
        <v>1381</v>
      </c>
      <c r="BO488" s="28" t="s">
        <v>28</v>
      </c>
      <c r="BS488" s="28" t="s">
        <v>372</v>
      </c>
      <c r="BT488" s="28" t="s">
        <v>551</v>
      </c>
      <c r="BU488" s="28" t="s">
        <v>1177</v>
      </c>
      <c r="BV4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"0c:4d:e9:d2:86:6c"], ["ip", "10.0.2.18"]]</v>
      </c>
    </row>
    <row r="489" spans="1:74" ht="16" customHeight="1" x14ac:dyDescent="0.2">
      <c r="A489" s="28">
        <v>5017</v>
      </c>
      <c r="B489" s="28" t="s">
        <v>26</v>
      </c>
      <c r="C489" s="28" t="s">
        <v>353</v>
      </c>
      <c r="E489" s="37"/>
      <c r="F489" s="34" t="str">
        <f>IF(ISBLANK(Table2[[#This Row],[unique_id]]), "", PROPER(SUBSTITUTE(Table2[[#This Row],[unique_id]], "_", " ")))</f>
        <v/>
      </c>
      <c r="I489" s="37"/>
      <c r="P489" s="29"/>
      <c r="Q489" s="28"/>
      <c r="U489" s="35"/>
      <c r="V489" s="35"/>
      <c r="W489" s="35"/>
      <c r="X489" s="28"/>
      <c r="AD489" s="29"/>
      <c r="AE489" s="29"/>
      <c r="AF489" s="29"/>
      <c r="AG489" s="29"/>
      <c r="AO489" s="29"/>
      <c r="AP489" s="29"/>
      <c r="BA489" s="28"/>
      <c r="BB489" s="38"/>
      <c r="BD4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brother-printer</v>
      </c>
      <c r="BE4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Brother Printer</v>
      </c>
      <c r="BF4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89" s="28" t="s">
        <v>351</v>
      </c>
      <c r="BI489" s="28" t="str">
        <f>IF(ISBLANK(Table2[[#This Row],[device_model]]), "", Table2[[#This Row],[device_suggested_area]])</f>
        <v>Rack</v>
      </c>
      <c r="BJ489" s="28" t="s">
        <v>353</v>
      </c>
      <c r="BK489" s="28" t="s">
        <v>352</v>
      </c>
      <c r="BL489" s="28" t="s">
        <v>351</v>
      </c>
      <c r="BN489" s="28" t="s">
        <v>724</v>
      </c>
      <c r="BO489" s="28" t="s">
        <v>28</v>
      </c>
      <c r="BS489" s="28" t="s">
        <v>1186</v>
      </c>
      <c r="BT489" s="28" t="s">
        <v>350</v>
      </c>
      <c r="BU489" s="28" t="s">
        <v>1243</v>
      </c>
      <c r="BV4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"30:05:5c:8a:ff:10"], ["ip", "10.0.4.30"]]</v>
      </c>
    </row>
    <row r="490" spans="1:74" ht="16" customHeight="1" x14ac:dyDescent="0.2">
      <c r="A490" s="28">
        <v>5018</v>
      </c>
      <c r="B490" s="28" t="s">
        <v>26</v>
      </c>
      <c r="C490" s="28" t="s">
        <v>425</v>
      </c>
      <c r="E490" s="37"/>
      <c r="F490" s="34" t="str">
        <f>IF(ISBLANK(Table2[[#This Row],[unique_id]]), "", PROPER(SUBSTITUTE(Table2[[#This Row],[unique_id]], "_", " ")))</f>
        <v/>
      </c>
      <c r="I490" s="37"/>
      <c r="P490" s="29"/>
      <c r="Q490" s="28"/>
      <c r="U490" s="35"/>
      <c r="V490" s="35"/>
      <c r="W490" s="35"/>
      <c r="X490" s="28"/>
      <c r="AD490" s="29"/>
      <c r="AE490" s="29" t="s">
        <v>455</v>
      </c>
      <c r="AF490" s="29"/>
      <c r="AG490" s="40" t="s">
        <v>704</v>
      </c>
      <c r="AH490" s="40"/>
      <c r="AI490" s="40"/>
      <c r="AO490" s="29"/>
      <c r="AP490" s="29"/>
      <c r="BA490" s="28"/>
      <c r="BB49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https://zigbee2mqtt.janeandgraham.com/#/device/0x00158d0005d9d088</v>
      </c>
      <c r="BC490" s="35"/>
      <c r="BD4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home-cube-remote</v>
      </c>
      <c r="BE4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Home Cube Remote</v>
      </c>
      <c r="BF4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G4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H490" s="35" t="str">
        <f>Table2[[#This Row],[device_suggested_area]]</f>
        <v>Home</v>
      </c>
      <c r="BI490" s="28" t="str">
        <f>IF(ISBLANK(Table2[[#This Row],[device_model]]), "", Table2[[#This Row],[device_suggested_area]])</f>
        <v>Home</v>
      </c>
      <c r="BJ490" s="35" t="s">
        <v>977</v>
      </c>
      <c r="BK490" s="35" t="s">
        <v>447</v>
      </c>
      <c r="BL490" s="28" t="s">
        <v>425</v>
      </c>
      <c r="BN490" s="35" t="s">
        <v>448</v>
      </c>
      <c r="BO490" s="28" t="s">
        <v>155</v>
      </c>
      <c r="BT490" s="28" t="s">
        <v>446</v>
      </c>
      <c r="BV4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"0x00158d0005d9d088"]]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Gear</dc:creator>
  <cp:lastModifiedBy>Graham Gear</cp:lastModifiedBy>
  <dcterms:created xsi:type="dcterms:W3CDTF">2022-02-15T03:40:13Z</dcterms:created>
  <dcterms:modified xsi:type="dcterms:W3CDTF">2026-10-09T05:53:29Z</dcterms:modified>
</cp:coreProperties>
</file>