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103FCE84-FF64-6F41-8030-345702D3BC25}" xr6:coauthVersionLast="47" xr6:coauthVersionMax="47" xr10:uidLastSave="{00000000-0000-0000-0000-000000000000}"/>
  <bookViews>
    <workbookView xWindow="9080" yWindow="1420" windowWidth="396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328" i="1" l="1"/>
  <c r="AK324" i="1"/>
  <c r="AK322" i="1"/>
  <c r="AK320" i="1"/>
  <c r="AK318" i="1"/>
  <c r="AK396" i="1"/>
  <c r="AK395" i="1"/>
  <c r="AK394" i="1"/>
  <c r="AK392" i="1"/>
  <c r="AK391" i="1"/>
  <c r="AK390" i="1"/>
  <c r="AK350" i="1"/>
  <c r="AK349" i="1"/>
  <c r="AK348" i="1"/>
  <c r="AK347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08" i="1"/>
  <c r="BA308" i="1"/>
  <c r="AW308" i="1" s="1"/>
  <c r="AV308" i="1" s="1"/>
  <c r="AM308" i="1"/>
  <c r="AL308" i="1"/>
  <c r="AK308" i="1"/>
  <c r="AJ308" i="1"/>
  <c r="F308" i="1"/>
  <c r="BN301" i="1"/>
  <c r="BA301" i="1"/>
  <c r="AW301" i="1" s="1"/>
  <c r="AV301" i="1" s="1"/>
  <c r="AM301" i="1"/>
  <c r="AL301" i="1"/>
  <c r="AK301" i="1"/>
  <c r="AJ301" i="1"/>
  <c r="F301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J328" i="1"/>
  <c r="AJ324" i="1"/>
  <c r="AJ322" i="1"/>
  <c r="AJ320" i="1"/>
  <c r="AJ318" i="1"/>
  <c r="AJ311" i="1"/>
  <c r="AJ310" i="1"/>
  <c r="AJ309" i="1"/>
  <c r="AJ292" i="1"/>
  <c r="AJ307" i="1"/>
  <c r="AJ306" i="1"/>
  <c r="AJ298" i="1"/>
  <c r="AJ305" i="1"/>
  <c r="AJ294" i="1"/>
  <c r="AJ303" i="1"/>
  <c r="AJ302" i="1"/>
  <c r="AJ300" i="1"/>
  <c r="AJ304" i="1"/>
  <c r="AJ299" i="1"/>
  <c r="AJ297" i="1"/>
  <c r="AJ296" i="1"/>
  <c r="AJ295" i="1"/>
  <c r="AJ293" i="1"/>
  <c r="AJ291" i="1"/>
  <c r="AL311" i="1"/>
  <c r="AL310" i="1"/>
  <c r="AL309" i="1"/>
  <c r="AL292" i="1"/>
  <c r="AL307" i="1"/>
  <c r="AL306" i="1"/>
  <c r="AL298" i="1"/>
  <c r="AL305" i="1"/>
  <c r="AL294" i="1"/>
  <c r="AL303" i="1"/>
  <c r="AL302" i="1"/>
  <c r="AL300" i="1"/>
  <c r="AL304" i="1"/>
  <c r="AL299" i="1"/>
  <c r="AL297" i="1"/>
  <c r="AL296" i="1"/>
  <c r="AL295" i="1"/>
  <c r="AL293" i="1"/>
  <c r="AL291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J392" i="1"/>
  <c r="F392" i="1"/>
  <c r="BN391" i="1"/>
  <c r="BA391" i="1"/>
  <c r="AW391" i="1" s="1"/>
  <c r="AM391" i="1"/>
  <c r="AJ391" i="1"/>
  <c r="F391" i="1"/>
  <c r="BN390" i="1"/>
  <c r="BA390" i="1"/>
  <c r="AW390" i="1" s="1"/>
  <c r="AT390" i="1"/>
  <c r="AM390" i="1"/>
  <c r="AL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J350" i="1"/>
  <c r="F350" i="1"/>
  <c r="BN349" i="1"/>
  <c r="BA349" i="1"/>
  <c r="AW349" i="1" s="1"/>
  <c r="AV349" i="1" s="1"/>
  <c r="AT349" i="1"/>
  <c r="AM349" i="1"/>
  <c r="AL349" i="1"/>
  <c r="AJ349" i="1"/>
  <c r="F349" i="1"/>
  <c r="BN348" i="1"/>
  <c r="BA348" i="1"/>
  <c r="AW348" i="1" s="1"/>
  <c r="AT348" i="1"/>
  <c r="AM348" i="1"/>
  <c r="AL348" i="1"/>
  <c r="AJ348" i="1"/>
  <c r="F348" i="1"/>
  <c r="BN347" i="1"/>
  <c r="BA347" i="1"/>
  <c r="AW347" i="1" s="1"/>
  <c r="AT347" i="1"/>
  <c r="AM347" i="1"/>
  <c r="AL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1" i="1"/>
  <c r="AR77" i="1"/>
  <c r="AR76" i="1"/>
  <c r="AR75" i="1"/>
  <c r="AR74" i="1"/>
  <c r="AR73" i="1"/>
  <c r="AR72" i="1"/>
  <c r="AY308" i="1" l="1"/>
  <c r="AX308" i="1"/>
  <c r="AY301" i="1"/>
  <c r="AX301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4" i="1"/>
  <c r="AX306" i="1"/>
  <c r="AX299" i="1"/>
  <c r="AX302" i="1"/>
  <c r="AX310" i="1"/>
  <c r="AX296" i="1"/>
  <c r="AX298" i="1"/>
  <c r="AY299" i="1"/>
  <c r="AY298" i="1"/>
  <c r="AY296" i="1"/>
  <c r="AY304" i="1"/>
  <c r="AY307" i="1"/>
  <c r="AX300" i="1"/>
  <c r="AY302" i="1"/>
  <c r="AX292" i="1"/>
  <c r="AY310" i="1"/>
  <c r="AY295" i="1"/>
  <c r="AY294" i="1"/>
  <c r="AV296" i="1"/>
  <c r="AX295" i="1"/>
  <c r="AY300" i="1"/>
  <c r="AY292" i="1"/>
  <c r="AY297" i="1"/>
  <c r="AY303" i="1"/>
  <c r="AX309" i="1"/>
  <c r="AY311" i="1"/>
  <c r="AX293" i="1"/>
  <c r="AY305" i="1"/>
  <c r="AX303" i="1"/>
  <c r="AX311" i="1"/>
  <c r="AX297" i="1"/>
  <c r="AX305" i="1"/>
  <c r="AY306" i="1"/>
  <c r="AY293" i="1"/>
  <c r="AX304" i="1"/>
  <c r="AX307" i="1"/>
  <c r="AY309" i="1"/>
  <c r="AV299" i="1"/>
  <c r="AV304" i="1"/>
  <c r="AV300" i="1"/>
  <c r="AV302" i="1"/>
  <c r="AV303" i="1"/>
  <c r="AV294" i="1"/>
  <c r="AV305" i="1"/>
  <c r="AV298" i="1"/>
  <c r="AV306" i="1"/>
  <c r="AV307" i="1"/>
  <c r="AV292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1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1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<sst xmlns="http://schemas.openxmlformats.org/spreadsheetml/2006/main" count="7783" uniqueCount="1529">
  <si>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</si>
  <si>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</si>
  <si>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</si>
  <si>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</si>
  <si>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</si>
  <si>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</si>
  <si>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</si>
  <si>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</si>
  <si>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</si>
  <si>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</si>
  <si>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</si>
  <si>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</si>
  <si>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</si>
  <si>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</si>
  <si>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</si>
  <si>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</si>
  <si>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</si>
  <si>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</si>
  <si>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</si>
  <si>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</si>
  <si>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</si>
  <si>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</si>
  <si>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</si>
  <si>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</si>
  <si>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</si>
  <si>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</si>
  <si>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</si>
  <si>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</si>
  <si>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</si>
  <si>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</si>
  <si>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</si>
  <si>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</si>
  <si>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</si>
  <si>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</si>
  <si>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</si>
  <si>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</si>
  <si>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</si>
  <si>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</si>
  <si>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</si>
  <si>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</si>
  <si>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</si>
  <si>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</si>
  <si>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</si>
  <si>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</si>
  <si>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</si>
  <si>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</si>
  <si>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</si>
  <si>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</si>
  <si>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</si>
  <si>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</si>
  <si>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</si>
  <si>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</si>
  <si>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</si>
  <si>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</si>
  <si>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</si>
  <si>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</si>
  <si>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</si>
  <si>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</si>
  <si>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</si>
  <si>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</si>
  <si>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</si>
  <si>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</si>
  <si>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</si>
  <si>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</si>
  <si>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</si>
  <si>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</si>
  <si>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</si>
  <si>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</si>
  <si>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</si>
  <si>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</si>
  <si>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</si>
  <si>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</si>
  <si>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</si>
  <si>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</si>
  <si>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</si>
  <si>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</si>
  <si>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</si>
  <si>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</si>
  <si>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</si>
  <si>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</si>
  <si>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</si>
  <si>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</si>
  <si>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</si>
  <si>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</si>
  <si>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</si>
  <si>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</si>
  <si>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</si>
  <si>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</si>
  <si>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</si>
  <si>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</si>
  <si>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</si>
  <si>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</si>
  <si>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</si>
  <si>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</si>
  <si>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</si>
  <si>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</si>
  <si>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</si>
  <si>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</si>
  <si>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</si>
  <si>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</si>
  <si>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</si>
  <si>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</si>
  <si>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</si>
  <si>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</si>
  <si>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</si>
  <si>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</si>
  <si>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</si>
  <si>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</si>
  <si>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</si>
  <si>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</si>
  <si>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</si>
  <si>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</si>
  <si>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</si>
  <si>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</si>
  <si>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</si>
  <si>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</si>
  <si>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</si>
  <si>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</si>
  <si>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</si>
  <si>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</si>
  <si>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</si>
  <si>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</si>
  <si>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</si>
  <si>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</si>
  <si>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</si>
  <si>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</si>
  <si>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</si>
  <si>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</si>
  <si>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</si>
  <si>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</si>
  <si>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</si>
  <si>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</si>
  <si>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</si>
  <si>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</si>
  <si>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</si>
  <si>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</si>
  <si>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</si>
  <si>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</si>
  <si>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</si>
  <si>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</si>
  <si>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</si>
  <si>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</si>
  <si>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</si>
  <si>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</si>
  <si>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</si>
  <si>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</si>
  <si>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</si>
  <si>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</si>
  <si>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</si>
  <si>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</si>
  <si>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</si>
  <si>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</si>
  <si>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</si>
  <si>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</si>
  <si>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</si>
  <si>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</si>
  <si>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</si>
  <si>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</si>
  <si>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</si>
  <si>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</si>
  <si>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</si>
  <si>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</si>
  <si>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</si>
  <si>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</si>
  <si>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</si>
  <si>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</si>
  <si>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</si>
  <si>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</si>
  <si>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</si>
  <si>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</si>
  <si>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</si>
  <si>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</si>
  <si>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</si>
  <si>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</si>
  <si>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</si>
  <si>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</si>
  <si>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</si>
  <si>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</si>
  <si>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</si>
  <si>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</si>
  <si>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</si>
  <si>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</si>
  <si>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</si>
  <si>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</si>
  <si>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</si>
  <si>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</si>
  <si>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</si>
  <si>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</si>
  <si>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</si>
  <si>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</si>
  <si>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</si>
  <si>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</si>
  <si>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</si>
  <si>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</si>
  <si>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</si>
  <si>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</si>
  <si>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</si>
  <si>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</si>
  <si>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</si>
  <si>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</si>
  <si>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</si>
  <si>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</si>
  <si>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</si>
  <si>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</si>
  <si>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</si>
  <si>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</si>
  <si>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</si>
  <si>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</si>
  <si>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</si>
  <si>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</si>
  <si>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</si>
  <si>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</si>
  <si>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</si>
  <si>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</si>
  <si>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</si>
  <si>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</si>
  <si>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</si>
  <si>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</si>
  <si>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</si>
  <si>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</si>
  <si>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</si>
  <si>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</si>
  <si>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</si>
  <si>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</si>
  <si>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</si>
  <si>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</si>
  <si>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</si>
  <si>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</si>
  <si>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</si>
  <si>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</si>
  <si>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</si>
  <si>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</si>
  <si>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</si>
  <si>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</si>
  <si>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</si>
  <si>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</si>
  <si>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</si>
  <si>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</si>
  <si>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</si>
  <si>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</si>
  <si>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</si>
  <si>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</si>
  <si>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</si>
  <si>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</si>
  <si>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</si>
  <si>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</si>
  <si>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</si>
  <si>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</si>
  <si>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</si>
  <si>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</si>
  <si>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</si>
  <si>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</si>
  <si>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</si>
  <si>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</si>
  <si>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</si>
  <si>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</si>
  <si>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</si>
  <si>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</si>
  <si>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</si>
  <si>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</si>
  <si>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</si>
  <si>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</si>
  <si>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</si>
  <si>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</si>
  <si>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</si>
  <si>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</si>
  <si>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</si>
  <si>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</si>
  <si>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</si>
  <si>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</si>
  <si>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</si>
  <si>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</si>
  <si>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</si>
  <si>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</si>
  <si>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</si>
  <si>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</si>
  <si>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</si>
  <si>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</si>
  <si>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</si>
  <si>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</si>
  <si>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</si>
  <si>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</si>
  <si>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</si>
  <si>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</si>
  <si>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</si>
  <si>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</si>
  <si>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</si>
  <si>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</si>
  <si>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</si>
  <si>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</si>
  <si>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</si>
  <si>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</si>
  <si>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</si>
  <si>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</si>
  <si>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</si>
  <si>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</si>
  <si>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</si>
  <si>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</si>
  <si>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</si>
  <si>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</si>
  <si>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</si>
  <si>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</si>
  <si>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</si>
  <si>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</si>
  <si>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</si>
  <si>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</si>
  <si>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</si>
  <si>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</si>
  <si>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</si>
  <si>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</si>
  <si>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</si>
  <si>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</si>
  <si>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</si>
  <si>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</si>
  <si>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</si>
  <si>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</si>
  <si>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</si>
  <si>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</si>
  <si>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</si>
  <si>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</si>
  <si>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</si>
  <si>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</si>
  <si>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</si>
  <si>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</si>
  <si>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</si>
  <si>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</si>
  <si>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</si>
  <si>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</si>
  <si>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</si>
  <si>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</si>
  <si>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</si>
  <si>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</si>
  <si>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</si>
  <si>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</si>
  <si>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</si>
  <si>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</si>
  <si>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</si>
  <si>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</si>
  <si>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</si>
  <si>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</si>
  <si>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</si>
  <si>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</si>
  <si>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</si>
  <si>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</si>
  <si>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</si>
  <si>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</si>
  <si>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</si>
  <si>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</si>
  <si>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</si>
  <si>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</si>
  <si>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</si>
  <si>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</si>
  <si>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</si>
  <si>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</si>
  <si>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</si>
  <si>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</si>
  <si>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</si>
  <si>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</si>
  <si>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</si>
  <si>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</si>
  <si>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</si>
  <si>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</si>
  <si>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</si>
  <si>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</si>
  <si>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</si>
  <si>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</si>
  <si>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</si>
  <si>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</si>
  <si>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</si>
  <si>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</si>
  <si>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</si>
  <si>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</si>
  <si>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</si>
  <si>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</si>
  <si>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</si>
  <si>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</si>
  <si>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</si>
  <si>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</si>
  <si>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</si>
  <si>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</si>
  <si>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</si>
  <si>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</si>
  <si>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</si>
  <si>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</si>
  <si>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</si>
  <si>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</si>
  <si>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</si>
  <si>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</si>
  <si>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</si>
  <si>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</si>
  <si>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</si>
  <si>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</si>
  <si>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</si>
  <si>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</si>
  <si>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</si>
  <si>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</si>
  <si>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</si>
  <si>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</si>
  <si>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</si>
  <si>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</si>
  <si>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</si>
  <si>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</si>
  <si>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</si>
  <si>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</si>
  <si>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</si>
  <si>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</si>
  <si>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</si>
  <si>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</si>
  <si>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</si>
  <si>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</si>
  <si>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</si>
  <si>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</si>
  <si>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</si>
  <si>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</si>
  <si>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</si>
  <si>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</si>
  <si>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</si>
  <si>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</si>
  <si>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</si>
  <si>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</si>
  <si>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</si>
  <si>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</si>
  <si>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</si>
  <si>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</si>
  <si>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</si>
  <si>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</si>
  <si>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</si>
  <si>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</si>
  <si>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</si>
  <si>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</si>
  <si>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</si>
  <si>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</si>
  <si>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</si>
  <si>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</si>
  <si>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</si>
  <si>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</si>
  <si>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</si>
  <si>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</si>
  <si>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</si>
  <si>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</si>
  <si>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</si>
  <si>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</si>
  <si>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</si>
  <si>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</si>
  <si>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</si>
  <si>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</si>
  <si>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</si>
  <si>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</si>
  <si>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</si>
  <si>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</si>
  <si>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</si>
  <si>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</si>
  <si>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</si>
  <si>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</si>
  <si>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</si>
  <si>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</si>
  <si>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</si>
  <si>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</si>
  <si>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</si>
  <si>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</si>
  <si>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</si>
  <si>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</si>
  <si>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</si>
  <si>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</si>
  <si>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</si>
  <si>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</si>
  <si>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</si>
  <si>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</si>
  <si>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</si>
  <si>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</si>
  <si>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</si>
  <si>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</si>
  <si>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</si>
  <si>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</si>
  <si>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</si>
  <si>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</si>
  <si>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</si>
  <si>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</si>
  <si>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</si>
  <si>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</si>
  <si>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</si>
  <si>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</si>
  <si>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</si>
  <si>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</si>
  <si>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</si>
  <si>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</si>
  <si>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</si>
  <si>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</si>
  <si>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</si>
  <si>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</si>
  <si>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</si>
  <si>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</si>
  <si>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</si>
  <si>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</si>
  <si>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</si>
  <si>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</si>
  <si>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</si>
  <si>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</si>
  <si>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</si>
  <si>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</si>
  <si>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</si>
  <si>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</si>
  <si>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</si>
  <si>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</si>
  <si>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</si>
  <si>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</si>
  <si>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</si>
  <si>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</si>
  <si>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</si>
  <si>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</si>
  <si>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</si>
  <si>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</si>
  <si>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</si>
  <si>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</si>
  <si>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</si>
  <si>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</si>
  <si>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</si>
  <si>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</si>
  <si>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</si>
  <si>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</si>
  <si>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</si>
  <si>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</si>
  <si>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</si>
  <si>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</si>
  <si>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</si>
  <si>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</si>
  <si>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</si>
  <si>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</si>
  <si>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</si>
  <si>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</si>
  <si>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</si>
  <si>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</si>
  <si>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</si>
  <si>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</si>
  <si>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</si>
  <si>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</si>
  <si>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</si>
  <si>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</si>
  <si>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</si>
  <si>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</si>
  <si>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</si>
  <si>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</si>
  <si>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</si>
  <si>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</si>
  <si>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</si>
  <si>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</si>
  <si>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</si>
  <si>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</si>
  <si>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</si>
  <si>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</si>
  <si>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</si>
  <si>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</si>
  <si>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</si>
  <si>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</si>
  <si>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</si>
  <si>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</si>
  <si>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</si>
  <si>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</si>
  <si>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</si>
  <si>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</si>
  <si>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</si>
  <si>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</si>
  <si>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</si>
  <si>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</si>
  <si>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</si>
  <si>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</si>
  <si>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</si>
  <si>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</si>
  <si>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</si>
  <si>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</si>
  <si>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</si>
  <si>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</si>
  <si>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</si>
  <si>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</si>
  <si>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</si>
  <si>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</si>
  <si>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</si>
  <si>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</si>
  <si>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</si>
  <si>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</si>
  <si>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</si>
  <si>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</si>
  <si>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</si>
  <si>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</si>
  <si>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</si>
  <si>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</si>
  <si>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</si>
  <si>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</si>
  <si>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</si>
  <si>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</si>
  <si>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</si>
  <si>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</si>
  <si>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</si>
  <si>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</si>
  <si>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</si>
  <si>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</si>
  <si>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</si>
  <si>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</si>
  <si>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</si>
  <si>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</si>
  <si>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</si>
  <si>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</si>
  <si>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</si>
  <si>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</si>
  <si>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</si>
  <si>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</si>
  <si>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</si>
  <si>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</si>
  <si>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</si>
  <si>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</si>
  <si>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</si>
  <si>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</si>
  <si>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</si>
  <si>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</si>
  <si>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</si>
  <si>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</si>
  <si>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</si>
  <si>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</si>
  <si>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</si>
  <si>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</si>
  <si>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</si>
  <si>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</si>
  <si>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</si>
  <si>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</si>
  <si>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</si>
  <si>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</si>
  <si>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</si>
  <si>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</si>
  <si>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</si>
  <si>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</si>
  <si>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</si>
  <si>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</si>
  <si>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</si>
  <si>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</si>
  <si>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</si>
  <si>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</si>
  <si>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</si>
  <si>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</si>
  <si>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</si>
  <si>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</si>
  <si>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</si>
  <si>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</si>
  <si>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</si>
  <si>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</si>
  <si>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</si>
  <si>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</si>
  <si>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</si>
  <si>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</si>
  <si>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</si>
  <si>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</si>
  <si>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</si>
  <si>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</si>
  <si>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</si>
  <si>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</si>
  <si>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</si>
  <si>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</si>
  <si>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</si>
  <si>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</si>
  <si>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</si>
  <si>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</si>
  <si>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</si>
  <si>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</si>
  <si>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</si>
  <si>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</si>
  <si>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</si>
  <si>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</si>
  <si>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</si>
  <si>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</si>
  <si>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</si>
  <si>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</si>
  <si>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</si>
  <si>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</si>
  <si>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</si>
  <si>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</si>
  <si>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</si>
  <si>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</si>
  <si>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</si>
  <si>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</si>
  <si>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</si>
  <si>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</si>
  <si>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</si>
  <si>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</si>
  <si>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</si>
  <si>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</si>
  <si>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</si>
  <si>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</si>
  <si>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</si>
  <si>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</si>
  <si>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</si>
  <si>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</si>
  <si>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</si>
  <si>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</si>
  <si>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</si>
  <si>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</si>
  <si>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</si>
  <si>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</si>
  <si>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</si>
  <si>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</si>
  <si>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</si>
  <si>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</si>
  <si>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</si>
  <si>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</si>
  <si>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</si>
  <si>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</si>
  <si>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</si>
  <si>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</si>
  <si>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</si>
  <si>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</si>
  <si>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</si>
  <si>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</si>
  <si>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</si>
  <si>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</si>
  <si>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</si>
  <si>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</si>
  <si>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</si>
  <si>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</si>
  <si>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</si>
  <si>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</si>
  <si>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</si>
  <si>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</si>
  <si>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</si>
  <si>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</si>
  <si>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</si>
  <si>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</si>
  <si>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</si>
  <si>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</si>
  <si>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</si>
  <si>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</si>
  <si>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</si>
  <si>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</si>
  <si>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</si>
  <si>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</si>
  <si>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</si>
  <si>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</si>
  <si>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</si>
  <si>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</si>
  <si>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</si>
  <si>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</si>
  <si>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</si>
  <si>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</si>
  <si>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</si>
  <si>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</si>
  <si>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</si>
  <si>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</si>
  <si>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</si>
  <si>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</si>
  <si>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</si>
  <si>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</si>
  <si>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</si>
  <si>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</si>
  <si>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</si>
  <si>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</si>
  <si>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</si>
  <si>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</si>
  <si>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</si>
  <si>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</si>
  <si>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</si>
  <si>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</si>
  <si>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</si>
  <si>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</si>
  <si>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</si>
  <si>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</si>
  <si>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</si>
  <si>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</si>
  <si>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</si>
  <si>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</si>
  <si>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</si>
  <si>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</si>
  <si>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</si>
  <si>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</si>
  <si>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</si>
  <si>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</si>
  <si>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</si>
  <si>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</si>
  <si>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</si>
  <si>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</si>
  <si>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</si>
  <si>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</si>
  <si>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</si>
  <si>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</si>
  <si>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</si>
  <si>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</si>
  <si>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</si>
  <si>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</si>
  <si>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</si>
  <si>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</si>
  <si>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</si>
  <si>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</si>
  <si>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</si>
  <si>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</si>
  <si>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</si>
  <si>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</si>
  <si>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</si>
  <si>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</si>
  <si>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</si>
  <si>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</si>
  <si>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</si>
  <si>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</si>
  <si>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</si>
  <si>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</si>
  <si>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</si>
  <si>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</si>
  <si>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</si>
  <si>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</si>
  <si>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</si>
  <si>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</si>
  <si>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</si>
  <si>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</si>
  <si>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</si>
  <si>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</si>
  <si>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</si>
  <si>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</si>
  <si>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</si>
  <si>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</si>
  <si>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</si>
  <si>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</si>
  <si>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</si>
  <si>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</si>
  <si>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</si>
  <si>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</si>
  <si>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</si>
  <si>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</si>
  <si>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</si>
  <si>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</si>
  <si>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</si>
  <si>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</si>
  <si>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</si>
  <si>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</si>
  <si>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</si>
  <si>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</si>
  <si>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</si>
  <si>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</si>
  <si>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</si>
  <si>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</si>
  <si>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</si>
  <si>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</si>
  <si>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</si>
  <si>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</si>
  <si>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</si>
  <si>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</si>
  <si>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</si>
  <si>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</si>
  <si>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</si>
  <si>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</si>
  <si>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</si>
  <si>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</si>
  <si>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</si>
  <si>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</si>
  <si>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</si>
  <si>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</si>
  <si>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</si>
  <si>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</si>
  <si>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</si>
  <si>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</si>
  <si>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</si>
  <si>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</si>
  <si>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</si>
  <si>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</si>
  <si>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</si>
  <si>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</si>
  <si>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</si>
  <si>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</si>
  <si>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</si>
  <si>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</si>
  <si>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</si>
  <si>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</si>
  <si>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</si>
  <si>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</si>
  <si>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</si>
  <si>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</si>
  <si>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</si>
  <si>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</si>
  <si>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</si>
  <si>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</si>
  <si>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</si>
  <si>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</si>
  <si>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</si>
  <si>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</si>
  <si>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</si>
  <si>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</si>
  <si>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</si>
  <si>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</si>
  <si>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</si>
  <si>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</si>
  <si>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</si>
  <si>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</si>
  <si>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</si>
  <si>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</si>
  <si>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</si>
  <si>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</si>
  <si>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</si>
  <si>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</si>
  <si>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</si>
  <si>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</si>
  <si>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</si>
  <si>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</si>
  <si>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</si>
  <si>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</si>
  <si>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</si>
  <si>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</si>
  <si>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</si>
  <si>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</si>
  <si>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</si>
  <si>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</si>
  <si>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</si>
  <si>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</si>
  <si>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</si>
  <si>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</si>
  <si>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</si>
  <si>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</si>
  <si>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</si>
  <si>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</si>
  <si>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</si>
  <si>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</si>
  <si>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</si>
  <si>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</si>
  <si>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</si>
  <si>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</si>
  <si>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</si>
  <si>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</si>
  <si>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</si>
  <si>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</si>
  <si>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</si>
  <si>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</si>
  <si>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</si>
  <si>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</si>
  <si>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</si>
  <si>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</si>
  <si>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</si>
  <si>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</si>
  <si>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</si>
  <si>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</si>
  <si>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</si>
  <si>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</si>
  <si>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</si>
  <si>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</si>
  <si>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</si>
  <si>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</si>
  <si>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</si>
  <si>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</si>
  <si>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</si>
  <si>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</si>
  <si>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</si>
  <si>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</si>
  <si>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</si>
  <si>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</si>
  <si>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</si>
  <si>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</si>
  <si>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</si>
  <si>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</si>
  <si>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</si>
  <si>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</si>
  <si>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</si>
  <si>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</si>
  <si>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</si>
  <si>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</si>
  <si>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</si>
  <si>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</si>
  <si>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</si>
  <si>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</si>
  <si>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</si>
  <si>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</si>
  <si>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</si>
  <si>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</si>
  <si>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</si>
  <si>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</si>
  <si>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</si>
  <si>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</si>
  <si>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</si>
  <si>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</si>
  <si>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</si>
  <si>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</si>
  <si>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</si>
  <si>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</si>
  <si>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</si>
  <si>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</si>
  <si>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</si>
  <si>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</si>
  <si>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</si>
  <si>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</si>
  <si>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</si>
  <si>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</si>
  <si>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</si>
  <si>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</si>
  <si>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</si>
  <si>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</si>
  <si>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</si>
  <si>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</si>
  <si>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</si>
  <si>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</si>
  <si>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</si>
  <si>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</si>
  <si>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</si>
  <si>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</si>
  <si>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</si>
  <si>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</si>
  <si>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</si>
  <si>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</si>
  <si>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</si>
  <si>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</si>
  <si>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</si>
  <si>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</si>
  <si>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</si>
  <si>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</si>
  <si>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</si>
  <si>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</si>
  <si>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</si>
  <si>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</si>
  <si>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</si>
  <si>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</si>
  <si>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</si>
  <si>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</si>
  <si>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</si>
  <si>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</si>
  <si>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</si>
  <si>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</si>
  <si>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</si>
  <si>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</si>
  <si>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</si>
  <si>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</si>
  <si>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</si>
  <si>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</si>
  <si>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</si>
  <si>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</si>
  <si>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</si>
  <si>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</si>
  <si>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</si>
  <si>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</si>
  <si>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</si>
  <si>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</si>
  <si>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</si>
  <si>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</si>
  <si>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</si>
  <si>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</si>
  <si>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</si>
  <si>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</si>
  <si>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</si>
  <si>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</si>
  <si>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</si>
  <si>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</si>
  <si>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</si>
  <si>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</si>
  <si>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</si>
  <si>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</si>
  <si>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</si>
  <si>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</si>
  <si>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</si>
  <si>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</si>
  <si>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</si>
  <si>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</si>
  <si>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</si>
  <si>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</si>
  <si>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</si>
  <si>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</si>
  <si>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</si>
  <si>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</si>
  <si>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</si>
  <si>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</si>
  <si>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</si>
  <si>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</si>
  <si>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</si>
  <si>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</si>
  <si>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</si>
  <si>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</si>
  <si>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</si>
  <si>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</si>
  <si>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</si>
  <si>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</si>
  <si>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</si>
  <si>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</si>
  <si>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</si>
  <si>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</si>
  <si>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</si>
  <si>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</si>
  <si>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</si>
  <si>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</si>
  <si>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</si>
  <si>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</si>
  <si>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</si>
  <si>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</si>
  <si>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</si>
  <si>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</si>
  <si>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</si>
  <si>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</si>
  <si>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</si>
  <si>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</si>
  <si>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</si>
  <si>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</si>
  <si>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</si>
  <si>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</si>
  <si>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</si>
  <si>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</si>
  <si>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</si>
  <si>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</si>
  <si>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</si>
  <si>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</si>
  <si>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</si>
  <si>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</si>
  <si>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</si>
  <si>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</si>
  <si>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</si>
  <si>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</si>
  <si>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</si>
  <si>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</si>
  <si>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</si>
  <si>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</si>
  <si>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</si>
  <si>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</si>
  <si>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</si>
  <si>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</si>
  <si>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</si>
  <si>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</si>
  <si>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</si>
  <si>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</si>
  <si>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</si>
  <si>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</si>
  <si>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</si>
  <si>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</si>
  <si>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</si>
  <si>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</si>
  <si>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</si>
  <si>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</si>
  <si>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</si>
  <si>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</si>
  <si>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</si>
  <si>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</si>
  <si>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</si>
  <si>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</si>
  <si>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</si>
  <si>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</si>
  <si>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</si>
  <si>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</si>
  <si>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</si>
  <si>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</si>
  <si>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</si>
  <si>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</si>
  <si>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</si>
  <si>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</si>
  <si>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</si>
  <si>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</si>
  <si>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</si>
  <si>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</si>
  <si>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</si>
  <si>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</si>
  <si>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</si>
  <si>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</si>
  <si>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</si>
  <si>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</si>
  <si>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</si>
  <si>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</si>
  <si>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</si>
  <si>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</si>
  <si>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</si>
  <si>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</si>
  <si>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</si>
  <si>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</si>
  <si>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</si>
  <si>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</si>
  <si>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</si>
  <si>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</si>
  <si>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</si>
  <si>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</si>
  <si>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</si>
  <si>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</si>
  <si>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</si>
  <si>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</si>
  <si>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</si>
  <si>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</si>
  <si>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</si>
  <si>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</si>
  <si>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</si>
  <si>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</si>
  <si>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</si>
  <si>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</si>
  <si>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</si>
  <si>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</si>
  <si>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</si>
  <si>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</si>
  <si>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</si>
  <si>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</si>
  <si>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</si>
  <si>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</si>
  <si>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</si>
  <si>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</si>
  <si>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</si>
  <si>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</si>
  <si>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</si>
  <si>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</si>
  <si>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</si>
  <si>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</si>
  <si>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</si>
  <si>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</si>
  <si>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</si>
  <si>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</si>
  <si>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</si>
  <si>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</si>
  <si>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</si>
  <si>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</si>
  <si>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</si>
  <si>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</si>
  <si>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</si>
  <si>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</si>
  <si>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</si>
  <si>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</si>
  <si>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</si>
  <si>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</si>
  <si>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</si>
  <si>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</si>
  <si>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</si>
  <si>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</si>
  <si>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</si>
  <si>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</si>
  <si>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</si>
  <si>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</si>
  <si>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</si>
  <si>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</si>
  <si>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</si>
  <si>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</si>
  <si>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</si>
  <si>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</si>
  <si>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</si>
  <si>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</si>
  <si>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</si>
  <si>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</si>
  <si>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</si>
  <si>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</si>
  <si>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</si>
  <si>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</si>
  <si>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</si>
  <si>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</si>
  <si>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</si>
  <si>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</si>
  <si>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</si>
  <si>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</si>
  <si>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</si>
  <si>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</si>
  <si>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</si>
  <si>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</si>
  <si>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</si>
  <si>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</si>
  <si>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</si>
  <si>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</si>
  <si>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</si>
  <si>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</si>
  <si>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</si>
  <si>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</si>
  <si>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</si>
  <si>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</si>
  <si>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</si>
  <si>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</si>
  <si>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</si>
  <si>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</si>
  <si>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</si>
  <si>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</si>
  <si>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</si>
  <si>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</si>
  <si>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</si>
  <si>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</si>
  <si>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</si>
  <si>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</si>
  <si>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</si>
  <si>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</si>
  <si>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</si>
  <si>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</si>
  <si>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</si>
  <si>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</si>
  <si>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</si>
  <si>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</si>
  <si>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</si>
  <si>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</si>
  <si>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</si>
  <si>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</si>
  <si>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</si>
  <si>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</si>
  <si>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</si>
  <si>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</si>
  <si>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</si>
  <si>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</si>
  <si>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</si>
  <si>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</si>
  <si>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</si>
  <si>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</si>
  <si>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</si>
  <si>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</si>
  <si>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</si>
  <si>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</si>
  <si>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</si>
  <si>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</si>
  <si>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</si>
  <si>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</si>
  <si>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</si>
  <si>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</si>
  <si>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</si>
  <si>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</si>
  <si>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</si>
  <si>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</si>
  <si>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</si>
  <si>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</si>
  <si>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</si>
  <si>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</si>
  <si>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</si>
  <si>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</si>
  <si>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</si>
  <si>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</si>
  <si>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</si>
  <si>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</si>
  <si>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</si>
  <si>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</si>
  <si>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</si>
  <si>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</si>
  <si>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</si>
  <si>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</si>
  <si>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</si>
  <si>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</si>
  <si>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</si>
  <si>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</si>
  <si>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</si>
  <si>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</si>
  <si>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</si>
  <si>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</si>
  <si>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</si>
  <si>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</si>
  <si>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</si>
  <si>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</si>
  <si>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</si>
  <si>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</si>
  <si>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</si>
  <si>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</si>
  <si>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</si>
  <si>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</si>
  <si>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</si>
  <si>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</si>
  <si>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</si>
  <si>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</si>
  <si>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</si>
  <si>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</si>
  <si>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</si>
  <si>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</si>
  <si>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</si>
  <si>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</si>
  <si>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</si>
  <si>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</si>
  <si>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</si>
  <si>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</si>
  <si>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</si>
  <si>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</si>
  <si>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</si>
  <si>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</si>
  <si>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</si>
  <si>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</si>
  <si>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</si>
  <si>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</si>
  <si>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</si>
  <si>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</si>
  <si>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</si>
  <si>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</si>
  <si>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</si>
  <si>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</si>
  <si>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</si>
  <si>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</si>
  <si>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</si>
  <si>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</si>
  <si>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</si>
  <si>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</si>
  <si>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</si>
  <si>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</si>
  <si>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</si>
  <si>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</si>
  <si>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</si>
  <si>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</si>
  <si>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</si>
  <si>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</si>
  <si>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</si>
  <si>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</si>
  <si>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</si>
  <si>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</si>
  <si>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</si>
  <si>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</si>
  <si>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</si>
  <si>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</si>
  <si>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</si>
  <si>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</si>
  <si>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</si>
  <si>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</si>
  <si>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</si>
  <si>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</si>
  <si>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</si>
  <si>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</si>
  <si>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</si>
  <si>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</si>
  <si>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</si>
  <si>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</si>
  <si>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</si>
  <si>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</si>
  <si>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</si>
  <si>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</si>
  <si>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</si>
  <si>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</si>
  <si>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</si>
  <si>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</si>
  <si>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</si>
  <si>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</si>
  <si>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</si>
  <si>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</si>
  <si>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</si>
  <si>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</si>
  <si>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</si>
  <si>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</si>
  <si>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</si>
  <si>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</si>
  <si>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</si>
  <si>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</si>
  <si>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</si>
  <si>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</si>
  <si>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</si>
  <si>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</si>
  <si>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</si>
  <si>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</si>
  <si>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</si>
  <si>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</si>
  <si>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</si>
  <si>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</si>
  <si>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</si>
  <si>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</si>
  <si>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</si>
  <si>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</si>
  <si>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</si>
  <si>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</si>
  <si>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</si>
  <si>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</si>
  <si>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</si>
  <si>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</si>
  <si>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</si>
  <si>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</si>
  <si>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</si>
  <si>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</si>
  <si>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</si>
  <si>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</si>
  <si>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</si>
  <si>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</si>
  <si>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</si>
  <si>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</si>
  <si>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</si>
  <si>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</si>
  <si>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</si>
  <si>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</si>
  <si>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</si>
  <si>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</si>
  <si>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</si>
  <si>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</si>
  <si>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</si>
  <si>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</si>
  <si>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</si>
  <si>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</si>
  <si>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</si>
  <si>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</si>
  <si>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</si>
  <si>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</si>
  <si>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</si>
  <si>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</si>
  <si>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</si>
  <si>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</si>
  <si>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</si>
  <si>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</si>
  <si>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</si>
  <si>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</si>
  <si>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</si>
  <si>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</si>
  <si>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</si>
  <si>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</si>
  <si>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</si>
  <si>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</si>
  <si>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</si>
  <si>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</si>
  <si>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</si>
  <si>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</si>
  <si>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</si>
  <si>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</si>
  <si>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</si>
  <si>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</si>
  <si>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</si>
  <si>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</si>
  <si>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</si>
  <si>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</si>
  <si>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</si>
  <si>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</si>
  <si>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</si>
  <si>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</si>
  <si>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</si>
  <si>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</si>
  <si>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</si>
  <si>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</si>
  <si>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</si>
  <si>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</si>
  <si>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</si>
  <si>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</si>
  <si>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</si>
  <si>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</si>
  <si>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</si>
  <si>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</si>
  <si>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</si>
  <si>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</si>
  <si>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</si>
  <si>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</si>
  <si>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</si>
  <si>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</si>
  <si>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</si>
  <si>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</si>
  <si>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</si>
  <si>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</si>
  <si>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</si>
  <si>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</si>
  <si>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</si>
  <si>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</si>
  <si>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</si>
  <si>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</si>
  <si>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</si>
  <si>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</si>
  <si>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</si>
  <si>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</si>
  <si>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</si>
  <si>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</si>
  <si>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</si>
  <si>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</si>
  <si>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</si>
  <si>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 "PowerOnState":0, "PowerRetain":"ON", "StatusRetain":"ON", "SensorRetain":"ON", "TelePeriod":10, "PowerDelta1":25, "PowerDelta2":0, "PowerDelta3":0, "PowerLow":0, "PowerHigh":0, "VoltageLow":0, "VoltageHigh":0, "CurrentLow":0, "CurrentHigh":0 }</t>
  </si>
  <si>
    <t>{ "PowerOnState":0, "PowerRetain":"ON", "StatusRetain":"ON", "SensorRetain":"ON", "TelePeriod":10 }</t>
  </si>
  <si>
    <t>{ "PowerOnState":1, "PowerRetain":"ON", "StatusRetain":"ON", "SensorRetain":"ON", "TelePeriod":10, "PowerDelta1":25, "PowerDelta2":0, "PowerDelta3":0, "PowerLow":0, "PowerHigh":0, "VoltageLow":0, "VoltageHigh":0, "CurrentLow":0, "CurrentHigh":0 }</t>
  </si>
  <si>
    <t>{{ ((value_json.pulse | default({})).value | float(none)) if value_json is mapping else none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</si>
</sst>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/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topLeftCell="A3" zoomScale="121" zoomScaleNormal="120" workbookViewId="0">
      <selection activeCell="A3" sqref="A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1101</v>
      </c>
      <c r="L1" s="2" t="s">
        <v>1101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1083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1173</v>
      </c>
      <c r="AY1" s="6" t="s">
        <v>1173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1084</v>
      </c>
      <c r="E2" s="11" t="s">
        <v>1085</v>
      </c>
      <c r="F2" s="11" t="s">
        <v>1086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1087</v>
      </c>
      <c r="L2" s="11" t="s">
        <v>1088</v>
      </c>
      <c r="M2" s="11" t="s">
        <v>1089</v>
      </c>
      <c r="N2" s="11" t="s">
        <v>1090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1324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1091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1092</v>
      </c>
      <c r="AK2" s="16" t="s">
        <v>1093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1174</v>
      </c>
      <c r="AY2" s="16" t="s">
        <v>1170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1094</v>
      </c>
      <c r="BH2" s="16" t="s">
        <v>1120</v>
      </c>
      <c r="BI2" s="16" t="s">
        <v>1119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1095</v>
      </c>
      <c r="N3" s="21" t="s">
        <v>1096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1171</v>
      </c>
      <c r="AY3" s="27" t="s">
        <v>1172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1369</v>
      </c>
      <c r="BF3" s="28" t="s">
        <v>19</v>
      </c>
      <c r="BG3" s="27" t="s">
        <v>23</v>
      </c>
      <c r="BH3" s="27" t="s">
        <v>1121</v>
      </c>
      <c r="BI3" s="27" t="s">
        <v>1118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1145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1133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1209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1139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1209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1283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1284</v>
      </c>
      <c r="O10" s="31"/>
      <c r="P10" s="30"/>
      <c r="T10" s="37"/>
      <c r="U10" s="30"/>
      <c r="V10" s="31" t="s">
        <v>1135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1142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1209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1194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1195</v>
      </c>
      <c r="O14" s="31"/>
      <c r="P14" s="30"/>
      <c r="T14" s="37"/>
      <c r="U14" s="30"/>
      <c r="V14" s="31" t="s">
        <v>1137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1209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1196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1197</v>
      </c>
      <c r="O16" s="31"/>
      <c r="P16" s="30"/>
      <c r="T16" s="37"/>
      <c r="U16" s="30"/>
      <c r="V16" s="31" t="s">
        <v>1134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1209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1285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1286</v>
      </c>
      <c r="O18" s="31"/>
      <c r="P18" s="30"/>
      <c r="T18" s="37"/>
      <c r="U18" s="30"/>
      <c r="V18" s="31" t="s">
        <v>1136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1287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1288</v>
      </c>
      <c r="O20" s="31"/>
      <c r="P20" s="30"/>
      <c r="T20" s="37"/>
      <c r="U20" s="30"/>
      <c r="V20" s="31" t="s">
        <v>1135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1141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1209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1127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1128</v>
      </c>
      <c r="O24" s="31"/>
      <c r="P24" s="30"/>
      <c r="T24" s="37"/>
      <c r="U24" s="30"/>
      <c r="V24" s="31" t="s">
        <v>1144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1145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1175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1128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1492</v>
      </c>
      <c r="D26" s="30" t="s">
        <v>27</v>
      </c>
      <c r="E26" s="30" t="s">
        <v>1130</v>
      </c>
      <c r="F26" s="36" t="str">
        <f>IF(ISBLANK(Table2[[#This Row],[unique_id]]), "", PROPER(SUBSTITUTE(Table2[[#This Row],[unique_id]], "_", " ")))</f>
        <v>Utility Temperature</v>
      </c>
      <c r="G26" s="30" t="s">
        <v>1129</v>
      </c>
      <c r="H26" s="30" t="s">
        <v>86</v>
      </c>
      <c r="I26" s="30" t="s">
        <v>30</v>
      </c>
      <c r="K26" s="30" t="s">
        <v>1131</v>
      </c>
      <c r="O26" s="31"/>
      <c r="P26" s="30"/>
      <c r="T26" s="37"/>
      <c r="U26" s="30"/>
      <c r="V26" s="31" t="s">
        <v>1143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1494</v>
      </c>
      <c r="BD26" s="30" t="s">
        <v>1495</v>
      </c>
      <c r="BF26" s="30" t="s">
        <v>955</v>
      </c>
      <c r="BG26" s="30" t="s">
        <v>28</v>
      </c>
      <c r="BL26" s="30" t="s">
        <v>1097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1492</v>
      </c>
      <c r="D27" s="30" t="s">
        <v>27</v>
      </c>
      <c r="E27" s="30" t="s">
        <v>1131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1129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1122</v>
      </c>
      <c r="O28" s="31"/>
      <c r="P28" s="30"/>
      <c r="T28" s="37"/>
      <c r="U28" s="30" t="s">
        <v>418</v>
      </c>
      <c r="V28" s="31" t="s">
        <v>1138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1077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1074</v>
      </c>
      <c r="BD28" s="30" t="s">
        <v>1073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1122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1289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1290</v>
      </c>
      <c r="O30" s="31"/>
      <c r="P30" s="30"/>
      <c r="T30" s="37"/>
      <c r="U30" s="30"/>
      <c r="V30" s="31" t="s">
        <v>1135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1102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1145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1103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1145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1104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1145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1105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1145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1106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1145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1175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1107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1145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1187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1186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1372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1108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1109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1110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1291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1111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1193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1192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1292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1293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1112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1132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1175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1294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1295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1296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1297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1298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1299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1300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1301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1302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1303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1113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1114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1115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1191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1190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1116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1145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1145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1146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1145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1145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1335</v>
      </c>
      <c r="F94" s="36" t="str">
        <f>IF(ISBLANK(Table2[[#This Row],[unique_id]]), "", PROPER(SUBSTITUTE(Table2[[#This Row],[unique_id]], "_", " ")))</f>
        <v>Home Started</v>
      </c>
      <c r="G94" s="30" t="s">
        <v>1336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1308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1309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1329</v>
      </c>
      <c r="F103" s="36" t="str">
        <f>IF(ISBLANK(Table2[[#This Row],[unique_id]]), "", PROPER(SUBSTITUTE(Table2[[#This Row],[unique_id]], "_", " ")))</f>
        <v>Edwin Wakeup</v>
      </c>
      <c r="G103" s="30" t="s">
        <v>1327</v>
      </c>
      <c r="H103" s="30" t="s">
        <v>293</v>
      </c>
      <c r="I103" s="30" t="s">
        <v>131</v>
      </c>
      <c r="J103" s="30" t="s">
        <v>1332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1330</v>
      </c>
      <c r="F104" s="36" t="str">
        <f>IF(ISBLANK(Table2[[#This Row],[unique_id]]), "", PROPER(SUBSTITUTE(Table2[[#This Row],[unique_id]], "_", " ")))</f>
        <v>Edwin Playtime</v>
      </c>
      <c r="G104" s="30" t="s">
        <v>1337</v>
      </c>
      <c r="H104" s="30" t="s">
        <v>293</v>
      </c>
      <c r="I104" s="30" t="s">
        <v>131</v>
      </c>
      <c r="J104" s="30" t="s">
        <v>1333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1331</v>
      </c>
      <c r="F105" s="36" t="str">
        <f>IF(ISBLANK(Table2[[#This Row],[unique_id]]), "", PROPER(SUBSTITUTE(Table2[[#This Row],[unique_id]], "_", " ")))</f>
        <v>Edwin Goodnight</v>
      </c>
      <c r="G105" s="30" t="s">
        <v>1328</v>
      </c>
      <c r="H105" s="30" t="s">
        <v>293</v>
      </c>
      <c r="I105" s="30" t="s">
        <v>131</v>
      </c>
      <c r="J105" s="30" t="s">
        <v>1334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1341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1280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1342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1280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1210</v>
      </c>
      <c r="BL107" s="54" t="s">
        <v>328</v>
      </c>
      <c r="BM107" s="54" t="s">
        <v>1251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1280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1280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1210</v>
      </c>
      <c r="BL109" s="30" t="s">
        <v>335</v>
      </c>
      <c r="BM109" s="30" t="s">
        <v>1261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1210</v>
      </c>
      <c r="BL110" s="30" t="s">
        <v>353</v>
      </c>
      <c r="BM110" s="30" t="s">
        <v>1228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1210</v>
      </c>
      <c r="BL111" s="30" t="s">
        <v>354</v>
      </c>
      <c r="BM111" s="30" t="s">
        <v>1229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1210</v>
      </c>
      <c r="BL112" s="30" t="s">
        <v>357</v>
      </c>
      <c r="BM112" s="30" t="s">
        <v>1230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1073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1073</v>
      </c>
      <c r="BF114" s="30" t="s">
        <v>853</v>
      </c>
      <c r="BG114" s="30" t="s">
        <v>204</v>
      </c>
      <c r="BK114" s="30" t="s">
        <v>1210</v>
      </c>
      <c r="BL114" s="30" t="s">
        <v>887</v>
      </c>
      <c r="BM114" s="30" t="s">
        <v>1232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1073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1073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1210</v>
      </c>
      <c r="BL117" s="30" t="s">
        <v>358</v>
      </c>
      <c r="BM117" s="30" t="s">
        <v>1233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1210</v>
      </c>
      <c r="BL119" s="30" t="s">
        <v>355</v>
      </c>
      <c r="BM119" s="30" t="s">
        <v>1234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1210</v>
      </c>
      <c r="BL120" s="30" t="s">
        <v>356</v>
      </c>
      <c r="BM120" s="39" t="s">
        <v>1235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1184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1181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1374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1271</v>
      </c>
      <c r="BA131" s="30" t="str">
        <f>IF(ISBLANK(Table2[[#This Row],[device_model]]), "", Table2[[#This Row],[device_suggested_area]])</f>
        <v>Home</v>
      </c>
      <c r="BB131" s="30" t="s">
        <v>1275</v>
      </c>
      <c r="BC131" s="30" t="s">
        <v>1272</v>
      </c>
      <c r="BD131" s="30" t="s">
        <v>1271</v>
      </c>
      <c r="BF131" s="30" t="s">
        <v>1273</v>
      </c>
      <c r="BG131" s="30" t="s">
        <v>164</v>
      </c>
      <c r="BK131" s="30" t="s">
        <v>1209</v>
      </c>
      <c r="BL131" s="46" t="s">
        <v>1274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1370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1370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1370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1370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1310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1370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1370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1370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1370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1370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1370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1370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1493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1493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1169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1493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1370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1370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1370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1370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1370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1370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1370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1370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1370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1370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1370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1457</v>
      </c>
      <c r="BD161" s="30" t="s">
        <v>359</v>
      </c>
      <c r="BE161" s="30" t="s">
        <v>1370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1457</v>
      </c>
      <c r="BD162" s="30" t="s">
        <v>359</v>
      </c>
      <c r="BE162" s="30" t="s">
        <v>1370</v>
      </c>
      <c r="BF162" s="30" t="s">
        <v>470</v>
      </c>
      <c r="BG162" s="30" t="s">
        <v>192</v>
      </c>
      <c r="BI162" s="30" t="s">
        <v>668</v>
      </c>
      <c r="BL162" s="30" t="s">
        <v>1455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1450</v>
      </c>
      <c r="F163" s="36" t="str">
        <f>IF(ISBLANK(Table2[[#This Row],[unique_id]]), "", PROPER(SUBSTITUTE(Table2[[#This Row],[unique_id]], "_", " ")))</f>
        <v>Lounge Reading</v>
      </c>
      <c r="G163" s="30" t="s">
        <v>1461</v>
      </c>
      <c r="H163" s="30" t="s">
        <v>138</v>
      </c>
      <c r="I163" s="30" t="s">
        <v>131</v>
      </c>
      <c r="J163" s="30" t="s">
        <v>1453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1453</v>
      </c>
      <c r="BC163" s="30" t="s">
        <v>1456</v>
      </c>
      <c r="BD163" s="30" t="s">
        <v>359</v>
      </c>
      <c r="BE163" s="30" t="s">
        <v>1370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1451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1454</v>
      </c>
      <c r="BC164" s="30" t="s">
        <v>1456</v>
      </c>
      <c r="BD164" s="30" t="s">
        <v>359</v>
      </c>
      <c r="BE164" s="30" t="s">
        <v>1370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1370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1370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1370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1370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1493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1493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1493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1493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1370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1370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1370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1370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1370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1370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1370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1177</v>
      </c>
      <c r="F180" s="36" t="str">
        <f>IF(ISBLANK(Table2[[#This Row],[unique_id]]), "", PROPER(SUBSTITUTE(Table2[[#This Row],[unique_id]], "_", " ")))</f>
        <v>Kitchen Bench Lights Plug</v>
      </c>
      <c r="G180" s="30" t="s">
        <v>1178</v>
      </c>
      <c r="H180" s="30" t="s">
        <v>138</v>
      </c>
      <c r="I180" s="30" t="s">
        <v>131</v>
      </c>
      <c r="J180" s="30" t="s">
        <v>1180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1070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1179</v>
      </c>
      <c r="BC180" s="30" t="s">
        <v>733</v>
      </c>
      <c r="BD180" s="30" t="s">
        <v>1073</v>
      </c>
      <c r="BF180" s="30" t="s">
        <v>853</v>
      </c>
      <c r="BG180" s="30" t="s">
        <v>204</v>
      </c>
      <c r="BK180" s="30" t="s">
        <v>1210</v>
      </c>
      <c r="BL180" s="30" t="s">
        <v>885</v>
      </c>
      <c r="BM180" s="30" t="s">
        <v>1236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1370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1370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1370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1370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1370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1370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1370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1370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1493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1493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1493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1370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1370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1493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1493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1493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1493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1370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1370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1343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1344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1210</v>
      </c>
      <c r="BL201" s="54" t="s">
        <v>543</v>
      </c>
      <c r="BM201" s="54" t="s">
        <v>1237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1074</v>
      </c>
      <c r="BD202" s="30" t="s">
        <v>1073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1526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1074</v>
      </c>
      <c r="BD203" s="30" t="s">
        <v>1073</v>
      </c>
      <c r="BF203" s="30" t="s">
        <v>853</v>
      </c>
      <c r="BG203" s="30" t="s">
        <v>339</v>
      </c>
      <c r="BK203" s="30" t="s">
        <v>1210</v>
      </c>
      <c r="BL203" s="30" t="s">
        <v>1018</v>
      </c>
      <c r="BM203" s="30" t="s">
        <v>1238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1074</v>
      </c>
      <c r="BD204" s="30" t="s">
        <v>1073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1345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1346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1210</v>
      </c>
      <c r="BL206" s="54" t="s">
        <v>542</v>
      </c>
      <c r="BM206" s="54" t="s">
        <v>1239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1075</v>
      </c>
      <c r="BD207" s="30" t="s">
        <v>1073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1526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1075</v>
      </c>
      <c r="BD208" s="30" t="s">
        <v>1073</v>
      </c>
      <c r="BF208" s="30" t="s">
        <v>853</v>
      </c>
      <c r="BG208" s="30" t="s">
        <v>541</v>
      </c>
      <c r="BK208" s="30" t="s">
        <v>1210</v>
      </c>
      <c r="BL208" s="30" t="s">
        <v>1017</v>
      </c>
      <c r="BM208" s="30" t="s">
        <v>1240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1370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1370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1370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1370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1370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1370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1370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1370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1370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1370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1370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1370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1370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1210</v>
      </c>
      <c r="BL224" s="30" t="s">
        <v>332</v>
      </c>
      <c r="BM224" s="30" t="s">
        <v>1241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1126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1073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1126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1071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1073</v>
      </c>
      <c r="BF226" s="30" t="s">
        <v>853</v>
      </c>
      <c r="BG226" s="30" t="s">
        <v>385</v>
      </c>
      <c r="BK226" s="30" t="s">
        <v>1210</v>
      </c>
      <c r="BL226" s="30" t="s">
        <v>424</v>
      </c>
      <c r="BM226" s="30" t="s">
        <v>1242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1073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1073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1073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1071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1073</v>
      </c>
      <c r="BF230" s="30" t="s">
        <v>853</v>
      </c>
      <c r="BG230" s="30" t="s">
        <v>558</v>
      </c>
      <c r="BK230" s="30" t="s">
        <v>1210</v>
      </c>
      <c r="BL230" s="30" t="s">
        <v>1011</v>
      </c>
      <c r="BM230" s="30" t="s">
        <v>1243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1073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1073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1117</v>
      </c>
      <c r="H233" s="30" t="s">
        <v>1279</v>
      </c>
      <c r="I233" s="30" t="s">
        <v>131</v>
      </c>
      <c r="K233" s="30" t="s">
        <v>1125</v>
      </c>
      <c r="O233" s="31"/>
      <c r="P233" s="30"/>
      <c r="T233" s="37"/>
      <c r="U233" s="30" t="s">
        <v>418</v>
      </c>
      <c r="V233" s="31" t="s">
        <v>1140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1076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1075</v>
      </c>
      <c r="BD233" s="30" t="s">
        <v>1073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1125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1117</v>
      </c>
      <c r="H234" s="30" t="s">
        <v>1279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1126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1126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1209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1497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1498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1500</v>
      </c>
      <c r="AF282" s="30">
        <f t="shared" ref="AF282:AF288" si="0">15*60</f>
        <v>900</v>
      </c>
      <c r="AG282" s="31" t="s">
        <v>34</v>
      </c>
      <c r="AH282" s="31"/>
      <c r="AI282" s="30" t="s">
        <v>1501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1502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1462</v>
      </c>
      <c r="BD282" s="30" t="s">
        <v>1081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1504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1498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1507</v>
      </c>
      <c r="AF283" s="30">
        <f t="shared" si="0"/>
        <v>900</v>
      </c>
      <c r="AG283" s="31" t="s">
        <v>34</v>
      </c>
      <c r="AH283" s="31"/>
      <c r="AI283" s="30" t="s">
        <v>1501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1462</v>
      </c>
      <c r="BD283" s="30" t="s">
        <v>1081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1505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1498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1511</v>
      </c>
      <c r="AF284" s="30">
        <f t="shared" si="0"/>
        <v>900</v>
      </c>
      <c r="AG284" s="31" t="s">
        <v>34</v>
      </c>
      <c r="AH284" s="31"/>
      <c r="AI284" s="30" t="s">
        <v>1501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1462</v>
      </c>
      <c r="BD284" s="30" t="s">
        <v>1081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1506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1498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1508</v>
      </c>
      <c r="AF285" s="30">
        <f t="shared" si="0"/>
        <v>900</v>
      </c>
      <c r="AG285" s="31" t="s">
        <v>34</v>
      </c>
      <c r="AH285" s="31"/>
      <c r="AI285" s="30" t="s">
        <v>1501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1462</v>
      </c>
      <c r="BD285" s="30" t="s">
        <v>1081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1503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1498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1509</v>
      </c>
      <c r="AF286" s="30">
        <f t="shared" si="0"/>
        <v>900</v>
      </c>
      <c r="AG286" s="31" t="s">
        <v>34</v>
      </c>
      <c r="AH286" s="31"/>
      <c r="AI286" s="30" t="s">
        <v>1501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1462</v>
      </c>
      <c r="BD286" s="30" t="s">
        <v>1081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1516</v>
      </c>
      <c r="F287" s="30" t="str">
        <f>IF(ISBLANK(Table2[[#This Row],[unique_id]]), "", PROPER(SUBSTITUTE(Table2[[#This Row],[unique_id]], "_", " ")))</f>
        <v>Network Certificate</v>
      </c>
      <c r="G287" s="30" t="s">
        <v>1515</v>
      </c>
      <c r="H287" s="30" t="s">
        <v>1498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1510</v>
      </c>
      <c r="AF287" s="30">
        <f t="shared" si="0"/>
        <v>900</v>
      </c>
      <c r="AG287" s="31" t="s">
        <v>34</v>
      </c>
      <c r="AH287" s="31"/>
      <c r="AI287" s="30" t="s">
        <v>1501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1502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1462</v>
      </c>
      <c r="BD287" s="30" t="s">
        <v>1081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1513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1498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1514</v>
      </c>
      <c r="AF288" s="30">
        <f t="shared" si="0"/>
        <v>900</v>
      </c>
      <c r="AG288" s="31" t="s">
        <v>34</v>
      </c>
      <c r="AH288" s="31"/>
      <c r="AI288" s="30" t="s">
        <v>1501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1502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1462</v>
      </c>
      <c r="BD288" s="30" t="s">
        <v>1081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1276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1148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1149</v>
      </c>
      <c r="D291" s="30" t="s">
        <v>133</v>
      </c>
      <c r="E291" s="30" t="s">
        <v>1464</v>
      </c>
      <c r="F291" s="30" t="str">
        <f>IF(ISBLANK(Table2[[#This Row],[unique_id]]), "", PROPER(SUBSTITUTE(Table2[[#This Row],[unique_id]], "_", " ")))</f>
        <v>Service Plex</v>
      </c>
      <c r="G291" s="30" t="s">
        <v>1150</v>
      </c>
      <c r="H291" s="30" t="s">
        <v>1499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1491</v>
      </c>
      <c r="AF291" s="30">
        <v>6</v>
      </c>
      <c r="AG291" s="31" t="s">
        <v>34</v>
      </c>
      <c r="AH291" s="31"/>
      <c r="AI291" s="30" t="s">
        <v>1427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1490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1149</v>
      </c>
      <c r="BC291" s="30" t="s">
        <v>1462</v>
      </c>
      <c r="BD291" s="30" t="s">
        <v>1081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1149</v>
      </c>
      <c r="D292" s="30" t="s">
        <v>133</v>
      </c>
      <c r="E292" s="30" t="s">
        <v>1476</v>
      </c>
      <c r="F292" s="30" t="str">
        <f>IF(ISBLANK(Table2[[#This Row],[unique_id]]), "", PROPER(SUBSTITUTE(Table2[[#This Row],[unique_id]], "_", " ")))</f>
        <v>Service Postgres</v>
      </c>
      <c r="G292" s="30" t="s">
        <v>1154</v>
      </c>
      <c r="H292" s="30" t="s">
        <v>1499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1491</v>
      </c>
      <c r="AF292" s="30">
        <v>6</v>
      </c>
      <c r="AG292" s="31" t="s">
        <v>34</v>
      </c>
      <c r="AH292" s="31"/>
      <c r="AI292" s="30" t="s">
        <v>1427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1490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1149</v>
      </c>
      <c r="BC292" s="30" t="s">
        <v>1462</v>
      </c>
      <c r="BD292" s="30" t="s">
        <v>1081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1149</v>
      </c>
      <c r="D293" s="30" t="s">
        <v>133</v>
      </c>
      <c r="E293" s="30" t="s">
        <v>1465</v>
      </c>
      <c r="F293" s="30" t="str">
        <f>IF(ISBLANK(Table2[[#This Row],[unique_id]]), "", PROPER(SUBSTITUTE(Table2[[#This Row],[unique_id]], "_", " ")))</f>
        <v>Service Sabnzbd</v>
      </c>
      <c r="G293" s="30" t="s">
        <v>1482</v>
      </c>
      <c r="H293" s="30" t="s">
        <v>1499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1491</v>
      </c>
      <c r="AF293" s="30">
        <v>6</v>
      </c>
      <c r="AG293" s="31" t="s">
        <v>34</v>
      </c>
      <c r="AH293" s="31"/>
      <c r="AI293" s="30" t="s">
        <v>1427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1490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1149</v>
      </c>
      <c r="BC293" s="30" t="s">
        <v>1462</v>
      </c>
      <c r="BD293" s="30" t="s">
        <v>1081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1149</v>
      </c>
      <c r="D294" s="30" t="s">
        <v>133</v>
      </c>
      <c r="E294" s="30" t="s">
        <v>1473</v>
      </c>
      <c r="F294" s="30" t="str">
        <f>IF(ISBLANK(Table2[[#This Row],[unique_id]]), "", PROPER(SUBSTITUTE(Table2[[#This Row],[unique_id]], "_", " ")))</f>
        <v>Service Wrangle</v>
      </c>
      <c r="G294" s="30" t="s">
        <v>1152</v>
      </c>
      <c r="H294" s="30" t="s">
        <v>1499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1491</v>
      </c>
      <c r="AF294" s="30">
        <v>6</v>
      </c>
      <c r="AG294" s="31" t="s">
        <v>34</v>
      </c>
      <c r="AH294" s="31"/>
      <c r="AI294" s="30" t="s">
        <v>1427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1490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1149</v>
      </c>
      <c r="BC294" s="30" t="s">
        <v>1462</v>
      </c>
      <c r="BD294" s="30" t="s">
        <v>1081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1149</v>
      </c>
      <c r="D295" s="30" t="s">
        <v>133</v>
      </c>
      <c r="E295" s="30" t="s">
        <v>1466</v>
      </c>
      <c r="F295" s="30" t="str">
        <f>IF(ISBLANK(Table2[[#This Row],[unique_id]]), "", PROPER(SUBSTITUTE(Table2[[#This Row],[unique_id]], "_", " ")))</f>
        <v>Service Influxdb3</v>
      </c>
      <c r="G295" s="30" t="s">
        <v>1481</v>
      </c>
      <c r="H295" s="30" t="s">
        <v>1499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1491</v>
      </c>
      <c r="AF295" s="30">
        <v>6</v>
      </c>
      <c r="AG295" s="31" t="s">
        <v>34</v>
      </c>
      <c r="AH295" s="31"/>
      <c r="AI295" s="30" t="s">
        <v>1428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1490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1149</v>
      </c>
      <c r="BC295" s="30" t="s">
        <v>1462</v>
      </c>
      <c r="BD295" s="30" t="s">
        <v>1081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1149</v>
      </c>
      <c r="D296" s="30" t="s">
        <v>133</v>
      </c>
      <c r="E296" s="30" t="s">
        <v>1467</v>
      </c>
      <c r="F296" s="30" t="str">
        <f>IF(ISBLANK(Table2[[#This Row],[unique_id]]), "", PROPER(SUBSTITUTE(Table2[[#This Row],[unique_id]], "_", " ")))</f>
        <v>Service Mlflow</v>
      </c>
      <c r="G296" s="30" t="s">
        <v>1483</v>
      </c>
      <c r="H296" s="30" t="s">
        <v>1499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1491</v>
      </c>
      <c r="AF296" s="30">
        <v>6</v>
      </c>
      <c r="AG296" s="31" t="s">
        <v>34</v>
      </c>
      <c r="AH296" s="31"/>
      <c r="AI296" s="30" t="s">
        <v>1428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1490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1149</v>
      </c>
      <c r="BC296" s="30" t="s">
        <v>1462</v>
      </c>
      <c r="BD296" s="30" t="s">
        <v>1081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1149</v>
      </c>
      <c r="D297" s="30" t="s">
        <v>133</v>
      </c>
      <c r="E297" s="30" t="s">
        <v>1468</v>
      </c>
      <c r="F297" s="30" t="str">
        <f>IF(ISBLANK(Table2[[#This Row],[unique_id]]), "", PROPER(SUBSTITUTE(Table2[[#This Row],[unique_id]], "_", " ")))</f>
        <v>Service Mlserver</v>
      </c>
      <c r="G297" s="30" t="s">
        <v>1484</v>
      </c>
      <c r="H297" s="30" t="s">
        <v>1499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1491</v>
      </c>
      <c r="AF297" s="30">
        <v>6</v>
      </c>
      <c r="AG297" s="31" t="s">
        <v>34</v>
      </c>
      <c r="AH297" s="31"/>
      <c r="AI297" s="30" t="s">
        <v>1428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1490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1149</v>
      </c>
      <c r="BC297" s="30" t="s">
        <v>1462</v>
      </c>
      <c r="BD297" s="30" t="s">
        <v>1081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1149</v>
      </c>
      <c r="D298" s="30" t="s">
        <v>133</v>
      </c>
      <c r="E298" s="30" t="s">
        <v>1517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1499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1491</v>
      </c>
      <c r="AF298" s="30">
        <v>6</v>
      </c>
      <c r="AG298" s="31" t="s">
        <v>34</v>
      </c>
      <c r="AH298" s="31"/>
      <c r="AI298" s="30" t="s">
        <v>1427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1490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1149</v>
      </c>
      <c r="BC298" s="30" t="s">
        <v>1462</v>
      </c>
      <c r="BD298" s="30" t="s">
        <v>1081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1149</v>
      </c>
      <c r="D299" s="30" t="s">
        <v>133</v>
      </c>
      <c r="E299" s="30" t="s">
        <v>1469</v>
      </c>
      <c r="F299" s="30" t="str">
        <f>IF(ISBLANK(Table2[[#This Row],[unique_id]]), "", PROPER(SUBSTITUTE(Table2[[#This Row],[unique_id]], "_", " ")))</f>
        <v>Service Openra</v>
      </c>
      <c r="G299" s="30" t="s">
        <v>1485</v>
      </c>
      <c r="H299" s="30" t="s">
        <v>1499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1491</v>
      </c>
      <c r="AF299" s="30">
        <v>6</v>
      </c>
      <c r="AG299" s="31" t="s">
        <v>34</v>
      </c>
      <c r="AH299" s="31"/>
      <c r="AI299" s="30" t="s">
        <v>1428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1149</v>
      </c>
      <c r="BC299" s="30" t="s">
        <v>1462</v>
      </c>
      <c r="BD299" s="30" t="s">
        <v>1081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1149</v>
      </c>
      <c r="D300" s="30" t="s">
        <v>133</v>
      </c>
      <c r="E300" s="30" t="s">
        <v>1522</v>
      </c>
      <c r="F300" s="30" t="str">
        <f>IF(ISBLANK(Table2[[#This Row],[unique_id]]), "", PROPER(SUBSTITUTE(Table2[[#This Row],[unique_id]], "_", " ")))</f>
        <v>Service Cloudflare</v>
      </c>
      <c r="G300" s="30" t="s">
        <v>1523</v>
      </c>
      <c r="H300" s="30" t="s">
        <v>1499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1491</v>
      </c>
      <c r="AF300" s="30">
        <v>6</v>
      </c>
      <c r="AG300" s="31" t="s">
        <v>34</v>
      </c>
      <c r="AH300" s="31"/>
      <c r="AI300" s="30" t="s">
        <v>1392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1149</v>
      </c>
      <c r="BC300" s="30" t="s">
        <v>1462</v>
      </c>
      <c r="BD300" s="30" t="s">
        <v>1081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1149</v>
      </c>
      <c r="D301" s="30" t="s">
        <v>133</v>
      </c>
      <c r="E301" s="30" t="s">
        <v>1470</v>
      </c>
      <c r="F301" s="30" t="str">
        <f>IF(ISBLANK(Table2[[#This Row],[unique_id]]), "", PROPER(SUBSTITUTE(Table2[[#This Row],[unique_id]], "_", " ")))</f>
        <v>Service Grafana</v>
      </c>
      <c r="G301" s="30" t="s">
        <v>1151</v>
      </c>
      <c r="H301" s="30" t="s">
        <v>1499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1491</v>
      </c>
      <c r="AF301" s="30">
        <v>6</v>
      </c>
      <c r="AG301" s="31" t="s">
        <v>34</v>
      </c>
      <c r="AH301" s="31"/>
      <c r="AI301" s="30" t="s">
        <v>1392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1149</v>
      </c>
      <c r="BC301" s="30" t="s">
        <v>1462</v>
      </c>
      <c r="BD301" s="30" t="s">
        <v>1081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1149</v>
      </c>
      <c r="D302" s="30" t="s">
        <v>133</v>
      </c>
      <c r="E302" s="30" t="s">
        <v>1471</v>
      </c>
      <c r="F302" s="30" t="str">
        <f>IF(ISBLANK(Table2[[#This Row],[unique_id]]), "", PROPER(SUBSTITUTE(Table2[[#This Row],[unique_id]], "_", " ")))</f>
        <v>Service Letsencrypt</v>
      </c>
      <c r="G302" s="30" t="s">
        <v>1486</v>
      </c>
      <c r="H302" s="30" t="s">
        <v>1499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1491</v>
      </c>
      <c r="AF302" s="30">
        <v>6</v>
      </c>
      <c r="AG302" s="31" t="s">
        <v>34</v>
      </c>
      <c r="AH302" s="31"/>
      <c r="AI302" s="30" t="s">
        <v>1392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1149</v>
      </c>
      <c r="BC302" s="30" t="s">
        <v>1462</v>
      </c>
      <c r="BD302" s="30" t="s">
        <v>1081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1149</v>
      </c>
      <c r="D303" s="30" t="s">
        <v>133</v>
      </c>
      <c r="E303" s="30" t="s">
        <v>1472</v>
      </c>
      <c r="F303" s="30" t="str">
        <f>IF(ISBLANK(Table2[[#This Row],[unique_id]]), "", PROPER(SUBSTITUTE(Table2[[#This Row],[unique_id]], "_", " ")))</f>
        <v>Service Sonarr</v>
      </c>
      <c r="G303" s="30" t="s">
        <v>1480</v>
      </c>
      <c r="H303" s="30" t="s">
        <v>1499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1491</v>
      </c>
      <c r="AF303" s="30">
        <v>6</v>
      </c>
      <c r="AG303" s="31" t="s">
        <v>34</v>
      </c>
      <c r="AH303" s="31"/>
      <c r="AI303" s="30" t="s">
        <v>1392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1149</v>
      </c>
      <c r="BC303" s="30" t="s">
        <v>1462</v>
      </c>
      <c r="BD303" s="30" t="s">
        <v>1081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1149</v>
      </c>
      <c r="D304" s="30" t="s">
        <v>133</v>
      </c>
      <c r="E304" s="30" t="s">
        <v>1496</v>
      </c>
      <c r="F304" s="30" t="str">
        <f>IF(ISBLANK(Table2[[#This Row],[unique_id]]), "", PROPER(SUBSTITUTE(Table2[[#This Row],[unique_id]], "_", " ")))</f>
        <v>Service Tempstat</v>
      </c>
      <c r="G304" s="30" t="s">
        <v>1492</v>
      </c>
      <c r="H304" s="30" t="s">
        <v>1499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1491</v>
      </c>
      <c r="AF304" s="30">
        <v>6</v>
      </c>
      <c r="AG304" s="31" t="s">
        <v>34</v>
      </c>
      <c r="AH304" s="31"/>
      <c r="AI304" s="30" t="s">
        <v>1392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1149</v>
      </c>
      <c r="BC304" s="30" t="s">
        <v>1462</v>
      </c>
      <c r="BD304" s="30" t="s">
        <v>1081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1149</v>
      </c>
      <c r="D305" s="30" t="s">
        <v>133</v>
      </c>
      <c r="E305" s="30" t="s">
        <v>1463</v>
      </c>
      <c r="F305" s="30" t="str">
        <f>IF(ISBLANK(Table2[[#This Row],[unique_id]]), "", PROPER(SUBSTITUTE(Table2[[#This Row],[unique_id]], "_", " ")))</f>
        <v>Service Homeassistant</v>
      </c>
      <c r="G305" s="30" t="s">
        <v>1155</v>
      </c>
      <c r="H305" s="30" t="s">
        <v>1499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1491</v>
      </c>
      <c r="AF305" s="30">
        <v>6</v>
      </c>
      <c r="AG305" s="31" t="s">
        <v>34</v>
      </c>
      <c r="AH305" s="31"/>
      <c r="AI305" s="30" t="s">
        <v>1100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1149</v>
      </c>
      <c r="BC305" s="30" t="s">
        <v>1462</v>
      </c>
      <c r="BD305" s="30" t="s">
        <v>1081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1149</v>
      </c>
      <c r="D306" s="30" t="s">
        <v>133</v>
      </c>
      <c r="E306" s="30" t="s">
        <v>1474</v>
      </c>
      <c r="F306" s="30" t="str">
        <f>IF(ISBLANK(Table2[[#This Row],[unique_id]]), "", PROPER(SUBSTITUTE(Table2[[#This Row],[unique_id]], "_", " ")))</f>
        <v>Service Mariadb</v>
      </c>
      <c r="G306" s="30" t="s">
        <v>1487</v>
      </c>
      <c r="H306" s="30" t="s">
        <v>1499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1491</v>
      </c>
      <c r="AF306" s="30">
        <v>6</v>
      </c>
      <c r="AG306" s="31" t="s">
        <v>34</v>
      </c>
      <c r="AH306" s="31"/>
      <c r="AI306" s="30" t="s">
        <v>1100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1149</v>
      </c>
      <c r="BC306" s="30" t="s">
        <v>1462</v>
      </c>
      <c r="BD306" s="30" t="s">
        <v>1081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1149</v>
      </c>
      <c r="D307" s="30" t="s">
        <v>133</v>
      </c>
      <c r="E307" s="30" t="s">
        <v>1475</v>
      </c>
      <c r="F307" s="30" t="str">
        <f>IF(ISBLANK(Table2[[#This Row],[unique_id]]), "", PROPER(SUBSTITUTE(Table2[[#This Row],[unique_id]], "_", " ")))</f>
        <v>Service Nginx</v>
      </c>
      <c r="G307" s="30" t="s">
        <v>1153</v>
      </c>
      <c r="H307" s="30" t="s">
        <v>1499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1491</v>
      </c>
      <c r="AF307" s="30">
        <v>6</v>
      </c>
      <c r="AG307" s="31" t="s">
        <v>34</v>
      </c>
      <c r="AH307" s="31"/>
      <c r="AI307" s="30" t="s">
        <v>1100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1149</v>
      </c>
      <c r="BC307" s="30" t="s">
        <v>1462</v>
      </c>
      <c r="BD307" s="30" t="s">
        <v>1081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1149</v>
      </c>
      <c r="D308" s="30" t="s">
        <v>133</v>
      </c>
      <c r="E308" s="30" t="s">
        <v>1524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1499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1491</v>
      </c>
      <c r="AF308" s="30">
        <v>6</v>
      </c>
      <c r="AG308" s="31" t="s">
        <v>34</v>
      </c>
      <c r="AH308" s="31"/>
      <c r="AI308" s="30" t="s">
        <v>1100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1149</v>
      </c>
      <c r="BC308" s="30" t="s">
        <v>1462</v>
      </c>
      <c r="BD308" s="30" t="s">
        <v>1081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1149</v>
      </c>
      <c r="D309" s="30" t="s">
        <v>133</v>
      </c>
      <c r="E309" s="30" t="s">
        <v>1477</v>
      </c>
      <c r="F309" s="30" t="str">
        <f>IF(ISBLANK(Table2[[#This Row],[unique_id]]), "", PROPER(SUBSTITUTE(Table2[[#This Row],[unique_id]], "_", " ")))</f>
        <v>Service Vernemq</v>
      </c>
      <c r="G309" s="30" t="s">
        <v>1488</v>
      </c>
      <c r="H309" s="30" t="s">
        <v>1499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1491</v>
      </c>
      <c r="AF309" s="30">
        <v>6</v>
      </c>
      <c r="AG309" s="31" t="s">
        <v>34</v>
      </c>
      <c r="AH309" s="31"/>
      <c r="AI309" s="30" t="s">
        <v>1100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1149</v>
      </c>
      <c r="BC309" s="30" t="s">
        <v>1462</v>
      </c>
      <c r="BD309" s="30" t="s">
        <v>1081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1149</v>
      </c>
      <c r="D310" s="30" t="s">
        <v>133</v>
      </c>
      <c r="E310" s="30" t="s">
        <v>1478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1499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1491</v>
      </c>
      <c r="AF310" s="30">
        <v>6</v>
      </c>
      <c r="AG310" s="31" t="s">
        <v>34</v>
      </c>
      <c r="AH310" s="31"/>
      <c r="AI310" s="30" t="s">
        <v>1395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1149</v>
      </c>
      <c r="BC310" s="30" t="s">
        <v>1462</v>
      </c>
      <c r="BD310" s="30" t="s">
        <v>1081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1149</v>
      </c>
      <c r="D311" s="30" t="s">
        <v>133</v>
      </c>
      <c r="E311" s="30" t="s">
        <v>1479</v>
      </c>
      <c r="F311" s="30" t="str">
        <f>IF(ISBLANK(Table2[[#This Row],[unique_id]]), "", PROPER(SUBSTITUTE(Table2[[#This Row],[unique_id]], "_", " ")))</f>
        <v>Service Zigbee2Mqtt</v>
      </c>
      <c r="G311" s="30" t="s">
        <v>1489</v>
      </c>
      <c r="H311" s="30" t="s">
        <v>1499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1491</v>
      </c>
      <c r="AF311" s="30">
        <v>6</v>
      </c>
      <c r="AG311" s="31" t="s">
        <v>34</v>
      </c>
      <c r="AH311" s="31"/>
      <c r="AI311" s="30" t="s">
        <v>1395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1149</v>
      </c>
      <c r="BC311" s="30" t="s">
        <v>1462</v>
      </c>
      <c r="BD311" s="30" t="s">
        <v>1081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1499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1160</v>
      </c>
      <c r="D313" s="30" t="s">
        <v>27</v>
      </c>
      <c r="E313" s="30" t="s">
        <v>1166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1161</v>
      </c>
      <c r="H313" s="30" t="s">
        <v>1163</v>
      </c>
      <c r="I313" s="30" t="s">
        <v>273</v>
      </c>
      <c r="K313" s="30" t="s">
        <v>1131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1492</v>
      </c>
      <c r="D314" s="30" t="s">
        <v>27</v>
      </c>
      <c r="E314" s="30" t="s">
        <v>1078</v>
      </c>
      <c r="F314" s="36" t="str">
        <f>IF(ISBLANK(Table2[[#This Row],[unique_id]]), "", PROPER(SUBSTITUTE(Table2[[#This Row],[unique_id]], "_", " ")))</f>
        <v>Rack Top Temperature</v>
      </c>
      <c r="G314" s="30" t="s">
        <v>1080</v>
      </c>
      <c r="H314" s="30" t="s">
        <v>1163</v>
      </c>
      <c r="I314" s="30" t="s">
        <v>273</v>
      </c>
      <c r="K314" s="30" t="s">
        <v>1123</v>
      </c>
      <c r="O314" s="31"/>
      <c r="P314" s="30"/>
      <c r="T314" s="37"/>
      <c r="U314" s="30"/>
      <c r="V314" s="31" t="s">
        <v>1143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1494</v>
      </c>
      <c r="BD314" s="30" t="s">
        <v>1495</v>
      </c>
      <c r="BF314" s="30" t="s">
        <v>955</v>
      </c>
      <c r="BG314" s="30" t="s">
        <v>28</v>
      </c>
      <c r="BL314" s="30" t="s">
        <v>1099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1492</v>
      </c>
      <c r="D315" s="30" t="s">
        <v>27</v>
      </c>
      <c r="E315" s="30" t="s">
        <v>1123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1080</v>
      </c>
      <c r="H315" s="30" t="s">
        <v>1163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1492</v>
      </c>
      <c r="D316" s="30" t="s">
        <v>27</v>
      </c>
      <c r="E316" s="30" t="s">
        <v>1079</v>
      </c>
      <c r="F316" s="36" t="str">
        <f>IF(ISBLANK(Table2[[#This Row],[unique_id]]), "", PROPER(SUBSTITUTE(Table2[[#This Row],[unique_id]], "_", " ")))</f>
        <v>Rack Bottom Temperature</v>
      </c>
      <c r="G316" s="30" t="s">
        <v>1082</v>
      </c>
      <c r="H316" s="30" t="s">
        <v>1163</v>
      </c>
      <c r="I316" s="30" t="s">
        <v>273</v>
      </c>
      <c r="K316" s="30" t="s">
        <v>1124</v>
      </c>
      <c r="O316" s="31"/>
      <c r="P316" s="30"/>
      <c r="T316" s="37"/>
      <c r="U316" s="30"/>
      <c r="V316" s="31" t="s">
        <v>1143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1494</v>
      </c>
      <c r="BD316" s="30" t="s">
        <v>1495</v>
      </c>
      <c r="BF316" s="30" t="s">
        <v>955</v>
      </c>
      <c r="BG316" s="30" t="s">
        <v>28</v>
      </c>
      <c r="BL316" s="30" t="s">
        <v>1098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1492</v>
      </c>
      <c r="D317" s="30" t="s">
        <v>27</v>
      </c>
      <c r="E317" s="30" t="s">
        <v>1124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1082</v>
      </c>
      <c r="H317" s="30" t="s">
        <v>1163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1149</v>
      </c>
      <c r="D318" s="30" t="s">
        <v>27</v>
      </c>
      <c r="E318" s="30" t="s">
        <v>1421</v>
      </c>
      <c r="F318" s="30" t="str">
        <f>IF(ISBLANK(Table2[[#This Row],[unique_id]]), "", PROPER(SUBSTITUTE(Table2[[#This Row],[unique_id]], "_", " ")))</f>
        <v>Host Mad Temperature</v>
      </c>
      <c r="G318" s="30" t="s">
        <v>1425</v>
      </c>
      <c r="H318" s="30" t="s">
        <v>1163</v>
      </c>
      <c r="I318" s="30" t="s">
        <v>273</v>
      </c>
      <c r="K318" s="30" t="s">
        <v>1422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1427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"", _xlfn.CONCAT("supervisor/", Table2[[#This Row],[unique_id_device]], "/data/host/temperature"))</f>
        <v>supervisor/macmini-mad/data/host/temperature</v>
      </c>
      <c r="AM318" s="30" t="str">
        <f>IF(ISBLANK(Table2[[#This Row],[index]]),  "", _xlfn.CONCAT("supervisor/", Table2[[#This Row],[unique_id_device]], "/status"))</f>
        <v>supervisor/macmini-mad/status</v>
      </c>
      <c r="AR318" s="30" t="s">
        <v>1528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1149</v>
      </c>
      <c r="BC318" s="30" t="s">
        <v>1462</v>
      </c>
      <c r="BD318" s="30" t="s">
        <v>1081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1149</v>
      </c>
      <c r="D319" s="30" t="s">
        <v>27</v>
      </c>
      <c r="E319" s="30" t="s">
        <v>1422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1425</v>
      </c>
      <c r="H319" s="30" t="s">
        <v>1163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1149</v>
      </c>
      <c r="D320" s="30" t="s">
        <v>27</v>
      </c>
      <c r="E320" s="30" t="s">
        <v>1423</v>
      </c>
      <c r="F320" s="30" t="str">
        <f>IF(ISBLANK(Table2[[#This Row],[unique_id]]), "", PROPER(SUBSTITUTE(Table2[[#This Row],[unique_id]], "_", " ")))</f>
        <v>Host Max Temperature</v>
      </c>
      <c r="G320" s="30" t="s">
        <v>1426</v>
      </c>
      <c r="H320" s="30" t="s">
        <v>1163</v>
      </c>
      <c r="I320" s="30" t="s">
        <v>273</v>
      </c>
      <c r="K320" s="30" t="s">
        <v>1424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1428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"", _xlfn.CONCAT("supervisor/", Table2[[#This Row],[unique_id_device]], "/data/host/temperature"))</f>
        <v>supervisor/macmini-max/data/host/temperature</v>
      </c>
      <c r="AM320" s="30" t="str">
        <f>IF(ISBLANK(Table2[[#This Row],[index]]),  "", _xlfn.CONCAT("supervisor/", Table2[[#This Row],[unique_id_device]], "/status"))</f>
        <v>supervisor/macmini-max/status</v>
      </c>
      <c r="AR320" s="30" t="s">
        <v>1528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1149</v>
      </c>
      <c r="BC320" s="30" t="s">
        <v>1462</v>
      </c>
      <c r="BD320" s="30" t="s">
        <v>1081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1149</v>
      </c>
      <c r="D321" s="30" t="s">
        <v>27</v>
      </c>
      <c r="E321" s="30" t="s">
        <v>1424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1426</v>
      </c>
      <c r="H321" s="30" t="s">
        <v>1163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1149</v>
      </c>
      <c r="D322" s="30" t="s">
        <v>27</v>
      </c>
      <c r="E322" s="30" t="s">
        <v>1386</v>
      </c>
      <c r="F322" s="30" t="str">
        <f>IF(ISBLANK(Table2[[#This Row],[unique_id]]), "", PROPER(SUBSTITUTE(Table2[[#This Row],[unique_id]], "_", " ")))</f>
        <v>Host May Temperature</v>
      </c>
      <c r="G322" s="30" t="s">
        <v>1385</v>
      </c>
      <c r="H322" s="30" t="s">
        <v>1163</v>
      </c>
      <c r="I322" s="30" t="s">
        <v>273</v>
      </c>
      <c r="K322" s="30" t="s">
        <v>1387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"", _xlfn.CONCAT("supervisor/", Table2[[#This Row],[unique_id_device]], "/data/host/temperature"))</f>
        <v>supervisor/macmini-may/data/host/temperature</v>
      </c>
      <c r="AM322" s="30" t="str">
        <f>IF(ISBLANK(Table2[[#This Row],[index]]),  "", _xlfn.CONCAT("supervisor/", Table2[[#This Row],[unique_id_device]], "/status"))</f>
        <v>supervisor/macmini-may/status</v>
      </c>
      <c r="AR322" s="30" t="s">
        <v>1528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1149</v>
      </c>
      <c r="BC322" s="30" t="s">
        <v>1462</v>
      </c>
      <c r="BD322" s="30" t="s">
        <v>1081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1149</v>
      </c>
      <c r="D323" s="30" t="s">
        <v>27</v>
      </c>
      <c r="E323" s="30" t="s">
        <v>1387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1385</v>
      </c>
      <c r="H323" s="30" t="s">
        <v>1163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1149</v>
      </c>
      <c r="D324" s="30" t="s">
        <v>27</v>
      </c>
      <c r="E324" s="30" t="s">
        <v>1156</v>
      </c>
      <c r="F324" s="30" t="str">
        <f>IF(ISBLANK(Table2[[#This Row],[unique_id]]), "", PROPER(SUBSTITUTE(Table2[[#This Row],[unique_id]], "_", " ")))</f>
        <v>Host Meg Temperature</v>
      </c>
      <c r="G324" s="30" t="s">
        <v>1159</v>
      </c>
      <c r="H324" s="30" t="s">
        <v>1163</v>
      </c>
      <c r="I324" s="30" t="s">
        <v>273</v>
      </c>
      <c r="K324" s="30" t="s">
        <v>1158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1100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"", _xlfn.CONCAT("supervisor/", Table2[[#This Row],[unique_id_device]], "/data/host/temperature"))</f>
        <v>supervisor/macmini-meg/data/host/temperature</v>
      </c>
      <c r="AM324" s="30" t="str">
        <f>IF(ISBLANK(Table2[[#This Row],[index]]),  "", _xlfn.CONCAT("supervisor/", Table2[[#This Row],[unique_id_device]], "/status"))</f>
        <v>supervisor/macmini-meg/status</v>
      </c>
      <c r="AR324" s="30" t="s">
        <v>1528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1149</v>
      </c>
      <c r="BC324" s="30" t="s">
        <v>1462</v>
      </c>
      <c r="BD324" s="30" t="s">
        <v>1081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1149</v>
      </c>
      <c r="D325" s="30" t="s">
        <v>27</v>
      </c>
      <c r="E325" s="30" t="s">
        <v>1158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1159</v>
      </c>
      <c r="H325" s="30" t="s">
        <v>1163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1160</v>
      </c>
      <c r="D326" s="30" t="s">
        <v>27</v>
      </c>
      <c r="E326" s="30" t="s">
        <v>1168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1165</v>
      </c>
      <c r="H326" s="30" t="s">
        <v>1164</v>
      </c>
      <c r="I326" s="30" t="s">
        <v>273</v>
      </c>
      <c r="K326" s="30" t="s">
        <v>1122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1160</v>
      </c>
      <c r="D327" s="30" t="s">
        <v>27</v>
      </c>
      <c r="E327" s="30" t="s">
        <v>1167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1371</v>
      </c>
      <c r="H327" s="30" t="s">
        <v>1162</v>
      </c>
      <c r="I327" s="30" t="s">
        <v>273</v>
      </c>
      <c r="K327" s="30" t="s">
        <v>1128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1149</v>
      </c>
      <c r="D328" s="30" t="s">
        <v>27</v>
      </c>
      <c r="E328" s="30" t="s">
        <v>1398</v>
      </c>
      <c r="F328" s="30" t="str">
        <f>IF(ISBLANK(Table2[[#This Row],[unique_id]]), "", PROPER(SUBSTITUTE(Table2[[#This Row],[unique_id]], "_", " ")))</f>
        <v>Host Jen Temperature</v>
      </c>
      <c r="G328" s="30" t="s">
        <v>1399</v>
      </c>
      <c r="H328" s="30" t="s">
        <v>1162</v>
      </c>
      <c r="I328" s="30" t="s">
        <v>273</v>
      </c>
      <c r="K328" s="30" t="s">
        <v>1394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1395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"", _xlfn.CONCAT("supervisor/", Table2[[#This Row],[unique_id_device]], "/data/host/temperature"))</f>
        <v>supervisor/raspbpi-jen/data/host/temperature</v>
      </c>
      <c r="AM328" s="30" t="str">
        <f>IF(ISBLANK(Table2[[#This Row],[index]]),  "", _xlfn.CONCAT("supervisor/", Table2[[#This Row],[unique_id_device]], "/status"))</f>
        <v>supervisor/raspbpi-jen/status</v>
      </c>
      <c r="AR328" s="30" t="s">
        <v>1528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1149</v>
      </c>
      <c r="BC328" s="30" t="s">
        <v>1462</v>
      </c>
      <c r="BD328" s="30" t="s">
        <v>1081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1149</v>
      </c>
      <c r="D329" s="30" t="s">
        <v>27</v>
      </c>
      <c r="E329" s="30" t="s">
        <v>1394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1399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1162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1147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1147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1147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1147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1147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1147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1147</v>
      </c>
      <c r="I337" s="48" t="s">
        <v>273</v>
      </c>
      <c r="O337" s="50"/>
      <c r="T337" s="51"/>
      <c r="V337" s="50" t="s">
        <v>1176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1145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1175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1518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1519</v>
      </c>
      <c r="H338" s="30" t="s">
        <v>1147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1520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1521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1175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1304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1147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1305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1147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1306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1147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1307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1147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1147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1147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1147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1429</v>
      </c>
      <c r="F347" s="36" t="str">
        <f>IF(ISBLANK(Table2[[#This Row],[unique_id]]), "", PROPER(SUBSTITUTE(Table2[[#This Row],[unique_id]], "_", " ")))</f>
        <v>Rack Printer Plug</v>
      </c>
      <c r="G347" s="30" t="s">
        <v>1444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1072</v>
      </c>
      <c r="AB347" s="30"/>
      <c r="AC347" s="30"/>
      <c r="AE347" s="30" t="s">
        <v>1430</v>
      </c>
      <c r="AF347" s="30">
        <v>10</v>
      </c>
      <c r="AG347" s="31" t="s">
        <v>34</v>
      </c>
      <c r="AH347" s="31" t="s">
        <v>863</v>
      </c>
      <c r="AI347" s="30" t="s">
        <v>1429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1073</v>
      </c>
      <c r="BF347" s="30" t="s">
        <v>853</v>
      </c>
      <c r="BG347" s="30" t="s">
        <v>28</v>
      </c>
      <c r="BK347" s="30" t="s">
        <v>1210</v>
      </c>
      <c r="BL347" s="30" t="s">
        <v>1449</v>
      </c>
      <c r="BM347" s="30" t="s">
        <v>1445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1439</v>
      </c>
      <c r="F348" s="36" t="str">
        <f>IF(ISBLANK(Table2[[#This Row],[unique_id]]), "", PROPER(SUBSTITUTE(Table2[[#This Row],[unique_id]], "_", " ")))</f>
        <v>Rack Screen Plug</v>
      </c>
      <c r="G348" s="30" t="s">
        <v>1432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1072</v>
      </c>
      <c r="AB348" s="30"/>
      <c r="AC348" s="30"/>
      <c r="AE348" s="30" t="s">
        <v>1433</v>
      </c>
      <c r="AF348" s="30">
        <v>10</v>
      </c>
      <c r="AG348" s="31" t="s">
        <v>34</v>
      </c>
      <c r="AH348" s="31" t="s">
        <v>863</v>
      </c>
      <c r="AI348" s="30" t="s">
        <v>1439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1436</v>
      </c>
      <c r="BC348" s="39" t="s">
        <v>733</v>
      </c>
      <c r="BD348" s="30" t="s">
        <v>1073</v>
      </c>
      <c r="BF348" s="30" t="s">
        <v>853</v>
      </c>
      <c r="BG348" s="30" t="s">
        <v>28</v>
      </c>
      <c r="BK348" s="30" t="s">
        <v>1210</v>
      </c>
      <c r="BL348" s="30" t="s">
        <v>1441</v>
      </c>
      <c r="BM348" s="30" t="s">
        <v>1437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1413</v>
      </c>
      <c r="F349" s="36" t="str">
        <f>IF(ISBLANK(Table2[[#This Row],[unique_id]]), "", PROPER(SUBSTITUTE(Table2[[#This Row],[unique_id]], "_", " ")))</f>
        <v>Rack Backup Plug</v>
      </c>
      <c r="G349" s="30" t="s">
        <v>1431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1072</v>
      </c>
      <c r="AB349" s="30"/>
      <c r="AC349" s="30"/>
      <c r="AE349" s="30" t="s">
        <v>1434</v>
      </c>
      <c r="AF349" s="30">
        <v>10</v>
      </c>
      <c r="AG349" s="31" t="s">
        <v>34</v>
      </c>
      <c r="AH349" s="31" t="s">
        <v>863</v>
      </c>
      <c r="AI349" s="30" t="s">
        <v>1413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1435</v>
      </c>
      <c r="BC349" s="39" t="s">
        <v>733</v>
      </c>
      <c r="BD349" s="30" t="s">
        <v>1073</v>
      </c>
      <c r="BF349" s="30" t="s">
        <v>853</v>
      </c>
      <c r="BG349" s="30" t="s">
        <v>28</v>
      </c>
      <c r="BK349" s="30" t="s">
        <v>1210</v>
      </c>
      <c r="BL349" s="30" t="s">
        <v>1440</v>
      </c>
      <c r="BM349" s="30" t="s">
        <v>1438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1072</v>
      </c>
      <c r="AB350" s="30"/>
      <c r="AC350" s="30"/>
      <c r="AE350" s="30" t="s">
        <v>1512</v>
      </c>
      <c r="AF350" s="30">
        <v>10</v>
      </c>
      <c r="AG350" s="31" t="s">
        <v>34</v>
      </c>
      <c r="AH350" s="31" t="s">
        <v>863</v>
      </c>
      <c r="AI350" s="30" t="s">
        <v>854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1073</v>
      </c>
      <c r="BF350" s="30" t="s">
        <v>853</v>
      </c>
      <c r="BG350" s="30" t="s">
        <v>28</v>
      </c>
      <c r="BK350" s="30" t="s">
        <v>1210</v>
      </c>
      <c r="BL350" s="30" t="s">
        <v>571</v>
      </c>
      <c r="BM350" s="30" t="s">
        <v>1264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1210</v>
      </c>
      <c r="BL352" s="30" t="s">
        <v>331</v>
      </c>
      <c r="BM352" s="30" t="s">
        <v>1244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1347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1348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1210</v>
      </c>
      <c r="BL354" s="54" t="s">
        <v>322</v>
      </c>
      <c r="BM354" s="54" t="s">
        <v>1245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1349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1350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1210</v>
      </c>
      <c r="BL356" s="54" t="s">
        <v>333</v>
      </c>
      <c r="BM356" s="54" t="s">
        <v>1246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1351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1352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1210</v>
      </c>
      <c r="BL358" s="54" t="s">
        <v>334</v>
      </c>
      <c r="BM358" s="54" t="s">
        <v>1247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1353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1354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1210</v>
      </c>
      <c r="BL360" s="54" t="s">
        <v>325</v>
      </c>
      <c r="BM360" s="54" t="s">
        <v>1248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1210</v>
      </c>
      <c r="BL362" s="30" t="s">
        <v>337</v>
      </c>
      <c r="BM362" s="30" t="s">
        <v>1259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1355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1356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1210</v>
      </c>
      <c r="BL364" s="54" t="s">
        <v>326</v>
      </c>
      <c r="BM364" s="54" t="s">
        <v>1249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1357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1358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1210</v>
      </c>
      <c r="BL366" s="54" t="s">
        <v>327</v>
      </c>
      <c r="BM366" s="54" t="s">
        <v>1250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1443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1442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1210</v>
      </c>
      <c r="BL368" s="62" t="s">
        <v>1414</v>
      </c>
      <c r="BM368" s="62" t="s">
        <v>1415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1210</v>
      </c>
      <c r="BL370" s="30" t="s">
        <v>329</v>
      </c>
      <c r="BM370" s="30" t="s">
        <v>1252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1339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1340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1340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1338</v>
      </c>
      <c r="F372" s="36" t="str">
        <f>IF(ISBLANK(Table2[[#This Row],[unique_id]]), "", PROPER(SUBSTITUTE(Table2[[#This Row],[unique_id]], "_", " ")))</f>
        <v>Garden Sewerage Blower Plug</v>
      </c>
      <c r="G372" s="30" t="s">
        <v>1340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1340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1210</v>
      </c>
      <c r="BL372" s="36" t="s">
        <v>345</v>
      </c>
      <c r="BM372" s="36" t="s">
        <v>1231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1359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1360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1210</v>
      </c>
      <c r="BL374" s="54" t="s">
        <v>323</v>
      </c>
      <c r="BM374" s="54" t="s">
        <v>1253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1361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1362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1210</v>
      </c>
      <c r="BL376" s="54" t="s">
        <v>324</v>
      </c>
      <c r="BM376" s="54" t="s">
        <v>1254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1363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1364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1210</v>
      </c>
      <c r="BL378" s="54" t="s">
        <v>766</v>
      </c>
      <c r="BM378" s="54" t="s">
        <v>1255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1459</v>
      </c>
      <c r="F381" s="36" t="str">
        <f>IF(ISBLANK(Table2[[#This Row],[unique_id]]), "", PROPER(SUBSTITUTE(Table2[[#This Row],[unique_id]], "_", " ")))</f>
        <v>Ada Desk Outlet</v>
      </c>
      <c r="G381" s="30" t="s">
        <v>1458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1448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1460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1447</v>
      </c>
      <c r="F382" s="36" t="str">
        <f>IF(ISBLANK(Table2[[#This Row],[unique_id]]), "", PROPER(SUBSTITUTE(Table2[[#This Row],[unique_id]], "_", " ")))</f>
        <v>Edwin Desk Outlet</v>
      </c>
      <c r="G382" s="30" t="s">
        <v>1446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1448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1388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1389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1393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1390</v>
      </c>
      <c r="F384" s="56" t="str">
        <f>IF(ISBLANK(Table2[[#This Row],[unique_id]]), "", PROPER(SUBSTITUTE(Table2[[#This Row],[unique_id]], "_", " ")))</f>
        <v>Broken Server May Plug</v>
      </c>
      <c r="G384" s="54" t="s">
        <v>1389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1393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1210</v>
      </c>
      <c r="BL384" s="54" t="s">
        <v>770</v>
      </c>
      <c r="BM384" s="54" t="s">
        <v>1256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1365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1366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1210</v>
      </c>
      <c r="BL386" s="54" t="s">
        <v>769</v>
      </c>
      <c r="BM386" s="54" t="s">
        <v>1257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1396</v>
      </c>
      <c r="F387" s="36" t="str">
        <f>IF(ISBLANK(Table2[[#This Row],[unique_id]]), "", PROPER(SUBSTITUTE(Table2[[#This Row],[unique_id]], "_", " ")))</f>
        <v>Template Server Jen Plug Proxy</v>
      </c>
      <c r="G387" s="30" t="s">
        <v>1400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1401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1397</v>
      </c>
      <c r="F388" s="36" t="str">
        <f>IF(ISBLANK(Table2[[#This Row],[unique_id]]), "", PROPER(SUBSTITUTE(Table2[[#This Row],[unique_id]], "_", " ")))</f>
        <v>Server Jen Plug</v>
      </c>
      <c r="G388" s="30" t="s">
        <v>1400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1401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1210</v>
      </c>
      <c r="BL388" s="30" t="s">
        <v>330</v>
      </c>
      <c r="BM388" s="30" t="s">
        <v>1258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1073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1527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I390" s="30" t="s">
        <v>804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1073</v>
      </c>
      <c r="BF390" s="30" t="s">
        <v>853</v>
      </c>
      <c r="BG390" s="30" t="s">
        <v>28</v>
      </c>
      <c r="BK390" s="30" t="s">
        <v>1210</v>
      </c>
      <c r="BL390" s="30" t="s">
        <v>880</v>
      </c>
      <c r="BM390" s="30" t="s">
        <v>1260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I391" s="30" t="s">
        <v>804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1068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1073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I392" s="30" t="s">
        <v>804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1073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1380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1073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1380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1527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I394" s="30" t="s">
        <v>1060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1073</v>
      </c>
      <c r="BF394" s="30" t="s">
        <v>853</v>
      </c>
      <c r="BG394" s="30" t="s">
        <v>385</v>
      </c>
      <c r="BK394" s="30" t="s">
        <v>1210</v>
      </c>
      <c r="BL394" s="41" t="s">
        <v>945</v>
      </c>
      <c r="BM394" s="30" t="s">
        <v>1262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1380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1060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1073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1380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1060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1073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1367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1368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1210</v>
      </c>
      <c r="BL398" s="54" t="s">
        <v>336</v>
      </c>
      <c r="BM398" s="54" t="s">
        <v>1263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1452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1209</v>
      </c>
      <c r="BL425" s="41" t="s">
        <v>402</v>
      </c>
      <c r="BM425" s="39" t="s">
        <v>1211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1209</v>
      </c>
      <c r="BL426" s="41" t="s">
        <v>401</v>
      </c>
      <c r="BM426" s="39" t="s">
        <v>1212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1209</v>
      </c>
      <c r="BL427" s="41" t="s">
        <v>618</v>
      </c>
      <c r="BM427" s="39" t="s">
        <v>1213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1209</v>
      </c>
      <c r="BL428" s="41" t="s">
        <v>696</v>
      </c>
      <c r="BM428" s="39" t="s">
        <v>1214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1209</v>
      </c>
      <c r="BL429" s="41" t="s">
        <v>399</v>
      </c>
      <c r="BM429" s="39" t="s">
        <v>1215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1209</v>
      </c>
      <c r="BL430" s="41" t="s">
        <v>400</v>
      </c>
      <c r="BM430" s="39" t="s">
        <v>1216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1209</v>
      </c>
      <c r="BL431" s="41" t="s">
        <v>1188</v>
      </c>
      <c r="BM431" s="39" t="s">
        <v>1217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1209</v>
      </c>
      <c r="BL432" s="41" t="s">
        <v>1189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1209</v>
      </c>
      <c r="BL433" s="41" t="s">
        <v>563</v>
      </c>
      <c r="BM433" s="39" t="s">
        <v>1218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1209</v>
      </c>
      <c r="BL434" s="41" t="s">
        <v>381</v>
      </c>
      <c r="BM434" s="39" t="s">
        <v>1219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1209</v>
      </c>
      <c r="BL435" s="41" t="s">
        <v>403</v>
      </c>
      <c r="BM435" s="39" t="s">
        <v>1221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1209</v>
      </c>
      <c r="BL437" s="30" t="s">
        <v>567</v>
      </c>
      <c r="BM437" s="39" t="s">
        <v>1222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1209</v>
      </c>
      <c r="BL439" s="30" t="s">
        <v>350</v>
      </c>
      <c r="BM439" s="39" t="s">
        <v>1223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1209</v>
      </c>
      <c r="BL440" s="37" t="s">
        <v>349</v>
      </c>
      <c r="BM440" s="39" t="s">
        <v>1224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1209</v>
      </c>
      <c r="BL442" s="30" t="s">
        <v>348</v>
      </c>
      <c r="BM442" s="39" t="s">
        <v>1225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1268</v>
      </c>
      <c r="F443" s="36" t="str">
        <f>IF(ISBLANK(Table2[[#This Row],[unique_id]]), "", PROPER(SUBSTITUTE(Table2[[#This Row],[unique_id]], "_", " ")))</f>
        <v>Parents Homepod</v>
      </c>
      <c r="G443" s="30" t="s">
        <v>1269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1270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1209</v>
      </c>
      <c r="BL443" s="41" t="s">
        <v>382</v>
      </c>
      <c r="BM443" s="39" t="s">
        <v>1226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1073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1073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1281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1381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1210</v>
      </c>
      <c r="BL462" s="30" t="s">
        <v>365</v>
      </c>
      <c r="BM462" s="30" t="s">
        <v>1265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1282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1381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1210</v>
      </c>
      <c r="BL464" s="30" t="s">
        <v>366</v>
      </c>
      <c r="BM464" s="30" t="s">
        <v>1266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1382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1203</v>
      </c>
      <c r="BL466" s="30" t="s">
        <v>387</v>
      </c>
      <c r="BM466" s="30" t="s">
        <v>1204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1383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1203</v>
      </c>
      <c r="BL467" s="30" t="s">
        <v>592</v>
      </c>
      <c r="BM467" s="30" t="s">
        <v>1205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1383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1203</v>
      </c>
      <c r="BL468" s="30" t="s">
        <v>388</v>
      </c>
      <c r="BM468" s="30" t="s">
        <v>1419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1383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1418</v>
      </c>
      <c r="BD469" s="30" t="s">
        <v>232</v>
      </c>
      <c r="BF469" s="30" t="s">
        <v>1031</v>
      </c>
      <c r="BG469" s="30" t="s">
        <v>385</v>
      </c>
      <c r="BK469" s="30" t="s">
        <v>1203</v>
      </c>
      <c r="BL469" s="30" t="s">
        <v>1420</v>
      </c>
      <c r="BM469" s="30" t="s">
        <v>1206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1384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1326</v>
      </c>
      <c r="BD470" s="30" t="s">
        <v>232</v>
      </c>
      <c r="BF470" s="30" t="s">
        <v>1030</v>
      </c>
      <c r="BG470" s="30" t="s">
        <v>386</v>
      </c>
      <c r="BK470" s="30" t="s">
        <v>1203</v>
      </c>
      <c r="BL470" s="30" t="s">
        <v>1325</v>
      </c>
      <c r="BM470" s="30" t="s">
        <v>1207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1384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1377</v>
      </c>
      <c r="BK471" s="30" t="s">
        <v>1203</v>
      </c>
      <c r="BL471" s="30" t="s">
        <v>1379</v>
      </c>
      <c r="BM471" s="30" t="s">
        <v>1208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1384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1376</v>
      </c>
      <c r="BK472" s="30" t="s">
        <v>1203</v>
      </c>
      <c r="BL472" s="30" t="s">
        <v>389</v>
      </c>
      <c r="BM472" s="30" t="s">
        <v>1378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1311</v>
      </c>
      <c r="BA473" s="30" t="str">
        <f>IF(ISBLANK(Table2[[#This Row],[device_model]]), "", Table2[[#This Row],[device_suggested_area]])</f>
        <v>Rack</v>
      </c>
      <c r="BB473" s="30" t="s">
        <v>1322</v>
      </c>
      <c r="BC473" s="30" t="s">
        <v>1313</v>
      </c>
      <c r="BD473" s="30" t="s">
        <v>1311</v>
      </c>
      <c r="BF473" s="30" t="s">
        <v>1319</v>
      </c>
      <c r="BG473" s="30" t="s">
        <v>28</v>
      </c>
      <c r="BL473" s="41"/>
      <c r="BM473" s="30" t="s">
        <v>1321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customHeight="1" x14ac:dyDescent="0.2">
      <c r="A474" s="30">
        <v>5008</v>
      </c>
      <c r="B474" s="39" t="s">
        <v>561</v>
      </c>
      <c r="C474" s="39" t="s">
        <v>1311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1312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1311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1313</v>
      </c>
      <c r="BD474" s="30" t="s">
        <v>1311</v>
      </c>
      <c r="BF474" s="30" t="s">
        <v>1319</v>
      </c>
      <c r="BG474" s="30" t="s">
        <v>28</v>
      </c>
      <c r="BL474" s="41"/>
      <c r="BM474" s="30" t="s">
        <v>1314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customHeight="1" x14ac:dyDescent="0.2">
      <c r="A475" s="30">
        <v>5009</v>
      </c>
      <c r="B475" s="39" t="s">
        <v>561</v>
      </c>
      <c r="C475" s="39" t="s">
        <v>1315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1316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1315</v>
      </c>
      <c r="BA475" s="30" t="str">
        <f>IF(ISBLANK(Table2[[#This Row],[device_model]]), "", Table2[[#This Row],[device_suggested_area]])</f>
        <v>Rack</v>
      </c>
      <c r="BB475" s="30" t="s">
        <v>1317</v>
      </c>
      <c r="BC475" s="30" t="s">
        <v>1318</v>
      </c>
      <c r="BD475" s="30" t="s">
        <v>1315</v>
      </c>
      <c r="BF475" s="30" t="s">
        <v>1319</v>
      </c>
      <c r="BG475" s="30" t="s">
        <v>28</v>
      </c>
      <c r="BL475" s="41"/>
      <c r="BM475" s="30" t="s">
        <v>1320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1209</v>
      </c>
      <c r="BL476" s="41" t="s">
        <v>414</v>
      </c>
      <c r="BM476" s="30" t="s">
        <v>1227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ref="AJ477:AJ482" si="1">IF(ISBLANK(AI477),  "", _xlfn.CONCAT("haas/entity/sensor/", LOWER(C477), "/", E477, "/config"))</f>
        <v/>
      </c>
      <c r="AK477" s="30" t="str">
        <f t="shared" ref="AK477:AK482" si="2"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1402</v>
      </c>
      <c r="BC477" s="30" t="s">
        <v>1000</v>
      </c>
      <c r="BD477" s="30" t="s">
        <v>536</v>
      </c>
      <c r="BF477" s="62" t="s">
        <v>1406</v>
      </c>
      <c r="BG477" s="30" t="s">
        <v>477</v>
      </c>
      <c r="BK477" s="30" t="s">
        <v>383</v>
      </c>
      <c r="BL477" s="30" t="s">
        <v>535</v>
      </c>
      <c r="BM477" s="30" t="s">
        <v>1202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1404</v>
      </c>
      <c r="BC478" s="30" t="s">
        <v>1405</v>
      </c>
      <c r="BD478" s="30" t="s">
        <v>536</v>
      </c>
      <c r="BF478" s="62" t="s">
        <v>1406</v>
      </c>
      <c r="BG478" s="30" t="s">
        <v>1403</v>
      </c>
      <c r="BL478" s="30" t="s">
        <v>1410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1407</v>
      </c>
      <c r="BC479" s="30" t="s">
        <v>1408</v>
      </c>
      <c r="BD479" s="30" t="s">
        <v>262</v>
      </c>
      <c r="BF479" s="62" t="s">
        <v>1412</v>
      </c>
      <c r="BG479" s="30" t="s">
        <v>28</v>
      </c>
      <c r="BK479" s="30" t="s">
        <v>383</v>
      </c>
      <c r="BL479" s="41" t="s">
        <v>1411</v>
      </c>
      <c r="BM479" s="30" t="s">
        <v>1198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998</v>
      </c>
      <c r="BD480" s="30" t="s">
        <v>262</v>
      </c>
      <c r="BF480" s="62" t="s">
        <v>1416</v>
      </c>
      <c r="BG480" s="30" t="s">
        <v>28</v>
      </c>
      <c r="BK480" s="30" t="s">
        <v>383</v>
      </c>
      <c r="BL480" s="46" t="s">
        <v>1417</v>
      </c>
      <c r="BM480" s="30" t="s">
        <v>1199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1391</v>
      </c>
      <c r="BC481" s="30" t="s">
        <v>998</v>
      </c>
      <c r="BD481" s="30" t="s">
        <v>262</v>
      </c>
      <c r="BF481" s="62" t="s">
        <v>1406</v>
      </c>
      <c r="BG481" s="30" t="s">
        <v>28</v>
      </c>
      <c r="BK481" s="30" t="s">
        <v>383</v>
      </c>
      <c r="BL481" s="46" t="s">
        <v>1277</v>
      </c>
      <c r="BM481" s="30" t="s">
        <v>1200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1"/>
        <v/>
      </c>
      <c r="AK482" s="30" t="str">
        <f t="shared" si="2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1406</v>
      </c>
      <c r="BG482" s="30" t="s">
        <v>28</v>
      </c>
      <c r="BK482" s="30" t="s">
        <v>383</v>
      </c>
      <c r="BL482" s="30" t="s">
        <v>569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1210</v>
      </c>
      <c r="BL483" s="30" t="s">
        <v>361</v>
      </c>
      <c r="BM483" s="30" t="s">
        <v>1267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2026-08-23T02:47:17Z</dcterms:modified>
</cp:coreProperties>
</file>