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6C8F74E5-AABD-C841-B7D0-A7F84B819CE4}" xr6:coauthVersionLast="47" xr6:coauthVersionMax="47" xr10:uidLastSave="{00000000-0000-0000-0000-000000000000}"/>
  <bookViews>
    <workbookView xWindow="8380" yWindow="194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36" i="1" l="1"/>
  <c r="BA336" i="1"/>
  <c r="AW336" i="1"/>
  <c r="AV336" i="1" s="1"/>
  <c r="AK336" i="1"/>
  <c r="AJ336" i="1"/>
  <c r="F336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9" i="1"/>
  <c r="BA379" i="1"/>
  <c r="AZ379" i="1"/>
  <c r="AW379" i="1" s="1"/>
  <c r="AX379" i="1" s="1"/>
  <c r="AT379" i="1"/>
  <c r="F379" i="1"/>
  <c r="BN408" i="1"/>
  <c r="BA408" i="1"/>
  <c r="AW408" i="1"/>
  <c r="AX408" i="1" s="1"/>
  <c r="AV408" i="1"/>
  <c r="F40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0" i="1"/>
  <c r="AW370" i="1"/>
  <c r="AV370" i="1" s="1"/>
  <c r="T370" i="1"/>
  <c r="S370" i="1"/>
  <c r="F370" i="1"/>
  <c r="BN369" i="1"/>
  <c r="AW369" i="1"/>
  <c r="AX369" i="1" s="1"/>
  <c r="T369" i="1"/>
  <c r="S369" i="1"/>
  <c r="F369" i="1"/>
  <c r="BN396" i="1"/>
  <c r="BA396" i="1"/>
  <c r="AW396" i="1" s="1"/>
  <c r="AX396" i="1" s="1"/>
  <c r="T396" i="1"/>
  <c r="S396" i="1"/>
  <c r="F396" i="1"/>
  <c r="BN395" i="1"/>
  <c r="BA395" i="1"/>
  <c r="AW395" i="1" s="1"/>
  <c r="AX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T388" i="1"/>
  <c r="AM388" i="1"/>
  <c r="AL388" i="1"/>
  <c r="AK388" i="1"/>
  <c r="AJ388" i="1"/>
  <c r="T388" i="1"/>
  <c r="S388" i="1"/>
  <c r="F388" i="1"/>
  <c r="BN387" i="1"/>
  <c r="BA387" i="1"/>
  <c r="AW387" i="1" s="1"/>
  <c r="S387" i="1"/>
  <c r="F387" i="1"/>
  <c r="BN386" i="1"/>
  <c r="AW386" i="1"/>
  <c r="AX386" i="1" s="1"/>
  <c r="T386" i="1"/>
  <c r="S386" i="1"/>
  <c r="F386" i="1"/>
  <c r="BN385" i="1"/>
  <c r="AW385" i="1"/>
  <c r="AX385" i="1" s="1"/>
  <c r="T385" i="1"/>
  <c r="S385" i="1"/>
  <c r="F385" i="1"/>
  <c r="BN384" i="1"/>
  <c r="BA384" i="1"/>
  <c r="AW384" i="1" s="1"/>
  <c r="T384" i="1"/>
  <c r="S384" i="1"/>
  <c r="F384" i="1"/>
  <c r="BN383" i="1"/>
  <c r="BA383" i="1"/>
  <c r="AW383" i="1" s="1"/>
  <c r="S383" i="1"/>
  <c r="F383" i="1"/>
  <c r="BN382" i="1"/>
  <c r="BA382" i="1"/>
  <c r="AW382" i="1" s="1"/>
  <c r="T382" i="1"/>
  <c r="S382" i="1"/>
  <c r="F382" i="1"/>
  <c r="BN381" i="1"/>
  <c r="BA381" i="1"/>
  <c r="AW381" i="1" s="1"/>
  <c r="AX381" i="1" s="1"/>
  <c r="S381" i="1"/>
  <c r="F381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6" i="1"/>
  <c r="BN467" i="1"/>
  <c r="BB467" i="1"/>
  <c r="AW467" i="1" s="1"/>
  <c r="BA467" i="1"/>
  <c r="F467" i="1"/>
  <c r="BN468" i="1"/>
  <c r="BB468" i="1"/>
  <c r="AW468" i="1" s="1"/>
  <c r="BA468" i="1"/>
  <c r="F468" i="1"/>
  <c r="BN480" i="1"/>
  <c r="BA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BA477" i="1"/>
  <c r="BA476" i="1"/>
  <c r="BN476" i="1"/>
  <c r="AW476" i="1"/>
  <c r="AX476" i="1" s="1"/>
  <c r="AK476" i="1"/>
  <c r="AJ476" i="1"/>
  <c r="F476" i="1"/>
  <c r="BN475" i="1"/>
  <c r="BA475" i="1"/>
  <c r="AW475" i="1"/>
  <c r="AX475" i="1" s="1"/>
  <c r="AK475" i="1"/>
  <c r="AJ475" i="1"/>
  <c r="F475" i="1"/>
  <c r="AV461" i="1"/>
  <c r="AV446" i="1"/>
  <c r="AV451" i="1"/>
  <c r="AV459" i="1"/>
  <c r="BB469" i="1"/>
  <c r="AW469" i="1" s="1"/>
  <c r="AV469" i="1" s="1"/>
  <c r="BN469" i="1"/>
  <c r="BA469" i="1"/>
  <c r="F46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9" i="1"/>
  <c r="AW359" i="1" s="1"/>
  <c r="BA360" i="1"/>
  <c r="AW360" i="1" s="1"/>
  <c r="S360" i="1"/>
  <c r="S359" i="1"/>
  <c r="BN360" i="1"/>
  <c r="T360" i="1"/>
  <c r="F360" i="1"/>
  <c r="BN359" i="1"/>
  <c r="T359" i="1"/>
  <c r="F35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1" i="1"/>
  <c r="BA471" i="1"/>
  <c r="AW471" i="1"/>
  <c r="AX471" i="1" s="1"/>
  <c r="F471" i="1"/>
  <c r="BN473" i="1"/>
  <c r="BA473" i="1"/>
  <c r="AW473" i="1"/>
  <c r="AX473" i="1" s="1"/>
  <c r="F473" i="1"/>
  <c r="AW472" i="1"/>
  <c r="AX472" i="1" s="1"/>
  <c r="BN472" i="1"/>
  <c r="BA472" i="1"/>
  <c r="F47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30" i="1"/>
  <c r="BA430" i="1"/>
  <c r="AW430" i="1" s="1"/>
  <c r="AX430" i="1" s="1"/>
  <c r="F43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8" i="1"/>
  <c r="AW477" i="1"/>
  <c r="AX477" i="1" s="1"/>
  <c r="AW478" i="1"/>
  <c r="AX478" i="1" s="1"/>
  <c r="F477" i="1"/>
  <c r="AJ477" i="1"/>
  <c r="AK477" i="1"/>
  <c r="BN477" i="1"/>
  <c r="F478" i="1"/>
  <c r="AJ478" i="1"/>
  <c r="AK478" i="1"/>
  <c r="BN47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7" i="1"/>
  <c r="F338" i="1"/>
  <c r="F339" i="1"/>
  <c r="F340" i="1"/>
  <c r="F341" i="1"/>
  <c r="F342" i="1"/>
  <c r="F343" i="1"/>
  <c r="F344" i="1"/>
  <c r="F349" i="1"/>
  <c r="F350" i="1"/>
  <c r="F351" i="1"/>
  <c r="F352" i="1"/>
  <c r="F353" i="1"/>
  <c r="F354" i="1"/>
  <c r="F355" i="1"/>
  <c r="F356" i="1"/>
  <c r="F357" i="1"/>
  <c r="F358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0" i="1"/>
  <c r="F397" i="1"/>
  <c r="F398" i="1"/>
  <c r="F399" i="1"/>
  <c r="F400" i="1"/>
  <c r="F401" i="1"/>
  <c r="F402" i="1"/>
  <c r="F403" i="1"/>
  <c r="F404" i="1"/>
  <c r="F405" i="1"/>
  <c r="F406" i="1"/>
  <c r="F407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8" i="1"/>
  <c r="F459" i="1"/>
  <c r="F460" i="1"/>
  <c r="F461" i="1"/>
  <c r="F462" i="1"/>
  <c r="F463" i="1"/>
  <c r="F464" i="1"/>
  <c r="F465" i="1"/>
  <c r="F466" i="1"/>
  <c r="F470" i="1"/>
  <c r="F474" i="1"/>
  <c r="F481" i="1"/>
  <c r="F482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X336" i="1" l="1"/>
  <c r="AY336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9" i="1"/>
  <c r="AV379" i="1"/>
  <c r="AY162" i="1"/>
  <c r="AY408" i="1"/>
  <c r="AV161" i="1"/>
  <c r="AY370" i="1"/>
  <c r="AY161" i="1"/>
  <c r="AV162" i="1"/>
  <c r="AX162" i="1"/>
  <c r="AV369" i="1"/>
  <c r="AY369" i="1"/>
  <c r="AY387" i="1"/>
  <c r="AX370" i="1"/>
  <c r="AY391" i="1"/>
  <c r="AV395" i="1"/>
  <c r="AY385" i="1"/>
  <c r="AY395" i="1"/>
  <c r="AX390" i="1"/>
  <c r="AV390" i="1"/>
  <c r="AX389" i="1"/>
  <c r="AV389" i="1"/>
  <c r="AX391" i="1"/>
  <c r="AV391" i="1"/>
  <c r="AX388" i="1"/>
  <c r="AV388" i="1"/>
  <c r="AY386" i="1"/>
  <c r="AY388" i="1"/>
  <c r="AY390" i="1"/>
  <c r="AY389" i="1"/>
  <c r="AY394" i="1"/>
  <c r="AY396" i="1"/>
  <c r="AV385" i="1"/>
  <c r="AX393" i="1"/>
  <c r="AV393" i="1"/>
  <c r="AX384" i="1"/>
  <c r="AV384" i="1"/>
  <c r="AY384" i="1"/>
  <c r="AY382" i="1"/>
  <c r="AX382" i="1"/>
  <c r="AV382" i="1"/>
  <c r="AX392" i="1"/>
  <c r="AV392" i="1"/>
  <c r="AY392" i="1"/>
  <c r="AY383" i="1"/>
  <c r="AY393" i="1"/>
  <c r="AX394" i="1"/>
  <c r="AV394" i="1"/>
  <c r="AV383" i="1"/>
  <c r="AX383" i="1"/>
  <c r="AX387" i="1"/>
  <c r="AV381" i="1"/>
  <c r="AV387" i="1"/>
  <c r="AY381" i="1"/>
  <c r="AV386" i="1"/>
  <c r="AV396" i="1"/>
  <c r="AY345" i="1"/>
  <c r="AX347" i="1"/>
  <c r="AY348" i="1"/>
  <c r="AX345" i="1"/>
  <c r="AY346" i="1"/>
  <c r="AX346" i="1"/>
  <c r="AV346" i="1"/>
  <c r="AY347" i="1"/>
  <c r="AX348" i="1"/>
  <c r="AV345" i="1"/>
  <c r="AY318" i="1"/>
  <c r="AY316" i="1"/>
  <c r="AY467" i="1"/>
  <c r="AV467" i="1"/>
  <c r="AX467" i="1"/>
  <c r="AX468" i="1"/>
  <c r="AV468" i="1"/>
  <c r="AY468" i="1"/>
  <c r="AY480" i="1"/>
  <c r="AV480" i="1"/>
  <c r="AY475" i="1"/>
  <c r="AV475" i="1"/>
  <c r="AY479" i="1"/>
  <c r="AV479" i="1"/>
  <c r="AY476" i="1"/>
  <c r="AV476" i="1"/>
  <c r="AV471" i="1"/>
  <c r="AY127" i="1"/>
  <c r="AY469" i="1"/>
  <c r="AX469" i="1"/>
  <c r="AV127" i="1"/>
  <c r="AY128" i="1"/>
  <c r="AV128" i="1"/>
  <c r="AY42" i="1"/>
  <c r="AY109" i="1"/>
  <c r="AY108" i="1"/>
  <c r="AV108" i="1"/>
  <c r="AX108" i="1"/>
  <c r="AV109" i="1"/>
  <c r="AY359" i="1"/>
  <c r="AX360" i="1"/>
  <c r="AV360" i="1"/>
  <c r="AY360" i="1"/>
  <c r="AX359" i="1"/>
  <c r="AV359" i="1"/>
  <c r="AY471" i="1"/>
  <c r="AY473" i="1"/>
  <c r="AY472" i="1"/>
  <c r="AY457" i="1"/>
  <c r="AX107" i="1"/>
  <c r="AV107" i="1"/>
  <c r="AY107" i="1"/>
  <c r="AX106" i="1"/>
  <c r="AV106" i="1"/>
  <c r="AY106" i="1"/>
  <c r="AY56" i="1"/>
  <c r="AY455" i="1"/>
  <c r="AY454" i="1"/>
  <c r="AY452" i="1"/>
  <c r="AY453" i="1"/>
  <c r="AY456" i="1"/>
  <c r="AY430" i="1"/>
  <c r="AV43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8" i="1"/>
  <c r="AV478" i="1"/>
  <c r="AV477" i="1"/>
  <c r="AY477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3" i="1"/>
  <c r="AX463" i="1" s="1"/>
  <c r="AW461" i="1"/>
  <c r="AX461" i="1" s="1"/>
  <c r="AW459" i="1"/>
  <c r="AX459" i="1" s="1"/>
  <c r="AW458" i="1"/>
  <c r="AX458" i="1" s="1"/>
  <c r="AV458" i="1"/>
  <c r="AW451" i="1"/>
  <c r="AX451" i="1" s="1"/>
  <c r="AW448" i="1"/>
  <c r="AX448" i="1" s="1"/>
  <c r="AV448" i="1"/>
  <c r="AW447" i="1"/>
  <c r="AX447" i="1" s="1"/>
  <c r="AV447" i="1"/>
  <c r="AW446" i="1"/>
  <c r="AX446" i="1" s="1"/>
  <c r="AW443" i="1"/>
  <c r="AX443" i="1" s="1"/>
  <c r="AV443" i="1"/>
  <c r="AW442" i="1"/>
  <c r="AX442" i="1" s="1"/>
  <c r="AV442" i="1"/>
  <c r="AW434" i="1"/>
  <c r="AX434" i="1" s="1"/>
  <c r="AV434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4" i="1"/>
  <c r="AV464" i="1" s="1"/>
  <c r="AW474" i="1"/>
  <c r="AW481" i="1"/>
  <c r="AX481" i="1" s="1"/>
  <c r="BA463" i="1"/>
  <c r="BA461" i="1"/>
  <c r="BA459" i="1"/>
  <c r="BA458" i="1"/>
  <c r="BA451" i="1"/>
  <c r="BA448" i="1"/>
  <c r="BA447" i="1"/>
  <c r="BA446" i="1"/>
  <c r="BA443" i="1"/>
  <c r="BA442" i="1"/>
  <c r="BA434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7" i="1"/>
  <c r="BA406" i="1"/>
  <c r="BA405" i="1"/>
  <c r="BA404" i="1"/>
  <c r="BA403" i="1"/>
  <c r="BA402" i="1"/>
  <c r="BA401" i="1"/>
  <c r="BA400" i="1"/>
  <c r="BA344" i="1"/>
  <c r="BA343" i="1"/>
  <c r="BA342" i="1"/>
  <c r="BA341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9" i="1"/>
  <c r="BA444" i="1"/>
  <c r="BA482" i="1"/>
  <c r="BA281" i="1"/>
  <c r="AW281" i="1" s="1"/>
  <c r="AX281" i="1" s="1"/>
  <c r="BA470" i="1"/>
  <c r="BA465" i="1"/>
  <c r="BA464" i="1"/>
  <c r="BA462" i="1"/>
  <c r="BA460" i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50" i="1"/>
  <c r="BA44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0" i="1"/>
  <c r="BA378" i="1"/>
  <c r="BA37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4" i="1"/>
  <c r="BA340" i="1"/>
  <c r="AW340" i="1" s="1"/>
  <c r="AX340" i="1" s="1"/>
  <c r="BA339" i="1"/>
  <c r="AW339" i="1" s="1"/>
  <c r="AX339" i="1" s="1"/>
  <c r="BA338" i="1"/>
  <c r="AW338" i="1" s="1"/>
  <c r="AX338" i="1" s="1"/>
  <c r="BA337" i="1"/>
  <c r="AW337" i="1" s="1"/>
  <c r="AX33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1" i="1"/>
  <c r="AW431" i="1" s="1"/>
  <c r="AX431" i="1" s="1"/>
  <c r="BA399" i="1"/>
  <c r="BA398" i="1"/>
  <c r="BA39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3" i="1"/>
  <c r="AW433" i="1" s="1"/>
  <c r="AX433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1" i="1"/>
  <c r="BA441" i="1"/>
  <c r="BA432" i="1"/>
  <c r="AW432" i="1" s="1"/>
  <c r="AX432" i="1" s="1"/>
  <c r="S364" i="1"/>
  <c r="S363" i="1"/>
  <c r="S362" i="1"/>
  <c r="S358" i="1"/>
  <c r="S374" i="1"/>
  <c r="S373" i="1"/>
  <c r="S372" i="1"/>
  <c r="S356" i="1"/>
  <c r="S354" i="1"/>
  <c r="T230" i="1"/>
  <c r="T226" i="1"/>
  <c r="T114" i="1"/>
  <c r="S436" i="1"/>
  <c r="S437" i="1"/>
  <c r="S440" i="1"/>
  <c r="S439" i="1"/>
  <c r="S350" i="1"/>
  <c r="S349" i="1"/>
  <c r="S352" i="1"/>
  <c r="S351" i="1"/>
  <c r="S376" i="1"/>
  <c r="S375" i="1"/>
  <c r="T366" i="1"/>
  <c r="T368" i="1"/>
  <c r="T224" i="1"/>
  <c r="T350" i="1"/>
  <c r="T364" i="1"/>
  <c r="T362" i="1"/>
  <c r="T358" i="1"/>
  <c r="T354" i="1"/>
  <c r="T372" i="1"/>
  <c r="T356" i="1"/>
  <c r="T374" i="1"/>
  <c r="T352" i="1"/>
  <c r="T376" i="1"/>
  <c r="S425" i="1"/>
  <c r="S427" i="1"/>
  <c r="S428" i="1"/>
  <c r="S438" i="1"/>
  <c r="S426" i="1"/>
  <c r="S424" i="1"/>
  <c r="S423" i="1"/>
  <c r="S371" i="1"/>
  <c r="S353" i="1"/>
  <c r="S355" i="1"/>
  <c r="S357" i="1"/>
  <c r="S361" i="1"/>
  <c r="BB470" i="1"/>
  <c r="AW470" i="1" s="1"/>
  <c r="BB466" i="1"/>
  <c r="AW466" i="1" s="1"/>
  <c r="BB465" i="1"/>
  <c r="AW465" i="1" s="1"/>
  <c r="BB462" i="1"/>
  <c r="AW462" i="1" s="1"/>
  <c r="BB460" i="1"/>
  <c r="AW460" i="1" s="1"/>
  <c r="AZ482" i="1"/>
  <c r="AW482" i="1" s="1"/>
  <c r="AX482" i="1" s="1"/>
  <c r="AZ449" i="1"/>
  <c r="AW449" i="1" s="1"/>
  <c r="AX449" i="1" s="1"/>
  <c r="AZ444" i="1"/>
  <c r="AW444" i="1" s="1"/>
  <c r="AX444" i="1" s="1"/>
  <c r="AZ450" i="1"/>
  <c r="AW450" i="1" s="1"/>
  <c r="AX450" i="1" s="1"/>
  <c r="AZ445" i="1"/>
  <c r="AW445" i="1" s="1"/>
  <c r="AX445" i="1" s="1"/>
  <c r="AZ380" i="1"/>
  <c r="AW380" i="1" s="1"/>
  <c r="AX380" i="1" s="1"/>
  <c r="AZ378" i="1"/>
  <c r="AW378" i="1" s="1"/>
  <c r="AX378" i="1" s="1"/>
  <c r="AZ377" i="1"/>
  <c r="AW377" i="1" s="1"/>
  <c r="AX37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9" i="1"/>
  <c r="AW399" i="1" s="1"/>
  <c r="AX399" i="1" s="1"/>
  <c r="AZ398" i="1"/>
  <c r="AW398" i="1" s="1"/>
  <c r="AX398" i="1" s="1"/>
  <c r="AZ397" i="1"/>
  <c r="AW397" i="1" s="1"/>
  <c r="AX39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7" i="1"/>
  <c r="S36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7" i="1"/>
  <c r="BN338" i="1"/>
  <c r="BN339" i="1"/>
  <c r="BN340" i="1"/>
  <c r="BN341" i="1"/>
  <c r="BN342" i="1"/>
  <c r="BN343" i="1"/>
  <c r="BN344" i="1"/>
  <c r="BN349" i="1"/>
  <c r="BN350" i="1"/>
  <c r="BN351" i="1"/>
  <c r="BN352" i="1"/>
  <c r="BN353" i="1"/>
  <c r="BN354" i="1"/>
  <c r="BN355" i="1"/>
  <c r="BN356" i="1"/>
  <c r="BN357" i="1"/>
  <c r="BN358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0" i="1"/>
  <c r="BN397" i="1"/>
  <c r="BN398" i="1"/>
  <c r="BN399" i="1"/>
  <c r="BN400" i="1"/>
  <c r="BN401" i="1"/>
  <c r="BN402" i="1"/>
  <c r="BN403" i="1"/>
  <c r="BN404" i="1"/>
  <c r="BN405" i="1"/>
  <c r="BN406" i="1"/>
  <c r="BN407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8" i="1"/>
  <c r="BN459" i="1"/>
  <c r="BN460" i="1"/>
  <c r="BN461" i="1"/>
  <c r="BN462" i="1"/>
  <c r="BN463" i="1"/>
  <c r="BN464" i="1"/>
  <c r="BN465" i="1"/>
  <c r="BN466" i="1"/>
  <c r="BN470" i="1"/>
  <c r="BN474" i="1"/>
  <c r="BN481" i="1"/>
  <c r="BN48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5" i="1"/>
  <c r="T205" i="1"/>
  <c r="T200" i="1"/>
  <c r="S368" i="1"/>
  <c r="S36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9" i="1"/>
  <c r="AT398" i="1"/>
  <c r="AT482" i="1"/>
  <c r="AT397" i="1"/>
  <c r="AT380" i="1"/>
  <c r="AT378" i="1"/>
  <c r="AT37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5" i="1" l="1"/>
  <c r="AV465" i="1"/>
  <c r="AX466" i="1"/>
  <c r="AV466" i="1"/>
  <c r="AX474" i="1"/>
  <c r="AV474" i="1"/>
  <c r="AX460" i="1"/>
  <c r="AV460" i="1"/>
  <c r="AX470" i="1"/>
  <c r="AV470" i="1"/>
  <c r="AX462" i="1"/>
  <c r="AV462" i="1"/>
  <c r="AX464" i="1"/>
  <c r="AW441" i="1"/>
  <c r="AX441" i="1" s="1"/>
  <c r="AY335" i="1"/>
  <c r="AY226" i="1"/>
  <c r="AV380" i="1"/>
  <c r="AV168" i="1"/>
  <c r="AY47" i="1"/>
  <c r="AV120" i="1"/>
  <c r="AY330" i="1"/>
  <c r="AY215" i="1"/>
  <c r="AY216" i="1"/>
  <c r="AY95" i="1"/>
  <c r="AY101" i="1"/>
  <c r="AY331" i="1"/>
  <c r="AY343" i="1"/>
  <c r="AV81" i="1"/>
  <c r="AY8" i="1"/>
  <c r="AY353" i="1"/>
  <c r="AV142" i="1"/>
  <c r="AV192" i="1"/>
  <c r="AY230" i="1"/>
  <c r="AY200" i="1"/>
  <c r="AY233" i="1"/>
  <c r="AY152" i="1"/>
  <c r="AV440" i="1"/>
  <c r="AY443" i="1"/>
  <c r="AY140" i="1"/>
  <c r="AY73" i="1"/>
  <c r="AV427" i="1"/>
  <c r="AY427" i="1"/>
  <c r="AY231" i="1"/>
  <c r="AY481" i="1"/>
  <c r="AY96" i="1"/>
  <c r="AY344" i="1"/>
  <c r="AY404" i="1"/>
  <c r="AY417" i="1"/>
  <c r="AY4" i="1"/>
  <c r="AY28" i="1"/>
  <c r="AY26" i="1"/>
  <c r="AV167" i="1"/>
  <c r="AY167" i="1"/>
  <c r="AY364" i="1"/>
  <c r="AY460" i="1"/>
  <c r="AY86" i="1"/>
  <c r="AY178" i="1"/>
  <c r="AY219" i="1"/>
  <c r="AY74" i="1"/>
  <c r="AY87" i="1"/>
  <c r="AV428" i="1"/>
  <c r="AY428" i="1"/>
  <c r="AV202" i="1"/>
  <c r="AY202" i="1"/>
  <c r="AY205" i="1"/>
  <c r="AY350" i="1"/>
  <c r="AY420" i="1"/>
  <c r="AY449" i="1"/>
  <c r="AY89" i="1"/>
  <c r="AV429" i="1"/>
  <c r="AY429" i="1"/>
  <c r="AY68" i="1"/>
  <c r="AV203" i="1"/>
  <c r="AY203" i="1"/>
  <c r="AY206" i="1"/>
  <c r="AY358" i="1"/>
  <c r="AV372" i="1"/>
  <c r="AY240" i="1"/>
  <c r="AY246" i="1"/>
  <c r="AY252" i="1"/>
  <c r="AY264" i="1"/>
  <c r="AY276" i="1"/>
  <c r="AY333" i="1"/>
  <c r="AY405" i="1"/>
  <c r="AY418" i="1"/>
  <c r="AV450" i="1"/>
  <c r="AY365" i="1"/>
  <c r="AY188" i="1"/>
  <c r="AV190" i="1"/>
  <c r="AY190" i="1"/>
  <c r="AY466" i="1"/>
  <c r="AY432" i="1"/>
  <c r="AV32" i="1"/>
  <c r="AV69" i="1"/>
  <c r="AY69" i="1"/>
  <c r="AY204" i="1"/>
  <c r="AY361" i="1"/>
  <c r="AY373" i="1"/>
  <c r="AV154" i="1"/>
  <c r="AV191" i="1"/>
  <c r="AY191" i="1"/>
  <c r="AY150" i="1"/>
  <c r="AV377" i="1"/>
  <c r="AY377" i="1"/>
  <c r="AY70" i="1"/>
  <c r="AV112" i="1"/>
  <c r="AY112" i="1"/>
  <c r="AY207" i="1"/>
  <c r="AY241" i="1"/>
  <c r="AY253" i="1"/>
  <c r="AY265" i="1"/>
  <c r="AY277" i="1"/>
  <c r="AY419" i="1"/>
  <c r="AY458" i="1"/>
  <c r="AY376" i="1"/>
  <c r="AV169" i="1"/>
  <c r="AY169" i="1"/>
  <c r="AY75" i="1"/>
  <c r="AY166" i="1"/>
  <c r="AV92" i="1"/>
  <c r="AY92" i="1"/>
  <c r="AY71" i="1"/>
  <c r="AY117" i="1"/>
  <c r="AY208" i="1"/>
  <c r="AV439" i="1"/>
  <c r="AY439" i="1"/>
  <c r="AY363" i="1"/>
  <c r="AY375" i="1"/>
  <c r="AY62" i="1"/>
  <c r="AY397" i="1"/>
  <c r="AY462" i="1"/>
  <c r="AY474" i="1"/>
  <c r="AY398" i="1"/>
  <c r="AV145" i="1"/>
  <c r="AY199" i="1"/>
  <c r="AY18" i="1"/>
  <c r="AY55" i="1"/>
  <c r="AV110" i="1"/>
  <c r="AY339" i="1"/>
  <c r="AV181" i="1"/>
  <c r="AY433" i="1"/>
  <c r="AY85" i="1"/>
  <c r="AY183" i="1"/>
  <c r="AY195" i="1"/>
  <c r="AY445" i="1"/>
  <c r="AY133" i="1"/>
  <c r="AY237" i="1"/>
  <c r="AY273" i="1"/>
  <c r="AY409" i="1"/>
  <c r="AY446" i="1"/>
  <c r="AY49" i="1"/>
  <c r="AY63" i="1"/>
  <c r="AV340" i="1"/>
  <c r="AY48" i="1"/>
  <c r="AY249" i="1"/>
  <c r="AV156" i="1"/>
  <c r="AY50" i="1"/>
  <c r="AY354" i="1"/>
  <c r="AY366" i="1"/>
  <c r="AY238" i="1"/>
  <c r="AY410" i="1"/>
  <c r="AY422" i="1"/>
  <c r="AY6" i="1"/>
  <c r="AY421" i="1"/>
  <c r="AY170" i="1"/>
  <c r="AV157" i="1"/>
  <c r="AY12" i="1"/>
  <c r="AY355" i="1"/>
  <c r="AV171" i="1"/>
  <c r="AV193" i="1"/>
  <c r="AY463" i="1"/>
  <c r="AY239" i="1"/>
  <c r="AY251" i="1"/>
  <c r="AY263" i="1"/>
  <c r="AY159" i="1"/>
  <c r="AV111" i="1"/>
  <c r="AY223" i="1"/>
  <c r="AY51" i="1"/>
  <c r="AY135" i="1"/>
  <c r="AY211" i="1"/>
  <c r="AV357" i="1"/>
  <c r="AY341" i="1"/>
  <c r="AY30" i="1"/>
  <c r="AY275" i="1"/>
  <c r="AV371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8" i="1"/>
  <c r="AY259" i="1"/>
  <c r="AY235" i="1"/>
  <c r="AY444" i="1"/>
  <c r="AY212" i="1"/>
  <c r="AY61" i="1"/>
  <c r="AY461" i="1"/>
  <c r="AY143" i="1"/>
  <c r="AY402" i="1"/>
  <c r="AY20" i="1"/>
  <c r="AY250" i="1"/>
  <c r="AY362" i="1"/>
  <c r="AV176" i="1"/>
  <c r="AV426" i="1"/>
  <c r="AV158" i="1"/>
  <c r="AY158" i="1"/>
  <c r="AV177" i="1"/>
  <c r="AV218" i="1"/>
  <c r="AY218" i="1"/>
  <c r="AY14" i="1"/>
  <c r="AY52" i="1"/>
  <c r="AV66" i="1"/>
  <c r="AV281" i="1"/>
  <c r="AY160" i="1"/>
  <c r="AY411" i="1"/>
  <c r="AV4" i="1"/>
  <c r="AV28" i="1"/>
  <c r="AY67" i="1"/>
  <c r="AY224" i="1"/>
  <c r="AY367" i="1"/>
  <c r="AY32" i="1"/>
  <c r="AY155" i="1"/>
  <c r="AY111" i="1"/>
  <c r="AY262" i="1"/>
  <c r="AY406" i="1"/>
  <c r="AY72" i="1"/>
  <c r="AY229" i="1"/>
  <c r="AY374" i="1"/>
  <c r="AY138" i="1"/>
  <c r="AY99" i="1"/>
  <c r="AY80" i="1"/>
  <c r="AY403" i="1"/>
  <c r="AY65" i="1"/>
  <c r="AV172" i="1"/>
  <c r="AY172" i="1"/>
  <c r="AV198" i="1"/>
  <c r="AV16" i="1"/>
  <c r="AY53" i="1"/>
  <c r="AY232" i="1"/>
  <c r="AY435" i="1"/>
  <c r="AY79" i="1"/>
  <c r="AY46" i="1"/>
  <c r="AY459" i="1"/>
  <c r="AY274" i="1"/>
  <c r="AY470" i="1"/>
  <c r="AY356" i="1"/>
  <c r="AY436" i="1"/>
  <c r="AY451" i="1"/>
  <c r="AY186" i="1"/>
  <c r="AY179" i="1"/>
  <c r="AY368" i="1"/>
  <c r="AY163" i="1"/>
  <c r="AV199" i="1"/>
  <c r="AY220" i="1"/>
  <c r="AV55" i="1"/>
  <c r="AY97" i="1"/>
  <c r="AY412" i="1"/>
  <c r="AY434" i="1"/>
  <c r="AY58" i="1"/>
  <c r="AY214" i="1"/>
  <c r="AY357" i="1"/>
  <c r="AY464" i="1"/>
  <c r="AY144" i="1"/>
  <c r="AY431" i="1"/>
  <c r="AY380" i="1"/>
  <c r="AY332" i="1"/>
  <c r="AY482" i="1"/>
  <c r="AY281" i="1"/>
  <c r="AY201" i="1"/>
  <c r="AY66" i="1"/>
  <c r="AY91" i="1"/>
  <c r="AY399" i="1"/>
  <c r="AY149" i="1"/>
  <c r="AY209" i="1"/>
  <c r="AY221" i="1"/>
  <c r="AY76" i="1"/>
  <c r="AV437" i="1"/>
  <c r="AV223" i="1"/>
  <c r="AY258" i="1"/>
  <c r="AY371" i="1"/>
  <c r="AY329" i="1"/>
  <c r="AY156" i="1"/>
  <c r="AY442" i="1"/>
  <c r="AY407" i="1"/>
  <c r="AY34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5" i="1"/>
  <c r="AY81" i="1"/>
  <c r="AY236" i="1"/>
  <c r="AY342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5" i="1"/>
  <c r="AY145" i="1"/>
  <c r="AY437" i="1"/>
  <c r="AY271" i="1"/>
  <c r="AY247" i="1"/>
  <c r="AY16" i="1"/>
  <c r="AY198" i="1"/>
  <c r="AY100" i="1"/>
  <c r="AY257" i="1"/>
  <c r="AY136" i="1"/>
  <c r="AY184" i="1"/>
  <c r="AV337" i="1"/>
  <c r="AY40" i="1"/>
  <c r="AY88" i="1"/>
  <c r="AY242" i="1"/>
  <c r="AY254" i="1"/>
  <c r="AY266" i="1"/>
  <c r="AY278" i="1"/>
  <c r="AY438" i="1"/>
  <c r="AY260" i="1"/>
  <c r="AY372" i="1"/>
  <c r="AY34" i="1"/>
  <c r="AY192" i="1"/>
  <c r="AY157" i="1"/>
  <c r="AY400" i="1"/>
  <c r="AY413" i="1"/>
  <c r="AY116" i="1"/>
  <c r="AY45" i="1"/>
  <c r="AY118" i="1"/>
  <c r="AV146" i="1"/>
  <c r="AY146" i="1"/>
  <c r="AY196" i="1"/>
  <c r="AY137" i="1"/>
  <c r="AY185" i="1"/>
  <c r="AV338" i="1"/>
  <c r="AY351" i="1"/>
  <c r="AY450" i="1"/>
  <c r="AY119" i="1"/>
  <c r="AY272" i="1"/>
  <c r="AY82" i="1"/>
  <c r="AY171" i="1"/>
  <c r="AY448" i="1"/>
  <c r="AY340" i="1"/>
  <c r="AY39" i="1"/>
  <c r="AY256" i="1"/>
  <c r="AY139" i="1"/>
  <c r="AY338" i="1"/>
  <c r="AY217" i="1"/>
  <c r="AY197" i="1"/>
  <c r="AY423" i="1"/>
  <c r="AY113" i="1"/>
  <c r="AY35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4" i="1"/>
  <c r="AY114" i="1"/>
  <c r="AV353" i="1"/>
  <c r="AV365" i="1"/>
  <c r="AY154" i="1"/>
  <c r="AY440" i="1"/>
  <c r="AY110" i="1"/>
  <c r="AY261" i="1"/>
  <c r="AY228" i="1"/>
  <c r="AY193" i="1"/>
  <c r="AY189" i="1"/>
  <c r="AY416" i="1"/>
  <c r="AY165" i="1"/>
  <c r="AY414" i="1"/>
  <c r="AY175" i="1"/>
  <c r="AV449" i="1"/>
  <c r="AV54" i="1"/>
  <c r="AV425" i="1"/>
  <c r="AY64" i="1"/>
  <c r="AV115" i="1"/>
  <c r="AV354" i="1"/>
  <c r="AV366" i="1"/>
  <c r="AY447" i="1"/>
  <c r="AY168" i="1"/>
  <c r="AY120" i="1"/>
  <c r="AY426" i="1"/>
  <c r="AY401" i="1"/>
  <c r="AY337" i="1"/>
  <c r="AY77" i="1"/>
  <c r="AY425" i="1"/>
  <c r="AY177" i="1"/>
  <c r="AV65" i="1"/>
  <c r="AV159" i="1"/>
  <c r="AV219" i="1"/>
  <c r="AV53" i="1"/>
  <c r="AV435" i="1"/>
  <c r="AV220" i="1"/>
  <c r="AV76" i="1"/>
  <c r="AV43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9" i="1"/>
  <c r="AV204" i="1"/>
  <c r="AV217" i="1"/>
  <c r="AV12" i="1"/>
  <c r="AV205" i="1"/>
  <c r="AV75" i="1"/>
  <c r="AV33" i="1"/>
  <c r="AV22" i="1"/>
  <c r="AV207" i="1"/>
  <c r="AV362" i="1"/>
  <c r="AV374" i="1"/>
  <c r="AV216" i="1"/>
  <c r="AV64" i="1"/>
  <c r="AV34" i="1"/>
  <c r="AV59" i="1"/>
  <c r="AV208" i="1"/>
  <c r="AV349" i="1"/>
  <c r="AV363" i="1"/>
  <c r="AV375" i="1"/>
  <c r="AV233" i="1"/>
  <c r="AV74" i="1"/>
  <c r="AV60" i="1"/>
  <c r="AV350" i="1"/>
  <c r="AV364" i="1"/>
  <c r="AV376" i="1"/>
  <c r="AV10" i="1"/>
  <c r="AV86" i="1"/>
  <c r="AV231" i="1"/>
  <c r="AV397" i="1"/>
  <c r="AV87" i="1"/>
  <c r="AV398" i="1"/>
  <c r="AV445" i="1"/>
  <c r="AV36" i="1"/>
  <c r="AV335" i="1"/>
  <c r="AV431" i="1"/>
  <c r="AV351" i="1"/>
  <c r="AV48" i="1"/>
  <c r="AV62" i="1"/>
  <c r="AV339" i="1"/>
  <c r="AV113" i="1"/>
  <c r="AV352" i="1"/>
  <c r="AV482" i="1"/>
  <c r="AV230" i="1"/>
  <c r="AV14" i="1"/>
  <c r="AV48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8" i="1"/>
  <c r="AV45" i="1"/>
  <c r="AV71" i="1"/>
  <c r="AV117" i="1"/>
  <c r="AV424" i="1"/>
  <c r="AV46" i="1"/>
  <c r="AV119" i="1"/>
  <c r="AV423" i="1"/>
  <c r="AV196" i="1"/>
  <c r="AV47" i="1"/>
  <c r="AV226" i="1"/>
  <c r="AV83" i="1"/>
  <c r="AV197" i="1"/>
  <c r="AV227" i="1"/>
  <c r="AV144" i="1"/>
  <c r="AV436" i="1"/>
  <c r="AV358" i="1"/>
  <c r="AV432" i="1"/>
  <c r="AV361" i="1"/>
  <c r="AV141" i="1"/>
  <c r="AV175" i="1"/>
  <c r="AV188" i="1"/>
  <c r="AV229" i="1"/>
  <c r="AV72" i="1"/>
  <c r="AV200" i="1"/>
  <c r="AV355" i="1"/>
  <c r="AV367" i="1"/>
  <c r="AV73" i="1"/>
  <c r="AV201" i="1"/>
  <c r="AV356" i="1"/>
  <c r="AV368" i="1"/>
  <c r="AV178" i="1"/>
  <c r="AV67" i="1"/>
  <c r="AV189" i="1"/>
  <c r="AV163" i="1"/>
  <c r="AV179" i="1"/>
  <c r="AV89" i="1"/>
  <c r="AV18" i="1"/>
  <c r="AV68" i="1"/>
  <c r="AV206" i="1"/>
  <c r="AV90" i="1"/>
  <c r="AV20" i="1"/>
  <c r="AV373" i="1"/>
  <c r="AV77" i="1"/>
  <c r="AV91" i="1"/>
  <c r="AV43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4" i="1"/>
  <c r="AV221" i="1"/>
  <c r="AV174" i="1"/>
  <c r="AV170" i="1"/>
  <c r="AY441" i="1" l="1"/>
  <c r="AV441" i="1"/>
  <c r="AY180" i="1"/>
  <c r="AV180" i="1"/>
  <c r="AY187" i="1"/>
  <c r="AV187" i="1"/>
</calcChain>
</file>

<file path=xl/sharedStrings.xml><?xml version="1.0" encoding="utf-8"?>
<sst xmlns="http://schemas.openxmlformats.org/spreadsheetml/2006/main" count="7719" uniqueCount="1524">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</sst>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2" totalsRowShown="0" headerRowDxfId="68" dataDxfId="66" headerRowBorderDxfId="67">
  <autoFilter ref="A3:BN482" xr:uid="{00000000-000C-0000-FFFF-FFFF00000000}"/>
  <sortState xmlns:xlrd2="http://schemas.microsoft.com/office/spreadsheetml/2017/richdata2" ref="A4:BN482">
    <sortCondition ref="A3:A48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2"/>
  <sheetViews>
    <sheetView tabSelected="1" topLeftCell="A260" zoomScale="121" zoomScaleNormal="120" workbookViewId="0">
      <selection activeCell="A298" sqref="A29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1501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39</v>
      </c>
      <c r="D336" s="30" t="s">
        <v>27</v>
      </c>
      <c r="E336" s="30" t="s">
        <v>1520</v>
      </c>
      <c r="F336" s="36" t="str">
        <f>IF(ISBLANK(Table2[[#This Row],[unique_id]]), "", PROPER(SUBSTITUTE(Table2[[#This Row],[unique_id]], "_", " ")))</f>
        <v>Weatherstation Coms Signal Quality</v>
      </c>
      <c r="G336" s="30" t="s">
        <v>1521</v>
      </c>
      <c r="H336" s="30" t="s">
        <v>1149</v>
      </c>
      <c r="I336" s="30" t="s">
        <v>273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F336" s="30">
        <v>300</v>
      </c>
      <c r="AG336" s="31" t="s">
        <v>34</v>
      </c>
      <c r="AH336" s="31"/>
      <c r="AI336" s="30" t="s">
        <v>1522</v>
      </c>
      <c r="AJ336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6" s="30" t="str">
        <f>IF(ISBLANK(Table2[[#This Row],[index]]),  "", _xlfn.CONCAT(LOWER(Table2[[#This Row],[device_via_device]]), "/", Table2[[#This Row],[unique_id]]))</f>
        <v>weewx/weatherstation_coms_signal_quality</v>
      </c>
      <c r="AR336" s="39" t="s">
        <v>1523</v>
      </c>
      <c r="AS336" s="30">
        <v>1</v>
      </c>
      <c r="AT336" s="32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Wardrobe</v>
      </c>
      <c r="BB336" s="30" t="s">
        <v>1177</v>
      </c>
      <c r="BC336" s="30" t="s">
        <v>36</v>
      </c>
      <c r="BD336" s="30" t="s">
        <v>37</v>
      </c>
      <c r="BF336" s="30" t="s">
        <v>1029</v>
      </c>
      <c r="BG336" s="30" t="s">
        <v>477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1306</v>
      </c>
      <c r="F337" s="36" t="str">
        <f>IF(ISBLANK(Table2[[#This Row],[unique_id]]), "", PROPER(SUBSTITUTE(Table2[[#This Row],[unique_id]], "_", " ")))</f>
        <v>Office Pantry Battery</v>
      </c>
      <c r="G337" s="30" t="s">
        <v>440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Pantry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209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Lounge Battery</v>
      </c>
      <c r="G338" s="30" t="s">
        <v>441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Lounge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192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Dining Battery</v>
      </c>
      <c r="G339" s="30" t="s">
        <v>442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Dining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191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Basement Battery</v>
      </c>
      <c r="G340" s="30" t="s">
        <v>443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Basement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208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702</v>
      </c>
      <c r="F341" s="36" t="str">
        <f>IF(ISBLANK(Table2[[#This Row],[unique_id]]), "", PROPER(SUBSTITUTE(Table2[[#This Row],[unique_id]], "_", " ")))</f>
        <v>Parents Move Battery</v>
      </c>
      <c r="G341" s="30" t="s">
        <v>444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701</v>
      </c>
      <c r="F342" s="36" t="str">
        <f>IF(ISBLANK(Table2[[#This Row],[unique_id]]), "", PROPER(SUBSTITUTE(Table2[[#This Row],[unique_id]], "_", " ")))</f>
        <v>Kitchen Move Battery</v>
      </c>
      <c r="G342" s="30" t="s">
        <v>445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422</v>
      </c>
      <c r="D343" s="30" t="s">
        <v>315</v>
      </c>
      <c r="E343" s="30" t="s">
        <v>314</v>
      </c>
      <c r="F343" s="36" t="str">
        <f>IF(ISBLANK(Table2[[#This Row],[unique_id]]), "", PROPER(SUBSTITUTE(Table2[[#This Row],[unique_id]], "_", " ")))</f>
        <v>Column Break</v>
      </c>
      <c r="G343" s="30" t="s">
        <v>311</v>
      </c>
      <c r="H343" s="30" t="s">
        <v>1149</v>
      </c>
      <c r="I343" s="30" t="s">
        <v>273</v>
      </c>
      <c r="M343" s="30" t="s">
        <v>312</v>
      </c>
      <c r="N343" s="30" t="s">
        <v>313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R343" s="39"/>
      <c r="AT343" s="32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743</v>
      </c>
      <c r="D344" s="30" t="s">
        <v>27</v>
      </c>
      <c r="E344" s="30" t="s">
        <v>794</v>
      </c>
      <c r="F344" s="36" t="str">
        <f>IF(ISBLANK(Table2[[#This Row],[unique_id]]), "", PROPER(SUBSTITUTE(Table2[[#This Row],[unique_id]], "_", " ")))</f>
        <v>All Standby</v>
      </c>
      <c r="G344" s="30" t="s">
        <v>795</v>
      </c>
      <c r="H344" s="30" t="s">
        <v>508</v>
      </c>
      <c r="I344" s="30" t="s">
        <v>273</v>
      </c>
      <c r="O344" s="31" t="s">
        <v>754</v>
      </c>
      <c r="P344" s="30"/>
      <c r="R344" s="41"/>
      <c r="T344" s="37" t="s">
        <v>793</v>
      </c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1431</v>
      </c>
      <c r="F345" s="36" t="str">
        <f>IF(ISBLANK(Table2[[#This Row],[unique_id]]), "", PROPER(SUBSTITUTE(Table2[[#This Row],[unique_id]], "_", " ")))</f>
        <v>Rack Printer Plug</v>
      </c>
      <c r="G345" s="30" t="s">
        <v>1446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1432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homeassistant/switch/tasmota/rack_printer_plug/config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5" s="30" t="str">
        <f>_xlfn.CONCAT("tasmota/device/",Table2[[#This Row],[unique_id]], "/cmnd/POWER")</f>
        <v>tasmota/device/rack_printer_plug/cmnd/POWER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http://10.0.4.111/?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364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1451</v>
      </c>
      <c r="BM345" s="30" t="s">
        <v>1447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1441</v>
      </c>
      <c r="F346" s="36" t="str">
        <f>IF(ISBLANK(Table2[[#This Row],[unique_id]]), "", PROPER(SUBSTITUTE(Table2[[#This Row],[unique_id]], "_", " ")))</f>
        <v>Rack Screen Plug</v>
      </c>
      <c r="G346" s="30" t="s">
        <v>1434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1435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homeassistant/switch/tasmota/rack_screen_plug/config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6" s="30" t="str">
        <f>_xlfn.CONCAT("tasmota/device/",Table2[[#This Row],[unique_id]], "/cmnd/POWER")</f>
        <v>tasmota/device/rack_screen_plug/cmnd/POWER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http://10.0.4.109/?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1438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1443</v>
      </c>
      <c r="BM346" s="30" t="s">
        <v>1439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1415</v>
      </c>
      <c r="F347" s="36" t="str">
        <f>IF(ISBLANK(Table2[[#This Row],[unique_id]]), "", PROPER(SUBSTITUTE(Table2[[#This Row],[unique_id]], "_", " ")))</f>
        <v>Rack Backup Plug</v>
      </c>
      <c r="G347" s="30" t="s">
        <v>1433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homeassistant/switch/tasmota/rack_backup_plug/config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7" s="30" t="str">
        <f>_xlfn.CONCAT("tasmota/device/",Table2[[#This Row],[unique_id]], "/cmnd/POWER")</f>
        <v>tasmota/device/rack_backup_plug/cmnd/POWER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http://10.0.4.110/?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1437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1442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854</v>
      </c>
      <c r="F348" s="36" t="str">
        <f>IF(ISBLANK(Table2[[#This Row],[unique_id]]), "", PROPER(SUBSTITUTE(Table2[[#This Row],[unique_id]], "_", " ")))</f>
        <v>Rack Fans Plug</v>
      </c>
      <c r="G348" s="30" t="s">
        <v>570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1514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homeassistant/switch/tasmota/rack_fans_plug/config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8" s="30" t="str">
        <f>_xlfn.CONCAT("tasmota/device/",Table2[[#This Row],[unique_id]], "/cmnd/POWER")</f>
        <v>tasmota/device/rack_fans_plug/cmnd/POWER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http://10.0.4.101/?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130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571</v>
      </c>
      <c r="BM348" s="30" t="s">
        <v>1266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9" spans="1:66" ht="16" customHeight="1" x14ac:dyDescent="0.2">
      <c r="A349" s="30">
        <v>2567</v>
      </c>
      <c r="B349" s="30" t="s">
        <v>26</v>
      </c>
      <c r="C349" s="30" t="s">
        <v>774</v>
      </c>
      <c r="D349" s="30" t="s">
        <v>147</v>
      </c>
      <c r="E349" s="37" t="s">
        <v>1036</v>
      </c>
      <c r="F349" s="36" t="str">
        <f>IF(ISBLANK(Table2[[#This Row],[unique_id]]), "", PROPER(SUBSTITUTE(Table2[[#This Row],[unique_id]], "_", " ")))</f>
        <v>Template Lounge Tv Plug Proxy</v>
      </c>
      <c r="G349" s="30" t="s">
        <v>178</v>
      </c>
      <c r="H349" s="30" t="s">
        <v>508</v>
      </c>
      <c r="I349" s="30" t="s">
        <v>273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">
        <v>1033</v>
      </c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U349" s="30" t="s">
        <v>133</v>
      </c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231</v>
      </c>
      <c r="D350" s="30" t="s">
        <v>133</v>
      </c>
      <c r="E350" s="30" t="s">
        <v>1035</v>
      </c>
      <c r="F350" s="36" t="str">
        <f>IF(ISBLANK(Table2[[#This Row],[unique_id]]), "", PROPER(SUBSTITUTE(Table2[[#This Row],[unique_id]], "_", " ")))</f>
        <v>Lounge Tv Plug</v>
      </c>
      <c r="G350" s="30" t="s">
        <v>178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0" s="30"/>
      <c r="V350" s="31"/>
      <c r="W350" s="31"/>
      <c r="X350" s="31"/>
      <c r="Y350" s="31"/>
      <c r="Z350" s="31"/>
      <c r="AA350" s="31"/>
      <c r="AB350" s="30"/>
      <c r="AC350" s="30"/>
      <c r="AE350" s="30" t="s">
        <v>248</v>
      </c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J350" s="30" t="s">
        <v>943</v>
      </c>
      <c r="BK350" s="30" t="s">
        <v>1212</v>
      </c>
      <c r="BL350" s="30" t="s">
        <v>331</v>
      </c>
      <c r="BM350" s="30" t="s">
        <v>1246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774</v>
      </c>
      <c r="D351" s="54" t="s">
        <v>147</v>
      </c>
      <c r="E351" s="55" t="s">
        <v>1349</v>
      </c>
      <c r="F351" s="56" t="str">
        <f>IF(ISBLANK(Table2[[#This Row],[unique_id]]), "", PROPER(SUBSTITUTE(Table2[[#This Row],[unique_id]], "_", " ")))</f>
        <v>Broken Template Lounge Sub Plug Proxy</v>
      </c>
      <c r="G351" s="54" t="s">
        <v>758</v>
      </c>
      <c r="H351" s="54" t="s">
        <v>508</v>
      </c>
      <c r="I351" s="54" t="s">
        <v>273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">
        <v>1033</v>
      </c>
      <c r="V351" s="57"/>
      <c r="W351" s="57"/>
      <c r="X351" s="57"/>
      <c r="Y351" s="57"/>
      <c r="Z351" s="57"/>
      <c r="AA351" s="57"/>
      <c r="AG351" s="57"/>
      <c r="AH351" s="57"/>
      <c r="AR351" s="59"/>
      <c r="AT351" s="61"/>
      <c r="AU351" s="54" t="s">
        <v>133</v>
      </c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231</v>
      </c>
      <c r="D352" s="54" t="s">
        <v>133</v>
      </c>
      <c r="E352" s="54" t="s">
        <v>1350</v>
      </c>
      <c r="F352" s="56" t="str">
        <f>IF(ISBLANK(Table2[[#This Row],[unique_id]]), "", PROPER(SUBSTITUTE(Table2[[#This Row],[unique_id]], "_", " ")))</f>
        <v>Broken Lounge Sub Plug</v>
      </c>
      <c r="G352" s="54" t="s">
        <v>758</v>
      </c>
      <c r="H352" s="54" t="s">
        <v>508</v>
      </c>
      <c r="I352" s="54" t="s">
        <v>273</v>
      </c>
      <c r="M352" s="54" t="s">
        <v>255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2" s="57"/>
      <c r="W352" s="57"/>
      <c r="X352" s="57"/>
      <c r="Y352" s="57"/>
      <c r="Z352" s="57"/>
      <c r="AA352" s="57"/>
      <c r="AE352" s="54" t="s">
        <v>759</v>
      </c>
      <c r="AG352" s="57"/>
      <c r="AH352" s="57"/>
      <c r="AT352" s="58"/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J352" s="54" t="s">
        <v>942</v>
      </c>
      <c r="BK352" s="54" t="s">
        <v>1212</v>
      </c>
      <c r="BL352" s="54" t="s">
        <v>322</v>
      </c>
      <c r="BM352" s="54" t="s">
        <v>1247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1351</v>
      </c>
      <c r="F353" s="56" t="str">
        <f>IF(ISBLANK(Table2[[#This Row],[unique_id]]), "", PROPER(SUBSTITUTE(Table2[[#This Row],[unique_id]], "_", " ")))</f>
        <v>Broken Template Study Outlet Plug Proxy</v>
      </c>
      <c r="G353" s="54" t="s">
        <v>224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">
        <v>1032</v>
      </c>
      <c r="V353" s="57"/>
      <c r="W353" s="57"/>
      <c r="X353" s="57"/>
      <c r="Y353" s="57"/>
      <c r="Z353" s="57"/>
      <c r="AA353" s="57"/>
      <c r="AG353" s="57"/>
      <c r="AH353" s="57"/>
      <c r="AT353" s="58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1352</v>
      </c>
      <c r="F354" s="56" t="str">
        <f>IF(ISBLANK(Table2[[#This Row],[unique_id]]), "", PROPER(SUBSTITUTE(Table2[[#This Row],[unique_id]], "_", " ")))</f>
        <v>Broken Study Outlet Plug</v>
      </c>
      <c r="G354" s="54" t="s">
        <v>224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249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J354" s="54" t="s">
        <v>942</v>
      </c>
      <c r="BK354" s="54" t="s">
        <v>1212</v>
      </c>
      <c r="BL354" s="54" t="s">
        <v>333</v>
      </c>
      <c r="BM354" s="54" t="s">
        <v>1248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1353</v>
      </c>
      <c r="F355" s="56" t="str">
        <f>IF(ISBLANK(Table2[[#This Row],[unique_id]]), "", PROPER(SUBSTITUTE(Table2[[#This Row],[unique_id]], "_", " ")))</f>
        <v>Broken Template Office Outlet Plug Proxy</v>
      </c>
      <c r="G355" s="54" t="s">
        <v>223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1354</v>
      </c>
      <c r="F356" s="56" t="str">
        <f>IF(ISBLANK(Table2[[#This Row],[unique_id]]), "", PROPER(SUBSTITUTE(Table2[[#This Row],[unique_id]], "_", " ")))</f>
        <v>Broken Office Outlet Plug</v>
      </c>
      <c r="G356" s="54" t="s">
        <v>223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J356" s="54" t="s">
        <v>943</v>
      </c>
      <c r="BK356" s="54" t="s">
        <v>1212</v>
      </c>
      <c r="BL356" s="54" t="s">
        <v>334</v>
      </c>
      <c r="BM356" s="54" t="s">
        <v>1249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1355</v>
      </c>
      <c r="F357" s="56" t="str">
        <f>IF(ISBLANK(Table2[[#This Row],[unique_id]]), "", PROPER(SUBSTITUTE(Table2[[#This Row],[unique_id]], "_", " ")))</f>
        <v>Broken Template Kitchen Dish Washer Plug Proxy</v>
      </c>
      <c r="G357" s="54" t="s">
        <v>226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1356</v>
      </c>
      <c r="F358" s="56" t="str">
        <f>IF(ISBLANK(Table2[[#This Row],[unique_id]]), "", PROPER(SUBSTITUTE(Table2[[#This Row],[unique_id]], "_", " ")))</f>
        <v>Broken Kitchen Dish Washer Plug</v>
      </c>
      <c r="G358" s="54" t="s">
        <v>226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242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J358" s="54" t="s">
        <v>943</v>
      </c>
      <c r="BK358" s="54" t="s">
        <v>1212</v>
      </c>
      <c r="BL358" s="54" t="s">
        <v>325</v>
      </c>
      <c r="BM358" s="54" t="s">
        <v>1250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9" spans="1:66" ht="16" customHeight="1" x14ac:dyDescent="0.2">
      <c r="A359" s="30">
        <v>2577</v>
      </c>
      <c r="B359" s="30" t="s">
        <v>26</v>
      </c>
      <c r="C359" s="30" t="s">
        <v>774</v>
      </c>
      <c r="D359" s="30" t="s">
        <v>147</v>
      </c>
      <c r="E359" s="37" t="s">
        <v>930</v>
      </c>
      <c r="F359" s="36" t="str">
        <f>IF(ISBLANK(Table2[[#This Row],[unique_id]]), "", PROPER(SUBSTITUTE(Table2[[#This Row],[unique_id]], "_", " ")))</f>
        <v>Template Kitchen Dish Washer Plug Proxy</v>
      </c>
      <c r="G359" s="30" t="s">
        <v>226</v>
      </c>
      <c r="H359" s="30" t="s">
        <v>508</v>
      </c>
      <c r="I359" s="30" t="s">
        <v>273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T359" s="40"/>
      <c r="AU359" s="30" t="s">
        <v>133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231</v>
      </c>
      <c r="D360" s="30" t="s">
        <v>133</v>
      </c>
      <c r="E360" s="30" t="s">
        <v>801</v>
      </c>
      <c r="F360" s="36" t="str">
        <f>IF(ISBLANK(Table2[[#This Row],[unique_id]]), "", PROPER(SUBSTITUTE(Table2[[#This Row],[unique_id]], "_", " ")))</f>
        <v>Kitchen Dish Washer Plug</v>
      </c>
      <c r="G360" s="30" t="s">
        <v>226</v>
      </c>
      <c r="H360" s="30" t="s">
        <v>508</v>
      </c>
      <c r="I360" s="30" t="s">
        <v>273</v>
      </c>
      <c r="M360" s="30" t="s">
        <v>255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242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J360" s="30" t="s">
        <v>943</v>
      </c>
      <c r="BK360" s="30" t="s">
        <v>1212</v>
      </c>
      <c r="BL360" s="30" t="s">
        <v>337</v>
      </c>
      <c r="BM360" s="30" t="s">
        <v>1261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1357</v>
      </c>
      <c r="F361" s="56" t="str">
        <f>IF(ISBLANK(Table2[[#This Row],[unique_id]]), "", PROPER(SUBSTITUTE(Table2[[#This Row],[unique_id]], "_", " ")))</f>
        <v>Broken Template Laundry Clothes Dryer Plug Proxy</v>
      </c>
      <c r="G361" s="54" t="s">
        <v>227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1358</v>
      </c>
      <c r="F362" s="56" t="str">
        <f>IF(ISBLANK(Table2[[#This Row],[unique_id]]), "", PROPER(SUBSTITUTE(Table2[[#This Row],[unique_id]], "_", " ")))</f>
        <v>Broken Laundry Clothes Dryer Plug</v>
      </c>
      <c r="G362" s="54" t="s">
        <v>227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243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J362" s="54" t="s">
        <v>942</v>
      </c>
      <c r="BK362" s="54" t="s">
        <v>1212</v>
      </c>
      <c r="BL362" s="54" t="s">
        <v>326</v>
      </c>
      <c r="BM362" s="54" t="s">
        <v>1251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1359</v>
      </c>
      <c r="F363" s="56" t="str">
        <f>IF(ISBLANK(Table2[[#This Row],[unique_id]]), "", PROPER(SUBSTITUTE(Table2[[#This Row],[unique_id]], "_", " ")))</f>
        <v>Broken Template Laundry Washing Machine Plug Proxy</v>
      </c>
      <c r="G363" s="54" t="s">
        <v>225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1360</v>
      </c>
      <c r="F364" s="56" t="str">
        <f>IF(ISBLANK(Table2[[#This Row],[unique_id]]), "", PROPER(SUBSTITUTE(Table2[[#This Row],[unique_id]], "_", " ")))</f>
        <v>Broken Laundry Washing Machine Plug</v>
      </c>
      <c r="G364" s="54" t="s">
        <v>225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244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1212</v>
      </c>
      <c r="BL364" s="54" t="s">
        <v>327</v>
      </c>
      <c r="BM364" s="54" t="s">
        <v>1252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5" spans="1:66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1445</v>
      </c>
      <c r="F365" s="36" t="str">
        <f>IF(ISBLANK(Table2[[#This Row],[unique_id]]), "", PROPER(SUBSTITUTE(Table2[[#This Row],[unique_id]], "_", " ")))</f>
        <v>Template Kitchen Fridge Plug Proxy</v>
      </c>
      <c r="G365" s="30" t="s">
        <v>221</v>
      </c>
      <c r="H365" s="30" t="s">
        <v>508</v>
      </c>
      <c r="I365" s="30" t="s">
        <v>273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">
        <v>1033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1444</v>
      </c>
      <c r="F366" s="36" t="str">
        <f>IF(ISBLANK(Table2[[#This Row],[unique_id]]), "", PROPER(SUBSTITUTE(Table2[[#This Row],[unique_id]], "_", " ")))</f>
        <v>Kitchen Fridge Plug</v>
      </c>
      <c r="G366" s="30" t="s">
        <v>221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246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62" t="s">
        <v>1212</v>
      </c>
      <c r="BL366" s="62" t="s">
        <v>1416</v>
      </c>
      <c r="BM366" s="62" t="s">
        <v>1417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932</v>
      </c>
      <c r="F367" s="36" t="str">
        <f>IF(ISBLANK(Table2[[#This Row],[unique_id]]), "", PROPER(SUBSTITUTE(Table2[[#This Row],[unique_id]], "_", " ")))</f>
        <v>Template Deck Freezer Plug Proxy</v>
      </c>
      <c r="G367" s="30" t="s">
        <v>222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803</v>
      </c>
      <c r="F368" s="36" t="str">
        <f>IF(ISBLANK(Table2[[#This Row],[unique_id]]), "", PROPER(SUBSTITUTE(Table2[[#This Row],[unique_id]], "_", " ")))</f>
        <v>Deck Freezer Plug</v>
      </c>
      <c r="G368" s="30" t="s">
        <v>222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247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J368" s="30" t="s">
        <v>943</v>
      </c>
      <c r="BK368" s="30" t="s">
        <v>1212</v>
      </c>
      <c r="BL368" s="30" t="s">
        <v>329</v>
      </c>
      <c r="BM368" s="30" t="s">
        <v>1254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1341</v>
      </c>
      <c r="F369" s="36" t="str">
        <f>IF(ISBLANK(Table2[[#This Row],[unique_id]]), "", PROPER(SUBSTITUTE(Table2[[#This Row],[unique_id]], "_", " ")))</f>
        <v>Template Garden Sewerage Blower Plug Proxy</v>
      </c>
      <c r="G369" s="30" t="s">
        <v>1342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L369" s="36"/>
      <c r="BM369" s="36"/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1340</v>
      </c>
      <c r="F370" s="36" t="str">
        <f>IF(ISBLANK(Table2[[#This Row],[unique_id]]), "", PROPER(SUBSTITUTE(Table2[[#This Row],[unique_id]], "_", " ")))</f>
        <v>Garden Sewerage Blower Plug</v>
      </c>
      <c r="G370" s="30" t="s">
        <v>1342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241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J370" s="30" t="s">
        <v>943</v>
      </c>
      <c r="BK370" s="30" t="s">
        <v>1212</v>
      </c>
      <c r="BL370" s="36" t="s">
        <v>345</v>
      </c>
      <c r="BM370" s="36" t="s">
        <v>1233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774</v>
      </c>
      <c r="D371" s="54" t="s">
        <v>147</v>
      </c>
      <c r="E371" s="55" t="s">
        <v>1361</v>
      </c>
      <c r="F371" s="56" t="str">
        <f>IF(ISBLANK(Table2[[#This Row],[unique_id]]), "", PROPER(SUBSTITUTE(Table2[[#This Row],[unique_id]], "_", " ")))</f>
        <v>Broken Template Study Battery Charger Plug Proxy</v>
      </c>
      <c r="G371" s="54" t="s">
        <v>229</v>
      </c>
      <c r="H371" s="54" t="s">
        <v>508</v>
      </c>
      <c r="I371" s="54" t="s">
        <v>273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">
        <v>1032</v>
      </c>
      <c r="V371" s="57"/>
      <c r="W371" s="57"/>
      <c r="X371" s="57"/>
      <c r="Y371" s="57"/>
      <c r="Z371" s="57"/>
      <c r="AA371" s="57"/>
      <c r="AG371" s="57"/>
      <c r="AH371" s="57"/>
      <c r="AT371" s="58"/>
      <c r="AU371" s="54" t="s">
        <v>133</v>
      </c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231</v>
      </c>
      <c r="D372" s="54" t="s">
        <v>133</v>
      </c>
      <c r="E372" s="54" t="s">
        <v>1362</v>
      </c>
      <c r="F372" s="56" t="str">
        <f>IF(ISBLANK(Table2[[#This Row],[unique_id]]), "", PROPER(SUBSTITUTE(Table2[[#This Row],[unique_id]], "_", " ")))</f>
        <v>Broken Study Battery Charger Plug</v>
      </c>
      <c r="G372" s="54" t="s">
        <v>229</v>
      </c>
      <c r="H372" s="54" t="s">
        <v>508</v>
      </c>
      <c r="I372" s="54" t="s">
        <v>273</v>
      </c>
      <c r="M372" s="54" t="s">
        <v>255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7"/>
      <c r="W372" s="57"/>
      <c r="X372" s="57"/>
      <c r="Y372" s="57"/>
      <c r="Z372" s="57"/>
      <c r="AA372" s="57"/>
      <c r="AE372" s="54" t="s">
        <v>253</v>
      </c>
      <c r="AG372" s="57"/>
      <c r="AH372" s="57"/>
      <c r="AT372" s="58"/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J372" s="54" t="s">
        <v>942</v>
      </c>
      <c r="BK372" s="54" t="s">
        <v>1212</v>
      </c>
      <c r="BL372" s="54" t="s">
        <v>323</v>
      </c>
      <c r="BM372" s="54" t="s">
        <v>1255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1363</v>
      </c>
      <c r="F373" s="56" t="str">
        <f>IF(ISBLANK(Table2[[#This Row],[unique_id]]), "", PROPER(SUBSTITUTE(Table2[[#This Row],[unique_id]], "_", " ")))</f>
        <v>Broken Template Laundry Vacuum Charger Plug Proxy</v>
      </c>
      <c r="G373" s="54" t="s">
        <v>228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1364</v>
      </c>
      <c r="F374" s="56" t="str">
        <f>IF(ISBLANK(Table2[[#This Row],[unique_id]]), "", PROPER(SUBSTITUTE(Table2[[#This Row],[unique_id]], "_", " ")))</f>
        <v>Broken Laundry Vacuum Charger Plug</v>
      </c>
      <c r="G374" s="54" t="s">
        <v>228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J374" s="54" t="s">
        <v>943</v>
      </c>
      <c r="BK374" s="54" t="s">
        <v>1212</v>
      </c>
      <c r="BL374" s="54" t="s">
        <v>324</v>
      </c>
      <c r="BM374" s="54" t="s">
        <v>1256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1365</v>
      </c>
      <c r="F375" s="56" t="str">
        <f>IF(ISBLANK(Table2[[#This Row],[unique_id]]), "", PROPER(SUBSTITUTE(Table2[[#This Row],[unique_id]], "_", " ")))</f>
        <v>Broken Template Ada Tablet Plug Proxy</v>
      </c>
      <c r="G375" s="54" t="s">
        <v>787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R375" s="59"/>
      <c r="AT375" s="61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1366</v>
      </c>
      <c r="F376" s="56" t="str">
        <f>IF(ISBLANK(Table2[[#This Row],[unique_id]]), "", PROPER(SUBSTITUTE(Table2[[#This Row],[unique_id]], "_", " ")))</f>
        <v>Broken Ada Tablet Plug</v>
      </c>
      <c r="G376" s="54" t="s">
        <v>787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788</v>
      </c>
      <c r="AG376" s="57"/>
      <c r="AH376" s="57"/>
      <c r="AR376" s="59"/>
      <c r="AT376" s="61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J376" s="54" t="s">
        <v>942</v>
      </c>
      <c r="BK376" s="54" t="s">
        <v>1212</v>
      </c>
      <c r="BL376" s="54" t="s">
        <v>766</v>
      </c>
      <c r="BM376" s="54" t="s">
        <v>1257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593</v>
      </c>
      <c r="F377" s="36" t="str">
        <f>IF(ISBLANK(Table2[[#This Row],[unique_id]]), "", PROPER(SUBSTITUTE(Table2[[#This Row],[unique_id]], "_", " ")))</f>
        <v>Deck Fans Outlet</v>
      </c>
      <c r="G377" s="30" t="s">
        <v>596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Deck</v>
      </c>
      <c r="BA377" s="30" t="str">
        <f>IF(ISBLANK(Table2[[#This Row],[device_model]]), "", Table2[[#This Row],[device_suggested_area]])</f>
        <v>Deck</v>
      </c>
      <c r="BB377" s="37" t="s">
        <v>980</v>
      </c>
      <c r="BC377" s="37" t="s">
        <v>598</v>
      </c>
      <c r="BD377" s="30" t="s">
        <v>359</v>
      </c>
      <c r="BF377" s="37" t="s">
        <v>599</v>
      </c>
      <c r="BG377" s="30" t="s">
        <v>339</v>
      </c>
      <c r="BL377" s="30" t="s">
        <v>600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Kitchen Fan Outlet</v>
      </c>
      <c r="G378" s="30" t="s">
        <v>595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Kitchen</v>
      </c>
      <c r="BA378" s="30" t="str">
        <f>IF(ISBLANK(Table2[[#This Row],[device_model]]), "", Table2[[#This Row],[device_suggested_area]])</f>
        <v>Kitchen</v>
      </c>
      <c r="BB378" s="37" t="s">
        <v>981</v>
      </c>
      <c r="BC378" s="37" t="s">
        <v>598</v>
      </c>
      <c r="BD378" s="30" t="s">
        <v>359</v>
      </c>
      <c r="BF378" s="37" t="s">
        <v>599</v>
      </c>
      <c r="BG378" s="30" t="s">
        <v>204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1461</v>
      </c>
      <c r="F379" s="36" t="str">
        <f>IF(ISBLANK(Table2[[#This Row],[unique_id]]), "", PROPER(SUBSTITUTE(Table2[[#This Row],[unique_id]], "_", " ")))</f>
        <v>Ada Desk Outlet</v>
      </c>
      <c r="G379" s="30" t="s">
        <v>1460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Ada</v>
      </c>
      <c r="BA379" s="30" t="str">
        <f>IF(ISBLANK(Table2[[#This Row],[device_model]]), "", Table2[[#This Row],[device_suggested_area]])</f>
        <v>Ada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129</v>
      </c>
      <c r="BL379" s="30" t="s">
        <v>1462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1449</v>
      </c>
      <c r="F380" s="36" t="str">
        <f>IF(ISBLANK(Table2[[#This Row],[unique_id]]), "", PROPER(SUBSTITUTE(Table2[[#This Row],[unique_id]], "_", " ")))</f>
        <v>Edwin Desk Outlet</v>
      </c>
      <c r="G380" s="30" t="s">
        <v>1448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Edwin</v>
      </c>
      <c r="BA380" s="30" t="str">
        <f>IF(ISBLANK(Table2[[#This Row],[device_model]]), "", Table2[[#This Row],[device_suggested_area]])</f>
        <v>Edwin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126</v>
      </c>
      <c r="BL380" s="30" t="s">
        <v>597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1390</v>
      </c>
      <c r="F381" s="56" t="str">
        <f>IF(ISBLANK(Table2[[#This Row],[unique_id]]), "", PROPER(SUBSTITUTE(Table2[[#This Row],[unique_id]], "_", " ")))</f>
        <v>Broken Template Server May Plug Proxy</v>
      </c>
      <c r="G381" s="54" t="s">
        <v>1391</v>
      </c>
      <c r="H381" s="54" t="s">
        <v>508</v>
      </c>
      <c r="I381" s="54" t="s">
        <v>273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1392</v>
      </c>
      <c r="F382" s="56" t="str">
        <f>IF(ISBLANK(Table2[[#This Row],[unique_id]]), "", PROPER(SUBSTITUTE(Table2[[#This Row],[unique_id]], "_", " ")))</f>
        <v>Broken Server May Plug</v>
      </c>
      <c r="G382" s="54" t="s">
        <v>1391</v>
      </c>
      <c r="H382" s="54" t="s">
        <v>508</v>
      </c>
      <c r="I382" s="54" t="s">
        <v>273</v>
      </c>
      <c r="M382" s="54" t="s">
        <v>255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250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J382" s="54" t="s">
        <v>943</v>
      </c>
      <c r="BK382" s="54" t="s">
        <v>1212</v>
      </c>
      <c r="BL382" s="54" t="s">
        <v>770</v>
      </c>
      <c r="BM382" s="54" t="s">
        <v>1258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1367</v>
      </c>
      <c r="F383" s="56" t="str">
        <f>IF(ISBLANK(Table2[[#This Row],[unique_id]]), "", PROPER(SUBSTITUTE(Table2[[#This Row],[unique_id]], "_", " ")))</f>
        <v>Broken Template Server Meg Plug Proxy</v>
      </c>
      <c r="G383" s="59" t="s">
        <v>771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1368</v>
      </c>
      <c r="F384" s="56" t="str">
        <f>IF(ISBLANK(Table2[[#This Row],[unique_id]]), "", PROPER(SUBSTITUTE(Table2[[#This Row],[unique_id]], "_", " ")))</f>
        <v>Broken Server Meg Plug</v>
      </c>
      <c r="G384" s="59" t="s">
        <v>771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1212</v>
      </c>
      <c r="BL384" s="54" t="s">
        <v>769</v>
      </c>
      <c r="BM384" s="54" t="s">
        <v>1259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5" spans="1:66" ht="16" customHeight="1" x14ac:dyDescent="0.2">
      <c r="A385" s="30">
        <v>2603</v>
      </c>
      <c r="B385" s="30" t="s">
        <v>26</v>
      </c>
      <c r="C385" s="30" t="s">
        <v>774</v>
      </c>
      <c r="D385" s="30" t="s">
        <v>147</v>
      </c>
      <c r="E385" s="37" t="s">
        <v>1398</v>
      </c>
      <c r="F385" s="36" t="str">
        <f>IF(ISBLANK(Table2[[#This Row],[unique_id]]), "", PROPER(SUBSTITUTE(Table2[[#This Row],[unique_id]], "_", " ")))</f>
        <v>Template Server Jen Plug Proxy</v>
      </c>
      <c r="G385" s="30" t="s">
        <v>1402</v>
      </c>
      <c r="H385" s="30" t="s">
        <v>508</v>
      </c>
      <c r="I385" s="30" t="s">
        <v>273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5" s="30"/>
      <c r="V385" s="31"/>
      <c r="W385" s="31"/>
      <c r="X385" s="31"/>
      <c r="Y385" s="31"/>
      <c r="Z385" s="31"/>
      <c r="AA385" s="31"/>
      <c r="AB385" s="30"/>
      <c r="AC385" s="30"/>
      <c r="AG385" s="31"/>
      <c r="AH385" s="31"/>
      <c r="AT385" s="40"/>
      <c r="AU385" s="30" t="s">
        <v>133</v>
      </c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ht="16" customHeight="1" x14ac:dyDescent="0.2">
      <c r="A386" s="30">
        <v>2604</v>
      </c>
      <c r="B386" s="30" t="s">
        <v>26</v>
      </c>
      <c r="C386" s="30" t="s">
        <v>231</v>
      </c>
      <c r="D386" s="30" t="s">
        <v>133</v>
      </c>
      <c r="E386" s="30" t="s">
        <v>1399</v>
      </c>
      <c r="F386" s="36" t="str">
        <f>IF(ISBLANK(Table2[[#This Row],[unique_id]]), "", PROPER(SUBSTITUTE(Table2[[#This Row],[unique_id]], "_", " ")))</f>
        <v>Server Jen Plug</v>
      </c>
      <c r="G386" s="30" t="s">
        <v>1402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6" s="30"/>
      <c r="V386" s="31"/>
      <c r="W386" s="31"/>
      <c r="X386" s="31"/>
      <c r="Y386" s="31"/>
      <c r="Z386" s="31"/>
      <c r="AA386" s="31"/>
      <c r="AB386" s="30"/>
      <c r="AC386" s="30"/>
      <c r="AE386" s="30" t="s">
        <v>250</v>
      </c>
      <c r="AG386" s="31"/>
      <c r="AH386" s="31"/>
      <c r="AT386" s="40"/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J386" s="30" t="s">
        <v>943</v>
      </c>
      <c r="BK386" s="30" t="s">
        <v>1212</v>
      </c>
      <c r="BL386" s="30" t="s">
        <v>330</v>
      </c>
      <c r="BM386" s="30" t="s">
        <v>1260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933</v>
      </c>
      <c r="F387" s="36" t="str">
        <f>IF(ISBLANK(Table2[[#This Row],[unique_id]]), "", PROPER(SUBSTITUTE(Table2[[#This Row],[unique_id]], "_", " ")))</f>
        <v>Template Rack Outlet Plug Proxy</v>
      </c>
      <c r="G387" s="30" t="s">
        <v>220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">
        <v>1034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133</v>
      </c>
      <c r="E388" s="30" t="s">
        <v>804</v>
      </c>
      <c r="F388" s="36" t="str">
        <f>IF(ISBLANK(Table2[[#This Row],[unique_id]]), "", PROPER(SUBSTITUTE(Table2[[#This Row],[unique_id]], "_", " ")))</f>
        <v>Rack Outlet Plug</v>
      </c>
      <c r="G388" s="30" t="s">
        <v>220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8" s="30"/>
      <c r="V388" s="31"/>
      <c r="W388" s="31"/>
      <c r="X388" s="31"/>
      <c r="Y388" s="31"/>
      <c r="Z388" s="31"/>
      <c r="AA388" s="42" t="s">
        <v>1073</v>
      </c>
      <c r="AB388" s="30"/>
      <c r="AC388" s="30"/>
      <c r="AE388" s="30" t="s">
        <v>250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homeassistant/switch/tasmota/rack_outlet_plug/config</v>
      </c>
      <c r="AK38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8" s="30" t="str">
        <f>_xlfn.CONCAT("tasmota/device/",Table2[[#This Row],[unique_id]], "/cmnd/POWER")</f>
        <v>tasmota/device/rack_outlet_plug/cmnd/POWER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936</v>
      </c>
      <c r="AS388" s="30">
        <v>1</v>
      </c>
      <c r="AT388" s="34" t="str">
        <f>HYPERLINK(_xlfn.CONCAT("http://", Table2[[#This Row],[connection_ip]], "/?"))</f>
        <v>http://10.0.4.102/?</v>
      </c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K388" s="30" t="s">
        <v>1212</v>
      </c>
      <c r="BL388" s="30" t="s">
        <v>880</v>
      </c>
      <c r="BM388" s="30" t="s">
        <v>1262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934</v>
      </c>
      <c r="F389" s="36" t="str">
        <f>IF(ISBLANK(Table2[[#This Row],[unique_id]]), "", PROPER(SUBSTITUTE(Table2[[#This Row],[unique_id]], "_", " ")))</f>
        <v>Rack Outlet Plug Energy Power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31</v>
      </c>
      <c r="AC389" s="30" t="s">
        <v>309</v>
      </c>
      <c r="AD389" s="30" t="s">
        <v>864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homeassistant/sensor/tasmota/rack_outlet_plug_energy_power/config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1069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Total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76</v>
      </c>
      <c r="AC390" s="30" t="s">
        <v>310</v>
      </c>
      <c r="AD390" s="30" t="s">
        <v>865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homeassistant/sensor/tasmota/rack_outlet_plug_energy_total/config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1059</v>
      </c>
      <c r="F391" s="36" t="str">
        <f>IF(ISBLANK(Table2[[#This Row],[unique_id]]), "", PROPER(SUBSTITUTE(Table2[[#This Row],[unique_id]], "_", " ")))</f>
        <v>Template Ceiling Network Switch Plug Proxy</v>
      </c>
      <c r="G391" s="30" t="s">
        <v>1382</v>
      </c>
      <c r="H391" s="30" t="s">
        <v>508</v>
      </c>
      <c r="I391" s="30" t="s">
        <v>273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">
        <v>1034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133</v>
      </c>
      <c r="E392" s="30" t="s">
        <v>1060</v>
      </c>
      <c r="F392" s="36" t="str">
        <f>IF(ISBLANK(Table2[[#This Row],[unique_id]]), "", PROPER(SUBSTITUTE(Table2[[#This Row],[unique_id]], "_", " ")))</f>
        <v>Ceiling Network Switch Plug</v>
      </c>
      <c r="G392" s="30" t="s">
        <v>1382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2" s="30"/>
      <c r="V392" s="31"/>
      <c r="W392" s="31"/>
      <c r="X392" s="31"/>
      <c r="Y392" s="31"/>
      <c r="Z392" s="31"/>
      <c r="AA392" s="42" t="s">
        <v>1073</v>
      </c>
      <c r="AB392" s="30"/>
      <c r="AC392" s="30"/>
      <c r="AE392" s="30" t="s">
        <v>251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homeassistant/switch/tasmota/ceiling_network_switch_plug/config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2" s="30" t="str">
        <f>_xlfn.CONCAT("tasmota/device/",Table2[[#This Row],[unique_id]], "/cmnd/POWER")</f>
        <v>tasmota/device/ceiling_network_switch_plug/cmnd/POWER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936</v>
      </c>
      <c r="AS392" s="30">
        <v>1</v>
      </c>
      <c r="AT392" s="34" t="str">
        <f>HYPERLINK(_xlfn.CONCAT("http://", Table2[[#This Row],[connection_ip]], "/?"))</f>
        <v>http://10.0.4.105/?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K392" s="30" t="s">
        <v>1212</v>
      </c>
      <c r="BL392" s="41" t="s">
        <v>945</v>
      </c>
      <c r="BM392" s="30" t="s">
        <v>1264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1061</v>
      </c>
      <c r="F393" s="36" t="str">
        <f>IF(ISBLANK(Table2[[#This Row],[unique_id]]), "", PROPER(SUBSTITUTE(Table2[[#This Row],[unique_id]], "_", " ")))</f>
        <v>Ceiling Network Switch Plug Energy Power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309</v>
      </c>
      <c r="AD393" s="30" t="s">
        <v>864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1069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Total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310</v>
      </c>
      <c r="AD394" s="30" t="s">
        <v>865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774</v>
      </c>
      <c r="D395" s="54" t="s">
        <v>147</v>
      </c>
      <c r="E395" s="55" t="s">
        <v>1369</v>
      </c>
      <c r="F395" s="56" t="str">
        <f>IF(ISBLANK(Table2[[#This Row],[unique_id]]), "", PROPER(SUBSTITUTE(Table2[[#This Row],[unique_id]], "_", " ")))</f>
        <v>Broken Template Rack Internet Modem Plug Proxy</v>
      </c>
      <c r="G395" s="54" t="s">
        <v>219</v>
      </c>
      <c r="H395" s="54" t="s">
        <v>508</v>
      </c>
      <c r="I395" s="54" t="s">
        <v>273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">
        <v>1032</v>
      </c>
      <c r="V395" s="57"/>
      <c r="W395" s="57"/>
      <c r="X395" s="57"/>
      <c r="Y395" s="57"/>
      <c r="Z395" s="57"/>
      <c r="AA395" s="57"/>
      <c r="AG395" s="57"/>
      <c r="AH395" s="57"/>
      <c r="AT395" s="58"/>
      <c r="AU395" s="54" t="s">
        <v>133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231</v>
      </c>
      <c r="D396" s="54" t="s">
        <v>133</v>
      </c>
      <c r="E396" s="54" t="s">
        <v>1370</v>
      </c>
      <c r="F396" s="56" t="str">
        <f>IF(ISBLANK(Table2[[#This Row],[unique_id]]), "", PROPER(SUBSTITUTE(Table2[[#This Row],[unique_id]], "_", " ")))</f>
        <v>Broken Rack Internet Modem Plug</v>
      </c>
      <c r="G396" s="54" t="s">
        <v>219</v>
      </c>
      <c r="H396" s="54" t="s">
        <v>508</v>
      </c>
      <c r="I396" s="54" t="s">
        <v>273</v>
      </c>
      <c r="M396" s="54" t="s">
        <v>255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T396" s="58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J396" s="54" t="s">
        <v>942</v>
      </c>
      <c r="BK396" s="54" t="s">
        <v>1212</v>
      </c>
      <c r="BL396" s="54" t="s">
        <v>336</v>
      </c>
      <c r="BM396" s="54" t="s">
        <v>1265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780</v>
      </c>
      <c r="F397" s="36" t="str">
        <f>IF(ISBLANK(Table2[[#This Row],[unique_id]]), "", PROPER(SUBSTITUTE(Table2[[#This Row],[unique_id]], "_", " ")))</f>
        <v>Garden Repeater Linkquality</v>
      </c>
      <c r="G397" s="30" t="s">
        <v>680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Garden</v>
      </c>
      <c r="BA397" s="30" t="str">
        <f>IF(ISBLANK(Table2[[#This Row],[device_model]]), "", Table2[[#This Row],[device_suggested_area]])</f>
        <v>Garden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558</v>
      </c>
      <c r="BL397" s="30" t="s">
        <v>679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Landing Repeater Linkquality</v>
      </c>
      <c r="G398" s="30" t="s">
        <v>682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Landing</v>
      </c>
      <c r="BA398" s="30" t="str">
        <f>IF(ISBLANK(Table2[[#This Row],[device_model]]), "", Table2[[#This Row],[device_suggested_area]])</f>
        <v>Landing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541</v>
      </c>
      <c r="BL398" s="30" t="s">
        <v>684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Driveway Repeater Linkquality</v>
      </c>
      <c r="G399" s="30" t="s">
        <v>681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Driveway</v>
      </c>
      <c r="BA399" s="30" t="str">
        <f>IF(ISBLANK(Table2[[#This Row],[device_model]]), "", Table2[[#This Row],[device_suggested_area]])</f>
        <v>Driveway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683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0" t="s">
        <v>852</v>
      </c>
      <c r="F400" s="36" t="str">
        <f>IF(ISBLANK(Table2[[#This Row],[unique_id]]), "", PROPER(SUBSTITUTE(Table2[[#This Row],[unique_id]], "_", " ")))</f>
        <v>Lighting Reset Adaptive Lighting All</v>
      </c>
      <c r="G400" s="30" t="s">
        <v>756</v>
      </c>
      <c r="H400" s="30" t="s">
        <v>526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4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164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513</v>
      </c>
      <c r="F401" s="36" t="str">
        <f>IF(ISBLANK(Table2[[#This Row],[unique_id]]), "", PROPER(SUBSTITUTE(Table2[[#This Row],[unique_id]], "_", " ")))</f>
        <v>Lighting Reset Adaptive Lighting Ada Lamp</v>
      </c>
      <c r="G401" s="36" t="s">
        <v>193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32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129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507</v>
      </c>
      <c r="F402" s="36" t="str">
        <f>IF(ISBLANK(Table2[[#This Row],[unique_id]]), "", PROPER(SUBSTITUTE(Table2[[#This Row],[unique_id]], "_", " ")))</f>
        <v>Lighting Reset Adaptive Lighting Edwin Lamp</v>
      </c>
      <c r="G402" s="36" t="s">
        <v>203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514</v>
      </c>
      <c r="F403" s="36" t="str">
        <f>IF(ISBLANK(Table2[[#This Row],[unique_id]]), "", PROPER(SUBSTITUTE(Table2[[#This Row],[unique_id]], "_", " ")))</f>
        <v>Lighting Reset Adaptive Lighting Edwin Night Light</v>
      </c>
      <c r="G403" s="36" t="s">
        <v>390</v>
      </c>
      <c r="H403" s="30" t="s">
        <v>526</v>
      </c>
      <c r="I403" s="30" t="s">
        <v>273</v>
      </c>
      <c r="J403" s="30" t="s">
        <v>525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Hallway Main</v>
      </c>
      <c r="G404" s="36" t="s">
        <v>198</v>
      </c>
      <c r="H404" s="30" t="s">
        <v>526</v>
      </c>
      <c r="I404" s="30" t="s">
        <v>273</v>
      </c>
      <c r="J404" s="30" t="s">
        <v>533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836</v>
      </c>
      <c r="F405" s="36" t="str">
        <f>IF(ISBLANK(Table2[[#This Row],[unique_id]]), "", PROPER(SUBSTITUTE(Table2[[#This Row],[unique_id]], "_", " ")))</f>
        <v>Lighting Reset Adaptive Lighting Hallway Sconces</v>
      </c>
      <c r="G405" s="36" t="s">
        <v>821</v>
      </c>
      <c r="H405" s="30" t="s">
        <v>526</v>
      </c>
      <c r="I405" s="30" t="s">
        <v>273</v>
      </c>
      <c r="J405" s="30" t="s">
        <v>837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516</v>
      </c>
      <c r="F406" s="36" t="str">
        <f>IF(ISBLANK(Table2[[#This Row],[unique_id]]), "", PROPER(SUBSTITUTE(Table2[[#This Row],[unique_id]], "_", " ")))</f>
        <v>Lighting Reset Adaptive Lighting Dining Main</v>
      </c>
      <c r="G406" s="36" t="s">
        <v>137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191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Lounge Main</v>
      </c>
      <c r="G407" s="36" t="s">
        <v>205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192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568</v>
      </c>
      <c r="F408" s="36" t="str">
        <f>IF(ISBLANK(Table2[[#This Row],[unique_id]]), "", PROPER(SUBSTITUTE(Table2[[#This Row],[unique_id]], "_", " ")))</f>
        <v>Lighting Reset Adaptive Lighting Lounge Lamp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1454</v>
      </c>
      <c r="F409" s="36" t="str">
        <f>IF(ISBLANK(Table2[[#This Row],[unique_id]]), "", PROPER(SUBSTITUTE(Table2[[#This Row],[unique_id]], "_", " ")))</f>
        <v>Lighting Reset Adaptive Lighting Lounge Reading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518</v>
      </c>
      <c r="F410" s="36" t="str">
        <f>IF(ISBLANK(Table2[[#This Row],[unique_id]]), "", PROPER(SUBSTITUTE(Table2[[#This Row],[unique_id]], "_", " ")))</f>
        <v>Lighting Reset Adaptive Lighting Parents Main</v>
      </c>
      <c r="G410" s="36" t="s">
        <v>194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838</v>
      </c>
      <c r="F411" s="36" t="str">
        <f>IF(ISBLANK(Table2[[#This Row],[unique_id]]), "", PROPER(SUBSTITUTE(Table2[[#This Row],[unique_id]], "_", " ")))</f>
        <v>Lighting Reset Adaptive Lighting Parents Jane Bedside</v>
      </c>
      <c r="G411" s="36" t="s">
        <v>830</v>
      </c>
      <c r="H411" s="30" t="s">
        <v>526</v>
      </c>
      <c r="I411" s="30" t="s">
        <v>273</v>
      </c>
      <c r="J411" s="30" t="s">
        <v>840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Graham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842</v>
      </c>
      <c r="F413" s="36" t="str">
        <f>IF(ISBLANK(Table2[[#This Row],[unique_id]]), "", PROPER(SUBSTITUTE(Table2[[#This Row],[unique_id]], "_", " ")))</f>
        <v>Lighting Reset Adaptive Lighting Study Lamp</v>
      </c>
      <c r="G413" s="36" t="s">
        <v>708</v>
      </c>
      <c r="H413" s="30" t="s">
        <v>526</v>
      </c>
      <c r="I413" s="30" t="s">
        <v>273</v>
      </c>
      <c r="J413" s="30" t="s">
        <v>512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338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519</v>
      </c>
      <c r="F414" s="36" t="str">
        <f>IF(ISBLANK(Table2[[#This Row],[unique_id]]), "", PROPER(SUBSTITUTE(Table2[[#This Row],[unique_id]], "_", " ")))</f>
        <v>Lighting Reset Adaptive Lighting Kitchen Main</v>
      </c>
      <c r="G414" s="36" t="s">
        <v>200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Laundry Main</v>
      </c>
      <c r="G415" s="36" t="s">
        <v>202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211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Pantry Main</v>
      </c>
      <c r="G416" s="36" t="s">
        <v>201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209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Office Main</v>
      </c>
      <c r="G417" s="36" t="s">
        <v>197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522</v>
      </c>
      <c r="F418" s="36" t="str">
        <f>IF(ISBLANK(Table2[[#This Row],[unique_id]]), "", PROPER(SUBSTITUTE(Table2[[#This Row],[unique_id]], "_", " ")))</f>
        <v>Lighting Reset Adaptive Lighting Bathroom Main</v>
      </c>
      <c r="G418" s="36" t="s">
        <v>196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843</v>
      </c>
      <c r="F419" s="36" t="str">
        <f>IF(ISBLANK(Table2[[#This Row],[unique_id]]), "", PROPER(SUBSTITUTE(Table2[[#This Row],[unique_id]], "_", " ")))</f>
        <v>Lighting Reset Adaptive Lighting Bathroom Sconces</v>
      </c>
      <c r="G419" s="36" t="s">
        <v>827</v>
      </c>
      <c r="H419" s="30" t="s">
        <v>526</v>
      </c>
      <c r="I419" s="30" t="s">
        <v>273</v>
      </c>
      <c r="J419" s="30" t="s">
        <v>837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523</v>
      </c>
      <c r="F420" s="36" t="str">
        <f>IF(ISBLANK(Table2[[#This Row],[unique_id]]), "", PROPER(SUBSTITUTE(Table2[[#This Row],[unique_id]], "_", " ")))</f>
        <v>Lighting Reset Adaptive Lighting Ensuite Main</v>
      </c>
      <c r="G420" s="36" t="s">
        <v>195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844</v>
      </c>
      <c r="F421" s="36" t="str">
        <f>IF(ISBLANK(Table2[[#This Row],[unique_id]]), "", PROPER(SUBSTITUTE(Table2[[#This Row],[unique_id]], "_", " ")))</f>
        <v>Lighting Reset Adaptive Lighting Ensuite Sconces</v>
      </c>
      <c r="G421" s="36" t="s">
        <v>810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524</v>
      </c>
      <c r="F422" s="36" t="str">
        <f>IF(ISBLANK(Table2[[#This Row],[unique_id]]), "", PROPER(SUBSTITUTE(Table2[[#This Row],[unique_id]], "_", " ")))</f>
        <v>Lighting Reset Adaptive Lighting Wardrobe Main</v>
      </c>
      <c r="G422" s="36" t="s">
        <v>199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477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2650</v>
      </c>
      <c r="B423" s="30" t="s">
        <v>26</v>
      </c>
      <c r="C423" s="30" t="s">
        <v>233</v>
      </c>
      <c r="D423" s="30" t="s">
        <v>144</v>
      </c>
      <c r="E423" s="30" t="s">
        <v>145</v>
      </c>
      <c r="F423" s="36" t="str">
        <f>IF(ISBLANK(Table2[[#This Row],[unique_id]]), "", PROPER(SUBSTITUTE(Table2[[#This Row],[unique_id]], "_", " ")))</f>
        <v>Ada Home</v>
      </c>
      <c r="G423" s="30" t="s">
        <v>183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Ada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Ada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129</v>
      </c>
      <c r="BK423" s="30" t="s">
        <v>1211</v>
      </c>
      <c r="BL423" s="41" t="s">
        <v>402</v>
      </c>
      <c r="BM423" s="39" t="s">
        <v>1213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4" spans="1:66" ht="16" customHeight="1" x14ac:dyDescent="0.2">
      <c r="A424" s="30">
        <v>2651</v>
      </c>
      <c r="B424" s="30" t="s">
        <v>26</v>
      </c>
      <c r="C424" s="30" t="s">
        <v>233</v>
      </c>
      <c r="D424" s="30" t="s">
        <v>144</v>
      </c>
      <c r="E424" s="30" t="s">
        <v>256</v>
      </c>
      <c r="F424" s="36" t="str">
        <f>IF(ISBLANK(Table2[[#This Row],[unique_id]]), "", PROPER(SUBSTITUTE(Table2[[#This Row],[unique_id]], "_", " ")))</f>
        <v>Edwin Home</v>
      </c>
      <c r="G424" s="30" t="s">
        <v>257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Edwin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Edwin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126</v>
      </c>
      <c r="BK424" s="30" t="s">
        <v>1211</v>
      </c>
      <c r="BL424" s="41" t="s">
        <v>401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5" spans="1:66" ht="16" customHeight="1" x14ac:dyDescent="0.2">
      <c r="A425" s="30">
        <v>2652</v>
      </c>
      <c r="B425" s="30" t="s">
        <v>26</v>
      </c>
      <c r="C425" s="30" t="s">
        <v>233</v>
      </c>
      <c r="D425" s="30" t="s">
        <v>144</v>
      </c>
      <c r="E425" s="30" t="s">
        <v>264</v>
      </c>
      <c r="F425" s="36" t="str">
        <f>IF(ISBLANK(Table2[[#This Row],[unique_id]]), "", PROPER(SUBSTITUTE(Table2[[#This Row],[unique_id]], "_", " ")))</f>
        <v>Parents Home</v>
      </c>
      <c r="G425" s="30" t="s">
        <v>258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Parents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Parents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190</v>
      </c>
      <c r="BK425" s="30" t="s">
        <v>1211</v>
      </c>
      <c r="BL425" s="41" t="s">
        <v>618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6" spans="1:66" ht="16" customHeight="1" x14ac:dyDescent="0.2">
      <c r="A426" s="30">
        <v>2653</v>
      </c>
      <c r="B426" s="30" t="s">
        <v>26</v>
      </c>
      <c r="C426" s="30" t="s">
        <v>233</v>
      </c>
      <c r="D426" s="30" t="s">
        <v>144</v>
      </c>
      <c r="E426" s="30" t="s">
        <v>260</v>
      </c>
      <c r="F426" s="36" t="str">
        <f>IF(ISBLANK(Table2[[#This Row],[unique_id]]), "", PROPER(SUBSTITUTE(Table2[[#This Row],[unique_id]], "_", " ")))</f>
        <v>Kitchen Home</v>
      </c>
      <c r="G426" s="30" t="s">
        <v>259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Kitchen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Kitchen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204</v>
      </c>
      <c r="BK426" s="30" t="s">
        <v>1211</v>
      </c>
      <c r="BL426" s="41" t="s">
        <v>696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7" spans="1:66" ht="16" customHeight="1" x14ac:dyDescent="0.2">
      <c r="A427" s="30">
        <v>2654</v>
      </c>
      <c r="B427" s="30" t="s">
        <v>26</v>
      </c>
      <c r="C427" s="30" t="s">
        <v>233</v>
      </c>
      <c r="D427" s="30" t="s">
        <v>144</v>
      </c>
      <c r="E427" s="30" t="s">
        <v>589</v>
      </c>
      <c r="F427" s="36" t="str">
        <f>IF(ISBLANK(Table2[[#This Row],[unique_id]]), "", PROPER(SUBSTITUTE(Table2[[#This Row],[unique_id]], "_", " ")))</f>
        <v>Office Home</v>
      </c>
      <c r="G427" s="30" t="s">
        <v>590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Office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Office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210</v>
      </c>
      <c r="BK427" s="30" t="s">
        <v>1211</v>
      </c>
      <c r="BL427" s="41" t="s">
        <v>399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8" spans="1:66" ht="16" customHeight="1" x14ac:dyDescent="0.2">
      <c r="A428" s="30">
        <v>2655</v>
      </c>
      <c r="B428" s="30" t="s">
        <v>26</v>
      </c>
      <c r="C428" s="30" t="s">
        <v>233</v>
      </c>
      <c r="D428" s="30" t="s">
        <v>144</v>
      </c>
      <c r="E428" s="30" t="s">
        <v>621</v>
      </c>
      <c r="F428" s="36" t="str">
        <f>IF(ISBLANK(Table2[[#This Row],[unique_id]]), "", PROPER(SUBSTITUTE(Table2[[#This Row],[unique_id]], "_", " ")))</f>
        <v>Lounge Home</v>
      </c>
      <c r="G428" s="30" t="s">
        <v>622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Lounge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192</v>
      </c>
      <c r="BK428" s="30" t="s">
        <v>1211</v>
      </c>
      <c r="BL428" s="41" t="s">
        <v>400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9" spans="1:66" ht="16" customHeight="1" x14ac:dyDescent="0.2">
      <c r="A429" s="30">
        <v>2656</v>
      </c>
      <c r="B429" s="30" t="s">
        <v>26</v>
      </c>
      <c r="C429" s="30" t="s">
        <v>233</v>
      </c>
      <c r="D429" s="30" t="s">
        <v>144</v>
      </c>
      <c r="E429" s="30" t="s">
        <v>786</v>
      </c>
      <c r="F429" s="36" t="str">
        <f>IF(ISBLANK(Table2[[#This Row],[unique_id]]), "", PROPER(SUBSTITUTE(Table2[[#This Row],[unique_id]], "_", " ")))</f>
        <v>Ada Tablet</v>
      </c>
      <c r="G429" s="30" t="s">
        <v>787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787</v>
      </c>
      <c r="BC429" s="30" t="s">
        <v>1010</v>
      </c>
      <c r="BD429" s="30" t="s">
        <v>233</v>
      </c>
      <c r="BF429" s="30" t="s">
        <v>789</v>
      </c>
      <c r="BG429" s="30" t="s">
        <v>192</v>
      </c>
      <c r="BK429" s="30" t="s">
        <v>1211</v>
      </c>
      <c r="BL429" s="41" t="s">
        <v>1190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0" spans="1:66" ht="16" customHeight="1" x14ac:dyDescent="0.2">
      <c r="A430" s="30">
        <v>2657</v>
      </c>
      <c r="B430" s="30" t="s">
        <v>26</v>
      </c>
      <c r="C430" s="30" t="s">
        <v>233</v>
      </c>
      <c r="D430" s="30" t="s">
        <v>144</v>
      </c>
      <c r="E430" s="30" t="s">
        <v>790</v>
      </c>
      <c r="F430" s="36" t="str">
        <f>IF(ISBLANK(Table2[[#This Row],[unique_id]]), "", PROPER(SUBSTITUTE(Table2[[#This Row],[unique_id]], "_", " ")))</f>
        <v>Edwin Tablet</v>
      </c>
      <c r="G430" s="30" t="s">
        <v>791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791</v>
      </c>
      <c r="BC430" s="30" t="s">
        <v>1010</v>
      </c>
      <c r="BD430" s="30" t="s">
        <v>233</v>
      </c>
      <c r="BF430" s="30" t="s">
        <v>789</v>
      </c>
      <c r="BG430" s="30" t="s">
        <v>204</v>
      </c>
      <c r="BK430" s="30" t="s">
        <v>1211</v>
      </c>
      <c r="BL430" s="41" t="s">
        <v>1191</v>
      </c>
      <c r="BM430" s="39" t="s">
        <v>1222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1" spans="1:66" ht="16" customHeight="1" x14ac:dyDescent="0.2">
      <c r="A431" s="30">
        <v>2658</v>
      </c>
      <c r="B431" s="30" t="s">
        <v>26</v>
      </c>
      <c r="C431" s="30" t="s">
        <v>562</v>
      </c>
      <c r="D431" s="30" t="s">
        <v>144</v>
      </c>
      <c r="E431" s="30" t="s">
        <v>586</v>
      </c>
      <c r="F431" s="36" t="str">
        <f>IF(ISBLANK(Table2[[#This Row],[unique_id]]), "", PROPER(SUBSTITUTE(Table2[[#This Row],[unique_id]], "_", " ")))</f>
        <v>Lg Webos Smart Tv</v>
      </c>
      <c r="G431" s="30" t="s">
        <v>178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946</v>
      </c>
      <c r="BC431" s="30" t="s">
        <v>565</v>
      </c>
      <c r="BD431" s="30" t="s">
        <v>562</v>
      </c>
      <c r="BF431" s="30" t="s">
        <v>564</v>
      </c>
      <c r="BG431" s="30" t="s">
        <v>192</v>
      </c>
      <c r="BK431" s="30" t="s">
        <v>1211</v>
      </c>
      <c r="BL431" s="41" t="s">
        <v>563</v>
      </c>
      <c r="BM431" s="39" t="s">
        <v>1220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2" spans="1:66" ht="16" customHeight="1" x14ac:dyDescent="0.2">
      <c r="A432" s="30">
        <v>2659</v>
      </c>
      <c r="B432" s="30" t="s">
        <v>561</v>
      </c>
      <c r="C432" s="30" t="s">
        <v>262</v>
      </c>
      <c r="D432" s="30" t="s">
        <v>144</v>
      </c>
      <c r="E432" s="30" t="s">
        <v>263</v>
      </c>
      <c r="F432" s="36" t="str">
        <f>IF(ISBLANK(Table2[[#This Row],[unique_id]]), "", PROPER(SUBSTITUTE(Table2[[#This Row],[unique_id]], "_", " ")))</f>
        <v>Parents Tv</v>
      </c>
      <c r="G432" s="30" t="s">
        <v>261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946</v>
      </c>
      <c r="BC432" s="30" t="s">
        <v>1003</v>
      </c>
      <c r="BD432" s="30" t="s">
        <v>262</v>
      </c>
      <c r="BF432" s="30" t="s">
        <v>379</v>
      </c>
      <c r="BG432" s="30" t="s">
        <v>190</v>
      </c>
      <c r="BK432" s="30" t="s">
        <v>1211</v>
      </c>
      <c r="BL432" s="41" t="s">
        <v>381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3" spans="1:66" ht="16" customHeight="1" x14ac:dyDescent="0.2">
      <c r="A433" s="30">
        <v>2660</v>
      </c>
      <c r="B433" s="30" t="s">
        <v>561</v>
      </c>
      <c r="C433" s="30" t="s">
        <v>233</v>
      </c>
      <c r="D433" s="30" t="s">
        <v>144</v>
      </c>
      <c r="E433" s="30" t="s">
        <v>666</v>
      </c>
      <c r="F433" s="36" t="str">
        <f>IF(ISBLANK(Table2[[#This Row],[unique_id]]), "", PROPER(SUBSTITUTE(Table2[[#This Row],[unique_id]], "_", " ")))</f>
        <v>Office Tv</v>
      </c>
      <c r="G433" s="30" t="s">
        <v>667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Office</v>
      </c>
      <c r="BB433" s="30" t="s">
        <v>946</v>
      </c>
      <c r="BC433" s="30" t="s">
        <v>374</v>
      </c>
      <c r="BD433" s="30" t="s">
        <v>233</v>
      </c>
      <c r="BF433" s="30" t="s">
        <v>375</v>
      </c>
      <c r="BG433" s="30" t="s">
        <v>210</v>
      </c>
      <c r="BK433" s="30" t="s">
        <v>1211</v>
      </c>
      <c r="BL433" s="41" t="s">
        <v>403</v>
      </c>
      <c r="BM433" s="39" t="s">
        <v>1223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4" spans="1:66" ht="16" customHeight="1" x14ac:dyDescent="0.2">
      <c r="A434" s="30">
        <v>2661</v>
      </c>
      <c r="B434" s="30" t="s">
        <v>26</v>
      </c>
      <c r="C434" s="30" t="s">
        <v>422</v>
      </c>
      <c r="D434" s="30" t="s">
        <v>315</v>
      </c>
      <c r="E434" s="30" t="s">
        <v>314</v>
      </c>
      <c r="F434" s="36" t="str">
        <f>IF(ISBLANK(Table2[[#This Row],[unique_id]]), "", PROPER(SUBSTITUTE(Table2[[#This Row],[unique_id]], "_", " ")))</f>
        <v>Column Break</v>
      </c>
      <c r="G434" s="30" t="s">
        <v>311</v>
      </c>
      <c r="H434" s="30" t="s">
        <v>711</v>
      </c>
      <c r="I434" s="30" t="s">
        <v>143</v>
      </c>
      <c r="M434" s="30" t="s">
        <v>312</v>
      </c>
      <c r="N434" s="30" t="s">
        <v>313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2662</v>
      </c>
      <c r="B435" s="30" t="s">
        <v>26</v>
      </c>
      <c r="C435" s="30" t="s">
        <v>180</v>
      </c>
      <c r="D435" s="30" t="s">
        <v>144</v>
      </c>
      <c r="E435" s="30" t="s">
        <v>700</v>
      </c>
      <c r="F435" s="36" t="str">
        <f>IF(ISBLANK(Table2[[#This Row],[unique_id]]), "", PROPER(SUBSTITUTE(Table2[[#This Row],[unique_id]], "_", " ")))</f>
        <v>Lounge Arc</v>
      </c>
      <c r="G435" s="30" t="s">
        <v>703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/>
      <c r="R435" s="41"/>
      <c r="T435" s="37" t="str">
        <f>_xlfn.CONCAT("name: ", Table2[[#This Row],[friendly_name]])</f>
        <v>name: Lounge Arc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566</v>
      </c>
      <c r="BC435" s="30" t="s">
        <v>1006</v>
      </c>
      <c r="BD435" s="30" t="s">
        <v>180</v>
      </c>
      <c r="BF435" s="30">
        <v>15.4</v>
      </c>
      <c r="BG435" s="30" t="s">
        <v>192</v>
      </c>
      <c r="BK435" s="30" t="s">
        <v>1211</v>
      </c>
      <c r="BL435" s="30" t="s">
        <v>567</v>
      </c>
      <c r="BM435" s="39" t="s">
        <v>1224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6" spans="1:66" ht="16" customHeight="1" x14ac:dyDescent="0.2">
      <c r="A436" s="30">
        <v>2663</v>
      </c>
      <c r="B436" s="30" t="s">
        <v>561</v>
      </c>
      <c r="C436" s="30" t="s">
        <v>774</v>
      </c>
      <c r="D436" s="30" t="s">
        <v>147</v>
      </c>
      <c r="E436" s="30" t="s">
        <v>776</v>
      </c>
      <c r="F436" s="36" t="str">
        <f>IF(ISBLANK(Table2[[#This Row],[unique_id]]), "", PROPER(SUBSTITUTE(Table2[[#This Row],[unique_id]], "_", " ")))</f>
        <v>Template Kitchen Move Proxy</v>
      </c>
      <c r="G436" s="30" t="s">
        <v>704</v>
      </c>
      <c r="H436" s="30" t="s">
        <v>711</v>
      </c>
      <c r="I436" s="30" t="s">
        <v>143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 t="s">
        <v>779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 t="s">
        <v>144</v>
      </c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M436" s="39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2664</v>
      </c>
      <c r="B437" s="30" t="s">
        <v>26</v>
      </c>
      <c r="C437" s="30" t="s">
        <v>180</v>
      </c>
      <c r="D437" s="30" t="s">
        <v>144</v>
      </c>
      <c r="E437" s="30" t="s">
        <v>699</v>
      </c>
      <c r="F437" s="36" t="str">
        <f>IF(ISBLANK(Table2[[#This Row],[unique_id]]), "", PROPER(SUBSTITUTE(Table2[[#This Row],[unique_id]], "_", " ")))</f>
        <v>Kitchen Move</v>
      </c>
      <c r="G437" s="30" t="s">
        <v>704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0" t="s">
        <v>350</v>
      </c>
      <c r="BM437" s="39" t="s">
        <v>1225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8" spans="1:66" ht="16" customHeight="1" x14ac:dyDescent="0.2">
      <c r="A438" s="30">
        <v>2665</v>
      </c>
      <c r="B438" s="30" t="s">
        <v>26</v>
      </c>
      <c r="C438" s="30" t="s">
        <v>180</v>
      </c>
      <c r="D438" s="30" t="s">
        <v>144</v>
      </c>
      <c r="E438" s="30" t="s">
        <v>698</v>
      </c>
      <c r="F438" s="36" t="str">
        <f>IF(ISBLANK(Table2[[#This Row],[unique_id]]), "", PROPER(SUBSTITUTE(Table2[[#This Row],[unique_id]], "_", " ")))</f>
        <v>Kitchen Five</v>
      </c>
      <c r="G438" s="30" t="s">
        <v>705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Five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778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7" t="s">
        <v>349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9" spans="1:66" ht="16" customHeight="1" x14ac:dyDescent="0.2">
      <c r="A439" s="30">
        <v>2666</v>
      </c>
      <c r="B439" s="30" t="s">
        <v>561</v>
      </c>
      <c r="C439" s="30" t="s">
        <v>774</v>
      </c>
      <c r="D439" s="30" t="s">
        <v>147</v>
      </c>
      <c r="E439" s="30" t="s">
        <v>777</v>
      </c>
      <c r="F439" s="36" t="str">
        <f>IF(ISBLANK(Table2[[#This Row],[unique_id]]), "", PROPER(SUBSTITUTE(Table2[[#This Row],[unique_id]], "_", " ")))</f>
        <v>Template Parents Move Proxy</v>
      </c>
      <c r="G439" s="30" t="s">
        <v>706</v>
      </c>
      <c r="H439" s="30" t="s">
        <v>711</v>
      </c>
      <c r="I439" s="30" t="s">
        <v>143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 t="s">
        <v>779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 t="s">
        <v>144</v>
      </c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M439" s="39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2667</v>
      </c>
      <c r="B440" s="30" t="s">
        <v>26</v>
      </c>
      <c r="C440" s="30" t="s">
        <v>180</v>
      </c>
      <c r="D440" s="30" t="s">
        <v>144</v>
      </c>
      <c r="E440" s="30" t="s">
        <v>697</v>
      </c>
      <c r="F440" s="36" t="str">
        <f>IF(ISBLANK(Table2[[#This Row],[unique_id]]), "", PROPER(SUBSTITUTE(Table2[[#This Row],[unique_id]], "_", " ")))</f>
        <v>Parents Move</v>
      </c>
      <c r="G440" s="30" t="s">
        <v>706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K440" s="30" t="s">
        <v>1211</v>
      </c>
      <c r="BL440" s="30" t="s">
        <v>348</v>
      </c>
      <c r="BM440" s="39" t="s">
        <v>1227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1" spans="1:66" ht="16" customHeight="1" x14ac:dyDescent="0.2">
      <c r="A441" s="30">
        <v>2668</v>
      </c>
      <c r="B441" s="30" t="s">
        <v>26</v>
      </c>
      <c r="C441" s="30" t="s">
        <v>262</v>
      </c>
      <c r="D441" s="30" t="s">
        <v>144</v>
      </c>
      <c r="E441" s="30" t="s">
        <v>1270</v>
      </c>
      <c r="F441" s="36" t="str">
        <f>IF(ISBLANK(Table2[[#This Row],[unique_id]]), "", PROPER(SUBSTITUTE(Table2[[#This Row],[unique_id]], "_", " ")))</f>
        <v>Parents Homepod</v>
      </c>
      <c r="G441" s="30" t="s">
        <v>1271</v>
      </c>
      <c r="H441" s="30" t="s">
        <v>711</v>
      </c>
      <c r="I441" s="30" t="s">
        <v>143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1272</v>
      </c>
      <c r="BC441" s="30" t="s">
        <v>1007</v>
      </c>
      <c r="BD441" s="30" t="s">
        <v>262</v>
      </c>
      <c r="BF441" s="30" t="s">
        <v>379</v>
      </c>
      <c r="BG441" s="30" t="s">
        <v>190</v>
      </c>
      <c r="BK441" s="30" t="s">
        <v>1211</v>
      </c>
      <c r="BL441" s="41" t="s">
        <v>382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2" spans="1:66" ht="16" customHeight="1" x14ac:dyDescent="0.2">
      <c r="A442" s="30">
        <v>2700</v>
      </c>
      <c r="B442" s="30" t="s">
        <v>26</v>
      </c>
      <c r="C442" s="30" t="s">
        <v>149</v>
      </c>
      <c r="D442" s="30" t="s">
        <v>292</v>
      </c>
      <c r="E442" s="30" t="s">
        <v>634</v>
      </c>
      <c r="F442" s="36" t="str">
        <f>IF(ISBLANK(Table2[[#This Row],[unique_id]]), "", PROPER(SUBSTITUTE(Table2[[#This Row],[unique_id]], "_", " ")))</f>
        <v>Back Door Lock Security</v>
      </c>
      <c r="G442" s="30" t="s">
        <v>630</v>
      </c>
      <c r="H442" s="30" t="s">
        <v>612</v>
      </c>
      <c r="I442" s="30" t="s">
        <v>207</v>
      </c>
      <c r="M442" s="30" t="s">
        <v>135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E442" s="30" t="s">
        <v>645</v>
      </c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2701</v>
      </c>
      <c r="B443" s="30" t="s">
        <v>26</v>
      </c>
      <c r="C443" s="30" t="s">
        <v>149</v>
      </c>
      <c r="D443" s="30" t="s">
        <v>147</v>
      </c>
      <c r="E443" s="30" t="s">
        <v>647</v>
      </c>
      <c r="F443" s="36" t="str">
        <f>IF(ISBLANK(Table2[[#This Row],[unique_id]]), "", PROPER(SUBSTITUTE(Table2[[#This Row],[unique_id]], "_", " ")))</f>
        <v>Template Back Door State</v>
      </c>
      <c r="G443" s="30" t="s">
        <v>272</v>
      </c>
      <c r="H443" s="30" t="s">
        <v>612</v>
      </c>
      <c r="I443" s="30" t="s">
        <v>207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2702</v>
      </c>
      <c r="B444" s="30" t="s">
        <v>26</v>
      </c>
      <c r="C444" s="30" t="s">
        <v>603</v>
      </c>
      <c r="D444" s="30" t="s">
        <v>606</v>
      </c>
      <c r="E444" s="30" t="s">
        <v>607</v>
      </c>
      <c r="F444" s="36" t="str">
        <f>IF(ISBLANK(Table2[[#This Row],[unique_id]]), "", PROPER(SUBSTITUTE(Table2[[#This Row],[unique_id]], "_", " ")))</f>
        <v>Back Door Lock</v>
      </c>
      <c r="G444" s="30" t="s">
        <v>649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0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0" t="s">
        <v>997</v>
      </c>
      <c r="BC444" s="30" t="s">
        <v>604</v>
      </c>
      <c r="BD444" s="30" t="s">
        <v>603</v>
      </c>
      <c r="BF444" s="30" t="s">
        <v>605</v>
      </c>
      <c r="BG444" s="30" t="s">
        <v>612</v>
      </c>
      <c r="BL444" s="30" t="s">
        <v>602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5" spans="1:66" ht="16" customHeight="1" x14ac:dyDescent="0.2">
      <c r="A445" s="30">
        <v>2703</v>
      </c>
      <c r="B445" s="30" t="s">
        <v>26</v>
      </c>
      <c r="C445" s="30" t="s">
        <v>316</v>
      </c>
      <c r="D445" s="30" t="s">
        <v>147</v>
      </c>
      <c r="E445" s="30" t="s">
        <v>640</v>
      </c>
      <c r="F445" s="36" t="str">
        <f>IF(ISBLANK(Table2[[#This Row],[unique_id]]), "", PROPER(SUBSTITUTE(Table2[[#This Row],[unique_id]], "_", " ")))</f>
        <v>Template Back Door Sensor Contact Last</v>
      </c>
      <c r="G445" s="30" t="s">
        <v>648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7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7" t="s">
        <v>1001</v>
      </c>
      <c r="BC445" s="37" t="s">
        <v>623</v>
      </c>
      <c r="BD445" s="30" t="s">
        <v>1075</v>
      </c>
      <c r="BF445" s="30" t="s">
        <v>605</v>
      </c>
      <c r="BG445" s="30" t="s">
        <v>612</v>
      </c>
      <c r="BL445" s="30" t="s">
        <v>625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6" spans="1:66" ht="16" customHeight="1" x14ac:dyDescent="0.2">
      <c r="A446" s="30">
        <v>2704</v>
      </c>
      <c r="B446" s="30" t="s">
        <v>561</v>
      </c>
      <c r="C446" s="30" t="s">
        <v>232</v>
      </c>
      <c r="D446" s="30" t="s">
        <v>146</v>
      </c>
      <c r="F446" s="36" t="str">
        <f>IF(ISBLANK(Table2[[#This Row],[unique_id]]), "", PROPER(SUBSTITUTE(Table2[[#This Row],[unique_id]], "_", " ")))</f>
        <v/>
      </c>
      <c r="G446" s="30" t="s">
        <v>612</v>
      </c>
      <c r="H446" s="30" t="s">
        <v>620</v>
      </c>
      <c r="I446" s="30" t="s">
        <v>207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C446" s="37"/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2705</v>
      </c>
      <c r="B447" s="30" t="s">
        <v>26</v>
      </c>
      <c r="C447" s="30" t="s">
        <v>149</v>
      </c>
      <c r="D447" s="30" t="s">
        <v>292</v>
      </c>
      <c r="E447" s="30" t="s">
        <v>635</v>
      </c>
      <c r="F447" s="36" t="str">
        <f>IF(ISBLANK(Table2[[#This Row],[unique_id]]), "", PROPER(SUBSTITUTE(Table2[[#This Row],[unique_id]], "_", " ")))</f>
        <v>Front Door Lock Security</v>
      </c>
      <c r="G447" s="30" t="s">
        <v>630</v>
      </c>
      <c r="H447" s="30" t="s">
        <v>611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645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2706</v>
      </c>
      <c r="B448" s="30" t="s">
        <v>26</v>
      </c>
      <c r="C448" s="30" t="s">
        <v>149</v>
      </c>
      <c r="D448" s="30" t="s">
        <v>147</v>
      </c>
      <c r="E448" s="30" t="s">
        <v>646</v>
      </c>
      <c r="F448" s="36" t="str">
        <f>IF(ISBLANK(Table2[[#This Row],[unique_id]]), "", PROPER(SUBSTITUTE(Table2[[#This Row],[unique_id]], "_", " ")))</f>
        <v>Template Front Door State</v>
      </c>
      <c r="G448" s="30" t="s">
        <v>272</v>
      </c>
      <c r="H448" s="30" t="s">
        <v>611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2707</v>
      </c>
      <c r="B449" s="30" t="s">
        <v>26</v>
      </c>
      <c r="C449" s="30" t="s">
        <v>603</v>
      </c>
      <c r="D449" s="30" t="s">
        <v>606</v>
      </c>
      <c r="E449" s="30" t="s">
        <v>608</v>
      </c>
      <c r="F449" s="36" t="str">
        <f>IF(ISBLANK(Table2[[#This Row],[unique_id]]), "", PROPER(SUBSTITUTE(Table2[[#This Row],[unique_id]], "_", " ")))</f>
        <v>Front Door Lock</v>
      </c>
      <c r="G449" s="30" t="s">
        <v>649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0" t="s">
        <v>997</v>
      </c>
      <c r="BC449" s="30" t="s">
        <v>604</v>
      </c>
      <c r="BD449" s="30" t="s">
        <v>603</v>
      </c>
      <c r="BF449" s="30" t="s">
        <v>605</v>
      </c>
      <c r="BG449" s="30" t="s">
        <v>611</v>
      </c>
      <c r="BL449" s="30" t="s">
        <v>609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0" spans="1:66" ht="16" customHeight="1" x14ac:dyDescent="0.2">
      <c r="A450" s="30">
        <v>2708</v>
      </c>
      <c r="B450" s="30" t="s">
        <v>26</v>
      </c>
      <c r="C450" s="30" t="s">
        <v>316</v>
      </c>
      <c r="D450" s="30" t="s">
        <v>147</v>
      </c>
      <c r="E450" s="30" t="s">
        <v>639</v>
      </c>
      <c r="F450" s="36" t="str">
        <f>IF(ISBLANK(Table2[[#This Row],[unique_id]]), "", PROPER(SUBSTITUTE(Table2[[#This Row],[unique_id]], "_", " ")))</f>
        <v>Template Front Door Sensor Contact Last</v>
      </c>
      <c r="G450" s="30" t="s">
        <v>648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7" t="s">
        <v>1001</v>
      </c>
      <c r="BC450" s="37" t="s">
        <v>623</v>
      </c>
      <c r="BD450" s="30" t="s">
        <v>1075</v>
      </c>
      <c r="BF450" s="30" t="s">
        <v>605</v>
      </c>
      <c r="BG450" s="30" t="s">
        <v>611</v>
      </c>
      <c r="BL450" s="30" t="s">
        <v>624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1" spans="1:66" ht="16" customHeight="1" x14ac:dyDescent="0.2">
      <c r="A451" s="30">
        <v>2709</v>
      </c>
      <c r="B451" s="30" t="s">
        <v>561</v>
      </c>
      <c r="C451" s="30" t="s">
        <v>232</v>
      </c>
      <c r="D451" s="30" t="s">
        <v>146</v>
      </c>
      <c r="F451" s="36" t="str">
        <f>IF(ISBLANK(Table2[[#This Row],[unique_id]]), "", PROPER(SUBSTITUTE(Table2[[#This Row],[unique_id]], "_", " ")))</f>
        <v/>
      </c>
      <c r="G451" s="30" t="s">
        <v>611</v>
      </c>
      <c r="H451" s="30" t="s">
        <v>619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2710</v>
      </c>
      <c r="B452" s="30" t="s">
        <v>26</v>
      </c>
      <c r="C452" s="30" t="s">
        <v>132</v>
      </c>
      <c r="D452" s="30" t="s">
        <v>147</v>
      </c>
      <c r="E452" s="30" t="s">
        <v>581</v>
      </c>
      <c r="F452" s="36" t="str">
        <f>IF(ISBLANK(Table2[[#This Row],[unique_id]]), "", PROPER(SUBSTITUTE(Table2[[#This Row],[unique_id]], "_", " ")))</f>
        <v>Ada Fan Occupancy</v>
      </c>
      <c r="G452" s="30" t="s">
        <v>129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2711</v>
      </c>
      <c r="B453" s="30" t="s">
        <v>26</v>
      </c>
      <c r="C453" s="30" t="s">
        <v>132</v>
      </c>
      <c r="D453" s="30" t="s">
        <v>147</v>
      </c>
      <c r="E453" s="30" t="s">
        <v>580</v>
      </c>
      <c r="F453" s="36" t="str">
        <f>IF(ISBLANK(Table2[[#This Row],[unique_id]]), "", PROPER(SUBSTITUTE(Table2[[#This Row],[unique_id]], "_", " ")))</f>
        <v>Edwin Fan Occupancy</v>
      </c>
      <c r="G453" s="30" t="s">
        <v>126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2712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Parents Fan Occupancy</v>
      </c>
      <c r="G454" s="30" t="s">
        <v>190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2713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Lounge Fan Occupancy</v>
      </c>
      <c r="G455" s="30" t="s">
        <v>192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2714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Deck East Fan Occupancy</v>
      </c>
      <c r="G456" s="30" t="s">
        <v>213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2715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West Fan Occupancy</v>
      </c>
      <c r="G457" s="30" t="s">
        <v>212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2716</v>
      </c>
      <c r="B458" s="30" t="s">
        <v>26</v>
      </c>
      <c r="C458" s="30" t="s">
        <v>422</v>
      </c>
      <c r="D458" s="30" t="s">
        <v>315</v>
      </c>
      <c r="E458" s="30" t="s">
        <v>314</v>
      </c>
      <c r="F458" s="36" t="str">
        <f>IF(ISBLANK(Table2[[#This Row],[unique_id]]), "", PROPER(SUBSTITUTE(Table2[[#This Row],[unique_id]], "_", " ")))</f>
        <v>Column Break</v>
      </c>
      <c r="G458" s="30" t="s">
        <v>311</v>
      </c>
      <c r="H458" s="30" t="s">
        <v>614</v>
      </c>
      <c r="I458" s="30" t="s">
        <v>207</v>
      </c>
      <c r="M458" s="30" t="s">
        <v>312</v>
      </c>
      <c r="N458" s="30" t="s">
        <v>313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2717</v>
      </c>
      <c r="B459" s="30" t="s">
        <v>26</v>
      </c>
      <c r="C459" s="30" t="s">
        <v>232</v>
      </c>
      <c r="D459" s="30" t="s">
        <v>147</v>
      </c>
      <c r="E459" s="30" t="s">
        <v>148</v>
      </c>
      <c r="F459" s="36" t="str">
        <f>IF(ISBLANK(Table2[[#This Row],[unique_id]]), "", PROPER(SUBSTITUTE(Table2[[#This Row],[unique_id]], "_", " ")))</f>
        <v>Uvc Ada Motion</v>
      </c>
      <c r="G459" s="30" t="s">
        <v>610</v>
      </c>
      <c r="H459" s="30" t="s">
        <v>614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2718</v>
      </c>
      <c r="B460" s="30" t="s">
        <v>26</v>
      </c>
      <c r="C460" s="30" t="s">
        <v>232</v>
      </c>
      <c r="D460" s="30" t="s">
        <v>146</v>
      </c>
      <c r="E460" s="30" t="s">
        <v>1283</v>
      </c>
      <c r="F460" s="36" t="str">
        <f>IF(ISBLANK(Table2[[#This Row],[unique_id]]), "", PROPER(SUBSTITUTE(Table2[[#This Row],[unique_id]], "_", " ")))</f>
        <v>Uvc Ada Medium Resolution Channel</v>
      </c>
      <c r="G460" s="30" t="s">
        <v>129</v>
      </c>
      <c r="H460" s="30" t="s">
        <v>616</v>
      </c>
      <c r="I460" s="30" t="s">
        <v>207</v>
      </c>
      <c r="M460" s="30" t="s">
        <v>135</v>
      </c>
      <c r="N460" s="30" t="s">
        <v>269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">
        <v>1383</v>
      </c>
      <c r="BA460" s="30" t="str">
        <f>IF(ISBLANK(Table2[[#This Row],[device_model]]), "", Table2[[#This Row],[device_suggested_area]])</f>
        <v>Ada</v>
      </c>
      <c r="BB460" s="30" t="str">
        <f>Table2[[#This Row],[device_suggested_area]]</f>
        <v>Ada</v>
      </c>
      <c r="BC460" s="30" t="s">
        <v>367</v>
      </c>
      <c r="BD460" s="30" t="s">
        <v>232</v>
      </c>
      <c r="BF460" s="30" t="s">
        <v>368</v>
      </c>
      <c r="BG460" s="30" t="s">
        <v>129</v>
      </c>
      <c r="BK460" s="30" t="s">
        <v>1212</v>
      </c>
      <c r="BL460" s="30" t="s">
        <v>365</v>
      </c>
      <c r="BM460" s="30" t="s">
        <v>1267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1" spans="1:66" ht="16" customHeight="1" x14ac:dyDescent="0.2">
      <c r="A461" s="30">
        <v>2719</v>
      </c>
      <c r="B461" s="30" t="s">
        <v>26</v>
      </c>
      <c r="C461" s="30" t="s">
        <v>232</v>
      </c>
      <c r="D461" s="30" t="s">
        <v>147</v>
      </c>
      <c r="E461" s="30" t="s">
        <v>206</v>
      </c>
      <c r="F461" s="36" t="str">
        <f>IF(ISBLANK(Table2[[#This Row],[unique_id]]), "", PROPER(SUBSTITUTE(Table2[[#This Row],[unique_id]], "_", " ")))</f>
        <v>Uvc Edwin Motion</v>
      </c>
      <c r="G461" s="30" t="s">
        <v>610</v>
      </c>
      <c r="H461" s="30" t="s">
        <v>613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2720</v>
      </c>
      <c r="B462" s="30" t="s">
        <v>26</v>
      </c>
      <c r="C462" s="30" t="s">
        <v>232</v>
      </c>
      <c r="D462" s="30" t="s">
        <v>146</v>
      </c>
      <c r="E462" s="30" t="s">
        <v>1284</v>
      </c>
      <c r="F462" s="36" t="str">
        <f>IF(ISBLANK(Table2[[#This Row],[unique_id]]), "", PROPER(SUBSTITUTE(Table2[[#This Row],[unique_id]], "_", " ")))</f>
        <v>Uvc Edwin Medium Resolution Channel</v>
      </c>
      <c r="G462" s="30" t="s">
        <v>126</v>
      </c>
      <c r="H462" s="30" t="s">
        <v>615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1383</v>
      </c>
      <c r="BA462" s="30" t="str">
        <f>IF(ISBLANK(Table2[[#This Row],[device_model]]), "", Table2[[#This Row],[device_suggested_area]])</f>
        <v>Edwin</v>
      </c>
      <c r="BB462" s="30" t="str">
        <f>Table2[[#This Row],[device_suggested_area]]</f>
        <v>Edwin</v>
      </c>
      <c r="BC462" s="30" t="s">
        <v>367</v>
      </c>
      <c r="BD462" s="30" t="s">
        <v>232</v>
      </c>
      <c r="BF462" s="30" t="s">
        <v>368</v>
      </c>
      <c r="BG462" s="30" t="s">
        <v>126</v>
      </c>
      <c r="BK462" s="30" t="s">
        <v>1212</v>
      </c>
      <c r="BL462" s="30" t="s">
        <v>366</v>
      </c>
      <c r="BM462" s="30" t="s">
        <v>1268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3" spans="1:66" ht="16" customHeight="1" x14ac:dyDescent="0.2">
      <c r="A463" s="30">
        <v>2721</v>
      </c>
      <c r="B463" s="30" t="s">
        <v>26</v>
      </c>
      <c r="C463" s="30" t="s">
        <v>422</v>
      </c>
      <c r="D463" s="30" t="s">
        <v>315</v>
      </c>
      <c r="E463" s="30" t="s">
        <v>314</v>
      </c>
      <c r="F463" s="36" t="str">
        <f>IF(ISBLANK(Table2[[#This Row],[unique_id]]), "", PROPER(SUBSTITUTE(Table2[[#This Row],[unique_id]], "_", " ")))</f>
        <v>Column Break</v>
      </c>
      <c r="G463" s="30" t="s">
        <v>311</v>
      </c>
      <c r="H463" s="30" t="s">
        <v>615</v>
      </c>
      <c r="I463" s="30" t="s">
        <v>207</v>
      </c>
      <c r="M463" s="30" t="s">
        <v>312</v>
      </c>
      <c r="N463" s="30" t="s">
        <v>313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5000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1384</v>
      </c>
      <c r="BA464" s="30" t="str">
        <f>IF(ISBLANK(Table2[[#This Row],[device_model]]), "", Table2[[#This Row],[device_suggested_area]])</f>
        <v>Rack</v>
      </c>
      <c r="BC464" s="30" t="s">
        <v>993</v>
      </c>
      <c r="BD464" s="30" t="s">
        <v>232</v>
      </c>
      <c r="BF464" s="30" t="s">
        <v>384</v>
      </c>
      <c r="BG464" s="30" t="s">
        <v>28</v>
      </c>
      <c r="BK464" s="30" t="s">
        <v>1205</v>
      </c>
      <c r="BL464" s="30" t="s">
        <v>387</v>
      </c>
      <c r="BM464" s="30" t="s">
        <v>1206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5" spans="1:66" ht="16" customHeight="1" x14ac:dyDescent="0.2">
      <c r="A465" s="30">
        <v>5001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B465" s="30" t="str">
        <f>Table2[[#This Row],[device_suggested_area]]</f>
        <v>Rack</v>
      </c>
      <c r="BC465" s="30" t="s">
        <v>990</v>
      </c>
      <c r="BD465" s="30" t="s">
        <v>232</v>
      </c>
      <c r="BF465" s="30" t="s">
        <v>591</v>
      </c>
      <c r="BG465" s="30" t="s">
        <v>28</v>
      </c>
      <c r="BK465" s="30" t="s">
        <v>1205</v>
      </c>
      <c r="BL465" s="30" t="s">
        <v>592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6" spans="1:66" ht="16" customHeight="1" x14ac:dyDescent="0.2">
      <c r="A466" s="30">
        <v>5002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Office</v>
      </c>
      <c r="BB466" s="30" t="str">
        <f>Table2[[#This Row],[device_suggested_area]]</f>
        <v>Office</v>
      </c>
      <c r="BC466" s="30" t="s">
        <v>991</v>
      </c>
      <c r="BD466" s="30" t="s">
        <v>232</v>
      </c>
      <c r="BF466" s="30" t="s">
        <v>1031</v>
      </c>
      <c r="BG466" s="30" t="s">
        <v>210</v>
      </c>
      <c r="BK466" s="30" t="s">
        <v>1205</v>
      </c>
      <c r="BL466" s="30" t="s">
        <v>388</v>
      </c>
      <c r="BM466" s="30" t="s">
        <v>1421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7" spans="1:66" ht="16" customHeight="1" x14ac:dyDescent="0.2">
      <c r="A467" s="30">
        <v>5003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Ceiling</v>
      </c>
      <c r="BB467" s="30" t="str">
        <f>Table2[[#This Row],[device_suggested_area]]</f>
        <v>Ceiling</v>
      </c>
      <c r="BC467" s="30" t="s">
        <v>1420</v>
      </c>
      <c r="BD467" s="30" t="s">
        <v>232</v>
      </c>
      <c r="BF467" s="30" t="s">
        <v>1031</v>
      </c>
      <c r="BG467" s="30" t="s">
        <v>385</v>
      </c>
      <c r="BK467" s="30" t="s">
        <v>1205</v>
      </c>
      <c r="BL467" s="30" t="s">
        <v>1422</v>
      </c>
      <c r="BM467" s="30" t="s">
        <v>1208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8" spans="1:66" ht="16" customHeight="1" x14ac:dyDescent="0.2">
      <c r="A468" s="30">
        <v>5004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Hallway</v>
      </c>
      <c r="BB468" s="30" t="str">
        <f>Table2[[#This Row],[device_suggested_area]]</f>
        <v>Hallway</v>
      </c>
      <c r="BC468" s="30" t="s">
        <v>1328</v>
      </c>
      <c r="BD468" s="30" t="s">
        <v>232</v>
      </c>
      <c r="BF468" s="30" t="s">
        <v>1030</v>
      </c>
      <c r="BG468" s="30" t="s">
        <v>386</v>
      </c>
      <c r="BK468" s="30" t="s">
        <v>1205</v>
      </c>
      <c r="BL468" s="30" t="s">
        <v>1327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9" spans="1:66" ht="16" customHeight="1" x14ac:dyDescent="0.2">
      <c r="A469" s="30">
        <v>5005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North</v>
      </c>
      <c r="BB469" s="30" t="str">
        <f>Table2[[#This Row],[device_suggested_area]]</f>
        <v>Deck North</v>
      </c>
      <c r="BC469" s="30" t="s">
        <v>992</v>
      </c>
      <c r="BD469" s="30" t="s">
        <v>232</v>
      </c>
      <c r="BF469" s="30" t="s">
        <v>1030</v>
      </c>
      <c r="BG469" s="30" t="s">
        <v>1379</v>
      </c>
      <c r="BK469" s="30" t="s">
        <v>1205</v>
      </c>
      <c r="BL469" s="30" t="s">
        <v>1381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0" spans="1:66" ht="16" customHeight="1" x14ac:dyDescent="0.2">
      <c r="A470" s="30">
        <v>5006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South</v>
      </c>
      <c r="BB470" s="30" t="str">
        <f>Table2[[#This Row],[device_suggested_area]]</f>
        <v>Deck South</v>
      </c>
      <c r="BC470" s="30" t="s">
        <v>992</v>
      </c>
      <c r="BD470" s="30" t="s">
        <v>232</v>
      </c>
      <c r="BF470" s="30" t="s">
        <v>1030</v>
      </c>
      <c r="BG470" s="30" t="s">
        <v>1378</v>
      </c>
      <c r="BK470" s="30" t="s">
        <v>1205</v>
      </c>
      <c r="BL470" s="30" t="s">
        <v>389</v>
      </c>
      <c r="BM470" s="30" t="s">
        <v>1380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1" spans="1:66" ht="16" customHeight="1" x14ac:dyDescent="0.2">
      <c r="A471" s="30">
        <v>5007</v>
      </c>
      <c r="B471" s="39" t="s">
        <v>561</v>
      </c>
      <c r="C471" s="39" t="s">
        <v>232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1324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2" spans="1:66" ht="16" customHeight="1" x14ac:dyDescent="0.2">
      <c r="A472" s="30">
        <v>5008</v>
      </c>
      <c r="B472" s="39" t="s">
        <v>561</v>
      </c>
      <c r="C472" s="39" t="s">
        <v>1313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1314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989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1316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3" spans="1:66" ht="16" customHeight="1" x14ac:dyDescent="0.2">
      <c r="A473" s="30">
        <v>5009</v>
      </c>
      <c r="B473" s="39" t="s">
        <v>561</v>
      </c>
      <c r="C473" s="39" t="s">
        <v>1317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1318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1317</v>
      </c>
      <c r="BA473" s="30" t="str">
        <f>IF(ISBLANK(Table2[[#This Row],[device_model]]), "", Table2[[#This Row],[device_suggested_area]])</f>
        <v>Rack</v>
      </c>
      <c r="BB473" s="30" t="s">
        <v>1319</v>
      </c>
      <c r="BC473" s="30" t="s">
        <v>1320</v>
      </c>
      <c r="BD473" s="30" t="s">
        <v>1317</v>
      </c>
      <c r="BF473" s="30" t="s">
        <v>1321</v>
      </c>
      <c r="BG473" s="30" t="s">
        <v>28</v>
      </c>
      <c r="BL473" s="41"/>
      <c r="BM473" s="30" t="s">
        <v>1322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4" spans="1:66" ht="16" customHeight="1" x14ac:dyDescent="0.2">
      <c r="A474" s="30">
        <v>5010</v>
      </c>
      <c r="B474" s="39" t="s">
        <v>561</v>
      </c>
      <c r="C474" s="39" t="s">
        <v>369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994</v>
      </c>
      <c r="BA474" s="30" t="str">
        <f>IF(ISBLANK(Table2[[#This Row],[device_model]]), "", Table2[[#This Row],[device_suggested_area]])</f>
        <v>Rack</v>
      </c>
      <c r="BB474" s="30" t="s">
        <v>369</v>
      </c>
      <c r="BC474" s="30" t="s">
        <v>370</v>
      </c>
      <c r="BD474" s="30" t="s">
        <v>372</v>
      </c>
      <c r="BF474" s="30" t="s">
        <v>371</v>
      </c>
      <c r="BG474" s="30" t="s">
        <v>28</v>
      </c>
      <c r="BK474" s="30" t="s">
        <v>1211</v>
      </c>
      <c r="BL474" s="41" t="s">
        <v>414</v>
      </c>
      <c r="BM474" s="30" t="s">
        <v>1229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5" spans="1:66" ht="16" customHeight="1" x14ac:dyDescent="0.2">
      <c r="A475" s="30">
        <v>5011</v>
      </c>
      <c r="B475" s="39" t="s">
        <v>26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ref="AJ475:AJ480" si="1">IF(ISBLANK(AI475),  "", _xlfn.CONCAT("haas/entity/sensor/", LOWER(C475), "/", E475, "/config"))</f>
        <v/>
      </c>
      <c r="AK475" s="30" t="str">
        <f t="shared" ref="AK475:AK480" si="2"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Wardrobe</v>
      </c>
      <c r="BB475" s="30" t="s">
        <v>1404</v>
      </c>
      <c r="BC475" s="30" t="s">
        <v>1000</v>
      </c>
      <c r="BD475" s="30" t="s">
        <v>536</v>
      </c>
      <c r="BF475" s="62" t="s">
        <v>1408</v>
      </c>
      <c r="BG475" s="30" t="s">
        <v>477</v>
      </c>
      <c r="BK475" s="30" t="s">
        <v>383</v>
      </c>
      <c r="BL475" s="30" t="s">
        <v>535</v>
      </c>
      <c r="BM475" s="30" t="s">
        <v>1204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6" spans="1:66" ht="16" customHeight="1" x14ac:dyDescent="0.2">
      <c r="A476" s="30">
        <v>5012</v>
      </c>
      <c r="B476" s="39" t="s">
        <v>561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Guildford</v>
      </c>
      <c r="BB476" s="30" t="s">
        <v>1406</v>
      </c>
      <c r="BC476" s="30" t="s">
        <v>1407</v>
      </c>
      <c r="BD476" s="30" t="s">
        <v>536</v>
      </c>
      <c r="BF476" s="62" t="s">
        <v>1408</v>
      </c>
      <c r="BG476" s="30" t="s">
        <v>1405</v>
      </c>
      <c r="BL476" s="30" t="s">
        <v>1412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7" spans="1:66" ht="16" customHeight="1" x14ac:dyDescent="0.2">
      <c r="A477" s="30">
        <v>5013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1409</v>
      </c>
      <c r="BC477" s="30" t="s">
        <v>1410</v>
      </c>
      <c r="BD477" s="30" t="s">
        <v>262</v>
      </c>
      <c r="BF477" s="62" t="s">
        <v>1414</v>
      </c>
      <c r="BG477" s="30" t="s">
        <v>28</v>
      </c>
      <c r="BK477" s="30" t="s">
        <v>383</v>
      </c>
      <c r="BL477" s="41" t="s">
        <v>1413</v>
      </c>
      <c r="BM477" s="30" t="s">
        <v>1200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8" spans="1:66" ht="16" customHeight="1" x14ac:dyDescent="0.2">
      <c r="A478" s="30">
        <v>5014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1411</v>
      </c>
      <c r="BC478" s="30" t="s">
        <v>998</v>
      </c>
      <c r="BD478" s="30" t="s">
        <v>262</v>
      </c>
      <c r="BF478" s="62" t="s">
        <v>1418</v>
      </c>
      <c r="BG478" s="30" t="s">
        <v>28</v>
      </c>
      <c r="BK478" s="30" t="s">
        <v>383</v>
      </c>
      <c r="BL478" s="46" t="s">
        <v>1419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9" spans="1:66" ht="16" customHeight="1" x14ac:dyDescent="0.2">
      <c r="A479" s="30">
        <v>5015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1393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46" t="s">
        <v>1279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0" spans="1:66" ht="16" customHeight="1" x14ac:dyDescent="0.2">
      <c r="A480" s="30">
        <v>5016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999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30" t="s">
        <v>569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1" spans="1:66" ht="16" customHeight="1" x14ac:dyDescent="0.2">
      <c r="A481" s="30">
        <v>5017</v>
      </c>
      <c r="B481" s="30" t="s">
        <v>26</v>
      </c>
      <c r="C481" s="30" t="s">
        <v>364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362</v>
      </c>
      <c r="BA481" s="30" t="str">
        <f>IF(ISBLANK(Table2[[#This Row],[device_model]]), "", Table2[[#This Row],[device_suggested_area]])</f>
        <v>Rack</v>
      </c>
      <c r="BB481" s="30" t="s">
        <v>364</v>
      </c>
      <c r="BC481" s="30" t="s">
        <v>363</v>
      </c>
      <c r="BD481" s="30" t="s">
        <v>362</v>
      </c>
      <c r="BF481" s="30" t="s">
        <v>742</v>
      </c>
      <c r="BG481" s="30" t="s">
        <v>28</v>
      </c>
      <c r="BK481" s="30" t="s">
        <v>1212</v>
      </c>
      <c r="BL481" s="30" t="s">
        <v>361</v>
      </c>
      <c r="BM481" s="30" t="s">
        <v>1269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2" spans="1:66" ht="16" customHeight="1" x14ac:dyDescent="0.2">
      <c r="A482" s="30">
        <v>5018</v>
      </c>
      <c r="B482" s="30" t="s">
        <v>26</v>
      </c>
      <c r="C482" s="30" t="s">
        <v>439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 t="s">
        <v>471</v>
      </c>
      <c r="X482" s="31"/>
      <c r="Y482" s="42" t="s">
        <v>722</v>
      </c>
      <c r="Z482" s="42"/>
      <c r="AA482" s="42"/>
      <c r="AB482" s="30"/>
      <c r="AC482" s="30"/>
      <c r="AG482" s="31"/>
      <c r="AH482" s="31"/>
      <c r="AT4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2" s="37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7" t="str">
        <f>Table2[[#This Row],[device_suggested_area]]</f>
        <v>Home</v>
      </c>
      <c r="BA482" s="30" t="str">
        <f>IF(ISBLANK(Table2[[#This Row],[device_model]]), "", Table2[[#This Row],[device_suggested_area]])</f>
        <v>Home</v>
      </c>
      <c r="BB482" s="37" t="s">
        <v>996</v>
      </c>
      <c r="BC482" s="37" t="s">
        <v>463</v>
      </c>
      <c r="BD482" s="30" t="s">
        <v>439</v>
      </c>
      <c r="BF482" s="37" t="s">
        <v>464</v>
      </c>
      <c r="BG482" s="30" t="s">
        <v>164</v>
      </c>
      <c r="BL482" s="30" t="s">
        <v>462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2026-08-13T00:07:34Z</dcterms:modified>
</cp:coreProperties>
</file>