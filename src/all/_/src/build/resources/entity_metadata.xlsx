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0FCFC4EA-2AC7-BF45-9E2A-0E1CA2334ABD}" xr6:coauthVersionLast="47" xr6:coauthVersionMax="47" xr10:uidLastSave="{00000000-0000-0000-0000-000000000000}"/>
  <bookViews>
    <workbookView xWindow="11540" yWindow="1420" windowWidth="3720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89" i="1" l="1"/>
  <c r="G290" i="1"/>
  <c r="G291" i="1"/>
  <c r="G292" i="1"/>
  <c r="G293" i="1"/>
  <c r="BN293" i="1"/>
  <c r="BA293" i="1"/>
  <c r="AW293" i="1"/>
  <c r="AV293" i="1" s="1"/>
  <c r="AM293" i="1"/>
  <c r="AL293" i="1"/>
  <c r="AK293" i="1"/>
  <c r="AJ293" i="1"/>
  <c r="F293" i="1"/>
  <c r="BN292" i="1"/>
  <c r="BA292" i="1"/>
  <c r="AW292" i="1"/>
  <c r="AV292" i="1" s="1"/>
  <c r="AM292" i="1"/>
  <c r="AL292" i="1"/>
  <c r="AK292" i="1"/>
  <c r="AJ292" i="1"/>
  <c r="F292" i="1"/>
  <c r="AY292" i="1" s="1"/>
  <c r="BN291" i="1"/>
  <c r="BA291" i="1"/>
  <c r="AW291" i="1" s="1"/>
  <c r="AV291" i="1" s="1"/>
  <c r="AM291" i="1"/>
  <c r="AL291" i="1"/>
  <c r="AK291" i="1"/>
  <c r="AJ291" i="1"/>
  <c r="F291" i="1"/>
  <c r="BN290" i="1"/>
  <c r="BA290" i="1"/>
  <c r="AW290" i="1" s="1"/>
  <c r="AV290" i="1" s="1"/>
  <c r="AM290" i="1"/>
  <c r="AL290" i="1"/>
  <c r="AK290" i="1"/>
  <c r="AJ290" i="1"/>
  <c r="F290" i="1"/>
  <c r="AK289" i="1"/>
  <c r="BN289" i="1"/>
  <c r="BA289" i="1"/>
  <c r="AW289" i="1" s="1"/>
  <c r="AV289" i="1" s="1"/>
  <c r="AM289" i="1"/>
  <c r="AL289" i="1"/>
  <c r="AJ289" i="1"/>
  <c r="F289" i="1"/>
  <c r="AK332" i="1"/>
  <c r="AK328" i="1"/>
  <c r="AK326" i="1"/>
  <c r="AK324" i="1"/>
  <c r="AK322" i="1"/>
  <c r="AK400" i="1"/>
  <c r="AK399" i="1"/>
  <c r="AK398" i="1"/>
  <c r="AK396" i="1"/>
  <c r="AK395" i="1"/>
  <c r="AK394" i="1"/>
  <c r="AK354" i="1"/>
  <c r="AK353" i="1"/>
  <c r="AK352" i="1"/>
  <c r="AK351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12" i="1"/>
  <c r="BA312" i="1"/>
  <c r="AW312" i="1" s="1"/>
  <c r="AV312" i="1" s="1"/>
  <c r="AM312" i="1"/>
  <c r="AL312" i="1"/>
  <c r="AK312" i="1"/>
  <c r="AJ312" i="1"/>
  <c r="F312" i="1"/>
  <c r="BN301" i="1"/>
  <c r="BA301" i="1"/>
  <c r="AW301" i="1" s="1"/>
  <c r="AV301" i="1" s="1"/>
  <c r="AM301" i="1"/>
  <c r="AL301" i="1"/>
  <c r="AK301" i="1"/>
  <c r="AJ301" i="1"/>
  <c r="F301" i="1"/>
  <c r="BN342" i="1"/>
  <c r="BA342" i="1"/>
  <c r="AW342" i="1" s="1"/>
  <c r="AV342" i="1" s="1"/>
  <c r="AK342" i="1"/>
  <c r="AJ342" i="1"/>
  <c r="F342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429" i="1"/>
  <c r="BA429" i="1"/>
  <c r="AW429" i="1"/>
  <c r="AX429" i="1" s="1"/>
  <c r="AV429" i="1"/>
  <c r="F429" i="1"/>
  <c r="BN282" i="1"/>
  <c r="BA282" i="1"/>
  <c r="AW282" i="1" s="1"/>
  <c r="AV282" i="1" s="1"/>
  <c r="F282" i="1"/>
  <c r="AM320" i="1"/>
  <c r="AM318" i="1"/>
  <c r="AM26" i="1"/>
  <c r="AK26" i="1"/>
  <c r="AK318" i="1"/>
  <c r="AK320" i="1"/>
  <c r="AL320" i="1"/>
  <c r="AL318" i="1"/>
  <c r="AL26" i="1"/>
  <c r="AR320" i="1"/>
  <c r="AR318" i="1"/>
  <c r="AR26" i="1"/>
  <c r="AM332" i="1"/>
  <c r="AM328" i="1"/>
  <c r="AM326" i="1"/>
  <c r="AM324" i="1"/>
  <c r="AM322" i="1"/>
  <c r="AJ332" i="1"/>
  <c r="AJ328" i="1"/>
  <c r="AJ326" i="1"/>
  <c r="AJ324" i="1"/>
  <c r="AJ322" i="1"/>
  <c r="AJ315" i="1"/>
  <c r="AJ314" i="1"/>
  <c r="AJ313" i="1"/>
  <c r="AJ297" i="1"/>
  <c r="AJ311" i="1"/>
  <c r="AJ310" i="1"/>
  <c r="AJ295" i="1"/>
  <c r="AJ309" i="1"/>
  <c r="AJ299" i="1"/>
  <c r="AJ307" i="1"/>
  <c r="AJ302" i="1"/>
  <c r="AJ300" i="1"/>
  <c r="AJ308" i="1"/>
  <c r="AJ303" i="1"/>
  <c r="AJ306" i="1"/>
  <c r="AJ305" i="1"/>
  <c r="AJ304" i="1"/>
  <c r="AJ298" i="1"/>
  <c r="AJ296" i="1"/>
  <c r="AL315" i="1"/>
  <c r="AL314" i="1"/>
  <c r="AL313" i="1"/>
  <c r="AL297" i="1"/>
  <c r="AL311" i="1"/>
  <c r="AL310" i="1"/>
  <c r="AL295" i="1"/>
  <c r="AL309" i="1"/>
  <c r="AL299" i="1"/>
  <c r="AL307" i="1"/>
  <c r="AL302" i="1"/>
  <c r="AL300" i="1"/>
  <c r="AL308" i="1"/>
  <c r="AL303" i="1"/>
  <c r="AL306" i="1"/>
  <c r="AL305" i="1"/>
  <c r="AL304" i="1"/>
  <c r="AL298" i="1"/>
  <c r="AL296" i="1"/>
  <c r="BN334" i="1"/>
  <c r="BA334" i="1"/>
  <c r="AW334" i="1"/>
  <c r="AX334" i="1" s="1"/>
  <c r="AV334" i="1"/>
  <c r="F334" i="1"/>
  <c r="BN294" i="1"/>
  <c r="BA294" i="1"/>
  <c r="AW294" i="1"/>
  <c r="AV294" i="1"/>
  <c r="F294" i="1"/>
  <c r="BN316" i="1"/>
  <c r="BA316" i="1"/>
  <c r="AW316" i="1"/>
  <c r="AX316" i="1" s="1"/>
  <c r="AV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297" i="1"/>
  <c r="BA297" i="1"/>
  <c r="AW297" i="1" s="1"/>
  <c r="AM297" i="1"/>
  <c r="AK297" i="1"/>
  <c r="F297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295" i="1"/>
  <c r="BA295" i="1"/>
  <c r="AW295" i="1" s="1"/>
  <c r="AM295" i="1"/>
  <c r="AK295" i="1"/>
  <c r="F295" i="1"/>
  <c r="BN309" i="1"/>
  <c r="BA309" i="1"/>
  <c r="AW309" i="1" s="1"/>
  <c r="AM309" i="1"/>
  <c r="AK309" i="1"/>
  <c r="F309" i="1"/>
  <c r="BN299" i="1"/>
  <c r="BA299" i="1"/>
  <c r="AW299" i="1" s="1"/>
  <c r="AM299" i="1"/>
  <c r="AK299" i="1"/>
  <c r="F299" i="1"/>
  <c r="BN307" i="1"/>
  <c r="BA307" i="1"/>
  <c r="AW307" i="1" s="1"/>
  <c r="AM307" i="1"/>
  <c r="AK307" i="1"/>
  <c r="F307" i="1"/>
  <c r="BN302" i="1"/>
  <c r="BA302" i="1"/>
  <c r="AW302" i="1" s="1"/>
  <c r="AM302" i="1"/>
  <c r="AK302" i="1"/>
  <c r="F302" i="1"/>
  <c r="BN300" i="1"/>
  <c r="BA300" i="1"/>
  <c r="AW300" i="1" s="1"/>
  <c r="AM300" i="1"/>
  <c r="AK300" i="1"/>
  <c r="F300" i="1"/>
  <c r="BN308" i="1"/>
  <c r="BA308" i="1"/>
  <c r="AW308" i="1" s="1"/>
  <c r="AM308" i="1"/>
  <c r="AK308" i="1"/>
  <c r="F308" i="1"/>
  <c r="BN303" i="1"/>
  <c r="BA303" i="1"/>
  <c r="AW303" i="1" s="1"/>
  <c r="AM303" i="1"/>
  <c r="AK303" i="1"/>
  <c r="F303" i="1"/>
  <c r="BN306" i="1"/>
  <c r="BA306" i="1"/>
  <c r="AW306" i="1" s="1"/>
  <c r="AV306" i="1" s="1"/>
  <c r="AM306" i="1"/>
  <c r="AK306" i="1"/>
  <c r="F306" i="1"/>
  <c r="BN305" i="1"/>
  <c r="BA305" i="1"/>
  <c r="AW305" i="1" s="1"/>
  <c r="AM305" i="1"/>
  <c r="AK305" i="1"/>
  <c r="F305" i="1"/>
  <c r="BN304" i="1"/>
  <c r="BA304" i="1"/>
  <c r="AW304" i="1" s="1"/>
  <c r="AV304" i="1" s="1"/>
  <c r="AM304" i="1"/>
  <c r="AK304" i="1"/>
  <c r="F304" i="1"/>
  <c r="BN298" i="1"/>
  <c r="BA298" i="1"/>
  <c r="AW298" i="1" s="1"/>
  <c r="AV298" i="1" s="1"/>
  <c r="AM298" i="1"/>
  <c r="AK298" i="1"/>
  <c r="F298" i="1"/>
  <c r="AK296" i="1"/>
  <c r="BA296" i="1"/>
  <c r="AW296" i="1" s="1"/>
  <c r="AV296" i="1" s="1"/>
  <c r="AM296" i="1"/>
  <c r="G161" i="1"/>
  <c r="BN385" i="1"/>
  <c r="BA385" i="1"/>
  <c r="AZ385" i="1"/>
  <c r="AW385" i="1" s="1"/>
  <c r="AX385" i="1" s="1"/>
  <c r="AT385" i="1"/>
  <c r="F385" i="1"/>
  <c r="BN414" i="1"/>
  <c r="BA414" i="1"/>
  <c r="AW414" i="1"/>
  <c r="AX414" i="1" s="1"/>
  <c r="AV414" i="1"/>
  <c r="F414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6" i="1"/>
  <c r="AW376" i="1"/>
  <c r="AV376" i="1" s="1"/>
  <c r="T376" i="1"/>
  <c r="S376" i="1"/>
  <c r="F376" i="1"/>
  <c r="BN375" i="1"/>
  <c r="AW375" i="1"/>
  <c r="AX375" i="1" s="1"/>
  <c r="T375" i="1"/>
  <c r="S375" i="1"/>
  <c r="F375" i="1"/>
  <c r="BN402" i="1"/>
  <c r="BA402" i="1"/>
  <c r="AW402" i="1" s="1"/>
  <c r="AX402" i="1" s="1"/>
  <c r="T402" i="1"/>
  <c r="S402" i="1"/>
  <c r="F402" i="1"/>
  <c r="BN401" i="1"/>
  <c r="BA401" i="1"/>
  <c r="AW401" i="1" s="1"/>
  <c r="AX401" i="1" s="1"/>
  <c r="S401" i="1"/>
  <c r="F401" i="1"/>
  <c r="BN400" i="1"/>
  <c r="BA400" i="1"/>
  <c r="AW400" i="1" s="1"/>
  <c r="AM400" i="1"/>
  <c r="AJ400" i="1"/>
  <c r="F400" i="1"/>
  <c r="BN399" i="1"/>
  <c r="BA399" i="1"/>
  <c r="AW399" i="1" s="1"/>
  <c r="AM399" i="1"/>
  <c r="AJ399" i="1"/>
  <c r="F399" i="1"/>
  <c r="BN398" i="1"/>
  <c r="BA398" i="1"/>
  <c r="AW398" i="1" s="1"/>
  <c r="AT398" i="1"/>
  <c r="AM398" i="1"/>
  <c r="AL398" i="1"/>
  <c r="AJ398" i="1"/>
  <c r="T398" i="1"/>
  <c r="S398" i="1"/>
  <c r="F398" i="1"/>
  <c r="BN397" i="1"/>
  <c r="BA397" i="1"/>
  <c r="AW397" i="1" s="1"/>
  <c r="S397" i="1"/>
  <c r="F397" i="1"/>
  <c r="BN396" i="1"/>
  <c r="BA396" i="1"/>
  <c r="AW396" i="1" s="1"/>
  <c r="AM396" i="1"/>
  <c r="AJ396" i="1"/>
  <c r="F396" i="1"/>
  <c r="BN395" i="1"/>
  <c r="BA395" i="1"/>
  <c r="AW395" i="1" s="1"/>
  <c r="AM395" i="1"/>
  <c r="AJ395" i="1"/>
  <c r="F395" i="1"/>
  <c r="BN394" i="1"/>
  <c r="BA394" i="1"/>
  <c r="AW394" i="1" s="1"/>
  <c r="AT394" i="1"/>
  <c r="AM394" i="1"/>
  <c r="AL394" i="1"/>
  <c r="AJ394" i="1"/>
  <c r="T394" i="1"/>
  <c r="S394" i="1"/>
  <c r="F394" i="1"/>
  <c r="BN393" i="1"/>
  <c r="BA393" i="1"/>
  <c r="AW393" i="1" s="1"/>
  <c r="S393" i="1"/>
  <c r="F393" i="1"/>
  <c r="BN392" i="1"/>
  <c r="AW392" i="1"/>
  <c r="AX392" i="1" s="1"/>
  <c r="T392" i="1"/>
  <c r="S392" i="1"/>
  <c r="F392" i="1"/>
  <c r="BN391" i="1"/>
  <c r="AW391" i="1"/>
  <c r="AX391" i="1" s="1"/>
  <c r="T391" i="1"/>
  <c r="S391" i="1"/>
  <c r="F391" i="1"/>
  <c r="BN390" i="1"/>
  <c r="BA390" i="1"/>
  <c r="AW390" i="1" s="1"/>
  <c r="T390" i="1"/>
  <c r="S390" i="1"/>
  <c r="F390" i="1"/>
  <c r="BN389" i="1"/>
  <c r="BA389" i="1"/>
  <c r="AW389" i="1" s="1"/>
  <c r="S389" i="1"/>
  <c r="F389" i="1"/>
  <c r="BN388" i="1"/>
  <c r="BA388" i="1"/>
  <c r="AW388" i="1" s="1"/>
  <c r="T388" i="1"/>
  <c r="S388" i="1"/>
  <c r="F388" i="1"/>
  <c r="BN387" i="1"/>
  <c r="BA387" i="1"/>
  <c r="AW387" i="1" s="1"/>
  <c r="AX387" i="1" s="1"/>
  <c r="S387" i="1"/>
  <c r="F387" i="1"/>
  <c r="BN354" i="1"/>
  <c r="BA354" i="1"/>
  <c r="AW354" i="1" s="1"/>
  <c r="AV354" i="1" s="1"/>
  <c r="AT354" i="1"/>
  <c r="AM354" i="1"/>
  <c r="AL354" i="1"/>
  <c r="AJ354" i="1"/>
  <c r="F354" i="1"/>
  <c r="BN353" i="1"/>
  <c r="BA353" i="1"/>
  <c r="AW353" i="1" s="1"/>
  <c r="AV353" i="1" s="1"/>
  <c r="AT353" i="1"/>
  <c r="AM353" i="1"/>
  <c r="AL353" i="1"/>
  <c r="AJ353" i="1"/>
  <c r="F353" i="1"/>
  <c r="BN352" i="1"/>
  <c r="BA352" i="1"/>
  <c r="AW352" i="1" s="1"/>
  <c r="AT352" i="1"/>
  <c r="AM352" i="1"/>
  <c r="AL352" i="1"/>
  <c r="AJ352" i="1"/>
  <c r="F352" i="1"/>
  <c r="BN351" i="1"/>
  <c r="BA351" i="1"/>
  <c r="AW351" i="1" s="1"/>
  <c r="AT351" i="1"/>
  <c r="AM351" i="1"/>
  <c r="AL351" i="1"/>
  <c r="AJ351" i="1"/>
  <c r="F351" i="1"/>
  <c r="BN325" i="1"/>
  <c r="BA325" i="1"/>
  <c r="AX325" i="1"/>
  <c r="AK325" i="1"/>
  <c r="AJ325" i="1"/>
  <c r="F325" i="1"/>
  <c r="AY325" i="1" s="1"/>
  <c r="BN324" i="1"/>
  <c r="BA324" i="1"/>
  <c r="AW324" i="1" s="1"/>
  <c r="AV324" i="1" s="1"/>
  <c r="F32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73" i="1"/>
  <c r="BN474" i="1"/>
  <c r="BB474" i="1"/>
  <c r="AW474" i="1" s="1"/>
  <c r="BA474" i="1"/>
  <c r="F474" i="1"/>
  <c r="BN475" i="1"/>
  <c r="BB475" i="1"/>
  <c r="AW475" i="1" s="1"/>
  <c r="BA475" i="1"/>
  <c r="F475" i="1"/>
  <c r="BN487" i="1"/>
  <c r="BA487" i="1"/>
  <c r="AW487" i="1"/>
  <c r="AX487" i="1" s="1"/>
  <c r="AK487" i="1"/>
  <c r="AJ487" i="1"/>
  <c r="F487" i="1"/>
  <c r="BN486" i="1"/>
  <c r="BA486" i="1"/>
  <c r="AW486" i="1"/>
  <c r="AX486" i="1" s="1"/>
  <c r="AK486" i="1"/>
  <c r="AJ486" i="1"/>
  <c r="F486" i="1"/>
  <c r="BA484" i="1"/>
  <c r="BA483" i="1"/>
  <c r="BN483" i="1"/>
  <c r="AW483" i="1"/>
  <c r="AX483" i="1" s="1"/>
  <c r="AK483" i="1"/>
  <c r="AJ483" i="1"/>
  <c r="F483" i="1"/>
  <c r="BN482" i="1"/>
  <c r="BA482" i="1"/>
  <c r="AW482" i="1"/>
  <c r="AX482" i="1" s="1"/>
  <c r="AK482" i="1"/>
  <c r="AJ482" i="1"/>
  <c r="F482" i="1"/>
  <c r="AV468" i="1"/>
  <c r="AV453" i="1"/>
  <c r="AV458" i="1"/>
  <c r="AV466" i="1"/>
  <c r="BB476" i="1"/>
  <c r="AW476" i="1" s="1"/>
  <c r="AV476" i="1" s="1"/>
  <c r="BN476" i="1"/>
  <c r="BA476" i="1"/>
  <c r="F476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5" i="1"/>
  <c r="AW365" i="1" s="1"/>
  <c r="BA366" i="1"/>
  <c r="AW366" i="1" s="1"/>
  <c r="S366" i="1"/>
  <c r="S365" i="1"/>
  <c r="BN366" i="1"/>
  <c r="T366" i="1"/>
  <c r="F366" i="1"/>
  <c r="BN365" i="1"/>
  <c r="T365" i="1"/>
  <c r="F365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8" i="1"/>
  <c r="BA478" i="1"/>
  <c r="AW478" i="1"/>
  <c r="AX478" i="1" s="1"/>
  <c r="F478" i="1"/>
  <c r="BN480" i="1"/>
  <c r="BA480" i="1"/>
  <c r="AW480" i="1"/>
  <c r="AX480" i="1" s="1"/>
  <c r="F480" i="1"/>
  <c r="AW479" i="1"/>
  <c r="AX479" i="1" s="1"/>
  <c r="BN479" i="1"/>
  <c r="BA479" i="1"/>
  <c r="F479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37" i="1"/>
  <c r="BA437" i="1"/>
  <c r="AW437" i="1" s="1"/>
  <c r="AX437" i="1" s="1"/>
  <c r="F437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7" i="1"/>
  <c r="BA327" i="1"/>
  <c r="AX327" i="1"/>
  <c r="AK327" i="1"/>
  <c r="AJ327" i="1"/>
  <c r="F327" i="1"/>
  <c r="AY327" i="1" s="1"/>
  <c r="BN326" i="1"/>
  <c r="BA326" i="1"/>
  <c r="AW326" i="1" s="1"/>
  <c r="AV326" i="1" s="1"/>
  <c r="F326" i="1"/>
  <c r="BA485" i="1"/>
  <c r="AW484" i="1"/>
  <c r="AX484" i="1" s="1"/>
  <c r="AW485" i="1"/>
  <c r="AX485" i="1" s="1"/>
  <c r="F484" i="1"/>
  <c r="AJ484" i="1"/>
  <c r="AK484" i="1"/>
  <c r="BN484" i="1"/>
  <c r="F485" i="1"/>
  <c r="AJ485" i="1"/>
  <c r="AK485" i="1"/>
  <c r="BN485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7" i="1"/>
  <c r="AX319" i="1"/>
  <c r="AX321" i="1"/>
  <c r="AX329" i="1"/>
  <c r="AX330" i="1"/>
  <c r="AX331" i="1"/>
  <c r="AX33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6" i="1"/>
  <c r="F317" i="1"/>
  <c r="F318" i="1"/>
  <c r="F319" i="1"/>
  <c r="F320" i="1"/>
  <c r="F321" i="1"/>
  <c r="F328" i="1"/>
  <c r="F329" i="1"/>
  <c r="AY329" i="1" s="1"/>
  <c r="F330" i="1"/>
  <c r="AY330" i="1" s="1"/>
  <c r="F331" i="1"/>
  <c r="F332" i="1"/>
  <c r="F333" i="1"/>
  <c r="F335" i="1"/>
  <c r="F336" i="1"/>
  <c r="F337" i="1"/>
  <c r="F338" i="1"/>
  <c r="F339" i="1"/>
  <c r="F340" i="1"/>
  <c r="F341" i="1"/>
  <c r="F343" i="1"/>
  <c r="F344" i="1"/>
  <c r="F345" i="1"/>
  <c r="F346" i="1"/>
  <c r="F347" i="1"/>
  <c r="F348" i="1"/>
  <c r="F349" i="1"/>
  <c r="F350" i="1"/>
  <c r="F355" i="1"/>
  <c r="F356" i="1"/>
  <c r="F357" i="1"/>
  <c r="F358" i="1"/>
  <c r="F359" i="1"/>
  <c r="F360" i="1"/>
  <c r="F361" i="1"/>
  <c r="F362" i="1"/>
  <c r="F363" i="1"/>
  <c r="F364" i="1"/>
  <c r="F367" i="1"/>
  <c r="F368" i="1"/>
  <c r="F369" i="1"/>
  <c r="F370" i="1"/>
  <c r="F371" i="1"/>
  <c r="F372" i="1"/>
  <c r="F373" i="1"/>
  <c r="F374" i="1"/>
  <c r="F377" i="1"/>
  <c r="F378" i="1"/>
  <c r="F379" i="1"/>
  <c r="F380" i="1"/>
  <c r="F381" i="1"/>
  <c r="F382" i="1"/>
  <c r="F383" i="1"/>
  <c r="F384" i="1"/>
  <c r="F386" i="1"/>
  <c r="F403" i="1"/>
  <c r="F404" i="1"/>
  <c r="F405" i="1"/>
  <c r="F406" i="1"/>
  <c r="F407" i="1"/>
  <c r="F408" i="1"/>
  <c r="F409" i="1"/>
  <c r="F410" i="1"/>
  <c r="F411" i="1"/>
  <c r="F412" i="1"/>
  <c r="F413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30" i="1"/>
  <c r="F431" i="1"/>
  <c r="F432" i="1"/>
  <c r="F433" i="1"/>
  <c r="F434" i="1"/>
  <c r="F435" i="1"/>
  <c r="F436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65" i="1"/>
  <c r="F466" i="1"/>
  <c r="F467" i="1"/>
  <c r="F468" i="1"/>
  <c r="F469" i="1"/>
  <c r="F470" i="1"/>
  <c r="F471" i="1"/>
  <c r="F472" i="1"/>
  <c r="F473" i="1"/>
  <c r="F477" i="1"/>
  <c r="F481" i="1"/>
  <c r="F488" i="1"/>
  <c r="F489" i="1"/>
  <c r="AJ341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0" i="1"/>
  <c r="AJ318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0" i="1"/>
  <c r="BA330" i="1"/>
  <c r="AK330" i="1"/>
  <c r="AJ330" i="1"/>
  <c r="AJ331" i="1"/>
  <c r="AK331" i="1"/>
  <c r="BA331" i="1"/>
  <c r="BN331" i="1"/>
  <c r="AJ317" i="1"/>
  <c r="AK317" i="1"/>
  <c r="BA317" i="1"/>
  <c r="BN317" i="1"/>
  <c r="BN321" i="1"/>
  <c r="BA321" i="1"/>
  <c r="AK321" i="1"/>
  <c r="AJ321" i="1"/>
  <c r="BN320" i="1"/>
  <c r="BA320" i="1"/>
  <c r="AW320" i="1" s="1"/>
  <c r="AV320" i="1" s="1"/>
  <c r="BN319" i="1"/>
  <c r="BA319" i="1"/>
  <c r="AK319" i="1"/>
  <c r="AJ319" i="1"/>
  <c r="BN318" i="1"/>
  <c r="BA318" i="1"/>
  <c r="AW318" i="1" s="1"/>
  <c r="AV318" i="1" s="1"/>
  <c r="AJ329" i="1"/>
  <c r="AK329" i="1"/>
  <c r="BA329" i="1"/>
  <c r="BN329" i="1"/>
  <c r="AJ333" i="1"/>
  <c r="AK333" i="1"/>
  <c r="BA333" i="1"/>
  <c r="BN333" i="1"/>
  <c r="AR54" i="1"/>
  <c r="AR44" i="1"/>
  <c r="BN328" i="1"/>
  <c r="BA328" i="1"/>
  <c r="AW328" i="1" s="1"/>
  <c r="AV328" i="1" s="1"/>
  <c r="BA332" i="1"/>
  <c r="AW332" i="1" s="1"/>
  <c r="AV332" i="1" s="1"/>
  <c r="BN332" i="1"/>
  <c r="BN296" i="1"/>
  <c r="AR77" i="1"/>
  <c r="AR76" i="1"/>
  <c r="AR75" i="1"/>
  <c r="AR74" i="1"/>
  <c r="AR73" i="1"/>
  <c r="AR72" i="1"/>
  <c r="AY293" i="1" l="1"/>
  <c r="AY289" i="1"/>
  <c r="AY290" i="1"/>
  <c r="AY291" i="1"/>
  <c r="AX290" i="1"/>
  <c r="AX292" i="1"/>
  <c r="AX291" i="1"/>
  <c r="AX293" i="1"/>
  <c r="AX289" i="1"/>
  <c r="AY312" i="1"/>
  <c r="AX312" i="1"/>
  <c r="AY301" i="1"/>
  <c r="AX301" i="1"/>
  <c r="AX342" i="1"/>
  <c r="AY342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429" i="1"/>
  <c r="AY282" i="1"/>
  <c r="G282" i="1"/>
  <c r="AX282" i="1"/>
  <c r="AX324" i="1"/>
  <c r="AX322" i="1"/>
  <c r="AY334" i="1"/>
  <c r="AY316" i="1"/>
  <c r="AY294" i="1"/>
  <c r="AX294" i="1"/>
  <c r="AX299" i="1"/>
  <c r="AX310" i="1"/>
  <c r="AX303" i="1"/>
  <c r="AX302" i="1"/>
  <c r="AX314" i="1"/>
  <c r="AX305" i="1"/>
  <c r="AX295" i="1"/>
  <c r="AY303" i="1"/>
  <c r="AY295" i="1"/>
  <c r="AY305" i="1"/>
  <c r="AY308" i="1"/>
  <c r="AY311" i="1"/>
  <c r="AX300" i="1"/>
  <c r="AY302" i="1"/>
  <c r="AX297" i="1"/>
  <c r="AY314" i="1"/>
  <c r="AY304" i="1"/>
  <c r="AY299" i="1"/>
  <c r="AV305" i="1"/>
  <c r="AX304" i="1"/>
  <c r="AY300" i="1"/>
  <c r="AY297" i="1"/>
  <c r="AY306" i="1"/>
  <c r="AY307" i="1"/>
  <c r="AX313" i="1"/>
  <c r="AY315" i="1"/>
  <c r="AX298" i="1"/>
  <c r="AY309" i="1"/>
  <c r="AX307" i="1"/>
  <c r="AX315" i="1"/>
  <c r="AX306" i="1"/>
  <c r="AX309" i="1"/>
  <c r="AY310" i="1"/>
  <c r="AY298" i="1"/>
  <c r="AX308" i="1"/>
  <c r="AX311" i="1"/>
  <c r="AY313" i="1"/>
  <c r="AV303" i="1"/>
  <c r="AV308" i="1"/>
  <c r="AV300" i="1"/>
  <c r="AV302" i="1"/>
  <c r="AV307" i="1"/>
  <c r="AV299" i="1"/>
  <c r="AV309" i="1"/>
  <c r="AV295" i="1"/>
  <c r="AV310" i="1"/>
  <c r="AV311" i="1"/>
  <c r="AV297" i="1"/>
  <c r="AV313" i="1"/>
  <c r="AV314" i="1"/>
  <c r="AV315" i="1"/>
  <c r="AY385" i="1"/>
  <c r="AV385" i="1"/>
  <c r="AY162" i="1"/>
  <c r="AY414" i="1"/>
  <c r="AV161" i="1"/>
  <c r="AY376" i="1"/>
  <c r="AY161" i="1"/>
  <c r="AV162" i="1"/>
  <c r="AX162" i="1"/>
  <c r="AV375" i="1"/>
  <c r="AY375" i="1"/>
  <c r="AY393" i="1"/>
  <c r="AX376" i="1"/>
  <c r="AY397" i="1"/>
  <c r="AV401" i="1"/>
  <c r="AY391" i="1"/>
  <c r="AY401" i="1"/>
  <c r="AX396" i="1"/>
  <c r="AV396" i="1"/>
  <c r="AX395" i="1"/>
  <c r="AV395" i="1"/>
  <c r="AX397" i="1"/>
  <c r="AV397" i="1"/>
  <c r="AX394" i="1"/>
  <c r="AV394" i="1"/>
  <c r="AY392" i="1"/>
  <c r="AY394" i="1"/>
  <c r="AY396" i="1"/>
  <c r="AY395" i="1"/>
  <c r="AY400" i="1"/>
  <c r="AY402" i="1"/>
  <c r="AV391" i="1"/>
  <c r="AX399" i="1"/>
  <c r="AV399" i="1"/>
  <c r="AX390" i="1"/>
  <c r="AV390" i="1"/>
  <c r="AY390" i="1"/>
  <c r="AY388" i="1"/>
  <c r="AX388" i="1"/>
  <c r="AV388" i="1"/>
  <c r="AX398" i="1"/>
  <c r="AV398" i="1"/>
  <c r="AY398" i="1"/>
  <c r="AY389" i="1"/>
  <c r="AY399" i="1"/>
  <c r="AX400" i="1"/>
  <c r="AV400" i="1"/>
  <c r="AV389" i="1"/>
  <c r="AX389" i="1"/>
  <c r="AX393" i="1"/>
  <c r="AV387" i="1"/>
  <c r="AV393" i="1"/>
  <c r="AY387" i="1"/>
  <c r="AV392" i="1"/>
  <c r="AV402" i="1"/>
  <c r="AY351" i="1"/>
  <c r="AX353" i="1"/>
  <c r="AY354" i="1"/>
  <c r="AX351" i="1"/>
  <c r="AY352" i="1"/>
  <c r="AX352" i="1"/>
  <c r="AV352" i="1"/>
  <c r="AY353" i="1"/>
  <c r="AX354" i="1"/>
  <c r="AV351" i="1"/>
  <c r="AY324" i="1"/>
  <c r="AY322" i="1"/>
  <c r="AY474" i="1"/>
  <c r="AV474" i="1"/>
  <c r="AX474" i="1"/>
  <c r="AX475" i="1"/>
  <c r="AV475" i="1"/>
  <c r="AY475" i="1"/>
  <c r="AY487" i="1"/>
  <c r="AV487" i="1"/>
  <c r="AY482" i="1"/>
  <c r="AV482" i="1"/>
  <c r="AY486" i="1"/>
  <c r="AV486" i="1"/>
  <c r="AY483" i="1"/>
  <c r="AV483" i="1"/>
  <c r="AV478" i="1"/>
  <c r="AY127" i="1"/>
  <c r="AY476" i="1"/>
  <c r="AX476" i="1"/>
  <c r="AV127" i="1"/>
  <c r="AY128" i="1"/>
  <c r="AV128" i="1"/>
  <c r="AY42" i="1"/>
  <c r="AY109" i="1"/>
  <c r="AY108" i="1"/>
  <c r="AV108" i="1"/>
  <c r="AX108" i="1"/>
  <c r="AV109" i="1"/>
  <c r="AY365" i="1"/>
  <c r="AX366" i="1"/>
  <c r="AV366" i="1"/>
  <c r="AY366" i="1"/>
  <c r="AX365" i="1"/>
  <c r="AV365" i="1"/>
  <c r="AY478" i="1"/>
  <c r="AY480" i="1"/>
  <c r="AY479" i="1"/>
  <c r="AY464" i="1"/>
  <c r="AX107" i="1"/>
  <c r="AV107" i="1"/>
  <c r="AY107" i="1"/>
  <c r="AX106" i="1"/>
  <c r="AV106" i="1"/>
  <c r="AY106" i="1"/>
  <c r="AY56" i="1"/>
  <c r="AY462" i="1"/>
  <c r="AY461" i="1"/>
  <c r="AY459" i="1"/>
  <c r="AY460" i="1"/>
  <c r="AY463" i="1"/>
  <c r="AY437" i="1"/>
  <c r="AV437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6" i="1"/>
  <c r="AY326" i="1"/>
  <c r="AY485" i="1"/>
  <c r="AV485" i="1"/>
  <c r="AV484" i="1"/>
  <c r="AY484" i="1"/>
  <c r="AY41" i="1"/>
  <c r="AY43" i="1"/>
  <c r="AX332" i="1"/>
  <c r="AX328" i="1"/>
  <c r="AX318" i="1"/>
  <c r="AX296" i="1"/>
  <c r="AX320" i="1"/>
  <c r="AY15" i="1"/>
  <c r="AY328" i="1"/>
  <c r="AY332" i="1"/>
  <c r="AY318" i="1"/>
  <c r="AY17" i="1"/>
  <c r="AY5" i="1"/>
  <c r="AY25" i="1"/>
  <c r="AY13" i="1"/>
  <c r="AY27" i="1"/>
  <c r="AY31" i="1"/>
  <c r="AY19" i="1"/>
  <c r="AY7" i="1"/>
  <c r="AY321" i="1"/>
  <c r="AY320" i="1"/>
  <c r="AY296" i="1"/>
  <c r="AY234" i="1"/>
  <c r="AY23" i="1"/>
  <c r="AY11" i="1"/>
  <c r="AY319" i="1"/>
  <c r="AY21" i="1"/>
  <c r="AY9" i="1"/>
  <c r="AY333" i="1"/>
  <c r="AY317" i="1"/>
  <c r="AY331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41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0" i="1"/>
  <c r="AX470" i="1" s="1"/>
  <c r="AW468" i="1"/>
  <c r="AX468" i="1" s="1"/>
  <c r="AW466" i="1"/>
  <c r="AX466" i="1" s="1"/>
  <c r="AW465" i="1"/>
  <c r="AX465" i="1" s="1"/>
  <c r="AV465" i="1"/>
  <c r="AW458" i="1"/>
  <c r="AX458" i="1" s="1"/>
  <c r="AW455" i="1"/>
  <c r="AX455" i="1" s="1"/>
  <c r="AV455" i="1"/>
  <c r="AW454" i="1"/>
  <c r="AX454" i="1" s="1"/>
  <c r="AV454" i="1"/>
  <c r="AW453" i="1"/>
  <c r="AX453" i="1" s="1"/>
  <c r="AW450" i="1"/>
  <c r="AX450" i="1" s="1"/>
  <c r="AV450" i="1"/>
  <c r="AW449" i="1"/>
  <c r="AX449" i="1" s="1"/>
  <c r="AV449" i="1"/>
  <c r="AW441" i="1"/>
  <c r="AX441" i="1" s="1"/>
  <c r="AV441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335" i="1"/>
  <c r="AX335" i="1" s="1"/>
  <c r="AV335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1" i="1"/>
  <c r="AV471" i="1" s="1"/>
  <c r="AW481" i="1"/>
  <c r="AW488" i="1"/>
  <c r="AX488" i="1" s="1"/>
  <c r="BA470" i="1"/>
  <c r="BA468" i="1"/>
  <c r="BA466" i="1"/>
  <c r="BA465" i="1"/>
  <c r="BA458" i="1"/>
  <c r="BA455" i="1"/>
  <c r="BA454" i="1"/>
  <c r="BA453" i="1"/>
  <c r="BA450" i="1"/>
  <c r="BA449" i="1"/>
  <c r="BA441" i="1"/>
  <c r="BA428" i="1"/>
  <c r="BA427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3" i="1"/>
  <c r="BA412" i="1"/>
  <c r="BA411" i="1"/>
  <c r="BA410" i="1"/>
  <c r="BA409" i="1"/>
  <c r="BA408" i="1"/>
  <c r="BA407" i="1"/>
  <c r="BA406" i="1"/>
  <c r="BA350" i="1"/>
  <c r="BA349" i="1"/>
  <c r="BA348" i="1"/>
  <c r="BA347" i="1"/>
  <c r="BA340" i="1"/>
  <c r="BA339" i="1"/>
  <c r="BA338" i="1"/>
  <c r="BA337" i="1"/>
  <c r="BA336" i="1"/>
  <c r="BA335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6" i="1"/>
  <c r="BA451" i="1"/>
  <c r="BA489" i="1"/>
  <c r="BA281" i="1"/>
  <c r="AW281" i="1" s="1"/>
  <c r="AX281" i="1" s="1"/>
  <c r="BA477" i="1"/>
  <c r="BA472" i="1"/>
  <c r="BA471" i="1"/>
  <c r="BA469" i="1"/>
  <c r="BA467" i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43" i="1"/>
  <c r="AW443" i="1" s="1"/>
  <c r="AX443" i="1" s="1"/>
  <c r="BA442" i="1"/>
  <c r="AW442" i="1" s="1"/>
  <c r="AX442" i="1" s="1"/>
  <c r="BA457" i="1"/>
  <c r="BA452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6" i="1"/>
  <c r="BA384" i="1"/>
  <c r="BA383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1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8" i="1"/>
  <c r="AW438" i="1" s="1"/>
  <c r="AX438" i="1" s="1"/>
  <c r="BA405" i="1"/>
  <c r="BA404" i="1"/>
  <c r="BA403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0" i="1"/>
  <c r="AW440" i="1" s="1"/>
  <c r="AX440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341" i="1"/>
  <c r="AW341" i="1" s="1"/>
  <c r="AX341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8" i="1"/>
  <c r="BA448" i="1"/>
  <c r="BA439" i="1"/>
  <c r="AW439" i="1" s="1"/>
  <c r="AX439" i="1" s="1"/>
  <c r="S370" i="1"/>
  <c r="S369" i="1"/>
  <c r="S368" i="1"/>
  <c r="S364" i="1"/>
  <c r="S380" i="1"/>
  <c r="S379" i="1"/>
  <c r="S378" i="1"/>
  <c r="S362" i="1"/>
  <c r="S360" i="1"/>
  <c r="T230" i="1"/>
  <c r="T226" i="1"/>
  <c r="T114" i="1"/>
  <c r="S443" i="1"/>
  <c r="S444" i="1"/>
  <c r="S447" i="1"/>
  <c r="S446" i="1"/>
  <c r="S356" i="1"/>
  <c r="S355" i="1"/>
  <c r="S358" i="1"/>
  <c r="S357" i="1"/>
  <c r="S382" i="1"/>
  <c r="S381" i="1"/>
  <c r="T372" i="1"/>
  <c r="T374" i="1"/>
  <c r="T224" i="1"/>
  <c r="T356" i="1"/>
  <c r="T370" i="1"/>
  <c r="T368" i="1"/>
  <c r="T364" i="1"/>
  <c r="T360" i="1"/>
  <c r="T378" i="1"/>
  <c r="T362" i="1"/>
  <c r="T380" i="1"/>
  <c r="T358" i="1"/>
  <c r="T382" i="1"/>
  <c r="S432" i="1"/>
  <c r="S434" i="1"/>
  <c r="S435" i="1"/>
  <c r="S445" i="1"/>
  <c r="S433" i="1"/>
  <c r="S431" i="1"/>
  <c r="S430" i="1"/>
  <c r="S377" i="1"/>
  <c r="S359" i="1"/>
  <c r="S361" i="1"/>
  <c r="S363" i="1"/>
  <c r="S367" i="1"/>
  <c r="BB477" i="1"/>
  <c r="AW477" i="1" s="1"/>
  <c r="BB473" i="1"/>
  <c r="AW473" i="1" s="1"/>
  <c r="BB472" i="1"/>
  <c r="AW472" i="1" s="1"/>
  <c r="BB469" i="1"/>
  <c r="AW469" i="1" s="1"/>
  <c r="BB467" i="1"/>
  <c r="AW467" i="1" s="1"/>
  <c r="AZ489" i="1"/>
  <c r="AW489" i="1" s="1"/>
  <c r="AX489" i="1" s="1"/>
  <c r="AZ456" i="1"/>
  <c r="AW456" i="1" s="1"/>
  <c r="AX456" i="1" s="1"/>
  <c r="AZ451" i="1"/>
  <c r="AW451" i="1" s="1"/>
  <c r="AX451" i="1" s="1"/>
  <c r="AZ457" i="1"/>
  <c r="AW457" i="1" s="1"/>
  <c r="AX457" i="1" s="1"/>
  <c r="AZ452" i="1"/>
  <c r="AW452" i="1" s="1"/>
  <c r="AX452" i="1" s="1"/>
  <c r="AZ386" i="1"/>
  <c r="AW386" i="1" s="1"/>
  <c r="AX386" i="1" s="1"/>
  <c r="AZ384" i="1"/>
  <c r="AW384" i="1" s="1"/>
  <c r="AX384" i="1" s="1"/>
  <c r="AZ383" i="1"/>
  <c r="AW383" i="1" s="1"/>
  <c r="AX383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5" i="1"/>
  <c r="AW405" i="1" s="1"/>
  <c r="AX405" i="1" s="1"/>
  <c r="AZ404" i="1"/>
  <c r="AW404" i="1" s="1"/>
  <c r="AX404" i="1" s="1"/>
  <c r="AZ403" i="1"/>
  <c r="AW403" i="1" s="1"/>
  <c r="AX403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3" i="1"/>
  <c r="S371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5" i="1"/>
  <c r="BN336" i="1"/>
  <c r="BN337" i="1"/>
  <c r="BN338" i="1"/>
  <c r="BN339" i="1"/>
  <c r="BN340" i="1"/>
  <c r="BN341" i="1"/>
  <c r="BN343" i="1"/>
  <c r="BN344" i="1"/>
  <c r="BN345" i="1"/>
  <c r="BN346" i="1"/>
  <c r="BN347" i="1"/>
  <c r="BN348" i="1"/>
  <c r="BN349" i="1"/>
  <c r="BN350" i="1"/>
  <c r="BN355" i="1"/>
  <c r="BN356" i="1"/>
  <c r="BN357" i="1"/>
  <c r="BN358" i="1"/>
  <c r="BN359" i="1"/>
  <c r="BN360" i="1"/>
  <c r="BN361" i="1"/>
  <c r="BN362" i="1"/>
  <c r="BN363" i="1"/>
  <c r="BN364" i="1"/>
  <c r="BN367" i="1"/>
  <c r="BN368" i="1"/>
  <c r="BN369" i="1"/>
  <c r="BN370" i="1"/>
  <c r="BN371" i="1"/>
  <c r="BN372" i="1"/>
  <c r="BN373" i="1"/>
  <c r="BN374" i="1"/>
  <c r="BN377" i="1"/>
  <c r="BN378" i="1"/>
  <c r="BN379" i="1"/>
  <c r="BN380" i="1"/>
  <c r="BN381" i="1"/>
  <c r="BN382" i="1"/>
  <c r="BN383" i="1"/>
  <c r="BN384" i="1"/>
  <c r="BN386" i="1"/>
  <c r="BN403" i="1"/>
  <c r="BN404" i="1"/>
  <c r="BN405" i="1"/>
  <c r="BN406" i="1"/>
  <c r="BN407" i="1"/>
  <c r="BN408" i="1"/>
  <c r="BN409" i="1"/>
  <c r="BN410" i="1"/>
  <c r="BN411" i="1"/>
  <c r="BN412" i="1"/>
  <c r="BN413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30" i="1"/>
  <c r="BN431" i="1"/>
  <c r="BN432" i="1"/>
  <c r="BN433" i="1"/>
  <c r="BN434" i="1"/>
  <c r="BN435" i="1"/>
  <c r="BN436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65" i="1"/>
  <c r="BN466" i="1"/>
  <c r="BN467" i="1"/>
  <c r="BN468" i="1"/>
  <c r="BN469" i="1"/>
  <c r="BN470" i="1"/>
  <c r="BN471" i="1"/>
  <c r="BN472" i="1"/>
  <c r="BN473" i="1"/>
  <c r="BN477" i="1"/>
  <c r="BN481" i="1"/>
  <c r="BN488" i="1"/>
  <c r="BN489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2" i="1"/>
  <c r="T205" i="1"/>
  <c r="T200" i="1"/>
  <c r="S374" i="1"/>
  <c r="S372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5" i="1"/>
  <c r="AT404" i="1"/>
  <c r="AT489" i="1"/>
  <c r="AT403" i="1"/>
  <c r="AT386" i="1"/>
  <c r="AT384" i="1"/>
  <c r="AT383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2" i="1" l="1"/>
  <c r="AV472" i="1"/>
  <c r="AX473" i="1"/>
  <c r="AV473" i="1"/>
  <c r="AX481" i="1"/>
  <c r="AV481" i="1"/>
  <c r="AX467" i="1"/>
  <c r="AV467" i="1"/>
  <c r="AX477" i="1"/>
  <c r="AV477" i="1"/>
  <c r="AX469" i="1"/>
  <c r="AV469" i="1"/>
  <c r="AX471" i="1"/>
  <c r="AW448" i="1"/>
  <c r="AX448" i="1" s="1"/>
  <c r="AY341" i="1"/>
  <c r="AY226" i="1"/>
  <c r="AV386" i="1"/>
  <c r="AV168" i="1"/>
  <c r="AY47" i="1"/>
  <c r="AV120" i="1"/>
  <c r="AY336" i="1"/>
  <c r="AY215" i="1"/>
  <c r="AY216" i="1"/>
  <c r="AY95" i="1"/>
  <c r="AY101" i="1"/>
  <c r="AY337" i="1"/>
  <c r="AY349" i="1"/>
  <c r="AV81" i="1"/>
  <c r="AY8" i="1"/>
  <c r="AY359" i="1"/>
  <c r="AV142" i="1"/>
  <c r="AV192" i="1"/>
  <c r="AY230" i="1"/>
  <c r="AY200" i="1"/>
  <c r="AY233" i="1"/>
  <c r="AY152" i="1"/>
  <c r="AV447" i="1"/>
  <c r="AY450" i="1"/>
  <c r="AY140" i="1"/>
  <c r="AY73" i="1"/>
  <c r="AV434" i="1"/>
  <c r="AY434" i="1"/>
  <c r="AY231" i="1"/>
  <c r="AY488" i="1"/>
  <c r="AY96" i="1"/>
  <c r="AY350" i="1"/>
  <c r="AY410" i="1"/>
  <c r="AY423" i="1"/>
  <c r="AY4" i="1"/>
  <c r="AY28" i="1"/>
  <c r="AY26" i="1"/>
  <c r="AV167" i="1"/>
  <c r="AY167" i="1"/>
  <c r="AY370" i="1"/>
  <c r="AY467" i="1"/>
  <c r="AY86" i="1"/>
  <c r="AY178" i="1"/>
  <c r="AY219" i="1"/>
  <c r="AY74" i="1"/>
  <c r="AY87" i="1"/>
  <c r="AV435" i="1"/>
  <c r="AY435" i="1"/>
  <c r="AV202" i="1"/>
  <c r="AY202" i="1"/>
  <c r="AY205" i="1"/>
  <c r="AY356" i="1"/>
  <c r="AY426" i="1"/>
  <c r="AY456" i="1"/>
  <c r="AY89" i="1"/>
  <c r="AV436" i="1"/>
  <c r="AY436" i="1"/>
  <c r="AY68" i="1"/>
  <c r="AV203" i="1"/>
  <c r="AY203" i="1"/>
  <c r="AY206" i="1"/>
  <c r="AY364" i="1"/>
  <c r="AV378" i="1"/>
  <c r="AY240" i="1"/>
  <c r="AY246" i="1"/>
  <c r="AY252" i="1"/>
  <c r="AY264" i="1"/>
  <c r="AY276" i="1"/>
  <c r="AY339" i="1"/>
  <c r="AY411" i="1"/>
  <c r="AY424" i="1"/>
  <c r="AV457" i="1"/>
  <c r="AY371" i="1"/>
  <c r="AY188" i="1"/>
  <c r="AV190" i="1"/>
  <c r="AY190" i="1"/>
  <c r="AY473" i="1"/>
  <c r="AY439" i="1"/>
  <c r="AV32" i="1"/>
  <c r="AV69" i="1"/>
  <c r="AY69" i="1"/>
  <c r="AY204" i="1"/>
  <c r="AY367" i="1"/>
  <c r="AY379" i="1"/>
  <c r="AV154" i="1"/>
  <c r="AV191" i="1"/>
  <c r="AY191" i="1"/>
  <c r="AY150" i="1"/>
  <c r="AV383" i="1"/>
  <c r="AY383" i="1"/>
  <c r="AY70" i="1"/>
  <c r="AV112" i="1"/>
  <c r="AY112" i="1"/>
  <c r="AY207" i="1"/>
  <c r="AY241" i="1"/>
  <c r="AY253" i="1"/>
  <c r="AY265" i="1"/>
  <c r="AY277" i="1"/>
  <c r="AY425" i="1"/>
  <c r="AY465" i="1"/>
  <c r="AY382" i="1"/>
  <c r="AV169" i="1"/>
  <c r="AY169" i="1"/>
  <c r="AY75" i="1"/>
  <c r="AY166" i="1"/>
  <c r="AV92" i="1"/>
  <c r="AY92" i="1"/>
  <c r="AY71" i="1"/>
  <c r="AY117" i="1"/>
  <c r="AY208" i="1"/>
  <c r="AV446" i="1"/>
  <c r="AY446" i="1"/>
  <c r="AY369" i="1"/>
  <c r="AY381" i="1"/>
  <c r="AY62" i="1"/>
  <c r="AY403" i="1"/>
  <c r="AY469" i="1"/>
  <c r="AY481" i="1"/>
  <c r="AY404" i="1"/>
  <c r="AV145" i="1"/>
  <c r="AY199" i="1"/>
  <c r="AY18" i="1"/>
  <c r="AY55" i="1"/>
  <c r="AV110" i="1"/>
  <c r="AY345" i="1"/>
  <c r="AV181" i="1"/>
  <c r="AY440" i="1"/>
  <c r="AY85" i="1"/>
  <c r="AY183" i="1"/>
  <c r="AY195" i="1"/>
  <c r="AY452" i="1"/>
  <c r="AY133" i="1"/>
  <c r="AY237" i="1"/>
  <c r="AY273" i="1"/>
  <c r="AY415" i="1"/>
  <c r="AY453" i="1"/>
  <c r="AY49" i="1"/>
  <c r="AY63" i="1"/>
  <c r="AV346" i="1"/>
  <c r="AY48" i="1"/>
  <c r="AY249" i="1"/>
  <c r="AV156" i="1"/>
  <c r="AY50" i="1"/>
  <c r="AY360" i="1"/>
  <c r="AY372" i="1"/>
  <c r="AY238" i="1"/>
  <c r="AY416" i="1"/>
  <c r="AY428" i="1"/>
  <c r="AY6" i="1"/>
  <c r="AY427" i="1"/>
  <c r="AY170" i="1"/>
  <c r="AV157" i="1"/>
  <c r="AY12" i="1"/>
  <c r="AY361" i="1"/>
  <c r="AV171" i="1"/>
  <c r="AV193" i="1"/>
  <c r="AY470" i="1"/>
  <c r="AY239" i="1"/>
  <c r="AY251" i="1"/>
  <c r="AY263" i="1"/>
  <c r="AY159" i="1"/>
  <c r="AV111" i="1"/>
  <c r="AY223" i="1"/>
  <c r="AY51" i="1"/>
  <c r="AY135" i="1"/>
  <c r="AY211" i="1"/>
  <c r="AV363" i="1"/>
  <c r="AY347" i="1"/>
  <c r="AY30" i="1"/>
  <c r="AY275" i="1"/>
  <c r="AV377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4" i="1"/>
  <c r="AY259" i="1"/>
  <c r="AY235" i="1"/>
  <c r="AY451" i="1"/>
  <c r="AY212" i="1"/>
  <c r="AY61" i="1"/>
  <c r="AY468" i="1"/>
  <c r="AY143" i="1"/>
  <c r="AY408" i="1"/>
  <c r="AY20" i="1"/>
  <c r="AY250" i="1"/>
  <c r="AY368" i="1"/>
  <c r="AV176" i="1"/>
  <c r="AV433" i="1"/>
  <c r="AV158" i="1"/>
  <c r="AY158" i="1"/>
  <c r="AV177" i="1"/>
  <c r="AV218" i="1"/>
  <c r="AY218" i="1"/>
  <c r="AY14" i="1"/>
  <c r="AY52" i="1"/>
  <c r="AV66" i="1"/>
  <c r="AV281" i="1"/>
  <c r="AY160" i="1"/>
  <c r="AY417" i="1"/>
  <c r="AV4" i="1"/>
  <c r="AV28" i="1"/>
  <c r="AY67" i="1"/>
  <c r="AY224" i="1"/>
  <c r="AY373" i="1"/>
  <c r="AY32" i="1"/>
  <c r="AY155" i="1"/>
  <c r="AY111" i="1"/>
  <c r="AY262" i="1"/>
  <c r="AY412" i="1"/>
  <c r="AY72" i="1"/>
  <c r="AY229" i="1"/>
  <c r="AY380" i="1"/>
  <c r="AY138" i="1"/>
  <c r="AY99" i="1"/>
  <c r="AY80" i="1"/>
  <c r="AY409" i="1"/>
  <c r="AY65" i="1"/>
  <c r="AV172" i="1"/>
  <c r="AY172" i="1"/>
  <c r="AV198" i="1"/>
  <c r="AV16" i="1"/>
  <c r="AY53" i="1"/>
  <c r="AY232" i="1"/>
  <c r="AY442" i="1"/>
  <c r="AY79" i="1"/>
  <c r="AY46" i="1"/>
  <c r="AY466" i="1"/>
  <c r="AY274" i="1"/>
  <c r="AY477" i="1"/>
  <c r="AY362" i="1"/>
  <c r="AY443" i="1"/>
  <c r="AY458" i="1"/>
  <c r="AY186" i="1"/>
  <c r="AY179" i="1"/>
  <c r="AY374" i="1"/>
  <c r="AY163" i="1"/>
  <c r="AV199" i="1"/>
  <c r="AY220" i="1"/>
  <c r="AV55" i="1"/>
  <c r="AY97" i="1"/>
  <c r="AY418" i="1"/>
  <c r="AY441" i="1"/>
  <c r="AY58" i="1"/>
  <c r="AY214" i="1"/>
  <c r="AY363" i="1"/>
  <c r="AY471" i="1"/>
  <c r="AY144" i="1"/>
  <c r="AY438" i="1"/>
  <c r="AY386" i="1"/>
  <c r="AY338" i="1"/>
  <c r="AY489" i="1"/>
  <c r="AY281" i="1"/>
  <c r="AY201" i="1"/>
  <c r="AY66" i="1"/>
  <c r="AY91" i="1"/>
  <c r="AY405" i="1"/>
  <c r="AY149" i="1"/>
  <c r="AY209" i="1"/>
  <c r="AY221" i="1"/>
  <c r="AY76" i="1"/>
  <c r="AV444" i="1"/>
  <c r="AV223" i="1"/>
  <c r="AY258" i="1"/>
  <c r="AY377" i="1"/>
  <c r="AY335" i="1"/>
  <c r="AY156" i="1"/>
  <c r="AY449" i="1"/>
  <c r="AY413" i="1"/>
  <c r="AY355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40" i="1"/>
  <c r="AY270" i="1"/>
  <c r="AY421" i="1"/>
  <c r="AY81" i="1"/>
  <c r="AY236" i="1"/>
  <c r="AY348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72" i="1"/>
  <c r="AY145" i="1"/>
  <c r="AY444" i="1"/>
  <c r="AY271" i="1"/>
  <c r="AY247" i="1"/>
  <c r="AY16" i="1"/>
  <c r="AY198" i="1"/>
  <c r="AY100" i="1"/>
  <c r="AY257" i="1"/>
  <c r="AY136" i="1"/>
  <c r="AY184" i="1"/>
  <c r="AV343" i="1"/>
  <c r="AY40" i="1"/>
  <c r="AY88" i="1"/>
  <c r="AY242" i="1"/>
  <c r="AY254" i="1"/>
  <c r="AY266" i="1"/>
  <c r="AY278" i="1"/>
  <c r="AY445" i="1"/>
  <c r="AY260" i="1"/>
  <c r="AY378" i="1"/>
  <c r="AY34" i="1"/>
  <c r="AY192" i="1"/>
  <c r="AY157" i="1"/>
  <c r="AY406" i="1"/>
  <c r="AY419" i="1"/>
  <c r="AY116" i="1"/>
  <c r="AY45" i="1"/>
  <c r="AY118" i="1"/>
  <c r="AV146" i="1"/>
  <c r="AY146" i="1"/>
  <c r="AY196" i="1"/>
  <c r="AY137" i="1"/>
  <c r="AY185" i="1"/>
  <c r="AV344" i="1"/>
  <c r="AY357" i="1"/>
  <c r="AY457" i="1"/>
  <c r="AY119" i="1"/>
  <c r="AY272" i="1"/>
  <c r="AY82" i="1"/>
  <c r="AY171" i="1"/>
  <c r="AY455" i="1"/>
  <c r="AY346" i="1"/>
  <c r="AY39" i="1"/>
  <c r="AY256" i="1"/>
  <c r="AY139" i="1"/>
  <c r="AY344" i="1"/>
  <c r="AY217" i="1"/>
  <c r="AY197" i="1"/>
  <c r="AY430" i="1"/>
  <c r="AY113" i="1"/>
  <c r="AY358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1" i="1"/>
  <c r="AY114" i="1"/>
  <c r="AV359" i="1"/>
  <c r="AV371" i="1"/>
  <c r="AY154" i="1"/>
  <c r="AY447" i="1"/>
  <c r="AY110" i="1"/>
  <c r="AY261" i="1"/>
  <c r="AY228" i="1"/>
  <c r="AY193" i="1"/>
  <c r="AY189" i="1"/>
  <c r="AY422" i="1"/>
  <c r="AY165" i="1"/>
  <c r="AY420" i="1"/>
  <c r="AY175" i="1"/>
  <c r="AV456" i="1"/>
  <c r="AV54" i="1"/>
  <c r="AV432" i="1"/>
  <c r="AY64" i="1"/>
  <c r="AV115" i="1"/>
  <c r="AV360" i="1"/>
  <c r="AV372" i="1"/>
  <c r="AY454" i="1"/>
  <c r="AY168" i="1"/>
  <c r="AY120" i="1"/>
  <c r="AY433" i="1"/>
  <c r="AY407" i="1"/>
  <c r="AY343" i="1"/>
  <c r="AY77" i="1"/>
  <c r="AY432" i="1"/>
  <c r="AY177" i="1"/>
  <c r="AV65" i="1"/>
  <c r="AV159" i="1"/>
  <c r="AV219" i="1"/>
  <c r="AV53" i="1"/>
  <c r="AV442" i="1"/>
  <c r="AV220" i="1"/>
  <c r="AV76" i="1"/>
  <c r="AV440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5" i="1"/>
  <c r="AV204" i="1"/>
  <c r="AV217" i="1"/>
  <c r="AV12" i="1"/>
  <c r="AV205" i="1"/>
  <c r="AV75" i="1"/>
  <c r="AV33" i="1"/>
  <c r="AV22" i="1"/>
  <c r="AV207" i="1"/>
  <c r="AV368" i="1"/>
  <c r="AV380" i="1"/>
  <c r="AV216" i="1"/>
  <c r="AV64" i="1"/>
  <c r="AV34" i="1"/>
  <c r="AV59" i="1"/>
  <c r="AV208" i="1"/>
  <c r="AV355" i="1"/>
  <c r="AV369" i="1"/>
  <c r="AV381" i="1"/>
  <c r="AV233" i="1"/>
  <c r="AV74" i="1"/>
  <c r="AV60" i="1"/>
  <c r="AV356" i="1"/>
  <c r="AV370" i="1"/>
  <c r="AV382" i="1"/>
  <c r="AV10" i="1"/>
  <c r="AV86" i="1"/>
  <c r="AV231" i="1"/>
  <c r="AV403" i="1"/>
  <c r="AV87" i="1"/>
  <c r="AV404" i="1"/>
  <c r="AV452" i="1"/>
  <c r="AV36" i="1"/>
  <c r="AV341" i="1"/>
  <c r="AV438" i="1"/>
  <c r="AV357" i="1"/>
  <c r="AV48" i="1"/>
  <c r="AV62" i="1"/>
  <c r="AV345" i="1"/>
  <c r="AV113" i="1"/>
  <c r="AV358" i="1"/>
  <c r="AV489" i="1"/>
  <c r="AV230" i="1"/>
  <c r="AV14" i="1"/>
  <c r="AV488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4" i="1"/>
  <c r="AV45" i="1"/>
  <c r="AV71" i="1"/>
  <c r="AV117" i="1"/>
  <c r="AV431" i="1"/>
  <c r="AV46" i="1"/>
  <c r="AV119" i="1"/>
  <c r="AV430" i="1"/>
  <c r="AV196" i="1"/>
  <c r="AV47" i="1"/>
  <c r="AV226" i="1"/>
  <c r="AV83" i="1"/>
  <c r="AV197" i="1"/>
  <c r="AV227" i="1"/>
  <c r="AV144" i="1"/>
  <c r="AV443" i="1"/>
  <c r="AV364" i="1"/>
  <c r="AV439" i="1"/>
  <c r="AV367" i="1"/>
  <c r="AV141" i="1"/>
  <c r="AV175" i="1"/>
  <c r="AV188" i="1"/>
  <c r="AV229" i="1"/>
  <c r="AV72" i="1"/>
  <c r="AV200" i="1"/>
  <c r="AV361" i="1"/>
  <c r="AV373" i="1"/>
  <c r="AV73" i="1"/>
  <c r="AV201" i="1"/>
  <c r="AV362" i="1"/>
  <c r="AV374" i="1"/>
  <c r="AV178" i="1"/>
  <c r="AV67" i="1"/>
  <c r="AV189" i="1"/>
  <c r="AV163" i="1"/>
  <c r="AV179" i="1"/>
  <c r="AV89" i="1"/>
  <c r="AV18" i="1"/>
  <c r="AV68" i="1"/>
  <c r="AV206" i="1"/>
  <c r="AV90" i="1"/>
  <c r="AV20" i="1"/>
  <c r="AV379" i="1"/>
  <c r="AV77" i="1"/>
  <c r="AV91" i="1"/>
  <c r="AV445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1" i="1"/>
  <c r="AV221" i="1"/>
  <c r="AV174" i="1"/>
  <c r="AV170" i="1"/>
  <c r="AY448" i="1" l="1"/>
  <c r="AV448" i="1"/>
  <c r="AY180" i="1"/>
  <c r="AV180" i="1"/>
  <c r="AY187" i="1"/>
  <c r="AV187" i="1"/>
</calcChain>
</file>

<file path=xl/sharedStrings.xml><?xml version="1.0" encoding="utf-8"?>
<sst xmlns="http://schemas.openxmlformats.org/spreadsheetml/2006/main" count="7863" uniqueCount="1537">
  <si>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</si>
  <si>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</si>
  <si>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</si>
  <si>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</si>
  <si>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</si>
  <si>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</si>
  <si>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</si>
  <si>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</si>
  <si>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</si>
  <si>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</si>
  <si>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</si>
  <si>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</si>
  <si>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</si>
  <si>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</si>
  <si>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</si>
  <si>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</si>
  <si>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</si>
  <si>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</si>
  <si>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</si>
  <si>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</si>
  <si>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</si>
  <si>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</si>
  <si>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</si>
  <si>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</si>
  <si>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</si>
  <si>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</si>
  <si>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</si>
  <si>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</si>
  <si>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</si>
  <si>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</si>
  <si>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</si>
  <si>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</si>
  <si>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</si>
  <si>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</si>
  <si>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</si>
  <si>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</si>
  <si>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</si>
  <si>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</si>
  <si>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</si>
  <si>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</si>
  <si>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</si>
  <si>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</si>
  <si>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</si>
  <si>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</si>
  <si>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</si>
  <si>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</si>
  <si>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</si>
  <si>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</si>
  <si>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</si>
  <si>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</si>
  <si>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</si>
  <si>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</si>
  <si>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</si>
  <si>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</si>
  <si>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</si>
  <si>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</si>
  <si>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</si>
  <si>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</si>
  <si>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</si>
  <si>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</si>
  <si>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</si>
  <si>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</si>
  <si>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</si>
  <si>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</si>
  <si>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</si>
  <si>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</si>
  <si>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</si>
  <si>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</si>
  <si>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</si>
  <si>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</si>
  <si>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</si>
  <si>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</si>
  <si>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</si>
  <si>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</si>
  <si>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</si>
  <si>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</si>
  <si>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</si>
  <si>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</si>
  <si>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</si>
  <si>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</si>
  <si>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</si>
  <si>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</si>
  <si>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</si>
  <si>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</si>
  <si>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</si>
  <si>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</si>
  <si>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</si>
  <si>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</si>
  <si>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</si>
  <si>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</si>
  <si>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</si>
  <si>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</si>
  <si>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</si>
  <si>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</si>
  <si>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</si>
  <si>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</si>
  <si>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</si>
  <si>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</si>
  <si>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</si>
  <si>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</si>
  <si>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</si>
  <si>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</si>
  <si>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</si>
  <si>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</si>
  <si>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</si>
  <si>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</si>
  <si>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</si>
  <si>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</si>
  <si>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</si>
  <si>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</si>
  <si>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</si>
  <si>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</si>
  <si>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</si>
  <si>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</si>
  <si>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</si>
  <si>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</si>
  <si>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</si>
  <si>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</si>
  <si>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</si>
  <si>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</si>
  <si>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</si>
  <si>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</si>
  <si>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</si>
  <si>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</si>
  <si>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</si>
  <si>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</si>
  <si>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</si>
  <si>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</si>
  <si>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</si>
  <si>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</si>
  <si>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</si>
  <si>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</si>
  <si>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</si>
  <si>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</si>
  <si>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</si>
  <si>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</si>
  <si>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</si>
  <si>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</si>
  <si>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</si>
  <si>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</si>
  <si>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</si>
  <si>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</si>
  <si>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</si>
  <si>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</si>
  <si>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</si>
  <si>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</si>
  <si>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</si>
  <si>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</si>
  <si>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</si>
  <si>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</si>
  <si>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</si>
  <si>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</si>
  <si>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</si>
  <si>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</si>
  <si>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</si>
  <si>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</si>
  <si>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</si>
  <si>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</si>
  <si>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</si>
  <si>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</si>
  <si>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</si>
  <si>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</si>
  <si>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</si>
  <si>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</si>
  <si>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</si>
  <si>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</si>
  <si>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</si>
  <si>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</si>
  <si>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</si>
  <si>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</si>
  <si>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</si>
  <si>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</si>
  <si>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</si>
  <si>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</si>
  <si>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</si>
  <si>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</si>
  <si>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</si>
  <si>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</si>
  <si>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</si>
  <si>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</si>
  <si>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</si>
  <si>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</si>
  <si>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</si>
  <si>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</si>
  <si>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</si>
  <si>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</si>
  <si>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</si>
  <si>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</si>
  <si>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</si>
  <si>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</si>
  <si>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</si>
  <si>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</si>
  <si>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</si>
  <si>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</si>
  <si>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</si>
  <si>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</si>
  <si>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</si>
  <si>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</si>
  <si>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</si>
  <si>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</si>
  <si>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</si>
  <si>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</si>
  <si>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</si>
  <si>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</si>
  <si>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</si>
  <si>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</si>
  <si>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</si>
  <si>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</si>
  <si>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</si>
  <si>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</si>
  <si>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</si>
  <si>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</si>
  <si>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</si>
  <si>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</si>
  <si>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</si>
  <si>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</si>
  <si>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</si>
  <si>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</si>
  <si>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</si>
  <si>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</si>
  <si>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</si>
  <si>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</si>
  <si>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</si>
  <si>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</si>
  <si>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</si>
  <si>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</si>
  <si>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</si>
  <si>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</si>
  <si>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</si>
  <si>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</si>
  <si>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</si>
  <si>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</si>
  <si>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</si>
  <si>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</si>
  <si>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</si>
  <si>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</si>
  <si>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</si>
  <si>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</si>
  <si>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</si>
  <si>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</si>
  <si>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</si>
  <si>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</si>
  <si>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</si>
  <si>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</si>
  <si>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</si>
  <si>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</si>
  <si>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</si>
  <si>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</si>
  <si>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</si>
  <si>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</si>
  <si>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</si>
  <si>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</si>
  <si>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</si>
  <si>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</si>
  <si>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</si>
  <si>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</si>
  <si>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</si>
  <si>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</si>
  <si>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</si>
  <si>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</si>
  <si>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</si>
  <si>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</si>
  <si>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</si>
  <si>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</si>
  <si>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</si>
  <si>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</si>
  <si>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</si>
  <si>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</si>
  <si>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</si>
  <si>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</si>
  <si>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</si>
  <si>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</si>
  <si>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</si>
  <si>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</si>
  <si>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</si>
  <si>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</si>
  <si>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</si>
  <si>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</si>
  <si>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</si>
  <si>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</si>
  <si>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</si>
  <si>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</si>
  <si>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</si>
  <si>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</si>
  <si>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</si>
  <si>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</si>
  <si>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</si>
  <si>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</si>
  <si>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</si>
  <si>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</si>
  <si>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</si>
  <si>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</si>
  <si>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</si>
  <si>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</si>
  <si>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</si>
  <si>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</si>
  <si>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</si>
  <si>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</si>
  <si>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</si>
  <si>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</si>
  <si>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</si>
  <si>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</si>
  <si>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</si>
  <si>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</si>
  <si>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</si>
  <si>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</si>
  <si>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</si>
  <si>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</si>
  <si>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</si>
  <si>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</si>
  <si>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</si>
  <si>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</si>
  <si>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</si>
  <si>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</si>
  <si>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</si>
  <si>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</si>
  <si>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</si>
  <si>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</si>
  <si>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</si>
  <si>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</si>
  <si>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</si>
  <si>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</si>
  <si>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</si>
  <si>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</si>
  <si>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</si>
  <si>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</si>
  <si>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</si>
  <si>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</si>
  <si>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</si>
  <si>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</si>
  <si>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</si>
  <si>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</si>
  <si>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</si>
  <si>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</si>
  <si>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</si>
  <si>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</si>
  <si>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</si>
  <si>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</si>
  <si>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</si>
  <si>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</si>
  <si>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</si>
  <si>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</si>
  <si>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</si>
  <si>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</si>
  <si>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</si>
  <si>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</si>
  <si>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</si>
  <si>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</si>
  <si>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</si>
  <si>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</si>
  <si>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</si>
  <si>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</si>
  <si>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</si>
  <si>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</si>
  <si>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</si>
  <si>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</si>
  <si>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</si>
  <si>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</si>
  <si>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</si>
  <si>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</si>
  <si>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</si>
  <si>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</si>
  <si>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</si>
  <si>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</si>
  <si>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</si>
  <si>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</si>
  <si>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</si>
  <si>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</si>
  <si>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</si>
  <si>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</si>
  <si>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</si>
  <si>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</si>
  <si>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</si>
  <si>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</si>
  <si>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</si>
  <si>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</si>
  <si>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</si>
  <si>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</si>
  <si>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</si>
  <si>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</si>
  <si>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</si>
  <si>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</si>
  <si>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</si>
  <si>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</si>
  <si>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</si>
  <si>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</si>
  <si>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</si>
  <si>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</si>
  <si>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</si>
  <si>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</si>
  <si>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</si>
  <si>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</si>
  <si>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</si>
  <si>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</si>
  <si>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</si>
  <si>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</si>
  <si>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</si>
  <si>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</si>
  <si>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</si>
  <si>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</si>
  <si>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</si>
  <si>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</si>
  <si>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</si>
  <si>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</si>
  <si>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</si>
  <si>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</si>
  <si>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</si>
  <si>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</si>
  <si>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</si>
  <si>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</si>
  <si>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</si>
  <si>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</si>
  <si>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</si>
  <si>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</si>
  <si>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</si>
  <si>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</si>
  <si>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</si>
  <si>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</si>
  <si>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</si>
  <si>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</si>
  <si>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</si>
  <si>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</si>
  <si>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</si>
  <si>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</si>
  <si>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</si>
  <si>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</si>
  <si>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</si>
  <si>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</si>
  <si>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</si>
  <si>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</si>
  <si>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</si>
  <si>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</si>
  <si>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</si>
  <si>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</si>
  <si>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</si>
  <si>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</si>
  <si>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</si>
  <si>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</si>
  <si>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</si>
  <si>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</si>
  <si>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</si>
  <si>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</si>
  <si>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</si>
  <si>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</si>
  <si>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</si>
  <si>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</si>
  <si>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</si>
  <si>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</si>
  <si>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</si>
  <si>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</si>
  <si>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</si>
  <si>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</si>
  <si>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</si>
  <si>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</si>
  <si>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</si>
  <si>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</si>
  <si>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</si>
  <si>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</si>
  <si>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</si>
  <si>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</si>
  <si>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</si>
  <si>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</si>
  <si>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</si>
  <si>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</si>
  <si>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</si>
  <si>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</si>
  <si>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</si>
  <si>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</si>
  <si>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</si>
  <si>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</si>
  <si>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</si>
  <si>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</si>
  <si>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</si>
  <si>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</si>
  <si>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</si>
  <si>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</si>
  <si>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</si>
  <si>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</si>
  <si>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</si>
  <si>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</si>
  <si>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</si>
  <si>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</si>
  <si>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</si>
  <si>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</si>
  <si>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</si>
  <si>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</si>
  <si>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</si>
  <si>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</si>
  <si>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</si>
  <si>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</si>
  <si>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</si>
  <si>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</si>
  <si>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</si>
  <si>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</si>
  <si>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</si>
  <si>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</si>
  <si>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</si>
  <si>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</si>
  <si>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</si>
  <si>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</si>
  <si>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</si>
  <si>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</si>
  <si>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</si>
  <si>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</si>
  <si>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</si>
  <si>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</si>
  <si>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</si>
  <si>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</si>
  <si>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</si>
  <si>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</si>
  <si>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</si>
  <si>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</si>
  <si>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</si>
  <si>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</si>
  <si>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</si>
  <si>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</si>
  <si>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</si>
  <si>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</si>
  <si>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</si>
  <si>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</si>
  <si>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</si>
  <si>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</si>
  <si>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</si>
  <si>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</si>
  <si>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</si>
  <si>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</si>
  <si>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</si>
  <si>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</si>
  <si>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</si>
  <si>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</si>
  <si>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</si>
  <si>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</si>
  <si>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</si>
  <si>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</si>
  <si>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</si>
  <si>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</si>
  <si>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</si>
  <si>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</si>
  <si>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</si>
  <si>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</si>
  <si>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</si>
  <si>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</si>
  <si>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</si>
  <si>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</si>
  <si>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</si>
  <si>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</si>
  <si>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</si>
  <si>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</si>
  <si>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</si>
  <si>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</si>
  <si>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</si>
  <si>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</si>
  <si>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</si>
  <si>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</si>
  <si>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</si>
  <si>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</si>
  <si>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</si>
  <si>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</si>
  <si>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</si>
  <si>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</si>
  <si>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</si>
  <si>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</si>
  <si>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</si>
  <si>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</si>
  <si>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</si>
  <si>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</si>
  <si>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</si>
  <si>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</si>
  <si>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</si>
  <si>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</si>
  <si>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</si>
  <si>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</si>
  <si>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</si>
  <si>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</si>
  <si>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</si>
  <si>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</si>
  <si>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</si>
  <si>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</si>
  <si>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</si>
  <si>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</si>
  <si>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</si>
  <si>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</si>
  <si>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</si>
  <si>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</si>
  <si>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</si>
  <si>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</si>
  <si>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</si>
  <si>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</si>
  <si>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</si>
  <si>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</si>
  <si>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</si>
  <si>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</si>
  <si>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</si>
  <si>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</si>
  <si>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</si>
  <si>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</si>
  <si>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</si>
  <si>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</si>
  <si>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</si>
  <si>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</si>
  <si>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</si>
  <si>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</si>
  <si>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</si>
  <si>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</si>
  <si>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</si>
  <si>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</si>
  <si>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</si>
  <si>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</si>
  <si>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</si>
  <si>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</si>
  <si>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</si>
  <si>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</si>
  <si>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</si>
  <si>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</si>
  <si>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</si>
  <si>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</si>
  <si>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</si>
  <si>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</si>
  <si>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</si>
  <si>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</si>
  <si>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</si>
  <si>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</si>
  <si>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</si>
  <si>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</si>
  <si>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</si>
  <si>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</si>
  <si>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</si>
  <si>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</si>
  <si>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</si>
  <si>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</si>
  <si>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</si>
  <si>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</si>
  <si>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</si>
  <si>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</si>
  <si>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</si>
  <si>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</si>
  <si>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</si>
  <si>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</si>
  <si>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</si>
  <si>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</si>
  <si>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</si>
  <si>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</si>
  <si>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</si>
  <si>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</si>
  <si>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</si>
  <si>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</si>
  <si>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</si>
  <si>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</si>
  <si>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</si>
  <si>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</si>
  <si>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</si>
  <si>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</si>
  <si>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</si>
  <si>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</si>
  <si>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</si>
  <si>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</si>
  <si>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</si>
  <si>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</si>
  <si>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</si>
  <si>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</si>
  <si>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</si>
  <si>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</si>
  <si>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</si>
  <si>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</si>
  <si>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</si>
  <si>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</si>
  <si>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</si>
  <si>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</si>
  <si>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</si>
  <si>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</si>
  <si>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</si>
  <si>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</si>
  <si>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</si>
  <si>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</si>
  <si>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</si>
  <si>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</si>
  <si>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</si>
  <si>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</si>
  <si>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</si>
  <si>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</si>
  <si>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</si>
  <si>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</si>
  <si>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</si>
  <si>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</si>
  <si>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</si>
  <si>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</si>
  <si>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</si>
  <si>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</si>
  <si>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</si>
  <si>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</si>
  <si>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</si>
  <si>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</si>
  <si>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</si>
  <si>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</si>
  <si>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</si>
  <si>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</si>
  <si>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</si>
  <si>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</si>
  <si>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</si>
  <si>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</si>
  <si>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</si>
  <si>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</si>
  <si>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</si>
  <si>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</si>
  <si>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</si>
  <si>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</si>
  <si>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</si>
  <si>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</si>
  <si>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</si>
  <si>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</si>
  <si>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</si>
  <si>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</si>
  <si>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</si>
  <si>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</si>
  <si>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</si>
  <si>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</si>
  <si>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</si>
  <si>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</si>
  <si>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</si>
  <si>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</si>
  <si>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</si>
  <si>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</si>
  <si>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</si>
  <si>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</si>
  <si>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</si>
  <si>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</si>
  <si>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</si>
  <si>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</si>
  <si>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</si>
  <si>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</si>
  <si>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</si>
  <si>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</si>
  <si>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</si>
  <si>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</si>
  <si>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</si>
  <si>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</si>
  <si>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</si>
  <si>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</si>
  <si>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</si>
  <si>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</si>
  <si>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</si>
  <si>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</si>
  <si>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</si>
  <si>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</si>
  <si>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</si>
  <si>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</si>
  <si>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</si>
  <si>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</si>
  <si>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</si>
  <si>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</si>
  <si>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</si>
  <si>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</si>
  <si>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</si>
  <si>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</si>
  <si>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</si>
  <si>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</si>
  <si>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</si>
  <si>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</si>
  <si>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</si>
  <si>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</si>
  <si>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</si>
  <si>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</si>
  <si>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</si>
  <si>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</si>
  <si>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</si>
  <si>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</si>
  <si>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</si>
  <si>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</si>
  <si>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</si>
  <si>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</si>
  <si>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</si>
  <si>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</si>
  <si>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</si>
  <si>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</si>
  <si>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</si>
  <si>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</si>
  <si>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</si>
  <si>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</si>
  <si>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</si>
  <si>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</si>
  <si>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</si>
  <si>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</si>
  <si>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</si>
  <si>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</si>
  <si>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</si>
  <si>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</si>
  <si>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</si>
  <si>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</si>
  <si>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</si>
  <si>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</si>
  <si>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</si>
  <si>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</si>
  <si>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</si>
  <si>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</si>
  <si>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</si>
  <si>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</si>
  <si>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</si>
  <si>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</si>
  <si>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</si>
  <si>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</si>
  <si>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</si>
  <si>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</si>
  <si>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</si>
  <si>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</si>
  <si>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</si>
  <si>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</si>
  <si>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</si>
  <si>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</si>
  <si>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</si>
  <si>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</si>
  <si>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</si>
  <si>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</si>
  <si>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</si>
  <si>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</si>
  <si>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</si>
  <si>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</si>
  <si>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</si>
  <si>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</si>
  <si>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</si>
  <si>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</si>
  <si>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</si>
  <si>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</si>
  <si>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</si>
  <si>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</si>
  <si>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</si>
  <si>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</si>
  <si>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</si>
  <si>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</si>
  <si>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</si>
  <si>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</si>
  <si>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</si>
  <si>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</si>
  <si>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</si>
  <si>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</si>
  <si>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</si>
  <si>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</si>
  <si>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</si>
  <si>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</si>
  <si>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</si>
  <si>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</si>
  <si>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</si>
  <si>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</si>
  <si>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</si>
  <si>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</si>
  <si>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</si>
  <si>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</si>
  <si>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</si>
  <si>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</si>
  <si>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</si>
  <si>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</si>
  <si>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</si>
  <si>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</si>
  <si>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</si>
  <si>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</si>
  <si>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</si>
  <si>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</si>
  <si>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</si>
  <si>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</si>
  <si>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</si>
  <si>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</si>
  <si>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</si>
  <si>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</si>
  <si>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</si>
  <si>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</si>
  <si>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</si>
  <si>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</si>
  <si>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</si>
  <si>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</si>
  <si>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</si>
  <si>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</si>
  <si>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</si>
  <si>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</si>
  <si>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</si>
  <si>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</si>
  <si>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</si>
  <si>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</si>
  <si>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</si>
  <si>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</si>
  <si>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</si>
  <si>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</si>
  <si>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</si>
  <si>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</si>
  <si>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</si>
  <si>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</si>
  <si>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</si>
  <si>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</si>
  <si>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</si>
  <si>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</si>
  <si>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</si>
  <si>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</si>
  <si>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</si>
  <si>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</si>
  <si>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</si>
  <si>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</si>
  <si>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</si>
  <si>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</si>
  <si>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</si>
  <si>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</si>
  <si>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</si>
  <si>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</si>
  <si>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</si>
  <si>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</si>
  <si>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</si>
  <si>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</si>
  <si>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</si>
  <si>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</si>
  <si>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</si>
  <si>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</si>
  <si>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</si>
  <si>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</si>
  <si>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</si>
  <si>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</si>
  <si>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</si>
  <si>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</si>
  <si>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</si>
  <si>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</si>
  <si>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</si>
  <si>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</si>
  <si>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</si>
  <si>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</si>
  <si>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</si>
  <si>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</si>
  <si>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</si>
  <si>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</si>
  <si>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</si>
  <si>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</si>
  <si>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</si>
  <si>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</si>
  <si>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</si>
  <si>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</si>
  <si>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</si>
  <si>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</si>
  <si>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</si>
  <si>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</si>
  <si>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</si>
  <si>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</si>
  <si>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</si>
  <si>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</si>
  <si>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</si>
  <si>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</si>
  <si>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</si>
  <si>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</si>
  <si>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</si>
  <si>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</si>
  <si>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</si>
  <si>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</si>
  <si>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</si>
  <si>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</si>
  <si>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</si>
  <si>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</si>
  <si>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</si>
  <si>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</si>
  <si>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</si>
  <si>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</si>
  <si>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</si>
  <si>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</si>
  <si>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</si>
  <si>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</si>
  <si>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</si>
  <si>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</si>
  <si>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</si>
  <si>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</si>
  <si>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</si>
  <si>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</si>
  <si>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</si>
  <si>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</si>
  <si>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</si>
  <si>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</si>
  <si>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</si>
  <si>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</si>
  <si>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</si>
  <si>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</si>
  <si>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</si>
  <si>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</si>
  <si>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</si>
  <si>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</si>
  <si>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</si>
  <si>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</si>
  <si>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</si>
  <si>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</si>
  <si>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</si>
  <si>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</si>
  <si>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</si>
  <si>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</si>
  <si>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</si>
  <si>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</si>
  <si>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</si>
  <si>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</si>
  <si>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</si>
  <si>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</si>
  <si>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</si>
  <si>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</si>
  <si>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</si>
  <si>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</si>
  <si>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</si>
  <si>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</si>
  <si>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</si>
  <si>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</si>
  <si>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</si>
  <si>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</si>
  <si>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</si>
  <si>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</si>
  <si>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</si>
  <si>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</si>
  <si>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</si>
  <si>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</si>
  <si>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</si>
  <si>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</si>
  <si>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</si>
  <si>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</si>
  <si>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</si>
  <si>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</si>
  <si>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</si>
  <si>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</si>
  <si>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</si>
  <si>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</si>
  <si>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</si>
  <si>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</si>
  <si>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</si>
  <si>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</si>
  <si>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</si>
  <si>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</si>
  <si>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</si>
  <si>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</si>
  <si>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</si>
  <si>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</si>
  <si>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</si>
  <si>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</si>
  <si>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</si>
  <si>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</si>
  <si>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</si>
  <si>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</si>
  <si>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</si>
  <si>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</si>
  <si>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</si>
  <si>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</si>
  <si>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</si>
  <si>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</si>
  <si>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</si>
  <si>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</si>
  <si>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</si>
  <si>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</si>
  <si>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</si>
  <si>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</si>
  <si>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</si>
  <si>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</si>
  <si>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</si>
  <si>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</si>
  <si>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</si>
  <si>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</si>
  <si>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</si>
  <si>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</si>
  <si>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</si>
  <si>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</si>
  <si>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</si>
  <si>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</si>
  <si>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</si>
  <si>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</si>
  <si>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</si>
  <si>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</si>
  <si>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</si>
  <si>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</si>
  <si>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</si>
  <si>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</si>
  <si>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</si>
  <si>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</si>
  <si>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</si>
  <si>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</si>
  <si>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</si>
  <si>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</si>
  <si>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</si>
  <si>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</si>
  <si>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</si>
  <si>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</si>
  <si>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</si>
  <si>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</si>
  <si>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</si>
  <si>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</si>
  <si>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</si>
  <si>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</si>
  <si>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</si>
  <si>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</si>
  <si>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</si>
  <si>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</si>
  <si>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</si>
  <si>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</si>
  <si>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</si>
  <si>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</si>
  <si>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</si>
  <si>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</si>
  <si>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</si>
  <si>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</si>
  <si>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</si>
  <si>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</si>
  <si>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</si>
  <si>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</si>
  <si>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</si>
  <si>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</si>
  <si>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</si>
  <si>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</si>
  <si>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</si>
  <si>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</si>
  <si>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</si>
  <si>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</si>
  <si>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</si>
  <si>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</si>
  <si>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</si>
  <si>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</si>
  <si>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</si>
  <si>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</si>
  <si>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</si>
  <si>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</si>
  <si>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</si>
  <si>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</si>
  <si>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</si>
  <si>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</si>
  <si>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</si>
  <si>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</si>
  <si>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</si>
  <si>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</si>
  <si>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</si>
  <si>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</si>
  <si>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</si>
  <si>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</si>
  <si>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</si>
  <si>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</si>
  <si>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</si>
  <si>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</si>
  <si>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</si>
  <si>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</si>
  <si>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</si>
  <si>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</si>
  <si>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</si>
  <si>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</si>
  <si>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</si>
  <si>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</si>
  <si>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</si>
  <si>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</si>
  <si>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</si>
  <si>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</si>
  <si>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</si>
  <si>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</si>
  <si>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</si>
  <si>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</si>
  <si>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</si>
  <si>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</si>
  <si>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</si>
  <si>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</si>
  <si>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</si>
  <si>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</si>
  <si>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</si>
  <si>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</si>
  <si>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</si>
  <si>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</si>
  <si>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</si>
  <si>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</si>
  <si>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</si>
  <si>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</si>
  <si>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</si>
  <si>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</si>
  <si>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</si>
  <si>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</si>
  <si>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</si>
  <si>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</si>
  <si>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</si>
  <si>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</si>
  <si>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</si>
  <si>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</si>
  <si>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</si>
  <si>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</si>
  <si>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</si>
  <si>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</si>
  <si>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</si>
  <si>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</si>
  <si>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</si>
  <si>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</si>
  <si>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</si>
  <si>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</si>
  <si>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</si>
  <si>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</si>
  <si>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</si>
  <si>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</si>
  <si>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</si>
  <si>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</si>
  <si>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</si>
  <si>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</si>
  <si>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</si>
  <si>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</si>
  <si>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</si>
  <si>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</si>
  <si>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</si>
  <si>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</si>
  <si>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</si>
  <si>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</si>
  <si>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</si>
  <si>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</si>
  <si>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</si>
  <si>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</si>
  <si>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</si>
  <si>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</si>
  <si>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</si>
  <si>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</si>
  <si>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</si>
  <si>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</si>
  <si>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</si>
  <si>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</si>
  <si>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</si>
  <si>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</si>
  <si>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</si>
  <si>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</si>
  <si>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</si>
  <si>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</si>
  <si>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</si>
  <si>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</si>
  <si>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</si>
  <si>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</si>
  <si>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</si>
  <si>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</si>
  <si>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</si>
  <si>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</si>
  <si>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</si>
  <si>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</si>
  <si>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</si>
  <si>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</si>
  <si>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</si>
  <si>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</si>
  <si>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</si>
  <si>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</si>
  <si>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</si>
  <si>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</si>
  <si>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</si>
  <si>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</si>
  <si>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</si>
  <si>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</si>
  <si>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</si>
  <si>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</si>
  <si>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</si>
  <si>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</si>
  <si>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</si>
  <si>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</si>
  <si>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</si>
  <si>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</si>
  <si>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</si>
  <si>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</si>
  <si>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</si>
  <si>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</si>
  <si>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</si>
  <si>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</si>
  <si>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</si>
  <si>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</si>
  <si>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</si>
  <si>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</si>
  <si>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</si>
  <si>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</si>
  <si>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</si>
  <si>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</si>
  <si>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</si>
  <si>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</si>
  <si>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</si>
  <si>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</si>
  <si>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</si>
  <si>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</si>
  <si>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</si>
  <si>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</si>
  <si>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</si>
  <si>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</si>
  <si>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</si>
  <si>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</si>
  <si>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</si>
  <si>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</si>
  <si>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</si>
  <si>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</si>
  <si>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</si>
  <si>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</si>
  <si>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</si>
  <si>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</si>
  <si>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</si>
  <si>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</si>
  <si>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</si>
  <si>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</si>
  <si>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</si>
  <si>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</si>
  <si>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</si>
  <si>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</si>
  <si>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</si>
  <si>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</si>
  <si>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</si>
  <si>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</si>
  <si>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</si>
  <si>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</si>
  <si>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</si>
  <si>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</si>
  <si>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</si>
  <si>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</si>
  <si>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</si>
  <si>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</si>
  <si>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</si>
  <si>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</si>
  <si>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</si>
  <si>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</si>
  <si>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</si>
  <si>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</si>
  <si>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</si>
  <si>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</si>
  <si>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</si>
  <si>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</si>
  <si>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</si>
  <si>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</si>
  <si>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</si>
  <si>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</si>
  <si>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</si>
  <si>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</si>
  <si>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</si>
  <si>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</si>
  <si>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</si>
  <si>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</si>
  <si>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</si>
  <si>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</si>
  <si>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</si>
  <si>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</si>
  <si>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</si>
  <si>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</si>
  <si>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</si>
  <si>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</si>
  <si>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</si>
  <si>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</si>
  <si>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</si>
  <si>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</si>
  <si>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</si>
  <si>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</si>
  <si>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</si>
  <si>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</si>
  <si>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</si>
  <si>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</si>
  <si>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</si>
  <si>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</si>
  <si>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</si>
  <si>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</si>
  <si>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</si>
  <si>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</si>
  <si>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</si>
  <si>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</si>
  <si>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</si>
  <si>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</si>
  <si>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</si>
  <si>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</si>
  <si>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</si>
  <si>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</si>
  <si>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</si>
  <si>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</si>
  <si>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</si>
  <si>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</si>
  <si>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</si>
  <si>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</si>
  <si>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</si>
  <si>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</si>
  <si>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</si>
  <si>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</si>
  <si>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</si>
  <si>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</si>
  <si>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</si>
  <si>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</si>
  <si>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</si>
  <si>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</si>
  <si>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</si>
  <si>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</si>
  <si>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</si>
  <si>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</si>
  <si>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</si>
  <si>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</si>
  <si>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</si>
  <si>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</si>
  <si>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</si>
  <si>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</si>
  <si>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</si>
  <si>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</si>
  <si>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</si>
  <si>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</si>
  <si>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</si>
  <si>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</si>
  <si>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</si>
  <si>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</si>
  <si>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</si>
  <si>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</si>
  <si>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</si>
  <si>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</si>
  <si>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</si>
  <si>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</si>
  <si>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</si>
  <si>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</si>
  <si>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</si>
  <si>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</si>
  <si>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</si>
  <si>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</si>
  <si>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</si>
  <si>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</si>
  <si>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</si>
  <si>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</si>
  <si>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</si>
  <si>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</si>
  <si>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</si>
  <si>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</si>
  <si>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</si>
  <si>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</si>
  <si>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</si>
  <si>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</si>
  <si>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</si>
  <si>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</si>
  <si>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</si>
  <si>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</si>
  <si>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</si>
  <si>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</si>
  <si>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</si>
  <si>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</si>
  <si>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</si>
  <si>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</si>
  <si>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</si>
  <si>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</si>
  <si>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</si>
  <si>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</si>
  <si>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</si>
  <si>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</si>
  <si>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</si>
  <si>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</si>
  <si>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</si>
  <si>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</si>
  <si>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</si>
  <si>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</si>
  <si>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</si>
  <si>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</si>
  <si>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</si>
  <si>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</si>
  <si>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</si>
  <si>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</si>
  <si>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</si>
  <si>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</si>
  <si>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</si>
  <si>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</si>
  <si>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</si>
  <si>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</si>
  <si>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</si>
  <si>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</si>
  <si>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</si>
  <si>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</si>
  <si>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</si>
  <si>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</si>
  <si>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</si>
  <si>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</si>
  <si>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</si>
  <si>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</si>
  <si>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</si>
  <si>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</si>
  <si>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</si>
  <si>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</si>
  <si>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</si>
  <si>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</si>
  <si>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</si>
  <si>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</si>
  <si>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</si>
  <si>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</si>
  <si>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</si>
  <si>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</si>
  <si>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</si>
  <si>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</si>
  <si>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</si>
  <si>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</si>
  <si>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</si>
  <si>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</si>
  <si>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</si>
  <si>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</si>
  <si>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</si>
  <si>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</si>
  <si>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</si>
  <si>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</si>
  <si>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</si>
  <si>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</si>
  <si>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</si>
  <si>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</si>
  <si>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</si>
  <si>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</si>
  <si>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</si>
  <si>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</si>
  <si>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</si>
  <si>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</si>
  <si>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</si>
  <si>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</si>
  <si>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</si>
  <si>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</si>
  <si>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</si>
  <si>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</si>
  <si>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</si>
  <si>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</si>
  <si>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</si>
  <si>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</si>
  <si>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</si>
  <si>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</si>
  <si>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</si>
  <si>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</si>
  <si>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</si>
  <si>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</si>
  <si>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</si>
  <si>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</si>
  <si>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</si>
  <si>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</si>
  <si>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</si>
  <si>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</si>
  <si>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</si>
  <si>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</si>
  <si>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</si>
  <si>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</si>
  <si>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</si>
  <si>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</si>
  <si>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</si>
  <si>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</si>
  <si>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</si>
  <si>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</si>
  <si>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</si>
  <si>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</si>
  <si>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</si>
  <si>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</si>
  <si>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</si>
  <si>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</si>
  <si>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</si>
  <si>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</si>
  <si>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</si>
  <si>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</si>
  <si>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</si>
  <si>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</si>
  <si>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</si>
  <si>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</si>
  <si>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</si>
  <si>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host_mad</t>
  </si>
  <si>
    <t>Host Status</t>
  </si>
  <si>
    <t>host_max</t>
  </si>
  <si>
    <t>host_may</t>
  </si>
  <si>
    <t>host_meg</t>
  </si>
  <si>
    <t>host_jen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</si>
</sst>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5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9" totalsRowShown="0" headerRowDxfId="68" dataDxfId="66" headerRowBorderDxfId="67">
  <autoFilter ref="A3:BN489" xr:uid="{00000000-000C-0000-FFFF-FFFF00000000}"/>
  <sortState xmlns:xlrd2="http://schemas.microsoft.com/office/spreadsheetml/2017/richdata2" ref="A4:BN489">
    <sortCondition ref="A3:A489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9"/>
  <sheetViews>
    <sheetView tabSelected="1" topLeftCell="B262" zoomScale="121" zoomScaleNormal="120" workbookViewId="0">
      <selection activeCell="H294" sqref="H294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hidden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1100</v>
      </c>
      <c r="L1" s="2" t="s">
        <v>1100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1082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1172</v>
      </c>
      <c r="AY1" s="6" t="s">
        <v>1172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1083</v>
      </c>
      <c r="E2" s="11" t="s">
        <v>1084</v>
      </c>
      <c r="F2" s="11" t="s">
        <v>1085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1086</v>
      </c>
      <c r="L2" s="11" t="s">
        <v>1087</v>
      </c>
      <c r="M2" s="11" t="s">
        <v>1088</v>
      </c>
      <c r="N2" s="11" t="s">
        <v>1089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1323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1090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1091</v>
      </c>
      <c r="AK2" s="16" t="s">
        <v>1092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1173</v>
      </c>
      <c r="AY2" s="16" t="s">
        <v>1169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1093</v>
      </c>
      <c r="BH2" s="16" t="s">
        <v>1119</v>
      </c>
      <c r="BI2" s="16" t="s">
        <v>1118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1094</v>
      </c>
      <c r="N3" s="21" t="s">
        <v>1095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1170</v>
      </c>
      <c r="AY3" s="27" t="s">
        <v>1171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1368</v>
      </c>
      <c r="BF3" s="28" t="s">
        <v>19</v>
      </c>
      <c r="BG3" s="27" t="s">
        <v>23</v>
      </c>
      <c r="BH3" s="27" t="s">
        <v>1120</v>
      </c>
      <c r="BI3" s="27" t="s">
        <v>1117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1144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1132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1208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1138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1208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1282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1283</v>
      </c>
      <c r="O10" s="31"/>
      <c r="P10" s="30"/>
      <c r="T10" s="37"/>
      <c r="U10" s="30"/>
      <c r="V10" s="31" t="s">
        <v>1134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1141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1208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1193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1194</v>
      </c>
      <c r="O14" s="31"/>
      <c r="P14" s="30"/>
      <c r="T14" s="37"/>
      <c r="U14" s="30"/>
      <c r="V14" s="31" t="s">
        <v>1136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1208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1195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1196</v>
      </c>
      <c r="O16" s="31"/>
      <c r="P16" s="30"/>
      <c r="T16" s="37"/>
      <c r="U16" s="30"/>
      <c r="V16" s="31" t="s">
        <v>1133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1208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1284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1285</v>
      </c>
      <c r="O18" s="31"/>
      <c r="P18" s="30"/>
      <c r="T18" s="37"/>
      <c r="U18" s="30"/>
      <c r="V18" s="31" t="s">
        <v>1135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1286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1287</v>
      </c>
      <c r="O20" s="31"/>
      <c r="P20" s="30"/>
      <c r="T20" s="37"/>
      <c r="U20" s="30"/>
      <c r="V20" s="31" t="s">
        <v>1134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1140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1208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1126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1127</v>
      </c>
      <c r="O24" s="31"/>
      <c r="P24" s="30"/>
      <c r="T24" s="37"/>
      <c r="U24" s="30"/>
      <c r="V24" s="31" t="s">
        <v>1143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1144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1174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1127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1491</v>
      </c>
      <c r="D26" s="30" t="s">
        <v>27</v>
      </c>
      <c r="E26" s="30" t="s">
        <v>1129</v>
      </c>
      <c r="F26" s="36" t="str">
        <f>IF(ISBLANK(Table2[[#This Row],[unique_id]]), "", PROPER(SUBSTITUTE(Table2[[#This Row],[unique_id]], "_", " ")))</f>
        <v>Utility Temperature</v>
      </c>
      <c r="G26" s="30" t="s">
        <v>1128</v>
      </c>
      <c r="H26" s="30" t="s">
        <v>86</v>
      </c>
      <c r="I26" s="30" t="s">
        <v>30</v>
      </c>
      <c r="K26" s="30" t="s">
        <v>1130</v>
      </c>
      <c r="O26" s="31"/>
      <c r="P26" s="30"/>
      <c r="T26" s="37"/>
      <c r="U26" s="30"/>
      <c r="V26" s="31" t="s">
        <v>1142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1493</v>
      </c>
      <c r="BD26" s="30" t="s">
        <v>1494</v>
      </c>
      <c r="BF26" s="30" t="s">
        <v>955</v>
      </c>
      <c r="BG26" s="30" t="s">
        <v>28</v>
      </c>
      <c r="BL26" s="30" t="s">
        <v>1096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1491</v>
      </c>
      <c r="D27" s="30" t="s">
        <v>27</v>
      </c>
      <c r="E27" s="30" t="s">
        <v>1130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1128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1121</v>
      </c>
      <c r="O28" s="31"/>
      <c r="P28" s="30"/>
      <c r="T28" s="37"/>
      <c r="U28" s="30" t="s">
        <v>418</v>
      </c>
      <c r="V28" s="31" t="s">
        <v>1137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1073</v>
      </c>
      <c r="BD28" s="30" t="s">
        <v>1072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1121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1288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1289</v>
      </c>
      <c r="O30" s="31"/>
      <c r="P30" s="30"/>
      <c r="T30" s="37"/>
      <c r="U30" s="30"/>
      <c r="V30" s="31" t="s">
        <v>1134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1289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1101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1144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1102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1144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1103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1144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1104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1144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1105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1144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1174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1106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1144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1186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1185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1371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1107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1108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1109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1290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1110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1192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1191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1291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1292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1111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1131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1174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1293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1294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1295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1296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1297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1298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1299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1300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1301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1302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1112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1113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1114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1190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1189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1115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1144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1144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1145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1144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1144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1334</v>
      </c>
      <c r="F94" s="36" t="str">
        <f>IF(ISBLANK(Table2[[#This Row],[unique_id]]), "", PROPER(SUBSTITUTE(Table2[[#This Row],[unique_id]], "_", " ")))</f>
        <v>Home Started</v>
      </c>
      <c r="G94" s="30" t="s">
        <v>1335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1307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1308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1328</v>
      </c>
      <c r="F103" s="36" t="str">
        <f>IF(ISBLANK(Table2[[#This Row],[unique_id]]), "", PROPER(SUBSTITUTE(Table2[[#This Row],[unique_id]], "_", " ")))</f>
        <v>Edwin Wakeup</v>
      </c>
      <c r="G103" s="30" t="s">
        <v>1326</v>
      </c>
      <c r="H103" s="30" t="s">
        <v>293</v>
      </c>
      <c r="I103" s="30" t="s">
        <v>131</v>
      </c>
      <c r="J103" s="30" t="s">
        <v>1331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1329</v>
      </c>
      <c r="F104" s="36" t="str">
        <f>IF(ISBLANK(Table2[[#This Row],[unique_id]]), "", PROPER(SUBSTITUTE(Table2[[#This Row],[unique_id]], "_", " ")))</f>
        <v>Edwin Playtime</v>
      </c>
      <c r="G104" s="30" t="s">
        <v>1336</v>
      </c>
      <c r="H104" s="30" t="s">
        <v>293</v>
      </c>
      <c r="I104" s="30" t="s">
        <v>131</v>
      </c>
      <c r="J104" s="30" t="s">
        <v>1332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1330</v>
      </c>
      <c r="F105" s="36" t="str">
        <f>IF(ISBLANK(Table2[[#This Row],[unique_id]]), "", PROPER(SUBSTITUTE(Table2[[#This Row],[unique_id]], "_", " ")))</f>
        <v>Edwin Goodnight</v>
      </c>
      <c r="G105" s="30" t="s">
        <v>1327</v>
      </c>
      <c r="H105" s="30" t="s">
        <v>293</v>
      </c>
      <c r="I105" s="30" t="s">
        <v>131</v>
      </c>
      <c r="J105" s="30" t="s">
        <v>1333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1340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1279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1341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1279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1209</v>
      </c>
      <c r="BL107" s="54" t="s">
        <v>328</v>
      </c>
      <c r="BM107" s="54" t="s">
        <v>1250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1279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1279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1209</v>
      </c>
      <c r="BL109" s="30" t="s">
        <v>335</v>
      </c>
      <c r="BM109" s="30" t="s">
        <v>1260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1209</v>
      </c>
      <c r="BL110" s="30" t="s">
        <v>353</v>
      </c>
      <c r="BM110" s="30" t="s">
        <v>1227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1209</v>
      </c>
      <c r="BL111" s="30" t="s">
        <v>354</v>
      </c>
      <c r="BM111" s="30" t="s">
        <v>1228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1209</v>
      </c>
      <c r="BL112" s="30" t="s">
        <v>357</v>
      </c>
      <c r="BM112" s="30" t="s">
        <v>1229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1072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1072</v>
      </c>
      <c r="BF114" s="30" t="s">
        <v>853</v>
      </c>
      <c r="BG114" s="30" t="s">
        <v>204</v>
      </c>
      <c r="BK114" s="30" t="s">
        <v>1209</v>
      </c>
      <c r="BL114" s="30" t="s">
        <v>887</v>
      </c>
      <c r="BM114" s="30" t="s">
        <v>1231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1072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1072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1209</v>
      </c>
      <c r="BL117" s="30" t="s">
        <v>358</v>
      </c>
      <c r="BM117" s="30" t="s">
        <v>1232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1209</v>
      </c>
      <c r="BL119" s="30" t="s">
        <v>355</v>
      </c>
      <c r="BM119" s="30" t="s">
        <v>1233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1209</v>
      </c>
      <c r="BL120" s="30" t="s">
        <v>356</v>
      </c>
      <c r="BM120" s="39" t="s">
        <v>1234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1183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1180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1373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1270</v>
      </c>
      <c r="BA131" s="30" t="str">
        <f>IF(ISBLANK(Table2[[#This Row],[device_model]]), "", Table2[[#This Row],[device_suggested_area]])</f>
        <v>Home</v>
      </c>
      <c r="BB131" s="30" t="s">
        <v>1274</v>
      </c>
      <c r="BC131" s="30" t="s">
        <v>1271</v>
      </c>
      <c r="BD131" s="30" t="s">
        <v>1270</v>
      </c>
      <c r="BF131" s="30" t="s">
        <v>1272</v>
      </c>
      <c r="BG131" s="30" t="s">
        <v>164</v>
      </c>
      <c r="BK131" s="30" t="s">
        <v>1208</v>
      </c>
      <c r="BL131" s="46" t="s">
        <v>1273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1369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1369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1369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1369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1309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1369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1309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1369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1369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1369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1369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1369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1369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1492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1492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1168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1492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1369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1369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1369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1369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1369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1369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1369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1369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1369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1369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1369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1456</v>
      </c>
      <c r="BD161" s="30" t="s">
        <v>359</v>
      </c>
      <c r="BE161" s="30" t="s">
        <v>1369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1309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1456</v>
      </c>
      <c r="BD162" s="30" t="s">
        <v>359</v>
      </c>
      <c r="BE162" s="30" t="s">
        <v>1369</v>
      </c>
      <c r="BF162" s="30" t="s">
        <v>470</v>
      </c>
      <c r="BG162" s="30" t="s">
        <v>192</v>
      </c>
      <c r="BI162" s="30" t="s">
        <v>668</v>
      </c>
      <c r="BL162" s="30" t="s">
        <v>1454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1449</v>
      </c>
      <c r="F163" s="36" t="str">
        <f>IF(ISBLANK(Table2[[#This Row],[unique_id]]), "", PROPER(SUBSTITUTE(Table2[[#This Row],[unique_id]], "_", " ")))</f>
        <v>Lounge Reading</v>
      </c>
      <c r="G163" s="30" t="s">
        <v>1460</v>
      </c>
      <c r="H163" s="30" t="s">
        <v>138</v>
      </c>
      <c r="I163" s="30" t="s">
        <v>131</v>
      </c>
      <c r="J163" s="30" t="s">
        <v>1452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1452</v>
      </c>
      <c r="BC163" s="30" t="s">
        <v>1455</v>
      </c>
      <c r="BD163" s="30" t="s">
        <v>359</v>
      </c>
      <c r="BE163" s="30" t="s">
        <v>1369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1450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1309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1453</v>
      </c>
      <c r="BC164" s="30" t="s">
        <v>1455</v>
      </c>
      <c r="BD164" s="30" t="s">
        <v>359</v>
      </c>
      <c r="BE164" s="30" t="s">
        <v>1369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1369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1369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1369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1369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1492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1492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1492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1492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1369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1369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1369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1369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1369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1369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1369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1176</v>
      </c>
      <c r="F180" s="36" t="str">
        <f>IF(ISBLANK(Table2[[#This Row],[unique_id]]), "", PROPER(SUBSTITUTE(Table2[[#This Row],[unique_id]], "_", " ")))</f>
        <v>Kitchen Bench Lights Plug</v>
      </c>
      <c r="G180" s="30" t="s">
        <v>1177</v>
      </c>
      <c r="H180" s="30" t="s">
        <v>138</v>
      </c>
      <c r="I180" s="30" t="s">
        <v>131</v>
      </c>
      <c r="J180" s="30" t="s">
        <v>1179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1526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1176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1178</v>
      </c>
      <c r="BC180" s="30" t="s">
        <v>733</v>
      </c>
      <c r="BD180" s="30" t="s">
        <v>1072</v>
      </c>
      <c r="BF180" s="30" t="s">
        <v>853</v>
      </c>
      <c r="BG180" s="30" t="s">
        <v>204</v>
      </c>
      <c r="BK180" s="30" t="s">
        <v>1209</v>
      </c>
      <c r="BL180" s="30" t="s">
        <v>885</v>
      </c>
      <c r="BM180" s="30" t="s">
        <v>1235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1369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1369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1369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1369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1369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1369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1369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1369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1492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1492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1492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1369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1369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1492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1492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1492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1492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1369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1369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1342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1343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1209</v>
      </c>
      <c r="BL201" s="54" t="s">
        <v>543</v>
      </c>
      <c r="BM201" s="54" t="s">
        <v>1236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1073</v>
      </c>
      <c r="BD202" s="30" t="s">
        <v>1072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1527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1073</v>
      </c>
      <c r="BD203" s="30" t="s">
        <v>1072</v>
      </c>
      <c r="BF203" s="30" t="s">
        <v>853</v>
      </c>
      <c r="BG203" s="30" t="s">
        <v>339</v>
      </c>
      <c r="BK203" s="30" t="s">
        <v>1209</v>
      </c>
      <c r="BL203" s="30" t="s">
        <v>1018</v>
      </c>
      <c r="BM203" s="30" t="s">
        <v>1237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1073</v>
      </c>
      <c r="BD204" s="30" t="s">
        <v>1072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1344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1345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1209</v>
      </c>
      <c r="BL206" s="54" t="s">
        <v>542</v>
      </c>
      <c r="BM206" s="54" t="s">
        <v>1238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1074</v>
      </c>
      <c r="BD207" s="30" t="s">
        <v>1072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1527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1074</v>
      </c>
      <c r="BD208" s="30" t="s">
        <v>1072</v>
      </c>
      <c r="BF208" s="30" t="s">
        <v>853</v>
      </c>
      <c r="BG208" s="30" t="s">
        <v>541</v>
      </c>
      <c r="BK208" s="30" t="s">
        <v>1209</v>
      </c>
      <c r="BL208" s="30" t="s">
        <v>1017</v>
      </c>
      <c r="BM208" s="30" t="s">
        <v>1239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1369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1369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1369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1369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1369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1369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1369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1369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1369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1369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1369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1369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1369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1209</v>
      </c>
      <c r="BL224" s="30" t="s">
        <v>332</v>
      </c>
      <c r="BM224" s="30" t="s">
        <v>1240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1125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1072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1125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1070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1072</v>
      </c>
      <c r="BF226" s="30" t="s">
        <v>853</v>
      </c>
      <c r="BG226" s="30" t="s">
        <v>385</v>
      </c>
      <c r="BK226" s="30" t="s">
        <v>1209</v>
      </c>
      <c r="BL226" s="30" t="s">
        <v>424</v>
      </c>
      <c r="BM226" s="30" t="s">
        <v>1241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1072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1072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1072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1070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1072</v>
      </c>
      <c r="BF230" s="30" t="s">
        <v>853</v>
      </c>
      <c r="BG230" s="30" t="s">
        <v>558</v>
      </c>
      <c r="BK230" s="30" t="s">
        <v>1209</v>
      </c>
      <c r="BL230" s="30" t="s">
        <v>1011</v>
      </c>
      <c r="BM230" s="30" t="s">
        <v>1242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1072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1072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1116</v>
      </c>
      <c r="H233" s="30" t="s">
        <v>1278</v>
      </c>
      <c r="I233" s="30" t="s">
        <v>131</v>
      </c>
      <c r="K233" s="30" t="s">
        <v>1124</v>
      </c>
      <c r="O233" s="31"/>
      <c r="P233" s="30"/>
      <c r="T233" s="37"/>
      <c r="U233" s="30" t="s">
        <v>418</v>
      </c>
      <c r="V233" s="31" t="s">
        <v>1139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1075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1074</v>
      </c>
      <c r="BD233" s="30" t="s">
        <v>1072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1124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1116</v>
      </c>
      <c r="H234" s="30" t="s">
        <v>1278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1125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1125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1208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1499</v>
      </c>
      <c r="AF282" s="30">
        <f t="shared" ref="AF282:AF288" si="0">15*60</f>
        <v>900</v>
      </c>
      <c r="AG282" s="31" t="s">
        <v>34</v>
      </c>
      <c r="AH282" s="31"/>
      <c r="AI282" s="30" t="s">
        <v>1500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1461</v>
      </c>
      <c r="BD282" s="30" t="s">
        <v>1080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1506</v>
      </c>
      <c r="AF283" s="30">
        <f t="shared" si="0"/>
        <v>900</v>
      </c>
      <c r="AG283" s="31" t="s">
        <v>34</v>
      </c>
      <c r="AH283" s="31"/>
      <c r="AI283" s="30" t="s">
        <v>1500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1461</v>
      </c>
      <c r="BD283" s="30" t="s">
        <v>1080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1510</v>
      </c>
      <c r="AF284" s="30">
        <f t="shared" si="0"/>
        <v>900</v>
      </c>
      <c r="AG284" s="31" t="s">
        <v>34</v>
      </c>
      <c r="AH284" s="31"/>
      <c r="AI284" s="30" t="s">
        <v>1500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1461</v>
      </c>
      <c r="BD284" s="30" t="s">
        <v>1080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1505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1507</v>
      </c>
      <c r="AF285" s="30">
        <f t="shared" si="0"/>
        <v>900</v>
      </c>
      <c r="AG285" s="31" t="s">
        <v>34</v>
      </c>
      <c r="AH285" s="31"/>
      <c r="AI285" s="30" t="s">
        <v>1500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1461</v>
      </c>
      <c r="BD285" s="30" t="s">
        <v>1080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1502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1508</v>
      </c>
      <c r="AF286" s="30">
        <f t="shared" si="0"/>
        <v>900</v>
      </c>
      <c r="AG286" s="31" t="s">
        <v>34</v>
      </c>
      <c r="AH286" s="31"/>
      <c r="AI286" s="30" t="s">
        <v>1500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1461</v>
      </c>
      <c r="BD286" s="30" t="s">
        <v>1080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1515</v>
      </c>
      <c r="F287" s="30" t="str">
        <f>IF(ISBLANK(Table2[[#This Row],[unique_id]]), "", PROPER(SUBSTITUTE(Table2[[#This Row],[unique_id]], "_", " ")))</f>
        <v>Network Certificate</v>
      </c>
      <c r="G287" s="30" t="s">
        <v>1514</v>
      </c>
      <c r="H287" s="30" t="s">
        <v>1497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1509</v>
      </c>
      <c r="AF287" s="30">
        <f t="shared" si="0"/>
        <v>900</v>
      </c>
      <c r="AG287" s="31" t="s">
        <v>34</v>
      </c>
      <c r="AH287" s="31"/>
      <c r="AI287" s="30" t="s">
        <v>1500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1461</v>
      </c>
      <c r="BD287" s="30" t="s">
        <v>1080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1512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1497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1513</v>
      </c>
      <c r="AF288" s="30">
        <f t="shared" si="0"/>
        <v>900</v>
      </c>
      <c r="AG288" s="31" t="s">
        <v>34</v>
      </c>
      <c r="AH288" s="31"/>
      <c r="AI288" s="30" t="s">
        <v>1500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1501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1461</v>
      </c>
      <c r="BD288" s="30" t="s">
        <v>1080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1148</v>
      </c>
      <c r="D289" s="30" t="s">
        <v>133</v>
      </c>
      <c r="E289" s="30" t="s">
        <v>1531</v>
      </c>
      <c r="F289" s="30" t="str">
        <f>IF(ISBLANK(Table2[[#This Row],[unique_id]]), "", PROPER(SUBSTITUTE(Table2[[#This Row],[unique_id]], "_", " ")))</f>
        <v>Host Mad</v>
      </c>
      <c r="G289" s="30" t="str">
        <f t="shared" ref="G289:G293" si="1">TRIM(RIGHT(SUBSTITUTE(TRIM(F289)," ",REPT(" ",100)),100))</f>
        <v>Mad</v>
      </c>
      <c r="H289" s="30" t="s">
        <v>1532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1490</v>
      </c>
      <c r="AF289" s="30">
        <v>6</v>
      </c>
      <c r="AG289" s="31" t="s">
        <v>34</v>
      </c>
      <c r="AH289" s="31"/>
      <c r="AI289" s="30" t="s">
        <v>1426</v>
      </c>
      <c r="AJ28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homeassistant/switch/supervisor_macmini-mad/host_mad/config</v>
      </c>
      <c r="AK289" s="30" t="str">
        <f>IF(ISBLANK(Table2[[#This Row],[index]]), "", _xlfn.CONCAT("supervisor/", Table2[[#This Row],[unique_id_device]], "/data/host"))</f>
        <v>supervisor/macmini-mad/data/host</v>
      </c>
      <c r="AL289" s="30" t="str">
        <f>IF(ISBLANK(Table2[[#This Row],[index]]),  "", _xlfn.CONCAT("supervisor/", Table2[[#This Row],[unique_id_device]], "/command/", SUBSTITUTE(LOWER(Table2[[#This Row],[unique_id]]), "_", "/")))</f>
        <v>supervisor/macmini-mad/command/host/mad</v>
      </c>
      <c r="AM289" s="30" t="str">
        <f>IF(ISBLANK(Table2[[#This Row],[index]]),  "", _xlfn.CONCAT("supervisor/", Table2[[#This Row],[unique_id_device]], "/status"))</f>
        <v>supervisor/macmini-mad/status</v>
      </c>
      <c r="AR289" s="30" t="s">
        <v>1489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1148</v>
      </c>
      <c r="BC289" s="30" t="s">
        <v>1461</v>
      </c>
      <c r="BD289" s="30" t="s">
        <v>1080</v>
      </c>
      <c r="BF289" s="30" t="s">
        <v>955</v>
      </c>
      <c r="BG289" s="30" t="s">
        <v>28</v>
      </c>
      <c r="BL289" s="4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1148</v>
      </c>
      <c r="D290" s="30" t="s">
        <v>133</v>
      </c>
      <c r="E290" s="30" t="s">
        <v>1533</v>
      </c>
      <c r="F290" s="30" t="str">
        <f>IF(ISBLANK(Table2[[#This Row],[unique_id]]), "", PROPER(SUBSTITUTE(Table2[[#This Row],[unique_id]], "_", " ")))</f>
        <v>Host Max</v>
      </c>
      <c r="G290" s="30" t="str">
        <f t="shared" si="1"/>
        <v>Max</v>
      </c>
      <c r="H290" s="30" t="s">
        <v>1532</v>
      </c>
      <c r="I290" s="30" t="s">
        <v>273</v>
      </c>
      <c r="M290" s="30" t="s">
        <v>255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1490</v>
      </c>
      <c r="AF290" s="30">
        <v>6</v>
      </c>
      <c r="AG290" s="31" t="s">
        <v>34</v>
      </c>
      <c r="AH290" s="31"/>
      <c r="AI290" s="30" t="s">
        <v>1427</v>
      </c>
      <c r="AJ29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homeassistant/switch/supervisor_macmini-max/host_max/config</v>
      </c>
      <c r="AK290" s="30" t="str">
        <f>IF(ISBLANK(Table2[[#This Row],[index]]), "", _xlfn.CONCAT("supervisor/", Table2[[#This Row],[unique_id_device]], "/data/host"))</f>
        <v>supervisor/macmini-max/data/host</v>
      </c>
      <c r="AL290" s="30" t="str">
        <f>IF(ISBLANK(Table2[[#This Row],[index]]),  "", _xlfn.CONCAT("supervisor/", Table2[[#This Row],[unique_id_device]], "/command/", SUBSTITUTE(LOWER(Table2[[#This Row],[unique_id]]), "_", "/")))</f>
        <v>supervisor/macmini-max/command/host/max</v>
      </c>
      <c r="AM290" s="30" t="str">
        <f>IF(ISBLANK(Table2[[#This Row],[index]]),  "", _xlfn.CONCAT("supervisor/", Table2[[#This Row],[unique_id_device]], "/status"))</f>
        <v>supervisor/macmini-max/status</v>
      </c>
      <c r="AR290" s="30" t="s">
        <v>1489</v>
      </c>
      <c r="AS290" s="30">
        <v>1</v>
      </c>
      <c r="AT290" s="32"/>
      <c r="AU290" s="30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</v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>Rack</v>
      </c>
      <c r="BB290" s="30" t="s">
        <v>1148</v>
      </c>
      <c r="BC290" s="30" t="s">
        <v>1461</v>
      </c>
      <c r="BD290" s="30" t="s">
        <v>1080</v>
      </c>
      <c r="BF290" s="30" t="s">
        <v>955</v>
      </c>
      <c r="BG290" s="30" t="s">
        <v>28</v>
      </c>
      <c r="BL290" s="4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1148</v>
      </c>
      <c r="D291" s="30" t="s">
        <v>133</v>
      </c>
      <c r="E291" s="30" t="s">
        <v>1534</v>
      </c>
      <c r="F291" s="30" t="str">
        <f>IF(ISBLANK(Table2[[#This Row],[unique_id]]), "", PROPER(SUBSTITUTE(Table2[[#This Row],[unique_id]], "_", " ")))</f>
        <v>Host May</v>
      </c>
      <c r="G291" s="30" t="str">
        <f t="shared" si="1"/>
        <v>May</v>
      </c>
      <c r="H291" s="30" t="s">
        <v>1532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1490</v>
      </c>
      <c r="AF291" s="30">
        <v>6</v>
      </c>
      <c r="AG291" s="31" t="s">
        <v>34</v>
      </c>
      <c r="AH291" s="31"/>
      <c r="AI291" s="30" t="s">
        <v>1391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homeassistant/switch/supervisor_macmini-may/host_may/config</v>
      </c>
      <c r="AK291" s="30" t="str">
        <f>IF(ISBLANK(Table2[[#This Row],[index]]), "", _xlfn.CONCAT("supervisor/", Table2[[#This Row],[unique_id_device]], "/data/host"))</f>
        <v>supervisor/macmini-may/data/host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supervisor/macmini-may/command/host/may</v>
      </c>
      <c r="AM291" s="30" t="str">
        <f>IF(ISBLANK(Table2[[#This Row],[index]]),  "", _xlfn.CONCAT("supervisor/", Table2[[#This Row],[unique_id_device]], "/status"))</f>
        <v>supervisor/macmini-may/status</v>
      </c>
      <c r="AR291" s="30" t="s">
        <v>1489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1148</v>
      </c>
      <c r="BC291" s="30" t="s">
        <v>1461</v>
      </c>
      <c r="BD291" s="30" t="s">
        <v>1080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1148</v>
      </c>
      <c r="D292" s="30" t="s">
        <v>133</v>
      </c>
      <c r="E292" s="30" t="s">
        <v>1535</v>
      </c>
      <c r="F292" s="30" t="str">
        <f>IF(ISBLANK(Table2[[#This Row],[unique_id]]), "", PROPER(SUBSTITUTE(Table2[[#This Row],[unique_id]], "_", " ")))</f>
        <v>Host Meg</v>
      </c>
      <c r="G292" s="30" t="str">
        <f t="shared" si="1"/>
        <v>Meg</v>
      </c>
      <c r="H292" s="30" t="s">
        <v>1532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1490</v>
      </c>
      <c r="AF292" s="30">
        <v>6</v>
      </c>
      <c r="AG292" s="31" t="s">
        <v>34</v>
      </c>
      <c r="AH292" s="31"/>
      <c r="AI292" s="30" t="s">
        <v>1099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homeassistant/switch/supervisor_macmini-meg/host_meg/config</v>
      </c>
      <c r="AK292" s="30" t="str">
        <f>IF(ISBLANK(Table2[[#This Row],[index]]), "", _xlfn.CONCAT("supervisor/", Table2[[#This Row],[unique_id_device]], "/data/host"))</f>
        <v>supervisor/macmini-meg/data/host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supervisor/macmini-meg/command/host/meg</v>
      </c>
      <c r="AM292" s="30" t="str">
        <f>IF(ISBLANK(Table2[[#This Row],[index]]),  "", _xlfn.CONCAT("supervisor/", Table2[[#This Row],[unique_id_device]], "/status"))</f>
        <v>supervisor/macmini-meg/status</v>
      </c>
      <c r="AR292" s="30" t="s">
        <v>1489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1148</v>
      </c>
      <c r="BC292" s="30" t="s">
        <v>1461</v>
      </c>
      <c r="BD292" s="30" t="s">
        <v>1080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1148</v>
      </c>
      <c r="D293" s="30" t="s">
        <v>133</v>
      </c>
      <c r="E293" s="30" t="s">
        <v>1536</v>
      </c>
      <c r="F293" s="30" t="str">
        <f>IF(ISBLANK(Table2[[#This Row],[unique_id]]), "", PROPER(SUBSTITUTE(Table2[[#This Row],[unique_id]], "_", " ")))</f>
        <v>Host Jen</v>
      </c>
      <c r="G293" s="30" t="str">
        <f t="shared" si="1"/>
        <v>Jen</v>
      </c>
      <c r="H293" s="30" t="s">
        <v>1532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1490</v>
      </c>
      <c r="AF293" s="30">
        <v>6</v>
      </c>
      <c r="AG293" s="31" t="s">
        <v>34</v>
      </c>
      <c r="AH293" s="31"/>
      <c r="AI293" s="30" t="s">
        <v>1394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homeassistant/switch/supervisor_raspbpi-jen/host_jen/config</v>
      </c>
      <c r="AK293" s="30" t="str">
        <f>IF(ISBLANK(Table2[[#This Row],[index]]), "", _xlfn.CONCAT("supervisor/", Table2[[#This Row],[unique_id_device]], "/data/host"))</f>
        <v>supervisor/raspbpi-jen/data/host</v>
      </c>
      <c r="AL293" s="30" t="str">
        <f>IF(ISBLANK(Table2[[#This Row],[index]]),  "", _xlfn.CONCAT("supervisor/", Table2[[#This Row],[unique_id_device]], "/command/", SUBSTITUTE(LOWER(Table2[[#This Row],[unique_id]]), "_", "/")))</f>
        <v>supervisor/raspbpi-jen/command/host/jen</v>
      </c>
      <c r="AM293" s="30" t="str">
        <f>IF(ISBLANK(Table2[[#This Row],[index]]),  "", _xlfn.CONCAT("supervisor/", Table2[[#This Row],[unique_id_device]], "/status"))</f>
        <v>supervisor/raspbpi-jen/status</v>
      </c>
      <c r="AR293" s="30" t="s">
        <v>1489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Jen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1148</v>
      </c>
      <c r="BC293" s="30" t="s">
        <v>1461</v>
      </c>
      <c r="BD293" s="30" t="s">
        <v>1080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422</v>
      </c>
      <c r="D294" s="30" t="s">
        <v>315</v>
      </c>
      <c r="E294" s="30" t="s">
        <v>314</v>
      </c>
      <c r="F294" s="36" t="str">
        <f>IF(ISBLANK(Table2[[#This Row],[unique_id]]), "", PROPER(SUBSTITUTE(Table2[[#This Row],[unique_id]], "_", " ")))</f>
        <v>Column Break</v>
      </c>
      <c r="G294" s="30" t="s">
        <v>311</v>
      </c>
      <c r="H294" s="30" t="s">
        <v>1532</v>
      </c>
      <c r="I294" s="30" t="s">
        <v>273</v>
      </c>
      <c r="M294" s="30" t="s">
        <v>312</v>
      </c>
      <c r="N294" s="30" t="s">
        <v>313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1148</v>
      </c>
      <c r="D295" s="30" t="s">
        <v>133</v>
      </c>
      <c r="E295" s="30" t="s">
        <v>1516</v>
      </c>
      <c r="F295" s="30" t="str">
        <f>IF(ISBLANK(Table2[[#This Row],[unique_id]]), "", PROPER(SUBSTITUTE(Table2[[#This Row],[unique_id]], "_", " ")))</f>
        <v>Service Network</v>
      </c>
      <c r="G295" s="30" t="s">
        <v>768</v>
      </c>
      <c r="H295" s="30" t="s">
        <v>1498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1490</v>
      </c>
      <c r="AF295" s="30">
        <v>6</v>
      </c>
      <c r="AG295" s="31" t="s">
        <v>34</v>
      </c>
      <c r="AH295" s="31"/>
      <c r="AI295" s="30" t="s">
        <v>1426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5" s="30" t="str">
        <f>IF(ISBLANK(Table2[[#This Row],[index]]),  "", _xlfn.CONCAT("supervisor/", Table2[[#This Row],[unique_id_device]], "/status"))</f>
        <v>supervisor/macmini-mad/status</v>
      </c>
      <c r="AR295" s="30" t="s">
        <v>1489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1148</v>
      </c>
      <c r="BC295" s="30" t="s">
        <v>1461</v>
      </c>
      <c r="BD295" s="30" t="s">
        <v>1080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1148</v>
      </c>
      <c r="D296" s="30" t="s">
        <v>133</v>
      </c>
      <c r="E296" s="30" t="s">
        <v>1463</v>
      </c>
      <c r="F296" s="30" t="str">
        <f>IF(ISBLANK(Table2[[#This Row],[unique_id]]), "", PROPER(SUBSTITUTE(Table2[[#This Row],[unique_id]], "_", " ")))</f>
        <v>Service Plex</v>
      </c>
      <c r="G296" s="30" t="s">
        <v>1149</v>
      </c>
      <c r="H296" s="30" t="s">
        <v>1498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1490</v>
      </c>
      <c r="AF296" s="30">
        <v>6</v>
      </c>
      <c r="AG296" s="31" t="s">
        <v>34</v>
      </c>
      <c r="AH296" s="31"/>
      <c r="AI296" s="30" t="s">
        <v>1426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6" s="30" t="str">
        <f>IF(ISBLANK(Table2[[#This Row],[index]]),  "", _xlfn.CONCAT("supervisor/", Table2[[#This Row],[unique_id_device]], "/status"))</f>
        <v>supervisor/macmini-mad/status</v>
      </c>
      <c r="AR296" s="30" t="s">
        <v>1489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1148</v>
      </c>
      <c r="BC296" s="30" t="s">
        <v>1461</v>
      </c>
      <c r="BD296" s="30" t="s">
        <v>1080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1148</v>
      </c>
      <c r="D297" s="30" t="s">
        <v>133</v>
      </c>
      <c r="E297" s="30" t="s">
        <v>1475</v>
      </c>
      <c r="F297" s="30" t="str">
        <f>IF(ISBLANK(Table2[[#This Row],[unique_id]]), "", PROPER(SUBSTITUTE(Table2[[#This Row],[unique_id]], "_", " ")))</f>
        <v>Service Postgres</v>
      </c>
      <c r="G297" s="30" t="s">
        <v>1153</v>
      </c>
      <c r="H297" s="30" t="s">
        <v>1498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1490</v>
      </c>
      <c r="AF297" s="30">
        <v>6</v>
      </c>
      <c r="AG297" s="31" t="s">
        <v>34</v>
      </c>
      <c r="AH297" s="31"/>
      <c r="AI297" s="30" t="s">
        <v>1426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7" s="30" t="str">
        <f>IF(ISBLANK(Table2[[#This Row],[index]]),  "", _xlfn.CONCAT("supervisor/", Table2[[#This Row],[unique_id_device]], "/status"))</f>
        <v>supervisor/macmini-mad/status</v>
      </c>
      <c r="AR297" s="30" t="s">
        <v>1489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1148</v>
      </c>
      <c r="BC297" s="30" t="s">
        <v>1461</v>
      </c>
      <c r="BD297" s="30" t="s">
        <v>1080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1148</v>
      </c>
      <c r="D298" s="30" t="s">
        <v>133</v>
      </c>
      <c r="E298" s="30" t="s">
        <v>1464</v>
      </c>
      <c r="F298" s="30" t="str">
        <f>IF(ISBLANK(Table2[[#This Row],[unique_id]]), "", PROPER(SUBSTITUTE(Table2[[#This Row],[unique_id]], "_", " ")))</f>
        <v>Service Sabnzbd</v>
      </c>
      <c r="G298" s="30" t="s">
        <v>1481</v>
      </c>
      <c r="H298" s="30" t="s">
        <v>1498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1490</v>
      </c>
      <c r="AF298" s="30">
        <v>6</v>
      </c>
      <c r="AG298" s="31" t="s">
        <v>34</v>
      </c>
      <c r="AH298" s="31"/>
      <c r="AI298" s="30" t="s">
        <v>1426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1489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1148</v>
      </c>
      <c r="BC298" s="30" t="s">
        <v>1461</v>
      </c>
      <c r="BD298" s="30" t="s">
        <v>1080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1148</v>
      </c>
      <c r="D299" s="30" t="s">
        <v>133</v>
      </c>
      <c r="E299" s="30" t="s">
        <v>1472</v>
      </c>
      <c r="F299" s="30" t="str">
        <f>IF(ISBLANK(Table2[[#This Row],[unique_id]]), "", PROPER(SUBSTITUTE(Table2[[#This Row],[unique_id]], "_", " ")))</f>
        <v>Service Wrangle</v>
      </c>
      <c r="G299" s="30" t="s">
        <v>1151</v>
      </c>
      <c r="H299" s="30" t="s">
        <v>1498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1490</v>
      </c>
      <c r="AF299" s="30">
        <v>6</v>
      </c>
      <c r="AG299" s="31" t="s">
        <v>34</v>
      </c>
      <c r="AH299" s="31"/>
      <c r="AI299" s="30" t="s">
        <v>1426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9" s="30" t="str">
        <f>IF(ISBLANK(Table2[[#This Row],[index]]),  "", _xlfn.CONCAT("supervisor/", Table2[[#This Row],[unique_id_device]], "/status"))</f>
        <v>supervisor/macmini-mad/status</v>
      </c>
      <c r="AR299" s="30" t="s">
        <v>1489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1148</v>
      </c>
      <c r="BC299" s="30" t="s">
        <v>1461</v>
      </c>
      <c r="BD299" s="30" t="s">
        <v>1080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1148</v>
      </c>
      <c r="D300" s="30" t="s">
        <v>133</v>
      </c>
      <c r="E300" s="30" t="s">
        <v>1521</v>
      </c>
      <c r="F300" s="30" t="str">
        <f>IF(ISBLANK(Table2[[#This Row],[unique_id]]), "", PROPER(SUBSTITUTE(Table2[[#This Row],[unique_id]], "_", " ")))</f>
        <v>Service Cloudflare</v>
      </c>
      <c r="G300" s="30" t="s">
        <v>1522</v>
      </c>
      <c r="H300" s="30" t="s">
        <v>1498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1490</v>
      </c>
      <c r="AF300" s="30">
        <v>6</v>
      </c>
      <c r="AG300" s="31" t="s">
        <v>34</v>
      </c>
      <c r="AH300" s="31"/>
      <c r="AI300" s="30" t="s">
        <v>1427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homeassistant/switch/supervisor_macmini-max/service_cloudflare/config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supervisor/macmini-max/data/service/cloudflare/health_status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supervisor/macmini-max/command/service/cloudflare</v>
      </c>
      <c r="AM300" s="30" t="str">
        <f>IF(ISBLANK(Table2[[#This Row],[index]]),  "", _xlfn.CONCAT("supervisor/", Table2[[#This Row],[unique_id_device]], "/status"))</f>
        <v>supervisor/macmini-max/status</v>
      </c>
      <c r="AR300" s="30" t="s">
        <v>1489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1148</v>
      </c>
      <c r="BC300" s="30" t="s">
        <v>1461</v>
      </c>
      <c r="BD300" s="30" t="s">
        <v>1080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1148</v>
      </c>
      <c r="D301" s="30" t="s">
        <v>133</v>
      </c>
      <c r="E301" s="30" t="s">
        <v>1469</v>
      </c>
      <c r="F301" s="30" t="str">
        <f>IF(ISBLANK(Table2[[#This Row],[unique_id]]), "", PROPER(SUBSTITUTE(Table2[[#This Row],[unique_id]], "_", " ")))</f>
        <v>Service Grafana</v>
      </c>
      <c r="G301" s="30" t="s">
        <v>1150</v>
      </c>
      <c r="H301" s="30" t="s">
        <v>1498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1490</v>
      </c>
      <c r="AF301" s="30">
        <v>6</v>
      </c>
      <c r="AG301" s="31" t="s">
        <v>34</v>
      </c>
      <c r="AH301" s="31"/>
      <c r="AI301" s="30" t="s">
        <v>1427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homeassistant/switch/supervisor_macmini-max/service_grafana/config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supervisor/macmini-max/data/service/grafana/health_status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supervisor/macmini-max/command/service/grafana</v>
      </c>
      <c r="AM301" s="30" t="str">
        <f>IF(ISBLANK(Table2[[#This Row],[index]]),  "", _xlfn.CONCAT("supervisor/", Table2[[#This Row],[unique_id_device]], "/status"))</f>
        <v>supervisor/macmini-max/status</v>
      </c>
      <c r="AR301" s="30" t="s">
        <v>1489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1148</v>
      </c>
      <c r="BC301" s="30" t="s">
        <v>1461</v>
      </c>
      <c r="BD301" s="30" t="s">
        <v>1080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1148</v>
      </c>
      <c r="D302" s="30" t="s">
        <v>133</v>
      </c>
      <c r="E302" s="30" t="s">
        <v>1470</v>
      </c>
      <c r="F302" s="30" t="str">
        <f>IF(ISBLANK(Table2[[#This Row],[unique_id]]), "", PROPER(SUBSTITUTE(Table2[[#This Row],[unique_id]], "_", " ")))</f>
        <v>Service Letsencrypt</v>
      </c>
      <c r="G302" s="30" t="s">
        <v>1485</v>
      </c>
      <c r="H302" s="30" t="s">
        <v>1498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1490</v>
      </c>
      <c r="AF302" s="30">
        <v>6</v>
      </c>
      <c r="AG302" s="31" t="s">
        <v>34</v>
      </c>
      <c r="AH302" s="31"/>
      <c r="AI302" s="30" t="s">
        <v>1427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supervisor/macmini-max/command/service/letsencrypt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1489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1148</v>
      </c>
      <c r="BC302" s="30" t="s">
        <v>1461</v>
      </c>
      <c r="BD302" s="30" t="s">
        <v>1080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1148</v>
      </c>
      <c r="D303" s="30" t="s">
        <v>133</v>
      </c>
      <c r="E303" s="30" t="s">
        <v>1468</v>
      </c>
      <c r="F303" s="30" t="str">
        <f>IF(ISBLANK(Table2[[#This Row],[unique_id]]), "", PROPER(SUBSTITUTE(Table2[[#This Row],[unique_id]], "_", " ")))</f>
        <v>Service Openra</v>
      </c>
      <c r="G303" s="30" t="s">
        <v>1484</v>
      </c>
      <c r="H303" s="30" t="s">
        <v>1498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1490</v>
      </c>
      <c r="AF303" s="30">
        <v>6</v>
      </c>
      <c r="AG303" s="31" t="s">
        <v>34</v>
      </c>
      <c r="AH303" s="31"/>
      <c r="AI303" s="30" t="s">
        <v>1427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1489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1148</v>
      </c>
      <c r="BC303" s="30" t="s">
        <v>1461</v>
      </c>
      <c r="BD303" s="30" t="s">
        <v>1080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1148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Influxdb3</v>
      </c>
      <c r="G304" s="30" t="s">
        <v>1480</v>
      </c>
      <c r="H304" s="30" t="s">
        <v>1498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1490</v>
      </c>
      <c r="AF304" s="30">
        <v>6</v>
      </c>
      <c r="AG304" s="31" t="s">
        <v>34</v>
      </c>
      <c r="AH304" s="31"/>
      <c r="AI304" s="30" t="s">
        <v>1391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homeassistant/switch/supervisor_macmini-may/service_influxdb3/config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supervisor/macmini-may/data/service/influxdb3/health_status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supervisor/macmini-may/command/service/influxdb3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1489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1148</v>
      </c>
      <c r="BC304" s="30" t="s">
        <v>1461</v>
      </c>
      <c r="BD304" s="30" t="s">
        <v>1080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1148</v>
      </c>
      <c r="D305" s="30" t="s">
        <v>133</v>
      </c>
      <c r="E305" s="30" t="s">
        <v>1466</v>
      </c>
      <c r="F305" s="30" t="str">
        <f>IF(ISBLANK(Table2[[#This Row],[unique_id]]), "", PROPER(SUBSTITUTE(Table2[[#This Row],[unique_id]], "_", " ")))</f>
        <v>Service Mlflow</v>
      </c>
      <c r="G305" s="30" t="s">
        <v>1482</v>
      </c>
      <c r="H305" s="30" t="s">
        <v>1498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1490</v>
      </c>
      <c r="AF305" s="30">
        <v>6</v>
      </c>
      <c r="AG305" s="31" t="s">
        <v>34</v>
      </c>
      <c r="AH305" s="31"/>
      <c r="AI305" s="30" t="s">
        <v>1391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homeassistant/switch/supervisor_macmini-may/service_mlflow/config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supervisor/macmini-may/data/service/mlflow/health_status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supervisor/macmini-may/command/service/mlflow</v>
      </c>
      <c r="AM305" s="30" t="str">
        <f>IF(ISBLANK(Table2[[#This Row],[index]]),  "", _xlfn.CONCAT("supervisor/", Table2[[#This Row],[unique_id_device]], "/status"))</f>
        <v>supervisor/macmini-may/status</v>
      </c>
      <c r="AR305" s="30" t="s">
        <v>1489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1148</v>
      </c>
      <c r="BC305" s="30" t="s">
        <v>1461</v>
      </c>
      <c r="BD305" s="30" t="s">
        <v>1080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1148</v>
      </c>
      <c r="D306" s="30" t="s">
        <v>133</v>
      </c>
      <c r="E306" s="30" t="s">
        <v>1467</v>
      </c>
      <c r="F306" s="30" t="str">
        <f>IF(ISBLANK(Table2[[#This Row],[unique_id]]), "", PROPER(SUBSTITUTE(Table2[[#This Row],[unique_id]], "_", " ")))</f>
        <v>Service Mlserver</v>
      </c>
      <c r="G306" s="30" t="s">
        <v>1483</v>
      </c>
      <c r="H306" s="30" t="s">
        <v>1498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1490</v>
      </c>
      <c r="AF306" s="30">
        <v>6</v>
      </c>
      <c r="AG306" s="31" t="s">
        <v>34</v>
      </c>
      <c r="AH306" s="31"/>
      <c r="AI306" s="30" t="s">
        <v>1391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homeassistant/switch/supervisor_macmini-may/service_mlserver/config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supervisor/macmini-may/data/service/mlserver/health_status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supervisor/macmini-may/command/service/mlserver</v>
      </c>
      <c r="AM306" s="30" t="str">
        <f>IF(ISBLANK(Table2[[#This Row],[index]]),  "", _xlfn.CONCAT("supervisor/", Table2[[#This Row],[unique_id_device]], "/status"))</f>
        <v>supervisor/macmini-may/status</v>
      </c>
      <c r="AR306" s="30" t="s">
        <v>1489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1148</v>
      </c>
      <c r="BC306" s="30" t="s">
        <v>1461</v>
      </c>
      <c r="BD306" s="30" t="s">
        <v>1080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1148</v>
      </c>
      <c r="D307" s="30" t="s">
        <v>133</v>
      </c>
      <c r="E307" s="30" t="s">
        <v>1471</v>
      </c>
      <c r="F307" s="30" t="str">
        <f>IF(ISBLANK(Table2[[#This Row],[unique_id]]), "", PROPER(SUBSTITUTE(Table2[[#This Row],[unique_id]], "_", " ")))</f>
        <v>Service Sonarr</v>
      </c>
      <c r="G307" s="30" t="s">
        <v>1479</v>
      </c>
      <c r="H307" s="30" t="s">
        <v>1498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1490</v>
      </c>
      <c r="AF307" s="30">
        <v>6</v>
      </c>
      <c r="AG307" s="31" t="s">
        <v>34</v>
      </c>
      <c r="AH307" s="31"/>
      <c r="AI307" s="30" t="s">
        <v>1391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1489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1148</v>
      </c>
      <c r="BC307" s="30" t="s">
        <v>1461</v>
      </c>
      <c r="BD307" s="30" t="s">
        <v>1080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1148</v>
      </c>
      <c r="D308" s="30" t="s">
        <v>133</v>
      </c>
      <c r="E308" s="30" t="s">
        <v>1495</v>
      </c>
      <c r="F308" s="30" t="str">
        <f>IF(ISBLANK(Table2[[#This Row],[unique_id]]), "", PROPER(SUBSTITUTE(Table2[[#This Row],[unique_id]], "_", " ")))</f>
        <v>Service Tempstat</v>
      </c>
      <c r="G308" s="30" t="s">
        <v>1491</v>
      </c>
      <c r="H308" s="30" t="s">
        <v>1498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1490</v>
      </c>
      <c r="AF308" s="30">
        <v>6</v>
      </c>
      <c r="AG308" s="31" t="s">
        <v>34</v>
      </c>
      <c r="AH308" s="31"/>
      <c r="AI308" s="30" t="s">
        <v>1391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1489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1148</v>
      </c>
      <c r="BC308" s="30" t="s">
        <v>1461</v>
      </c>
      <c r="BD308" s="30" t="s">
        <v>1080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1148</v>
      </c>
      <c r="D309" s="30" t="s">
        <v>133</v>
      </c>
      <c r="E309" s="30" t="s">
        <v>1462</v>
      </c>
      <c r="F309" s="30" t="str">
        <f>IF(ISBLANK(Table2[[#This Row],[unique_id]]), "", PROPER(SUBSTITUTE(Table2[[#This Row],[unique_id]], "_", " ")))</f>
        <v>Service Homeassistant</v>
      </c>
      <c r="G309" s="30" t="s">
        <v>1154</v>
      </c>
      <c r="H309" s="30" t="s">
        <v>1498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1490</v>
      </c>
      <c r="AF309" s="30">
        <v>6</v>
      </c>
      <c r="AG309" s="31" t="s">
        <v>34</v>
      </c>
      <c r="AH309" s="31"/>
      <c r="AI309" s="30" t="s">
        <v>1099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1489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1148</v>
      </c>
      <c r="BC309" s="30" t="s">
        <v>1461</v>
      </c>
      <c r="BD309" s="30" t="s">
        <v>1080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1148</v>
      </c>
      <c r="D310" s="30" t="s">
        <v>133</v>
      </c>
      <c r="E310" s="30" t="s">
        <v>1473</v>
      </c>
      <c r="F310" s="30" t="str">
        <f>IF(ISBLANK(Table2[[#This Row],[unique_id]]), "", PROPER(SUBSTITUTE(Table2[[#This Row],[unique_id]], "_", " ")))</f>
        <v>Service Mariadb</v>
      </c>
      <c r="G310" s="30" t="s">
        <v>1486</v>
      </c>
      <c r="H310" s="30" t="s">
        <v>1498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1490</v>
      </c>
      <c r="AF310" s="30">
        <v>6</v>
      </c>
      <c r="AG310" s="31" t="s">
        <v>34</v>
      </c>
      <c r="AH310" s="31"/>
      <c r="AI310" s="30" t="s">
        <v>1099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0" s="30" t="str">
        <f>IF(ISBLANK(Table2[[#This Row],[index]]),  "", _xlfn.CONCAT("supervisor/", Table2[[#This Row],[unique_id_device]], "/status"))</f>
        <v>supervisor/macmini-meg/status</v>
      </c>
      <c r="AR310" s="30" t="s">
        <v>1489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1148</v>
      </c>
      <c r="BC310" s="30" t="s">
        <v>1461</v>
      </c>
      <c r="BD310" s="30" t="s">
        <v>1080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1148</v>
      </c>
      <c r="D311" s="30" t="s">
        <v>133</v>
      </c>
      <c r="E311" s="30" t="s">
        <v>1474</v>
      </c>
      <c r="F311" s="30" t="str">
        <f>IF(ISBLANK(Table2[[#This Row],[unique_id]]), "", PROPER(SUBSTITUTE(Table2[[#This Row],[unique_id]], "_", " ")))</f>
        <v>Service Nginx</v>
      </c>
      <c r="G311" s="30" t="s">
        <v>1152</v>
      </c>
      <c r="H311" s="30" t="s">
        <v>1498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1490</v>
      </c>
      <c r="AF311" s="30">
        <v>6</v>
      </c>
      <c r="AG311" s="31" t="s">
        <v>34</v>
      </c>
      <c r="AH311" s="31"/>
      <c r="AI311" s="30" t="s">
        <v>1099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1" s="30" t="str">
        <f>IF(ISBLANK(Table2[[#This Row],[index]]),  "", _xlfn.CONCAT("supervisor/", Table2[[#This Row],[unique_id_device]], "/status"))</f>
        <v>supervisor/macmini-meg/status</v>
      </c>
      <c r="AR311" s="30" t="s">
        <v>1489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1148</v>
      </c>
      <c r="BC311" s="30" t="s">
        <v>1461</v>
      </c>
      <c r="BD311" s="30" t="s">
        <v>1080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1148</v>
      </c>
      <c r="D312" s="30" t="s">
        <v>133</v>
      </c>
      <c r="E312" s="30" t="s">
        <v>1523</v>
      </c>
      <c r="F312" s="30" t="str">
        <f>IF(ISBLANK(Table2[[#This Row],[unique_id]]), "", PROPER(SUBSTITUTE(Table2[[#This Row],[unique_id]], "_", " ")))</f>
        <v>Service Tasmota</v>
      </c>
      <c r="G312" s="30" t="s">
        <v>676</v>
      </c>
      <c r="H312" s="30" t="s">
        <v>1498</v>
      </c>
      <c r="I312" s="30" t="s">
        <v>273</v>
      </c>
      <c r="M312" s="30" t="s">
        <v>255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1490</v>
      </c>
      <c r="AF312" s="30">
        <v>6</v>
      </c>
      <c r="AG312" s="31" t="s">
        <v>34</v>
      </c>
      <c r="AH312" s="31"/>
      <c r="AI312" s="30" t="s">
        <v>1099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12" s="30" t="str">
        <f>IF(ISBLANK(Table2[[#This Row],[index]]),  "", _xlfn.CONCAT("supervisor/", Table2[[#This Row],[unique_id_device]], "/status"))</f>
        <v>supervisor/macmini-meg/status</v>
      </c>
      <c r="AR312" s="30" t="s">
        <v>1489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1148</v>
      </c>
      <c r="BC312" s="30" t="s">
        <v>1461</v>
      </c>
      <c r="BD312" s="30" t="s">
        <v>1080</v>
      </c>
      <c r="BF312" s="30" t="s">
        <v>955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1148</v>
      </c>
      <c r="D313" s="30" t="s">
        <v>133</v>
      </c>
      <c r="E313" s="30" t="s">
        <v>1476</v>
      </c>
      <c r="F313" s="30" t="str">
        <f>IF(ISBLANK(Table2[[#This Row],[unique_id]]), "", PROPER(SUBSTITUTE(Table2[[#This Row],[unique_id]], "_", " ")))</f>
        <v>Service Vernemq</v>
      </c>
      <c r="G313" s="30" t="s">
        <v>1487</v>
      </c>
      <c r="H313" s="30" t="s">
        <v>1498</v>
      </c>
      <c r="I313" s="30" t="s">
        <v>273</v>
      </c>
      <c r="M313" s="30" t="s">
        <v>255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1490</v>
      </c>
      <c r="AF313" s="30">
        <v>6</v>
      </c>
      <c r="AG313" s="31" t="s">
        <v>34</v>
      </c>
      <c r="AH313" s="31"/>
      <c r="AI313" s="30" t="s">
        <v>1099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13" s="30" t="str">
        <f>IF(ISBLANK(Table2[[#This Row],[index]]),  "", _xlfn.CONCAT("supervisor/", Table2[[#This Row],[unique_id_device]], "/status"))</f>
        <v>supervisor/macmini-meg/status</v>
      </c>
      <c r="AR313" s="30" t="s">
        <v>1489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1148</v>
      </c>
      <c r="BC313" s="30" t="s">
        <v>1461</v>
      </c>
      <c r="BD313" s="30" t="s">
        <v>1080</v>
      </c>
      <c r="BF313" s="30" t="s">
        <v>955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1148</v>
      </c>
      <c r="D314" s="30" t="s">
        <v>133</v>
      </c>
      <c r="E314" s="30" t="s">
        <v>1477</v>
      </c>
      <c r="F314" s="30" t="str">
        <f>IF(ISBLANK(Table2[[#This Row],[unique_id]]), "", PROPER(SUBSTITUTE(Table2[[#This Row],[unique_id]], "_", " ")))</f>
        <v>Service Weewx</v>
      </c>
      <c r="G314" s="30" t="s">
        <v>39</v>
      </c>
      <c r="H314" s="30" t="s">
        <v>1498</v>
      </c>
      <c r="I314" s="30" t="s">
        <v>273</v>
      </c>
      <c r="M314" s="30" t="s">
        <v>255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1490</v>
      </c>
      <c r="AF314" s="30">
        <v>6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4" s="30" t="str">
        <f>IF(ISBLANK(Table2[[#This Row],[index]]),  "", _xlfn.CONCAT("supervisor/", Table2[[#This Row],[unique_id_device]], "/status"))</f>
        <v>supervisor/raspbpi-jen/status</v>
      </c>
      <c r="AR314" s="30" t="s">
        <v>1489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1148</v>
      </c>
      <c r="BC314" s="30" t="s">
        <v>1461</v>
      </c>
      <c r="BD314" s="30" t="s">
        <v>1080</v>
      </c>
      <c r="BF314" s="30" t="s">
        <v>955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1148</v>
      </c>
      <c r="D315" s="30" t="s">
        <v>133</v>
      </c>
      <c r="E315" s="30" t="s">
        <v>1478</v>
      </c>
      <c r="F315" s="30" t="str">
        <f>IF(ISBLANK(Table2[[#This Row],[unique_id]]), "", PROPER(SUBSTITUTE(Table2[[#This Row],[unique_id]], "_", " ")))</f>
        <v>Service Zigbee2Mqtt</v>
      </c>
      <c r="G315" s="30" t="s">
        <v>1488</v>
      </c>
      <c r="H315" s="30" t="s">
        <v>1498</v>
      </c>
      <c r="I315" s="30" t="s">
        <v>273</v>
      </c>
      <c r="M315" s="30" t="s">
        <v>255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1490</v>
      </c>
      <c r="AF315" s="30">
        <v>6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5" s="30" t="str">
        <f>IF(ISBLANK(Table2[[#This Row],[index]]),  "", _xlfn.CONCAT("supervisor/", Table2[[#This Row],[unique_id_device]], "/status"))</f>
        <v>supervisor/raspbpi-jen/status</v>
      </c>
      <c r="AR315" s="30" t="s">
        <v>1489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1148</v>
      </c>
      <c r="BC315" s="30" t="s">
        <v>1461</v>
      </c>
      <c r="BD315" s="30" t="s">
        <v>1080</v>
      </c>
      <c r="BF315" s="30" t="s">
        <v>955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422</v>
      </c>
      <c r="D316" s="30" t="s">
        <v>315</v>
      </c>
      <c r="E316" s="30" t="s">
        <v>314</v>
      </c>
      <c r="F316" s="36" t="str">
        <f>IF(ISBLANK(Table2[[#This Row],[unique_id]]), "", PROPER(SUBSTITUTE(Table2[[#This Row],[unique_id]], "_", " ")))</f>
        <v>Column Break</v>
      </c>
      <c r="G316" s="30" t="s">
        <v>311</v>
      </c>
      <c r="H316" s="30" t="s">
        <v>1498</v>
      </c>
      <c r="I316" s="30" t="s">
        <v>273</v>
      </c>
      <c r="M316" s="30" t="s">
        <v>312</v>
      </c>
      <c r="N316" s="30" t="s">
        <v>313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G316" s="31"/>
      <c r="AH316" s="31"/>
      <c r="AR316" s="39"/>
      <c r="AT316" s="32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1159</v>
      </c>
      <c r="D317" s="30" t="s">
        <v>27</v>
      </c>
      <c r="E317" s="30" t="s">
        <v>1165</v>
      </c>
      <c r="F317" s="30" t="str">
        <f>IF(ISBLANK(Table2[[#This Row],[unique_id]]), "", PROPER(SUBSTITUTE(Table2[[#This Row],[unique_id]], "_", " ")))</f>
        <v>Template Utility Temperature Proxy</v>
      </c>
      <c r="G317" s="30" t="s">
        <v>1160</v>
      </c>
      <c r="H317" s="30" t="s">
        <v>1162</v>
      </c>
      <c r="I317" s="30" t="s">
        <v>273</v>
      </c>
      <c r="K317" s="30" t="s">
        <v>1130</v>
      </c>
      <c r="M317" s="30" t="s">
        <v>135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R317" s="39"/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1491</v>
      </c>
      <c r="D318" s="30" t="s">
        <v>27</v>
      </c>
      <c r="E318" s="30" t="s">
        <v>1077</v>
      </c>
      <c r="F318" s="36" t="str">
        <f>IF(ISBLANK(Table2[[#This Row],[unique_id]]), "", PROPER(SUBSTITUTE(Table2[[#This Row],[unique_id]], "_", " ")))</f>
        <v>Rack Top Temperature</v>
      </c>
      <c r="G318" s="30" t="s">
        <v>1079</v>
      </c>
      <c r="H318" s="30" t="s">
        <v>1162</v>
      </c>
      <c r="I318" s="30" t="s">
        <v>273</v>
      </c>
      <c r="K318" s="30" t="s">
        <v>1122</v>
      </c>
      <c r="O318" s="31"/>
      <c r="P318" s="30"/>
      <c r="T318" s="37"/>
      <c r="U318" s="30"/>
      <c r="V318" s="31" t="s">
        <v>1142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300</v>
      </c>
      <c r="AG318" s="31" t="s">
        <v>34</v>
      </c>
      <c r="AH318" s="31"/>
      <c r="AI318" s="30" t="s">
        <v>1391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8" s="30" t="str">
        <f>IF(ISBLANK(Table2[[#This Row],[index]]),  "", _xlfn.CONCAT(LOWER(Table2[[#This Row],[device_via_device]]), "/data"))</f>
        <v>tempstat/data</v>
      </c>
      <c r="AL318" s="30" t="str">
        <f>IF(ISBLANK(Table2[[#This Row],[index]]), "", _xlfn.CONCAT(LOWER(Table2[[#This Row],[device_via_device]]), "/command"))</f>
        <v>tempstat/command</v>
      </c>
      <c r="AM318" s="30" t="str">
        <f>IF(ISBLANK(Table2[[#This Row],[index]]), "", _xlfn.CONCAT(LOWER(Table2[[#This Row],[device_via_device]]), "/status"))</f>
        <v>tempstat/status</v>
      </c>
      <c r="AR318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86</v>
      </c>
      <c r="BC318" s="30" t="s">
        <v>1493</v>
      </c>
      <c r="BD318" s="30" t="s">
        <v>1494</v>
      </c>
      <c r="BF318" s="30" t="s">
        <v>955</v>
      </c>
      <c r="BG318" s="30" t="s">
        <v>28</v>
      </c>
      <c r="BL318" s="30" t="s">
        <v>1098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9" spans="1:66" ht="16" customHeight="1" x14ac:dyDescent="0.2">
      <c r="A319" s="30">
        <v>2537</v>
      </c>
      <c r="B319" s="30" t="s">
        <v>26</v>
      </c>
      <c r="C319" s="30" t="s">
        <v>1491</v>
      </c>
      <c r="D319" s="30" t="s">
        <v>27</v>
      </c>
      <c r="E319" s="30" t="s">
        <v>1122</v>
      </c>
      <c r="F319" s="30" t="str">
        <f>IF(ISBLANK(Table2[[#This Row],[unique_id]]), "", PROPER(SUBSTITUTE(Table2[[#This Row],[unique_id]], "_", " ")))</f>
        <v>Compensation Sensor Rack Top Temperature</v>
      </c>
      <c r="G319" s="30" t="s">
        <v>1079</v>
      </c>
      <c r="H319" s="30" t="s">
        <v>1162</v>
      </c>
      <c r="I319" s="30" t="s">
        <v>273</v>
      </c>
      <c r="J319" s="30" t="s">
        <v>86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1491</v>
      </c>
      <c r="D320" s="30" t="s">
        <v>27</v>
      </c>
      <c r="E320" s="30" t="s">
        <v>1078</v>
      </c>
      <c r="F320" s="36" t="str">
        <f>IF(ISBLANK(Table2[[#This Row],[unique_id]]), "", PROPER(SUBSTITUTE(Table2[[#This Row],[unique_id]], "_", " ")))</f>
        <v>Rack Bottom Temperature</v>
      </c>
      <c r="G320" s="30" t="s">
        <v>1081</v>
      </c>
      <c r="H320" s="30" t="s">
        <v>1162</v>
      </c>
      <c r="I320" s="30" t="s">
        <v>273</v>
      </c>
      <c r="K320" s="30" t="s">
        <v>1123</v>
      </c>
      <c r="O320" s="31"/>
      <c r="P320" s="30"/>
      <c r="T320" s="37"/>
      <c r="U320" s="30"/>
      <c r="V320" s="31" t="s">
        <v>1142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300</v>
      </c>
      <c r="AG320" s="31" t="s">
        <v>34</v>
      </c>
      <c r="AH320" s="31"/>
      <c r="AI320" s="30" t="s">
        <v>1391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0" s="30" t="str">
        <f>IF(ISBLANK(Table2[[#This Row],[index]]),  "", _xlfn.CONCAT(LOWER(Table2[[#This Row],[device_via_device]]), "/data"))</f>
        <v>tempstat/data</v>
      </c>
      <c r="AL320" s="30" t="str">
        <f>IF(ISBLANK(Table2[[#This Row],[index]]), "", _xlfn.CONCAT(LOWER(Table2[[#This Row],[device_via_device]]), "/command"))</f>
        <v>tempstat/command</v>
      </c>
      <c r="AM320" s="30" t="str">
        <f>IF(ISBLANK(Table2[[#This Row],[index]]), "", _xlfn.CONCAT(LOWER(Table2[[#This Row],[device_via_device]]), "/status"))</f>
        <v>tempstat/status</v>
      </c>
      <c r="AR320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86</v>
      </c>
      <c r="BC320" s="30" t="s">
        <v>1493</v>
      </c>
      <c r="BD320" s="30" t="s">
        <v>1494</v>
      </c>
      <c r="BF320" s="30" t="s">
        <v>955</v>
      </c>
      <c r="BG320" s="30" t="s">
        <v>28</v>
      </c>
      <c r="BL320" s="30" t="s">
        <v>1097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1" spans="1:66" ht="16" customHeight="1" x14ac:dyDescent="0.2">
      <c r="A321" s="30">
        <v>2539</v>
      </c>
      <c r="B321" s="30" t="s">
        <v>26</v>
      </c>
      <c r="C321" s="30" t="s">
        <v>1491</v>
      </c>
      <c r="D321" s="30" t="s">
        <v>27</v>
      </c>
      <c r="E321" s="30" t="s">
        <v>1123</v>
      </c>
      <c r="F321" s="30" t="str">
        <f>IF(ISBLANK(Table2[[#This Row],[unique_id]]), "", PROPER(SUBSTITUTE(Table2[[#This Row],[unique_id]], "_", " ")))</f>
        <v>Compensation Sensor Rack Bottom Temperature</v>
      </c>
      <c r="G321" s="30" t="s">
        <v>1081</v>
      </c>
      <c r="H321" s="30" t="s">
        <v>1162</v>
      </c>
      <c r="I321" s="30" t="s">
        <v>273</v>
      </c>
      <c r="J321" s="30" t="s">
        <v>86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1148</v>
      </c>
      <c r="D322" s="30" t="s">
        <v>27</v>
      </c>
      <c r="E322" s="30" t="s">
        <v>1420</v>
      </c>
      <c r="F322" s="30" t="str">
        <f>IF(ISBLANK(Table2[[#This Row],[unique_id]]), "", PROPER(SUBSTITUTE(Table2[[#This Row],[unique_id]], "_", " ")))</f>
        <v>Host Mad Temperature</v>
      </c>
      <c r="G322" s="30" t="s">
        <v>1424</v>
      </c>
      <c r="H322" s="30" t="s">
        <v>1162</v>
      </c>
      <c r="I322" s="30" t="s">
        <v>273</v>
      </c>
      <c r="K322" s="30" t="s">
        <v>1421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1426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2" s="30" t="str">
        <f>IF(ISBLANK(Table2[[#This Row],[index]]), "", _xlfn.CONCAT("supervisor/", Table2[[#This Row],[unique_id_device]], "/data/host/temperature"))</f>
        <v>supervisor/macmini-mad/data/host/temperature</v>
      </c>
      <c r="AM322" s="30" t="str">
        <f>IF(ISBLANK(Table2[[#This Row],[index]]),  "", _xlfn.CONCAT("supervisor/", Table2[[#This Row],[unique_id_device]], "/status"))</f>
        <v>supervisor/macmini-mad/status</v>
      </c>
      <c r="AR322" s="30" t="s">
        <v>1524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1148</v>
      </c>
      <c r="BC322" s="30" t="s">
        <v>1461</v>
      </c>
      <c r="BD322" s="30" t="s">
        <v>1080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1148</v>
      </c>
      <c r="D323" s="30" t="s">
        <v>27</v>
      </c>
      <c r="E323" s="30" t="s">
        <v>1421</v>
      </c>
      <c r="F323" s="30" t="str">
        <f>IF(ISBLANK(Table2[[#This Row],[unique_id]]), "", PROPER(SUBSTITUTE(Table2[[#This Row],[unique_id]], "_", " ")))</f>
        <v>Compensation Sensor Host Mad Temperature</v>
      </c>
      <c r="G323" s="30" t="s">
        <v>1424</v>
      </c>
      <c r="H323" s="30" t="s">
        <v>1162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1148</v>
      </c>
      <c r="D324" s="30" t="s">
        <v>27</v>
      </c>
      <c r="E324" s="30" t="s">
        <v>1422</v>
      </c>
      <c r="F324" s="30" t="str">
        <f>IF(ISBLANK(Table2[[#This Row],[unique_id]]), "", PROPER(SUBSTITUTE(Table2[[#This Row],[unique_id]], "_", " ")))</f>
        <v>Host Max Temperature</v>
      </c>
      <c r="G324" s="30" t="s">
        <v>1425</v>
      </c>
      <c r="H324" s="30" t="s">
        <v>1162</v>
      </c>
      <c r="I324" s="30" t="s">
        <v>273</v>
      </c>
      <c r="K324" s="30" t="s">
        <v>1423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1427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4" s="30" t="str">
        <f>IF(ISBLANK(Table2[[#This Row],[index]]), "", _xlfn.CONCAT("supervisor/", Table2[[#This Row],[unique_id_device]], "/data/host/temperature"))</f>
        <v>supervisor/macmini-max/data/host/temperature</v>
      </c>
      <c r="AM324" s="30" t="str">
        <f>IF(ISBLANK(Table2[[#This Row],[index]]),  "", _xlfn.CONCAT("supervisor/", Table2[[#This Row],[unique_id_device]], "/status"))</f>
        <v>supervisor/macmini-max/status</v>
      </c>
      <c r="AR324" s="30" t="s">
        <v>1524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1148</v>
      </c>
      <c r="BC324" s="30" t="s">
        <v>1461</v>
      </c>
      <c r="BD324" s="30" t="s">
        <v>1080</v>
      </c>
      <c r="BF324" s="30" t="s">
        <v>955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1148</v>
      </c>
      <c r="D325" s="30" t="s">
        <v>27</v>
      </c>
      <c r="E325" s="30" t="s">
        <v>1423</v>
      </c>
      <c r="F325" s="30" t="str">
        <f>IF(ISBLANK(Table2[[#This Row],[unique_id]]), "", PROPER(SUBSTITUTE(Table2[[#This Row],[unique_id]], "_", " ")))</f>
        <v>Compensation Sensor Host Max Temperature</v>
      </c>
      <c r="G325" s="30" t="s">
        <v>1425</v>
      </c>
      <c r="H325" s="30" t="s">
        <v>1162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1148</v>
      </c>
      <c r="D326" s="30" t="s">
        <v>27</v>
      </c>
      <c r="E326" s="30" t="s">
        <v>1385</v>
      </c>
      <c r="F326" s="30" t="str">
        <f>IF(ISBLANK(Table2[[#This Row],[unique_id]]), "", PROPER(SUBSTITUTE(Table2[[#This Row],[unique_id]], "_", " ")))</f>
        <v>Host May Temperature</v>
      </c>
      <c r="G326" s="30" t="s">
        <v>1384</v>
      </c>
      <c r="H326" s="30" t="s">
        <v>1162</v>
      </c>
      <c r="I326" s="30" t="s">
        <v>273</v>
      </c>
      <c r="K326" s="30" t="s">
        <v>1386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1391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6" s="30" t="str">
        <f>IF(ISBLANK(Table2[[#This Row],[index]]), "", _xlfn.CONCAT("supervisor/", Table2[[#This Row],[unique_id_device]], "/data/host/temperature"))</f>
        <v>supervisor/macmini-may/data/host/temperature</v>
      </c>
      <c r="AM326" s="30" t="str">
        <f>IF(ISBLANK(Table2[[#This Row],[index]]),  "", _xlfn.CONCAT("supervisor/", Table2[[#This Row],[unique_id_device]], "/status"))</f>
        <v>supervisor/macmini-may/status</v>
      </c>
      <c r="AR326" s="30" t="s">
        <v>1524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1148</v>
      </c>
      <c r="BC326" s="30" t="s">
        <v>1461</v>
      </c>
      <c r="BD326" s="30" t="s">
        <v>1080</v>
      </c>
      <c r="BF326" s="30" t="s">
        <v>955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1148</v>
      </c>
      <c r="D327" s="30" t="s">
        <v>27</v>
      </c>
      <c r="E327" s="30" t="s">
        <v>1386</v>
      </c>
      <c r="F327" s="30" t="str">
        <f>IF(ISBLANK(Table2[[#This Row],[unique_id]]), "", PROPER(SUBSTITUTE(Table2[[#This Row],[unique_id]], "_", " ")))</f>
        <v>Compensation Sensor Host May Temperature</v>
      </c>
      <c r="G327" s="30" t="s">
        <v>1384</v>
      </c>
      <c r="H327" s="30" t="s">
        <v>1162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1148</v>
      </c>
      <c r="D328" s="30" t="s">
        <v>27</v>
      </c>
      <c r="E328" s="30" t="s">
        <v>1155</v>
      </c>
      <c r="F328" s="30" t="str">
        <f>IF(ISBLANK(Table2[[#This Row],[unique_id]]), "", PROPER(SUBSTITUTE(Table2[[#This Row],[unique_id]], "_", " ")))</f>
        <v>Host Meg Temperature</v>
      </c>
      <c r="G328" s="30" t="s">
        <v>1158</v>
      </c>
      <c r="H328" s="30" t="s">
        <v>1162</v>
      </c>
      <c r="I328" s="30" t="s">
        <v>273</v>
      </c>
      <c r="K328" s="30" t="s">
        <v>1157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1099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8" s="30" t="str">
        <f>IF(ISBLANK(Table2[[#This Row],[index]]), "", _xlfn.CONCAT("supervisor/", Table2[[#This Row],[unique_id_device]], "/data/host/temperature"))</f>
        <v>supervisor/macmini-meg/data/host/temperature</v>
      </c>
      <c r="AM328" s="30" t="str">
        <f>IF(ISBLANK(Table2[[#This Row],[index]]),  "", _xlfn.CONCAT("supervisor/", Table2[[#This Row],[unique_id_device]], "/status"))</f>
        <v>supervisor/macmini-meg/status</v>
      </c>
      <c r="AR328" s="30" t="s">
        <v>1524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1148</v>
      </c>
      <c r="BC328" s="30" t="s">
        <v>1461</v>
      </c>
      <c r="BD328" s="30" t="s">
        <v>1080</v>
      </c>
      <c r="BF328" s="30" t="s">
        <v>955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1148</v>
      </c>
      <c r="D329" s="30" t="s">
        <v>27</v>
      </c>
      <c r="E329" s="30" t="s">
        <v>1157</v>
      </c>
      <c r="F329" s="30" t="str">
        <f>IF(ISBLANK(Table2[[#This Row],[unique_id]]), "", PROPER(SUBSTITUTE(Table2[[#This Row],[unique_id]], "_", " ")))</f>
        <v>Compensation Sensor Host Meg Temperature</v>
      </c>
      <c r="G329" s="30" t="s">
        <v>1158</v>
      </c>
      <c r="H329" s="30" t="s">
        <v>1162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1159</v>
      </c>
      <c r="D330" s="30" t="s">
        <v>27</v>
      </c>
      <c r="E330" s="30" t="s">
        <v>1167</v>
      </c>
      <c r="F330" s="30" t="str">
        <f>IF(ISBLANK(Table2[[#This Row],[unique_id]]), "", PROPER(SUBSTITUTE(Table2[[#This Row],[unique_id]], "_", " ")))</f>
        <v>Template Deck Festoons Plug Temperature Proxy</v>
      </c>
      <c r="G330" s="30" t="s">
        <v>1164</v>
      </c>
      <c r="H330" s="30" t="s">
        <v>1163</v>
      </c>
      <c r="I330" s="30" t="s">
        <v>273</v>
      </c>
      <c r="K330" s="30" t="s">
        <v>1121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 t="s">
        <v>31</v>
      </c>
      <c r="AC330" s="30" t="s">
        <v>87</v>
      </c>
      <c r="AD330" s="30" t="s">
        <v>88</v>
      </c>
      <c r="AE330" s="30" t="s">
        <v>298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1159</v>
      </c>
      <c r="D331" s="30" t="s">
        <v>27</v>
      </c>
      <c r="E331" s="30" t="s">
        <v>1166</v>
      </c>
      <c r="F331" s="30" t="str">
        <f>IF(ISBLANK(Table2[[#This Row],[unique_id]]), "", PROPER(SUBSTITUTE(Table2[[#This Row],[unique_id]], "_", " ")))</f>
        <v>Template Wardrobe Temperature Proxy</v>
      </c>
      <c r="G331" s="30" t="s">
        <v>1370</v>
      </c>
      <c r="H331" s="30" t="s">
        <v>1161</v>
      </c>
      <c r="I331" s="30" t="s">
        <v>273</v>
      </c>
      <c r="K331" s="30" t="s">
        <v>1127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87</v>
      </c>
      <c r="AD331" s="30" t="s">
        <v>88</v>
      </c>
      <c r="AE331" s="30" t="s">
        <v>298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1148</v>
      </c>
      <c r="D332" s="30" t="s">
        <v>27</v>
      </c>
      <c r="E332" s="30" t="s">
        <v>1397</v>
      </c>
      <c r="F332" s="30" t="str">
        <f>IF(ISBLANK(Table2[[#This Row],[unique_id]]), "", PROPER(SUBSTITUTE(Table2[[#This Row],[unique_id]], "_", " ")))</f>
        <v>Host Jen Temperature</v>
      </c>
      <c r="G332" s="30" t="s">
        <v>1398</v>
      </c>
      <c r="H332" s="30" t="s">
        <v>1161</v>
      </c>
      <c r="I332" s="30" t="s">
        <v>273</v>
      </c>
      <c r="K332" s="30" t="s">
        <v>1393</v>
      </c>
      <c r="O332" s="31"/>
      <c r="P332" s="30"/>
      <c r="T332" s="37"/>
      <c r="U332" s="30"/>
      <c r="V332" s="31" t="s">
        <v>297</v>
      </c>
      <c r="W332" s="31"/>
      <c r="X332" s="31"/>
      <c r="Y332" s="31"/>
      <c r="Z332" s="31"/>
      <c r="AA332" s="31"/>
      <c r="AB332" s="30" t="s">
        <v>31</v>
      </c>
      <c r="AC332" s="30" t="s">
        <v>87</v>
      </c>
      <c r="AD332" s="30" t="s">
        <v>88</v>
      </c>
      <c r="AE332" s="30" t="s">
        <v>298</v>
      </c>
      <c r="AF332" s="30">
        <v>5</v>
      </c>
      <c r="AG332" s="31" t="s">
        <v>34</v>
      </c>
      <c r="AH332" s="31"/>
      <c r="AI332" s="30" t="s">
        <v>1394</v>
      </c>
      <c r="AJ33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2" s="30" t="str">
        <f>IF(ISBLANK(Table2[[#This Row],[index]]), "", _xlfn.CONCAT("supervisor/", Table2[[#This Row],[unique_id_device]], "/data/host/temperature"))</f>
        <v>supervisor/raspbpi-jen/data/host/temperature</v>
      </c>
      <c r="AM332" s="30" t="str">
        <f>IF(ISBLANK(Table2[[#This Row],[index]]),  "", _xlfn.CONCAT("supervisor/", Table2[[#This Row],[unique_id_device]], "/status"))</f>
        <v>supervisor/raspbpi-jen/status</v>
      </c>
      <c r="AR332" s="30" t="s">
        <v>1524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Wardrobe</v>
      </c>
      <c r="BB332" s="30" t="s">
        <v>1148</v>
      </c>
      <c r="BC332" s="30" t="s">
        <v>1461</v>
      </c>
      <c r="BD332" s="30" t="s">
        <v>1080</v>
      </c>
      <c r="BF332" s="30" t="s">
        <v>955</v>
      </c>
      <c r="BG332" s="30" t="s">
        <v>477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1148</v>
      </c>
      <c r="D333" s="30" t="s">
        <v>27</v>
      </c>
      <c r="E333" s="30" t="s">
        <v>1393</v>
      </c>
      <c r="F333" s="30" t="str">
        <f>IF(ISBLANK(Table2[[#This Row],[unique_id]]), "", PROPER(SUBSTITUTE(Table2[[#This Row],[unique_id]], "_", " ")))</f>
        <v>Compensation Sensor Host Jen Temperature</v>
      </c>
      <c r="G333" s="30" t="s">
        <v>1398</v>
      </c>
      <c r="H333" s="30" t="s">
        <v>1161</v>
      </c>
      <c r="I333" s="30" t="s">
        <v>273</v>
      </c>
      <c r="M333" s="30" t="s">
        <v>135</v>
      </c>
      <c r="O333" s="31"/>
      <c r="P333" s="30"/>
      <c r="T333" s="37"/>
      <c r="U333" s="30" t="s">
        <v>418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87</v>
      </c>
      <c r="AD333" s="30" t="s">
        <v>88</v>
      </c>
      <c r="AE333" s="30" t="s">
        <v>298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477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422</v>
      </c>
      <c r="D334" s="30" t="s">
        <v>315</v>
      </c>
      <c r="E334" s="30" t="s">
        <v>314</v>
      </c>
      <c r="F334" s="36" t="str">
        <f>IF(ISBLANK(Table2[[#This Row],[unique_id]]), "", PROPER(SUBSTITUTE(Table2[[#This Row],[unique_id]], "_", " ")))</f>
        <v>Column Break</v>
      </c>
      <c r="G334" s="30" t="s">
        <v>311</v>
      </c>
      <c r="H334" s="30" t="s">
        <v>1161</v>
      </c>
      <c r="I334" s="30" t="s">
        <v>273</v>
      </c>
      <c r="M334" s="30" t="s">
        <v>312</v>
      </c>
      <c r="N334" s="30" t="s">
        <v>313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R334" s="39"/>
      <c r="AT334" s="32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603</v>
      </c>
      <c r="D335" s="30" t="s">
        <v>27</v>
      </c>
      <c r="E335" s="30" t="s">
        <v>641</v>
      </c>
      <c r="F335" s="36" t="str">
        <f>IF(ISBLANK(Table2[[#This Row],[unique_id]]), "", PROPER(SUBSTITUTE(Table2[[#This Row],[unique_id]], "_", " ")))</f>
        <v>Back Door Lock Battery</v>
      </c>
      <c r="G335" s="30" t="s">
        <v>627</v>
      </c>
      <c r="H335" s="30" t="s">
        <v>1146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603</v>
      </c>
      <c r="D336" s="30" t="s">
        <v>27</v>
      </c>
      <c r="E336" s="30" t="s">
        <v>642</v>
      </c>
      <c r="F336" s="36" t="str">
        <f>IF(ISBLANK(Table2[[#This Row],[unique_id]]), "", PROPER(SUBSTITUTE(Table2[[#This Row],[unique_id]], "_", " ")))</f>
        <v>Front Door Lock Battery</v>
      </c>
      <c r="G336" s="30" t="s">
        <v>626</v>
      </c>
      <c r="H336" s="30" t="s">
        <v>1146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316</v>
      </c>
      <c r="D337" s="30" t="s">
        <v>27</v>
      </c>
      <c r="E337" s="30" t="s">
        <v>644</v>
      </c>
      <c r="F337" s="36" t="str">
        <f>IF(ISBLANK(Table2[[#This Row],[unique_id]]), "", PROPER(SUBSTITUTE(Table2[[#This Row],[unique_id]], "_", " ")))</f>
        <v>Template Back Door Sensor Battery Last</v>
      </c>
      <c r="G337" s="30" t="s">
        <v>629</v>
      </c>
      <c r="H337" s="30" t="s">
        <v>1146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316</v>
      </c>
      <c r="D338" s="30" t="s">
        <v>27</v>
      </c>
      <c r="E338" s="30" t="s">
        <v>643</v>
      </c>
      <c r="F338" s="36" t="str">
        <f>IF(ISBLANK(Table2[[#This Row],[unique_id]]), "", PROPER(SUBSTITUTE(Table2[[#This Row],[unique_id]], "_", " ")))</f>
        <v>Template Front Door Sensor Battery Last</v>
      </c>
      <c r="G338" s="30" t="s">
        <v>628</v>
      </c>
      <c r="H338" s="30" t="s">
        <v>1146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561</v>
      </c>
      <c r="C339" s="30" t="s">
        <v>439</v>
      </c>
      <c r="D339" s="30" t="s">
        <v>27</v>
      </c>
      <c r="E339" s="30" t="s">
        <v>467</v>
      </c>
      <c r="F339" s="36" t="str">
        <f>IF(ISBLANK(Table2[[#This Row],[unique_id]]), "", PROPER(SUBSTITUTE(Table2[[#This Row],[unique_id]], "_", " ")))</f>
        <v>Home Cube Remote Battery</v>
      </c>
      <c r="G339" s="30" t="s">
        <v>447</v>
      </c>
      <c r="H339" s="30" t="s">
        <v>1146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48" t="s">
        <v>26</v>
      </c>
      <c r="C340" s="48" t="s">
        <v>149</v>
      </c>
      <c r="D340" s="48" t="s">
        <v>27</v>
      </c>
      <c r="E340" s="48" t="s">
        <v>638</v>
      </c>
      <c r="F340" s="49" t="str">
        <f>IF(ISBLANK(Table2[[#This Row],[unique_id]]), "", PROPER(SUBSTITUTE(Table2[[#This Row],[unique_id]], "_", " ")))</f>
        <v>Template Weatherstation Console Battery Percent Int</v>
      </c>
      <c r="G340" s="48" t="s">
        <v>636</v>
      </c>
      <c r="H340" s="48" t="s">
        <v>1146</v>
      </c>
      <c r="I340" s="48" t="s">
        <v>273</v>
      </c>
      <c r="J340" s="48"/>
      <c r="K340" s="48"/>
      <c r="L340" s="48"/>
      <c r="M340" s="48" t="s">
        <v>135</v>
      </c>
      <c r="N340" s="48"/>
      <c r="O340" s="50"/>
      <c r="P340" s="48"/>
      <c r="Q340" s="48"/>
      <c r="R340" s="48"/>
      <c r="S340" s="48"/>
      <c r="T340" s="51"/>
      <c r="U340" s="48"/>
      <c r="V340" s="50"/>
      <c r="W340" s="50"/>
      <c r="X340" s="50"/>
      <c r="Y340" s="50"/>
      <c r="Z340" s="50"/>
      <c r="AA340" s="50"/>
      <c r="AB340" s="48" t="s">
        <v>31</v>
      </c>
      <c r="AC340" s="48" t="s">
        <v>32</v>
      </c>
      <c r="AD340" s="48" t="s">
        <v>637</v>
      </c>
      <c r="AE340" s="48"/>
      <c r="AF340" s="48"/>
      <c r="AG340" s="50"/>
      <c r="AH340" s="50"/>
      <c r="AI340" s="48"/>
      <c r="AJ340" s="48"/>
      <c r="AK340" s="48"/>
      <c r="AL340" s="48"/>
      <c r="AM340" s="48"/>
      <c r="AN340" s="48"/>
      <c r="AO340" s="48"/>
      <c r="AP340" s="48"/>
      <c r="AQ340" s="48"/>
      <c r="AR340" s="52"/>
      <c r="AS340" s="48"/>
      <c r="AT340" s="53"/>
      <c r="AU340" s="50"/>
      <c r="AV340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0" s="48"/>
      <c r="BA340" s="48" t="str">
        <f>IF(ISBLANK(Table2[[#This Row],[device_model]]), "", Table2[[#This Row],[device_suggested_area]])</f>
        <v/>
      </c>
      <c r="BB340" s="48"/>
      <c r="BC340" s="48"/>
      <c r="BD340" s="48"/>
      <c r="BE340" s="48"/>
      <c r="BF340" s="50"/>
      <c r="BG340" s="48"/>
      <c r="BH340" s="48"/>
      <c r="BI340" s="48"/>
      <c r="BJ340" s="48"/>
      <c r="BK340" s="48"/>
      <c r="BL340" s="48"/>
      <c r="BM340" s="48"/>
      <c r="BN340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8" customFormat="1" ht="16" customHeight="1" x14ac:dyDescent="0.2">
      <c r="A341" s="30">
        <v>2559</v>
      </c>
      <c r="B341" s="48" t="s">
        <v>26</v>
      </c>
      <c r="C341" s="48" t="s">
        <v>39</v>
      </c>
      <c r="D341" s="48" t="s">
        <v>27</v>
      </c>
      <c r="E341" s="48" t="s">
        <v>169</v>
      </c>
      <c r="F341" s="49" t="str">
        <f>IF(ISBLANK(Table2[[#This Row],[unique_id]]), "", PROPER(SUBSTITUTE(Table2[[#This Row],[unique_id]], "_", " ")))</f>
        <v>Weatherstation Console Battery Voltage</v>
      </c>
      <c r="G341" s="48" t="s">
        <v>446</v>
      </c>
      <c r="H341" s="48" t="s">
        <v>1146</v>
      </c>
      <c r="I341" s="48" t="s">
        <v>273</v>
      </c>
      <c r="O341" s="50"/>
      <c r="T341" s="51"/>
      <c r="V341" s="50" t="s">
        <v>1175</v>
      </c>
      <c r="W341" s="50"/>
      <c r="X341" s="50"/>
      <c r="Y341" s="50"/>
      <c r="Z341" s="50"/>
      <c r="AA341" s="50"/>
      <c r="AB341" s="48" t="s">
        <v>31</v>
      </c>
      <c r="AC341" s="48" t="s">
        <v>83</v>
      </c>
      <c r="AD341" s="48" t="s">
        <v>84</v>
      </c>
      <c r="AE341" s="48" t="s">
        <v>270</v>
      </c>
      <c r="AF341" s="48">
        <v>300</v>
      </c>
      <c r="AG341" s="50" t="s">
        <v>34</v>
      </c>
      <c r="AH341" s="50"/>
      <c r="AI341" s="48" t="s">
        <v>85</v>
      </c>
      <c r="AJ341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1" s="48" t="str">
        <f>IF(ISBLANK(Table2[[#This Row],[index]]),  "", _xlfn.CONCAT(LOWER(Table2[[#This Row],[device_via_device]]), "/", Table2[[#This Row],[unique_id]]))</f>
        <v>weewx/weatherstation_console_battery_voltage</v>
      </c>
      <c r="AR341" s="52" t="s">
        <v>1144</v>
      </c>
      <c r="AS341" s="48">
        <v>1</v>
      </c>
      <c r="AT341" s="53"/>
      <c r="AV341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1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1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1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8" t="str">
        <f>IF(ISBLANK(Table2[[#This Row],[device_model]]), "", Table2[[#This Row],[device_suggested_area]])</f>
        <v>Wardrobe</v>
      </c>
      <c r="BB341" s="48" t="s">
        <v>1174</v>
      </c>
      <c r="BC341" s="48" t="s">
        <v>36</v>
      </c>
      <c r="BD341" s="48" t="s">
        <v>37</v>
      </c>
      <c r="BF341" s="48" t="s">
        <v>1029</v>
      </c>
      <c r="BG341" s="48" t="s">
        <v>477</v>
      </c>
      <c r="BN341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8" customFormat="1" ht="16" customHeight="1" x14ac:dyDescent="0.2">
      <c r="A342" s="30">
        <v>2560</v>
      </c>
      <c r="B342" s="30" t="s">
        <v>26</v>
      </c>
      <c r="C342" s="30" t="s">
        <v>39</v>
      </c>
      <c r="D342" s="30" t="s">
        <v>27</v>
      </c>
      <c r="E342" s="30" t="s">
        <v>1517</v>
      </c>
      <c r="F342" s="36" t="str">
        <f>IF(ISBLANK(Table2[[#This Row],[unique_id]]), "", PROPER(SUBSTITUTE(Table2[[#This Row],[unique_id]], "_", " ")))</f>
        <v>Weatherstation Coms Signal Quality</v>
      </c>
      <c r="G342" s="30" t="s">
        <v>1518</v>
      </c>
      <c r="H342" s="30" t="s">
        <v>1146</v>
      </c>
      <c r="I342" s="30" t="s">
        <v>273</v>
      </c>
      <c r="J342" s="30"/>
      <c r="K342" s="30"/>
      <c r="L342" s="30"/>
      <c r="M342" s="30"/>
      <c r="N342" s="30"/>
      <c r="O342" s="31"/>
      <c r="P342" s="30"/>
      <c r="Q342" s="30"/>
      <c r="R342" s="30"/>
      <c r="S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D342" s="30"/>
      <c r="AE342" s="30"/>
      <c r="AF342" s="30">
        <v>300</v>
      </c>
      <c r="AG342" s="31" t="s">
        <v>34</v>
      </c>
      <c r="AH342" s="31"/>
      <c r="AI342" s="30" t="s">
        <v>1519</v>
      </c>
      <c r="AJ342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42" s="30" t="str">
        <f>IF(ISBLANK(Table2[[#This Row],[index]]),  "", _xlfn.CONCAT(LOWER(Table2[[#This Row],[device_via_device]]), "/", Table2[[#This Row],[unique_id]]))</f>
        <v>weewx/weatherstation_coms_signal_quality</v>
      </c>
      <c r="AL342" s="30"/>
      <c r="AM342" s="30"/>
      <c r="AN342" s="30"/>
      <c r="AO342" s="30"/>
      <c r="AP342" s="30"/>
      <c r="AQ342" s="30"/>
      <c r="AR342" s="39" t="s">
        <v>1520</v>
      </c>
      <c r="AS342" s="30">
        <v>1</v>
      </c>
      <c r="AT342" s="32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2" s="30"/>
      <c r="BA342" s="30" t="str">
        <f>IF(ISBLANK(Table2[[#This Row],[device_model]]), "", Table2[[#This Row],[device_suggested_area]])</f>
        <v>Wardrobe</v>
      </c>
      <c r="BB342" s="30" t="s">
        <v>1174</v>
      </c>
      <c r="BC342" s="30" t="s">
        <v>36</v>
      </c>
      <c r="BD342" s="30" t="s">
        <v>37</v>
      </c>
      <c r="BE342" s="30"/>
      <c r="BF342" s="30" t="s">
        <v>1029</v>
      </c>
      <c r="BG342" s="30" t="s">
        <v>477</v>
      </c>
      <c r="BH342" s="30"/>
      <c r="BI342" s="30"/>
      <c r="BJ342" s="30"/>
      <c r="BK342" s="30"/>
      <c r="BL342" s="30"/>
      <c r="BM342" s="30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127</v>
      </c>
      <c r="D343" s="30" t="s">
        <v>27</v>
      </c>
      <c r="E343" s="39" t="s">
        <v>1303</v>
      </c>
      <c r="F343" s="36" t="str">
        <f>IF(ISBLANK(Table2[[#This Row],[unique_id]]), "", PROPER(SUBSTITUTE(Table2[[#This Row],[unique_id]], "_", " ")))</f>
        <v>Office Pantry Battery</v>
      </c>
      <c r="G343" s="30" t="s">
        <v>440</v>
      </c>
      <c r="H343" s="30" t="s">
        <v>1146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957</v>
      </c>
      <c r="BC343" s="30" t="s">
        <v>959</v>
      </c>
      <c r="BD343" s="30" t="s">
        <v>127</v>
      </c>
      <c r="BF343" s="30" t="s">
        <v>406</v>
      </c>
      <c r="BG343" s="30" t="s">
        <v>209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127</v>
      </c>
      <c r="D344" s="30" t="s">
        <v>27</v>
      </c>
      <c r="E344" s="39" t="s">
        <v>1304</v>
      </c>
      <c r="F344" s="36" t="str">
        <f>IF(ISBLANK(Table2[[#This Row],[unique_id]]), "", PROPER(SUBSTITUTE(Table2[[#This Row],[unique_id]], "_", " ")))</f>
        <v>Office Lounge Battery</v>
      </c>
      <c r="G344" s="30" t="s">
        <v>441</v>
      </c>
      <c r="H344" s="30" t="s">
        <v>1146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957</v>
      </c>
      <c r="BC344" s="30" t="s">
        <v>959</v>
      </c>
      <c r="BD344" s="30" t="s">
        <v>127</v>
      </c>
      <c r="BF344" s="30" t="s">
        <v>406</v>
      </c>
      <c r="BG344" s="30" t="s">
        <v>192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127</v>
      </c>
      <c r="D345" s="30" t="s">
        <v>27</v>
      </c>
      <c r="E345" s="39" t="s">
        <v>1305</v>
      </c>
      <c r="F345" s="36" t="str">
        <f>IF(ISBLANK(Table2[[#This Row],[unique_id]]), "", PROPER(SUBSTITUTE(Table2[[#This Row],[unique_id]], "_", " ")))</f>
        <v>Office Dining Battery</v>
      </c>
      <c r="G345" s="30" t="s">
        <v>442</v>
      </c>
      <c r="H345" s="30" t="s">
        <v>1146</v>
      </c>
      <c r="I345" s="30" t="s">
        <v>273</v>
      </c>
      <c r="M345" s="30" t="s">
        <v>135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957</v>
      </c>
      <c r="BC345" s="30" t="s">
        <v>959</v>
      </c>
      <c r="BD345" s="30" t="s">
        <v>127</v>
      </c>
      <c r="BF345" s="30" t="s">
        <v>406</v>
      </c>
      <c r="BG345" s="30" t="s">
        <v>191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127</v>
      </c>
      <c r="D346" s="30" t="s">
        <v>27</v>
      </c>
      <c r="E346" s="39" t="s">
        <v>1306</v>
      </c>
      <c r="F346" s="36" t="str">
        <f>IF(ISBLANK(Table2[[#This Row],[unique_id]]), "", PROPER(SUBSTITUTE(Table2[[#This Row],[unique_id]], "_", " ")))</f>
        <v>Office Basement Battery</v>
      </c>
      <c r="G346" s="30" t="s">
        <v>443</v>
      </c>
      <c r="H346" s="30" t="s">
        <v>1146</v>
      </c>
      <c r="I346" s="30" t="s">
        <v>273</v>
      </c>
      <c r="M346" s="30" t="s">
        <v>135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957</v>
      </c>
      <c r="BC346" s="30" t="s">
        <v>959</v>
      </c>
      <c r="BD346" s="30" t="s">
        <v>127</v>
      </c>
      <c r="BF346" s="30" t="s">
        <v>406</v>
      </c>
      <c r="BG346" s="30" t="s">
        <v>208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180</v>
      </c>
      <c r="D347" s="30" t="s">
        <v>27</v>
      </c>
      <c r="E347" s="30" t="s">
        <v>702</v>
      </c>
      <c r="F347" s="36" t="str">
        <f>IF(ISBLANK(Table2[[#This Row],[unique_id]]), "", PROPER(SUBSTITUTE(Table2[[#This Row],[unique_id]], "_", " ")))</f>
        <v>Parents Move Battery</v>
      </c>
      <c r="G347" s="30" t="s">
        <v>444</v>
      </c>
      <c r="H347" s="30" t="s">
        <v>1146</v>
      </c>
      <c r="I347" s="30" t="s">
        <v>273</v>
      </c>
      <c r="M347" s="30" t="s">
        <v>135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180</v>
      </c>
      <c r="D348" s="30" t="s">
        <v>27</v>
      </c>
      <c r="E348" s="30" t="s">
        <v>701</v>
      </c>
      <c r="F348" s="36" t="str">
        <f>IF(ISBLANK(Table2[[#This Row],[unique_id]]), "", PROPER(SUBSTITUTE(Table2[[#This Row],[unique_id]], "_", " ")))</f>
        <v>Kitchen Move Battery</v>
      </c>
      <c r="G348" s="30" t="s">
        <v>445</v>
      </c>
      <c r="H348" s="30" t="s">
        <v>1146</v>
      </c>
      <c r="I348" s="30" t="s">
        <v>273</v>
      </c>
      <c r="M348" s="30" t="s">
        <v>135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422</v>
      </c>
      <c r="D349" s="30" t="s">
        <v>315</v>
      </c>
      <c r="E349" s="30" t="s">
        <v>314</v>
      </c>
      <c r="F349" s="36" t="str">
        <f>IF(ISBLANK(Table2[[#This Row],[unique_id]]), "", PROPER(SUBSTITUTE(Table2[[#This Row],[unique_id]], "_", " ")))</f>
        <v>Column Break</v>
      </c>
      <c r="G349" s="30" t="s">
        <v>311</v>
      </c>
      <c r="H349" s="30" t="s">
        <v>1146</v>
      </c>
      <c r="I349" s="30" t="s">
        <v>273</v>
      </c>
      <c r="M349" s="30" t="s">
        <v>312</v>
      </c>
      <c r="N349" s="30" t="s">
        <v>313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743</v>
      </c>
      <c r="D350" s="30" t="s">
        <v>27</v>
      </c>
      <c r="E350" s="30" t="s">
        <v>794</v>
      </c>
      <c r="F350" s="36" t="str">
        <f>IF(ISBLANK(Table2[[#This Row],[unique_id]]), "", PROPER(SUBSTITUTE(Table2[[#This Row],[unique_id]], "_", " ")))</f>
        <v>All Standby</v>
      </c>
      <c r="G350" s="30" t="s">
        <v>795</v>
      </c>
      <c r="H350" s="30" t="s">
        <v>508</v>
      </c>
      <c r="I350" s="30" t="s">
        <v>273</v>
      </c>
      <c r="O350" s="31" t="s">
        <v>754</v>
      </c>
      <c r="P350" s="30"/>
      <c r="R350" s="41"/>
      <c r="T350" s="37" t="s">
        <v>793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561</v>
      </c>
      <c r="C351" s="30" t="s">
        <v>676</v>
      </c>
      <c r="D351" s="30" t="s">
        <v>133</v>
      </c>
      <c r="E351" s="30" t="s">
        <v>1428</v>
      </c>
      <c r="F351" s="36" t="str">
        <f>IF(ISBLANK(Table2[[#This Row],[unique_id]]), "", PROPER(SUBSTITUTE(Table2[[#This Row],[unique_id]], "_", " ")))</f>
        <v>Rack Printer Plug</v>
      </c>
      <c r="G351" s="30" t="s">
        <v>1443</v>
      </c>
      <c r="H351" s="30" t="s">
        <v>508</v>
      </c>
      <c r="I351" s="30" t="s">
        <v>273</v>
      </c>
      <c r="M351" s="30" t="s">
        <v>255</v>
      </c>
      <c r="O351" s="31" t="s">
        <v>754</v>
      </c>
      <c r="P351" s="30"/>
      <c r="T351" s="37" t="s">
        <v>937</v>
      </c>
      <c r="U351" s="30"/>
      <c r="V351" s="31"/>
      <c r="W351" s="31"/>
      <c r="X351" s="31"/>
      <c r="Y351" s="31"/>
      <c r="Z351" s="31"/>
      <c r="AA351" s="31" t="s">
        <v>1071</v>
      </c>
      <c r="AB351" s="30"/>
      <c r="AC351" s="30"/>
      <c r="AE351" s="30" t="s">
        <v>1429</v>
      </c>
      <c r="AF351" s="30">
        <v>10</v>
      </c>
      <c r="AG351" s="31" t="s">
        <v>34</v>
      </c>
      <c r="AH351" s="31" t="s">
        <v>863</v>
      </c>
      <c r="AI351" s="30" t="s">
        <v>1428</v>
      </c>
      <c r="AJ351" s="30" t="str">
        <f>_xlfn.CONCAT("homeassistant/", Table2[[#This Row],[entity_namespace]], "/tasmota/",Table2[[#This Row],[unique_id]], "/config")</f>
        <v>homeassistant/switch/tasmota/rack_printer_plug/config</v>
      </c>
      <c r="AK351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51" s="30" t="str">
        <f>_xlfn.CONCAT("tasmota/device/",Table2[[#This Row],[unique_id]], "/cmnd/POWER")</f>
        <v>tasmota/device/rack_printer_plug/cmnd/POWER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1" s="30" t="s">
        <v>882</v>
      </c>
      <c r="AO351" s="30" t="s">
        <v>883</v>
      </c>
      <c r="AP351" s="30" t="s">
        <v>872</v>
      </c>
      <c r="AQ351" s="30" t="s">
        <v>873</v>
      </c>
      <c r="AR351" s="30" t="s">
        <v>936</v>
      </c>
      <c r="AS351" s="30">
        <v>1</v>
      </c>
      <c r="AT351" s="34" t="str">
        <f>HYPERLINK(_xlfn.CONCAT("http://", Table2[[#This Row],[connection_ip]], "/?"))</f>
        <v>http://10.0.4.111/?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364</v>
      </c>
      <c r="BC351" s="39" t="s">
        <v>733</v>
      </c>
      <c r="BD351" s="30" t="s">
        <v>1072</v>
      </c>
      <c r="BF351" s="30" t="s">
        <v>853</v>
      </c>
      <c r="BG351" s="30" t="s">
        <v>28</v>
      </c>
      <c r="BK351" s="30" t="s">
        <v>1209</v>
      </c>
      <c r="BL351" s="30" t="s">
        <v>1448</v>
      </c>
      <c r="BM351" s="30" t="s">
        <v>1444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2" spans="1:66" ht="16" customHeight="1" x14ac:dyDescent="0.2">
      <c r="A352" s="30">
        <v>2570</v>
      </c>
      <c r="B352" s="30" t="s">
        <v>26</v>
      </c>
      <c r="C352" s="30" t="s">
        <v>676</v>
      </c>
      <c r="D352" s="30" t="s">
        <v>133</v>
      </c>
      <c r="E352" s="30" t="s">
        <v>1438</v>
      </c>
      <c r="F352" s="36" t="str">
        <f>IF(ISBLANK(Table2[[#This Row],[unique_id]]), "", PROPER(SUBSTITUTE(Table2[[#This Row],[unique_id]], "_", " ")))</f>
        <v>Rack Screen Plug</v>
      </c>
      <c r="G352" s="30" t="s">
        <v>1431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/>
      <c r="T352" s="37" t="s">
        <v>937</v>
      </c>
      <c r="U352" s="30"/>
      <c r="V352" s="31"/>
      <c r="W352" s="31"/>
      <c r="X352" s="31"/>
      <c r="Y352" s="31"/>
      <c r="Z352" s="31"/>
      <c r="AA352" s="31" t="s">
        <v>1528</v>
      </c>
      <c r="AB352" s="30"/>
      <c r="AC352" s="30"/>
      <c r="AE352" s="30" t="s">
        <v>1432</v>
      </c>
      <c r="AF352" s="30">
        <v>10</v>
      </c>
      <c r="AG352" s="31" t="s">
        <v>34</v>
      </c>
      <c r="AH352" s="31" t="s">
        <v>863</v>
      </c>
      <c r="AI352" s="30" t="s">
        <v>1438</v>
      </c>
      <c r="AJ352" s="30" t="str">
        <f>_xlfn.CONCAT("homeassistant/", Table2[[#This Row],[entity_namespace]], "/tasmota/",Table2[[#This Row],[unique_id]], "/config")</f>
        <v>homeassistant/switch/tasmota/rack_screen_plug/config</v>
      </c>
      <c r="AK352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52" s="30" t="str">
        <f>_xlfn.CONCAT("tasmota/device/",Table2[[#This Row],[unique_id]], "/cmnd/POWER")</f>
        <v>tasmota/device/rack_screen_plug/cmnd/POWER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2" s="30" t="s">
        <v>882</v>
      </c>
      <c r="AO352" s="30" t="s">
        <v>883</v>
      </c>
      <c r="AP352" s="30" t="s">
        <v>872</v>
      </c>
      <c r="AQ352" s="30" t="s">
        <v>873</v>
      </c>
      <c r="AR352" s="30" t="s">
        <v>936</v>
      </c>
      <c r="AS352" s="30">
        <v>1</v>
      </c>
      <c r="AT352" s="34" t="str">
        <f>HYPERLINK(_xlfn.CONCAT("http://", Table2[[#This Row],[connection_ip]], "/?"))</f>
        <v>http://10.0.4.109/?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1435</v>
      </c>
      <c r="BC352" s="39" t="s">
        <v>733</v>
      </c>
      <c r="BD352" s="30" t="s">
        <v>1072</v>
      </c>
      <c r="BF352" s="30" t="s">
        <v>853</v>
      </c>
      <c r="BG352" s="30" t="s">
        <v>28</v>
      </c>
      <c r="BK352" s="30" t="s">
        <v>1209</v>
      </c>
      <c r="BL352" s="30" t="s">
        <v>1440</v>
      </c>
      <c r="BM352" s="30" t="s">
        <v>1436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3" spans="1:66" ht="16" customHeight="1" x14ac:dyDescent="0.2">
      <c r="A353" s="30">
        <v>2571</v>
      </c>
      <c r="B353" s="30" t="s">
        <v>26</v>
      </c>
      <c r="C353" s="30" t="s">
        <v>676</v>
      </c>
      <c r="D353" s="30" t="s">
        <v>133</v>
      </c>
      <c r="E353" s="30" t="s">
        <v>1412</v>
      </c>
      <c r="F353" s="36" t="str">
        <f>IF(ISBLANK(Table2[[#This Row],[unique_id]]), "", PROPER(SUBSTITUTE(Table2[[#This Row],[unique_id]], "_", " ")))</f>
        <v>Rack Backup Plug</v>
      </c>
      <c r="G353" s="30" t="s">
        <v>1430</v>
      </c>
      <c r="H353" s="30" t="s">
        <v>508</v>
      </c>
      <c r="I353" s="30" t="s">
        <v>273</v>
      </c>
      <c r="M353" s="30" t="s">
        <v>255</v>
      </c>
      <c r="O353" s="31" t="s">
        <v>754</v>
      </c>
      <c r="P353" s="30"/>
      <c r="T353" s="37" t="s">
        <v>937</v>
      </c>
      <c r="U353" s="30"/>
      <c r="V353" s="31"/>
      <c r="W353" s="31"/>
      <c r="X353" s="31"/>
      <c r="Y353" s="31"/>
      <c r="Z353" s="31"/>
      <c r="AA353" s="31" t="s">
        <v>1528</v>
      </c>
      <c r="AB353" s="30"/>
      <c r="AC353" s="30"/>
      <c r="AE353" s="30" t="s">
        <v>1433</v>
      </c>
      <c r="AF353" s="30">
        <v>10</v>
      </c>
      <c r="AG353" s="31" t="s">
        <v>34</v>
      </c>
      <c r="AH353" s="31" t="s">
        <v>863</v>
      </c>
      <c r="AI353" s="30" t="s">
        <v>1412</v>
      </c>
      <c r="AJ353" s="30" t="str">
        <f>_xlfn.CONCAT("homeassistant/", Table2[[#This Row],[entity_namespace]], "/tasmota/",Table2[[#This Row],[unique_id]], "/config")</f>
        <v>homeassistant/switch/tasmota/rack_backup_plug/config</v>
      </c>
      <c r="AK353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53" s="30" t="str">
        <f>_xlfn.CONCAT("tasmota/device/",Table2[[#This Row],[unique_id]], "/cmnd/POWER")</f>
        <v>tasmota/device/rack_backup_plug/cmnd/POWER</v>
      </c>
      <c r="AM353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3" s="30" t="s">
        <v>882</v>
      </c>
      <c r="AO353" s="30" t="s">
        <v>883</v>
      </c>
      <c r="AP353" s="30" t="s">
        <v>872</v>
      </c>
      <c r="AQ353" s="30" t="s">
        <v>873</v>
      </c>
      <c r="AR353" s="30" t="s">
        <v>936</v>
      </c>
      <c r="AS353" s="30">
        <v>1</v>
      </c>
      <c r="AT353" s="34" t="str">
        <f>HYPERLINK(_xlfn.CONCAT("http://", Table2[[#This Row],[connection_ip]], "/?"))</f>
        <v>http://10.0.4.110/?</v>
      </c>
      <c r="AU353" s="3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Rack</v>
      </c>
      <c r="BB353" s="30" t="s">
        <v>1434</v>
      </c>
      <c r="BC353" s="39" t="s">
        <v>733</v>
      </c>
      <c r="BD353" s="30" t="s">
        <v>1072</v>
      </c>
      <c r="BF353" s="30" t="s">
        <v>853</v>
      </c>
      <c r="BG353" s="30" t="s">
        <v>28</v>
      </c>
      <c r="BK353" s="30" t="s">
        <v>1209</v>
      </c>
      <c r="BL353" s="30" t="s">
        <v>1439</v>
      </c>
      <c r="BM353" s="30" t="s">
        <v>1437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4" spans="1:66" ht="16" customHeight="1" x14ac:dyDescent="0.2">
      <c r="A354" s="30">
        <v>2572</v>
      </c>
      <c r="B354" s="30" t="s">
        <v>26</v>
      </c>
      <c r="C354" s="30" t="s">
        <v>676</v>
      </c>
      <c r="D354" s="30" t="s">
        <v>133</v>
      </c>
      <c r="E354" s="30" t="s">
        <v>854</v>
      </c>
      <c r="F354" s="36" t="str">
        <f>IF(ISBLANK(Table2[[#This Row],[unique_id]]), "", PROPER(SUBSTITUTE(Table2[[#This Row],[unique_id]], "_", " ")))</f>
        <v>Rack Fans Plug</v>
      </c>
      <c r="G354" s="30" t="s">
        <v>570</v>
      </c>
      <c r="H354" s="30" t="s">
        <v>508</v>
      </c>
      <c r="I354" s="30" t="s">
        <v>273</v>
      </c>
      <c r="M354" s="30" t="s">
        <v>255</v>
      </c>
      <c r="O354" s="31" t="s">
        <v>754</v>
      </c>
      <c r="P354" s="30"/>
      <c r="T354" s="37" t="s">
        <v>937</v>
      </c>
      <c r="U354" s="30"/>
      <c r="V354" s="31"/>
      <c r="W354" s="31"/>
      <c r="X354" s="31"/>
      <c r="Y354" s="31"/>
      <c r="Z354" s="31"/>
      <c r="AA354" s="31" t="s">
        <v>1528</v>
      </c>
      <c r="AB354" s="30"/>
      <c r="AC354" s="30"/>
      <c r="AE354" s="30" t="s">
        <v>1511</v>
      </c>
      <c r="AF354" s="30">
        <v>10</v>
      </c>
      <c r="AG354" s="31" t="s">
        <v>34</v>
      </c>
      <c r="AH354" s="31" t="s">
        <v>863</v>
      </c>
      <c r="AI354" s="30" t="s">
        <v>854</v>
      </c>
      <c r="AJ354" s="30" t="str">
        <f>_xlfn.CONCAT("homeassistant/", Table2[[#This Row],[entity_namespace]], "/tasmota/",Table2[[#This Row],[unique_id]], "/config")</f>
        <v>homeassistant/switch/tasmota/rack_fans_plug/config</v>
      </c>
      <c r="AK354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4" s="30" t="str">
        <f>_xlfn.CONCAT("tasmota/device/",Table2[[#This Row],[unique_id]], "/cmnd/POWER")</f>
        <v>tasmota/device/rack_fans_plug/cmnd/POWER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4" s="30" t="s">
        <v>882</v>
      </c>
      <c r="AO354" s="30" t="s">
        <v>883</v>
      </c>
      <c r="AP354" s="30" t="s">
        <v>872</v>
      </c>
      <c r="AQ354" s="30" t="s">
        <v>873</v>
      </c>
      <c r="AR354" s="30" t="s">
        <v>936</v>
      </c>
      <c r="AS354" s="30">
        <v>1</v>
      </c>
      <c r="AT354" s="34" t="str">
        <f>HYPERLINK(_xlfn.CONCAT("http://", Table2[[#This Row],[connection_ip]], "/?"))</f>
        <v>http://10.0.4.101/?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130</v>
      </c>
      <c r="BC354" s="39" t="s">
        <v>733</v>
      </c>
      <c r="BD354" s="30" t="s">
        <v>1072</v>
      </c>
      <c r="BF354" s="30" t="s">
        <v>853</v>
      </c>
      <c r="BG354" s="30" t="s">
        <v>28</v>
      </c>
      <c r="BK354" s="30" t="s">
        <v>1209</v>
      </c>
      <c r="BL354" s="30" t="s">
        <v>571</v>
      </c>
      <c r="BM354" s="30" t="s">
        <v>1263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5" spans="1:66" ht="16" customHeight="1" x14ac:dyDescent="0.2">
      <c r="A355" s="30">
        <v>2573</v>
      </c>
      <c r="B355" s="30" t="s">
        <v>26</v>
      </c>
      <c r="C355" s="30" t="s">
        <v>774</v>
      </c>
      <c r="D355" s="30" t="s">
        <v>147</v>
      </c>
      <c r="E355" s="37" t="s">
        <v>1036</v>
      </c>
      <c r="F355" s="36" t="str">
        <f>IF(ISBLANK(Table2[[#This Row],[unique_id]]), "", PROPER(SUBSTITUTE(Table2[[#This Row],[unique_id]], "_", " ")))</f>
        <v>Template Lounge Tv Plug Proxy</v>
      </c>
      <c r="G355" s="30" t="s">
        <v>178</v>
      </c>
      <c r="H355" s="30" t="s">
        <v>508</v>
      </c>
      <c r="I355" s="30" t="s">
        <v>273</v>
      </c>
      <c r="O355" s="31" t="s">
        <v>754</v>
      </c>
      <c r="P355" s="30" t="s">
        <v>164</v>
      </c>
      <c r="Q355" s="30" t="s">
        <v>726</v>
      </c>
      <c r="R355" s="41" t="s">
        <v>711</v>
      </c>
      <c r="S355" s="30" t="str">
        <f>Table2[[#This Row],[friendly_name]]</f>
        <v>Lounge TV</v>
      </c>
      <c r="T355" s="37" t="s">
        <v>1033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U355" s="30" t="s">
        <v>133</v>
      </c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Lounge</v>
      </c>
      <c r="BB355" s="30" t="s">
        <v>946</v>
      </c>
      <c r="BC355" s="30" t="s">
        <v>341</v>
      </c>
      <c r="BD355" s="30" t="s">
        <v>231</v>
      </c>
      <c r="BF355" s="30" t="s">
        <v>344</v>
      </c>
      <c r="BG355" s="30" t="s">
        <v>192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231</v>
      </c>
      <c r="D356" s="30" t="s">
        <v>133</v>
      </c>
      <c r="E356" s="30" t="s">
        <v>1035</v>
      </c>
      <c r="F356" s="36" t="str">
        <f>IF(ISBLANK(Table2[[#This Row],[unique_id]]), "", PROPER(SUBSTITUTE(Table2[[#This Row],[unique_id]], "_", " ")))</f>
        <v>Lounge Tv Plug</v>
      </c>
      <c r="G356" s="30" t="s">
        <v>178</v>
      </c>
      <c r="H356" s="30" t="s">
        <v>508</v>
      </c>
      <c r="I356" s="30" t="s">
        <v>273</v>
      </c>
      <c r="M356" s="30" t="s">
        <v>255</v>
      </c>
      <c r="O356" s="31" t="s">
        <v>754</v>
      </c>
      <c r="P356" s="30" t="s">
        <v>164</v>
      </c>
      <c r="Q356" s="30" t="s">
        <v>726</v>
      </c>
      <c r="R356" s="41" t="s">
        <v>711</v>
      </c>
      <c r="S356" s="30" t="str">
        <f>Table2[[#This Row],[friendly_name]]</f>
        <v>Lounge TV</v>
      </c>
      <c r="T356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6" s="30"/>
      <c r="V356" s="31"/>
      <c r="W356" s="31"/>
      <c r="X356" s="31"/>
      <c r="Y356" s="31"/>
      <c r="Z356" s="31"/>
      <c r="AA356" s="31"/>
      <c r="AB356" s="30"/>
      <c r="AC356" s="30"/>
      <c r="AE356" s="30" t="s">
        <v>248</v>
      </c>
      <c r="AG356" s="31"/>
      <c r="AH356" s="31"/>
      <c r="AT356" s="40"/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946</v>
      </c>
      <c r="BC356" s="30" t="s">
        <v>341</v>
      </c>
      <c r="BD356" s="30" t="s">
        <v>231</v>
      </c>
      <c r="BF356" s="30" t="s">
        <v>344</v>
      </c>
      <c r="BG356" s="30" t="s">
        <v>192</v>
      </c>
      <c r="BJ356" s="30" t="s">
        <v>943</v>
      </c>
      <c r="BK356" s="30" t="s">
        <v>1209</v>
      </c>
      <c r="BL356" s="30" t="s">
        <v>331</v>
      </c>
      <c r="BM356" s="30" t="s">
        <v>1243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7" spans="1:66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1346</v>
      </c>
      <c r="F357" s="56" t="str">
        <f>IF(ISBLANK(Table2[[#This Row],[unique_id]]), "", PROPER(SUBSTITUTE(Table2[[#This Row],[unique_id]], "_", " ")))</f>
        <v>Broken Template Lounge Sub Plug Proxy</v>
      </c>
      <c r="G357" s="54" t="s">
        <v>758</v>
      </c>
      <c r="H357" s="54" t="s">
        <v>508</v>
      </c>
      <c r="I357" s="54" t="s">
        <v>273</v>
      </c>
      <c r="J357" s="54"/>
      <c r="K357" s="54"/>
      <c r="L357" s="54"/>
      <c r="M357" s="54"/>
      <c r="N357" s="54"/>
      <c r="O357" s="57" t="s">
        <v>754</v>
      </c>
      <c r="P357" s="54" t="s">
        <v>164</v>
      </c>
      <c r="Q357" s="54" t="s">
        <v>726</v>
      </c>
      <c r="R357" s="60" t="s">
        <v>711</v>
      </c>
      <c r="S357" s="54" t="str">
        <f>Table2[[#This Row],[friendly_name]]</f>
        <v>Lounge Sub</v>
      </c>
      <c r="T357" s="55" t="s">
        <v>1033</v>
      </c>
      <c r="U357" s="54"/>
      <c r="V357" s="57"/>
      <c r="W357" s="57"/>
      <c r="X357" s="57"/>
      <c r="Y357" s="57"/>
      <c r="Z357" s="57"/>
      <c r="AA357" s="57"/>
      <c r="AB357" s="54"/>
      <c r="AC357" s="54"/>
      <c r="AD357" s="54"/>
      <c r="AE357" s="54"/>
      <c r="AF357" s="54"/>
      <c r="AG357" s="57"/>
      <c r="AH357" s="57"/>
      <c r="AI357" s="54"/>
      <c r="AJ357" s="54"/>
      <c r="AK357" s="54"/>
      <c r="AL357" s="54"/>
      <c r="AM357" s="54"/>
      <c r="AN357" s="54"/>
      <c r="AO357" s="54"/>
      <c r="AP357" s="54"/>
      <c r="AQ357" s="54"/>
      <c r="AR357" s="59"/>
      <c r="AS357" s="54"/>
      <c r="AT357" s="61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57" s="54"/>
      <c r="BA357" s="54" t="str">
        <f>IF(ISBLANK(Table2[[#This Row],[device_model]]), "", Table2[[#This Row],[device_suggested_area]])</f>
        <v>Lounge</v>
      </c>
      <c r="BB357" s="54" t="s">
        <v>986</v>
      </c>
      <c r="BC357" s="59" t="s">
        <v>342</v>
      </c>
      <c r="BD357" s="54" t="s">
        <v>231</v>
      </c>
      <c r="BE357" s="54"/>
      <c r="BF357" s="54" t="s">
        <v>343</v>
      </c>
      <c r="BG357" s="54" t="s">
        <v>192</v>
      </c>
      <c r="BH357" s="54"/>
      <c r="BI357" s="54"/>
      <c r="BJ357" s="54"/>
      <c r="BK357" s="54"/>
      <c r="BL357" s="54"/>
      <c r="BM357" s="54"/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1347</v>
      </c>
      <c r="F358" s="56" t="str">
        <f>IF(ISBLANK(Table2[[#This Row],[unique_id]]), "", PROPER(SUBSTITUTE(Table2[[#This Row],[unique_id]], "_", " ")))</f>
        <v>Broken Lounge Sub Plug</v>
      </c>
      <c r="G358" s="54" t="s">
        <v>758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726</v>
      </c>
      <c r="R358" s="60" t="s">
        <v>711</v>
      </c>
      <c r="S358" s="54" t="str">
        <f>Table2[[#This Row],[friendly_name]]</f>
        <v>Lounge Sub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759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Lounge</v>
      </c>
      <c r="BB358" s="54" t="s">
        <v>986</v>
      </c>
      <c r="BC358" s="59" t="s">
        <v>342</v>
      </c>
      <c r="BD358" s="54" t="s">
        <v>231</v>
      </c>
      <c r="BF358" s="54" t="s">
        <v>343</v>
      </c>
      <c r="BG358" s="54" t="s">
        <v>192</v>
      </c>
      <c r="BJ358" s="54" t="s">
        <v>942</v>
      </c>
      <c r="BK358" s="54" t="s">
        <v>1209</v>
      </c>
      <c r="BL358" s="54" t="s">
        <v>322</v>
      </c>
      <c r="BM358" s="54" t="s">
        <v>1244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774</v>
      </c>
      <c r="D359" s="54" t="s">
        <v>147</v>
      </c>
      <c r="E359" s="55" t="s">
        <v>1348</v>
      </c>
      <c r="F359" s="56" t="str">
        <f>IF(ISBLANK(Table2[[#This Row],[unique_id]]), "", PROPER(SUBSTITUTE(Table2[[#This Row],[unique_id]], "_", " ")))</f>
        <v>Broken Template Study Outlet Plug Proxy</v>
      </c>
      <c r="G359" s="54" t="s">
        <v>224</v>
      </c>
      <c r="H359" s="54" t="s">
        <v>508</v>
      </c>
      <c r="I359" s="54" t="s">
        <v>273</v>
      </c>
      <c r="O359" s="57" t="s">
        <v>754</v>
      </c>
      <c r="P359" s="54" t="s">
        <v>164</v>
      </c>
      <c r="Q359" s="54" t="s">
        <v>726</v>
      </c>
      <c r="R359" s="54" t="s">
        <v>508</v>
      </c>
      <c r="S359" s="54" t="str">
        <f>Table2[[#This Row],[friendly_name]]</f>
        <v>Study Outlet</v>
      </c>
      <c r="T359" s="55" t="s">
        <v>1032</v>
      </c>
      <c r="V359" s="57"/>
      <c r="W359" s="57"/>
      <c r="X359" s="57"/>
      <c r="Y359" s="57"/>
      <c r="Z359" s="57"/>
      <c r="AA359" s="57"/>
      <c r="AG359" s="57"/>
      <c r="AH359" s="57"/>
      <c r="AT359" s="58"/>
      <c r="AU359" s="54" t="s">
        <v>133</v>
      </c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Study</v>
      </c>
      <c r="BB359" s="54" t="s">
        <v>984</v>
      </c>
      <c r="BC359" s="59" t="s">
        <v>342</v>
      </c>
      <c r="BD359" s="54" t="s">
        <v>231</v>
      </c>
      <c r="BF359" s="54" t="s">
        <v>343</v>
      </c>
      <c r="BG359" s="54" t="s">
        <v>338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231</v>
      </c>
      <c r="D360" s="54" t="s">
        <v>133</v>
      </c>
      <c r="E360" s="54" t="s">
        <v>1349</v>
      </c>
      <c r="F360" s="56" t="str">
        <f>IF(ISBLANK(Table2[[#This Row],[unique_id]]), "", PROPER(SUBSTITUTE(Table2[[#This Row],[unique_id]], "_", " ")))</f>
        <v>Broken Study Outlet Plug</v>
      </c>
      <c r="G360" s="54" t="s">
        <v>224</v>
      </c>
      <c r="H360" s="54" t="s">
        <v>508</v>
      </c>
      <c r="I360" s="54" t="s">
        <v>273</v>
      </c>
      <c r="M360" s="54" t="s">
        <v>255</v>
      </c>
      <c r="O360" s="57" t="s">
        <v>754</v>
      </c>
      <c r="P360" s="54" t="s">
        <v>164</v>
      </c>
      <c r="Q360" s="54" t="s">
        <v>726</v>
      </c>
      <c r="R360" s="54" t="s">
        <v>508</v>
      </c>
      <c r="S360" s="54" t="str">
        <f>Table2[[#This Row],[friendly_name]]</f>
        <v>Study Outlet</v>
      </c>
      <c r="T360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0" s="57"/>
      <c r="W360" s="57"/>
      <c r="X360" s="57"/>
      <c r="Y360" s="57"/>
      <c r="Z360" s="57"/>
      <c r="AA360" s="57"/>
      <c r="AE360" s="54" t="s">
        <v>249</v>
      </c>
      <c r="AG360" s="57"/>
      <c r="AH360" s="57"/>
      <c r="AT360" s="58"/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Study</v>
      </c>
      <c r="BB360" s="54" t="s">
        <v>984</v>
      </c>
      <c r="BC360" s="59" t="s">
        <v>342</v>
      </c>
      <c r="BD360" s="54" t="s">
        <v>231</v>
      </c>
      <c r="BF360" s="54" t="s">
        <v>343</v>
      </c>
      <c r="BG360" s="54" t="s">
        <v>338</v>
      </c>
      <c r="BJ360" s="54" t="s">
        <v>942</v>
      </c>
      <c r="BK360" s="54" t="s">
        <v>1209</v>
      </c>
      <c r="BL360" s="54" t="s">
        <v>333</v>
      </c>
      <c r="BM360" s="54" t="s">
        <v>1245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774</v>
      </c>
      <c r="D361" s="54" t="s">
        <v>147</v>
      </c>
      <c r="E361" s="55" t="s">
        <v>1350</v>
      </c>
      <c r="F361" s="56" t="str">
        <f>IF(ISBLANK(Table2[[#This Row],[unique_id]]), "", PROPER(SUBSTITUTE(Table2[[#This Row],[unique_id]], "_", " ")))</f>
        <v>Broken Template Office Outlet Plug Proxy</v>
      </c>
      <c r="G361" s="54" t="s">
        <v>223</v>
      </c>
      <c r="H361" s="54" t="s">
        <v>508</v>
      </c>
      <c r="I361" s="54" t="s">
        <v>273</v>
      </c>
      <c r="O361" s="57" t="s">
        <v>754</v>
      </c>
      <c r="P361" s="54" t="s">
        <v>164</v>
      </c>
      <c r="Q361" s="54" t="s">
        <v>726</v>
      </c>
      <c r="R361" s="54" t="s">
        <v>508</v>
      </c>
      <c r="S361" s="54" t="str">
        <f>Table2[[#This Row],[friendly_name]]</f>
        <v>Office Outlet</v>
      </c>
      <c r="T361" s="55" t="s">
        <v>1032</v>
      </c>
      <c r="V361" s="57"/>
      <c r="W361" s="57"/>
      <c r="X361" s="57"/>
      <c r="Y361" s="57"/>
      <c r="Z361" s="57"/>
      <c r="AA361" s="57"/>
      <c r="AG361" s="57"/>
      <c r="AH361" s="57"/>
      <c r="AT361" s="58"/>
      <c r="AU361" s="54" t="s">
        <v>133</v>
      </c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Office</v>
      </c>
      <c r="BB361" s="54" t="s">
        <v>984</v>
      </c>
      <c r="BC361" s="59" t="s">
        <v>342</v>
      </c>
      <c r="BD361" s="54" t="s">
        <v>231</v>
      </c>
      <c r="BF361" s="54" t="s">
        <v>343</v>
      </c>
      <c r="BG361" s="54" t="s">
        <v>210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231</v>
      </c>
      <c r="D362" s="54" t="s">
        <v>133</v>
      </c>
      <c r="E362" s="54" t="s">
        <v>1351</v>
      </c>
      <c r="F362" s="56" t="str">
        <f>IF(ISBLANK(Table2[[#This Row],[unique_id]]), "", PROPER(SUBSTITUTE(Table2[[#This Row],[unique_id]], "_", " ")))</f>
        <v>Broken Office Outlet Plug</v>
      </c>
      <c r="G362" s="54" t="s">
        <v>223</v>
      </c>
      <c r="H362" s="54" t="s">
        <v>508</v>
      </c>
      <c r="I362" s="54" t="s">
        <v>273</v>
      </c>
      <c r="M362" s="54" t="s">
        <v>255</v>
      </c>
      <c r="O362" s="57" t="s">
        <v>754</v>
      </c>
      <c r="P362" s="54" t="s">
        <v>164</v>
      </c>
      <c r="Q362" s="54" t="s">
        <v>726</v>
      </c>
      <c r="R362" s="54" t="s">
        <v>508</v>
      </c>
      <c r="S362" s="54" t="str">
        <f>Table2[[#This Row],[friendly_name]]</f>
        <v>Office Outlet</v>
      </c>
      <c r="T362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2" s="57"/>
      <c r="W362" s="57"/>
      <c r="X362" s="57"/>
      <c r="Y362" s="57"/>
      <c r="Z362" s="57"/>
      <c r="AA362" s="57"/>
      <c r="AE362" s="54" t="s">
        <v>249</v>
      </c>
      <c r="AG362" s="57"/>
      <c r="AH362" s="57"/>
      <c r="AT362" s="58"/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Office</v>
      </c>
      <c r="BB362" s="54" t="s">
        <v>984</v>
      </c>
      <c r="BC362" s="59" t="s">
        <v>342</v>
      </c>
      <c r="BD362" s="54" t="s">
        <v>231</v>
      </c>
      <c r="BF362" s="54" t="s">
        <v>343</v>
      </c>
      <c r="BG362" s="54" t="s">
        <v>210</v>
      </c>
      <c r="BJ362" s="54" t="s">
        <v>943</v>
      </c>
      <c r="BK362" s="54" t="s">
        <v>1209</v>
      </c>
      <c r="BL362" s="54" t="s">
        <v>334</v>
      </c>
      <c r="BM362" s="54" t="s">
        <v>1246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1352</v>
      </c>
      <c r="F363" s="56" t="str">
        <f>IF(ISBLANK(Table2[[#This Row],[unique_id]]), "", PROPER(SUBSTITUTE(Table2[[#This Row],[unique_id]], "_", " ")))</f>
        <v>Broken Template Kitchen Dish Washer Plug Proxy</v>
      </c>
      <c r="G363" s="54" t="s">
        <v>226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Dish Washer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Kitchen</v>
      </c>
      <c r="BB363" s="54" t="s">
        <v>226</v>
      </c>
      <c r="BC363" s="59" t="s">
        <v>342</v>
      </c>
      <c r="BD363" s="54" t="s">
        <v>231</v>
      </c>
      <c r="BF363" s="54" t="s">
        <v>343</v>
      </c>
      <c r="BG363" s="54" t="s">
        <v>204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1353</v>
      </c>
      <c r="F364" s="56" t="str">
        <f>IF(ISBLANK(Table2[[#This Row],[unique_id]]), "", PROPER(SUBSTITUTE(Table2[[#This Row],[unique_id]], "_", " ")))</f>
        <v>Broken Kitchen Dish Washer Plug</v>
      </c>
      <c r="G364" s="54" t="s">
        <v>226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Dish Washer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242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Kitchen</v>
      </c>
      <c r="BB364" s="54" t="s">
        <v>226</v>
      </c>
      <c r="BC364" s="59" t="s">
        <v>342</v>
      </c>
      <c r="BD364" s="54" t="s">
        <v>231</v>
      </c>
      <c r="BF364" s="54" t="s">
        <v>343</v>
      </c>
      <c r="BG364" s="54" t="s">
        <v>204</v>
      </c>
      <c r="BJ364" s="54" t="s">
        <v>943</v>
      </c>
      <c r="BK364" s="54" t="s">
        <v>1209</v>
      </c>
      <c r="BL364" s="54" t="s">
        <v>325</v>
      </c>
      <c r="BM364" s="54" t="s">
        <v>1247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5" spans="1:66" s="54" customFormat="1" ht="16" customHeight="1" x14ac:dyDescent="0.2">
      <c r="A365" s="30">
        <v>2583</v>
      </c>
      <c r="B365" s="30" t="s">
        <v>26</v>
      </c>
      <c r="C365" s="30" t="s">
        <v>774</v>
      </c>
      <c r="D365" s="30" t="s">
        <v>147</v>
      </c>
      <c r="E365" s="37" t="s">
        <v>930</v>
      </c>
      <c r="F365" s="36" t="str">
        <f>IF(ISBLANK(Table2[[#This Row],[unique_id]]), "", PROPER(SUBSTITUTE(Table2[[#This Row],[unique_id]], "_", " ")))</f>
        <v>Template Kitchen Dish Washer Plug Proxy</v>
      </c>
      <c r="G365" s="30" t="s">
        <v>226</v>
      </c>
      <c r="H365" s="30" t="s">
        <v>508</v>
      </c>
      <c r="I365" s="30" t="s">
        <v>273</v>
      </c>
      <c r="J365" s="30"/>
      <c r="K365" s="30"/>
      <c r="L365" s="30"/>
      <c r="M365" s="30"/>
      <c r="N365" s="30"/>
      <c r="O365" s="31" t="s">
        <v>754</v>
      </c>
      <c r="P365" s="30" t="s">
        <v>164</v>
      </c>
      <c r="Q365" s="30" t="s">
        <v>727</v>
      </c>
      <c r="R365" s="30" t="s">
        <v>737</v>
      </c>
      <c r="S365" s="30" t="str">
        <f>Table2[[#This Row],[friendly_name]]</f>
        <v>Dish Washer</v>
      </c>
      <c r="T36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5" s="30"/>
      <c r="V365" s="31"/>
      <c r="W365" s="31"/>
      <c r="X365" s="31"/>
      <c r="Y365" s="31"/>
      <c r="Z365" s="31"/>
      <c r="AA365" s="31"/>
      <c r="AB365" s="30"/>
      <c r="AC365" s="30"/>
      <c r="AD365" s="30"/>
      <c r="AE365" s="30"/>
      <c r="AF365" s="30"/>
      <c r="AG365" s="31"/>
      <c r="AH365" s="31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40"/>
      <c r="AU365" s="30" t="s">
        <v>133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5" s="30"/>
      <c r="BA365" s="30" t="str">
        <f>IF(ISBLANK(Table2[[#This Row],[device_model]]), "", Table2[[#This Row],[device_suggested_area]])</f>
        <v>Kitchen</v>
      </c>
      <c r="BB365" s="30" t="s">
        <v>226</v>
      </c>
      <c r="BC365" s="30" t="s">
        <v>341</v>
      </c>
      <c r="BD365" s="30" t="s">
        <v>231</v>
      </c>
      <c r="BE365" s="30"/>
      <c r="BF365" s="30" t="s">
        <v>344</v>
      </c>
      <c r="BG365" s="30" t="s">
        <v>204</v>
      </c>
      <c r="BH365" s="30"/>
      <c r="BI365" s="30"/>
      <c r="BJ365" s="30"/>
      <c r="BK365" s="30"/>
      <c r="BL365" s="30"/>
      <c r="BM365" s="30"/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2584</v>
      </c>
      <c r="B366" s="30" t="s">
        <v>26</v>
      </c>
      <c r="C366" s="30" t="s">
        <v>231</v>
      </c>
      <c r="D366" s="30" t="s">
        <v>133</v>
      </c>
      <c r="E366" s="30" t="s">
        <v>801</v>
      </c>
      <c r="F366" s="36" t="str">
        <f>IF(ISBLANK(Table2[[#This Row],[unique_id]]), "", PROPER(SUBSTITUTE(Table2[[#This Row],[unique_id]], "_", " ")))</f>
        <v>Kitchen Dish Washer Plug</v>
      </c>
      <c r="G366" s="30" t="s">
        <v>226</v>
      </c>
      <c r="H366" s="30" t="s">
        <v>508</v>
      </c>
      <c r="I366" s="30" t="s">
        <v>273</v>
      </c>
      <c r="M366" s="30" t="s">
        <v>255</v>
      </c>
      <c r="O366" s="31" t="s">
        <v>754</v>
      </c>
      <c r="P366" s="30" t="s">
        <v>164</v>
      </c>
      <c r="Q366" s="30" t="s">
        <v>727</v>
      </c>
      <c r="R366" s="30" t="s">
        <v>737</v>
      </c>
      <c r="S366" s="30" t="str">
        <f>Table2[[#This Row],[friendly_name]]</f>
        <v>Dish Washer</v>
      </c>
      <c r="T366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242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226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J366" s="30" t="s">
        <v>943</v>
      </c>
      <c r="BK366" s="30" t="s">
        <v>1209</v>
      </c>
      <c r="BL366" s="30" t="s">
        <v>337</v>
      </c>
      <c r="BM366" s="30" t="s">
        <v>1258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7" spans="1:66" ht="16" customHeight="1" x14ac:dyDescent="0.2">
      <c r="A367" s="30">
        <v>2585</v>
      </c>
      <c r="B367" s="54" t="s">
        <v>561</v>
      </c>
      <c r="C367" s="54" t="s">
        <v>774</v>
      </c>
      <c r="D367" s="54" t="s">
        <v>147</v>
      </c>
      <c r="E367" s="55" t="s">
        <v>1354</v>
      </c>
      <c r="F367" s="56" t="str">
        <f>IF(ISBLANK(Table2[[#This Row],[unique_id]]), "", PROPER(SUBSTITUTE(Table2[[#This Row],[unique_id]], "_", " ")))</f>
        <v>Broken Template Laundry Clothes Dryer Plug Proxy</v>
      </c>
      <c r="G367" s="54" t="s">
        <v>227</v>
      </c>
      <c r="H367" s="54" t="s">
        <v>508</v>
      </c>
      <c r="I367" s="54" t="s">
        <v>273</v>
      </c>
      <c r="J367" s="54"/>
      <c r="K367" s="54"/>
      <c r="L367" s="54"/>
      <c r="M367" s="54"/>
      <c r="N367" s="54"/>
      <c r="O367" s="57" t="s">
        <v>754</v>
      </c>
      <c r="P367" s="54" t="s">
        <v>164</v>
      </c>
      <c r="Q367" s="54" t="s">
        <v>727</v>
      </c>
      <c r="R367" s="54" t="s">
        <v>737</v>
      </c>
      <c r="S367" s="54" t="str">
        <f>Table2[[#This Row],[friendly_name]]</f>
        <v>Clothes Dryer</v>
      </c>
      <c r="T367" s="55" t="s">
        <v>1032</v>
      </c>
      <c r="U367" s="54"/>
      <c r="V367" s="57"/>
      <c r="W367" s="57"/>
      <c r="X367" s="57"/>
      <c r="Y367" s="57"/>
      <c r="Z367" s="57"/>
      <c r="AA367" s="57"/>
      <c r="AB367" s="54"/>
      <c r="AC367" s="54"/>
      <c r="AD367" s="54"/>
      <c r="AE367" s="54"/>
      <c r="AF367" s="54"/>
      <c r="AG367" s="57"/>
      <c r="AH367" s="57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8"/>
      <c r="AU367" s="54" t="s">
        <v>133</v>
      </c>
      <c r="AV36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7" s="54"/>
      <c r="BA367" s="54" t="str">
        <f>IF(ISBLANK(Table2[[#This Row],[device_model]]), "", Table2[[#This Row],[device_suggested_area]])</f>
        <v>Laundry</v>
      </c>
      <c r="BB367" s="54" t="s">
        <v>227</v>
      </c>
      <c r="BC367" s="59" t="s">
        <v>342</v>
      </c>
      <c r="BD367" s="54" t="s">
        <v>231</v>
      </c>
      <c r="BE367" s="54"/>
      <c r="BF367" s="54" t="s">
        <v>343</v>
      </c>
      <c r="BG367" s="54" t="s">
        <v>211</v>
      </c>
      <c r="BH367" s="54"/>
      <c r="BI367" s="54"/>
      <c r="BJ367" s="54"/>
      <c r="BK367" s="54"/>
      <c r="BL367" s="54"/>
      <c r="BM367" s="54"/>
      <c r="BN36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4" customFormat="1" ht="16" customHeight="1" x14ac:dyDescent="0.2">
      <c r="A368" s="30">
        <v>2586</v>
      </c>
      <c r="B368" s="54" t="s">
        <v>561</v>
      </c>
      <c r="C368" s="54" t="s">
        <v>231</v>
      </c>
      <c r="D368" s="54" t="s">
        <v>133</v>
      </c>
      <c r="E368" s="54" t="s">
        <v>1355</v>
      </c>
      <c r="F368" s="56" t="str">
        <f>IF(ISBLANK(Table2[[#This Row],[unique_id]]), "", PROPER(SUBSTITUTE(Table2[[#This Row],[unique_id]], "_", " ")))</f>
        <v>Broken Laundry Clothes Dryer Plug</v>
      </c>
      <c r="G368" s="54" t="s">
        <v>227</v>
      </c>
      <c r="H368" s="54" t="s">
        <v>508</v>
      </c>
      <c r="I368" s="54" t="s">
        <v>273</v>
      </c>
      <c r="M368" s="54" t="s">
        <v>255</v>
      </c>
      <c r="O368" s="57" t="s">
        <v>754</v>
      </c>
      <c r="P368" s="54" t="s">
        <v>164</v>
      </c>
      <c r="Q368" s="54" t="s">
        <v>727</v>
      </c>
      <c r="R368" s="54" t="s">
        <v>737</v>
      </c>
      <c r="S368" s="54" t="str">
        <f>Table2[[#This Row],[friendly_name]]</f>
        <v>Clothes Dryer</v>
      </c>
      <c r="T368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8" s="57"/>
      <c r="W368" s="57"/>
      <c r="X368" s="57"/>
      <c r="Y368" s="57"/>
      <c r="Z368" s="57"/>
      <c r="AA368" s="57"/>
      <c r="AE368" s="54" t="s">
        <v>243</v>
      </c>
      <c r="AG368" s="57"/>
      <c r="AH368" s="57"/>
      <c r="AT368" s="58"/>
      <c r="AV36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4" t="str">
        <f>IF(ISBLANK(Table2[[#This Row],[device_model]]), "", Table2[[#This Row],[device_suggested_area]])</f>
        <v>Laundry</v>
      </c>
      <c r="BB368" s="54" t="s">
        <v>227</v>
      </c>
      <c r="BC368" s="59" t="s">
        <v>342</v>
      </c>
      <c r="BD368" s="54" t="s">
        <v>231</v>
      </c>
      <c r="BF368" s="54" t="s">
        <v>343</v>
      </c>
      <c r="BG368" s="54" t="s">
        <v>211</v>
      </c>
      <c r="BJ368" s="54" t="s">
        <v>942</v>
      </c>
      <c r="BK368" s="54" t="s">
        <v>1209</v>
      </c>
      <c r="BL368" s="54" t="s">
        <v>326</v>
      </c>
      <c r="BM368" s="54" t="s">
        <v>1248</v>
      </c>
      <c r="BN36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9" spans="1:66" s="54" customFormat="1" ht="16" customHeight="1" x14ac:dyDescent="0.2">
      <c r="A369" s="30">
        <v>2587</v>
      </c>
      <c r="B369" s="54" t="s">
        <v>561</v>
      </c>
      <c r="C369" s="54" t="s">
        <v>774</v>
      </c>
      <c r="D369" s="54" t="s">
        <v>147</v>
      </c>
      <c r="E369" s="55" t="s">
        <v>1356</v>
      </c>
      <c r="F369" s="56" t="str">
        <f>IF(ISBLANK(Table2[[#This Row],[unique_id]]), "", PROPER(SUBSTITUTE(Table2[[#This Row],[unique_id]], "_", " ")))</f>
        <v>Broken Template Laundry Washing Machine Plug Proxy</v>
      </c>
      <c r="G369" s="54" t="s">
        <v>225</v>
      </c>
      <c r="H369" s="54" t="s">
        <v>508</v>
      </c>
      <c r="I369" s="54" t="s">
        <v>273</v>
      </c>
      <c r="O369" s="57" t="s">
        <v>754</v>
      </c>
      <c r="P369" s="54" t="s">
        <v>164</v>
      </c>
      <c r="Q369" s="54" t="s">
        <v>727</v>
      </c>
      <c r="R369" s="54" t="s">
        <v>737</v>
      </c>
      <c r="S369" s="54" t="str">
        <f>Table2[[#This Row],[friendly_name]]</f>
        <v>Washing Machine</v>
      </c>
      <c r="T369" s="55" t="s">
        <v>1032</v>
      </c>
      <c r="V369" s="57"/>
      <c r="W369" s="57"/>
      <c r="X369" s="57"/>
      <c r="Y369" s="57"/>
      <c r="Z369" s="57"/>
      <c r="AA369" s="57"/>
      <c r="AG369" s="57"/>
      <c r="AH369" s="57"/>
      <c r="AT369" s="58"/>
      <c r="AU369" s="54" t="s">
        <v>133</v>
      </c>
      <c r="AV36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4" t="str">
        <f>IF(ISBLANK(Table2[[#This Row],[device_model]]), "", Table2[[#This Row],[device_suggested_area]])</f>
        <v>Laundry</v>
      </c>
      <c r="BB369" s="54" t="s">
        <v>225</v>
      </c>
      <c r="BC369" s="59" t="s">
        <v>342</v>
      </c>
      <c r="BD369" s="54" t="s">
        <v>231</v>
      </c>
      <c r="BF369" s="54" t="s">
        <v>343</v>
      </c>
      <c r="BG369" s="54" t="s">
        <v>211</v>
      </c>
      <c r="BN36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231</v>
      </c>
      <c r="D370" s="54" t="s">
        <v>133</v>
      </c>
      <c r="E370" s="54" t="s">
        <v>1357</v>
      </c>
      <c r="F370" s="56" t="str">
        <f>IF(ISBLANK(Table2[[#This Row],[unique_id]]), "", PROPER(SUBSTITUTE(Table2[[#This Row],[unique_id]], "_", " ")))</f>
        <v>Broken Laundry Washing Machine Plug</v>
      </c>
      <c r="G370" s="54" t="s">
        <v>225</v>
      </c>
      <c r="H370" s="54" t="s">
        <v>508</v>
      </c>
      <c r="I370" s="54" t="s">
        <v>273</v>
      </c>
      <c r="M370" s="54" t="s">
        <v>255</v>
      </c>
      <c r="O370" s="57" t="s">
        <v>754</v>
      </c>
      <c r="P370" s="54" t="s">
        <v>164</v>
      </c>
      <c r="Q370" s="54" t="s">
        <v>727</v>
      </c>
      <c r="R370" s="54" t="s">
        <v>737</v>
      </c>
      <c r="S370" s="54" t="str">
        <f>Table2[[#This Row],[friendly_name]]</f>
        <v>Washing Machine</v>
      </c>
      <c r="T370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0" s="57"/>
      <c r="W370" s="57"/>
      <c r="X370" s="57"/>
      <c r="Y370" s="57"/>
      <c r="Z370" s="57"/>
      <c r="AA370" s="57"/>
      <c r="AE370" s="54" t="s">
        <v>244</v>
      </c>
      <c r="AG370" s="57"/>
      <c r="AH370" s="57"/>
      <c r="AT370" s="58"/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Laundry</v>
      </c>
      <c r="BB370" s="54" t="s">
        <v>225</v>
      </c>
      <c r="BC370" s="59" t="s">
        <v>342</v>
      </c>
      <c r="BD370" s="54" t="s">
        <v>231</v>
      </c>
      <c r="BF370" s="54" t="s">
        <v>343</v>
      </c>
      <c r="BG370" s="54" t="s">
        <v>211</v>
      </c>
      <c r="BJ370" s="54" t="s">
        <v>942</v>
      </c>
      <c r="BK370" s="54" t="s">
        <v>1209</v>
      </c>
      <c r="BL370" s="54" t="s">
        <v>327</v>
      </c>
      <c r="BM370" s="54" t="s">
        <v>1249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1" spans="1:66" s="54" customFormat="1" ht="16" customHeight="1" x14ac:dyDescent="0.2">
      <c r="A371" s="30">
        <v>2589</v>
      </c>
      <c r="B371" s="30" t="s">
        <v>26</v>
      </c>
      <c r="C371" s="30" t="s">
        <v>774</v>
      </c>
      <c r="D371" s="30" t="s">
        <v>147</v>
      </c>
      <c r="E371" s="37" t="s">
        <v>1442</v>
      </c>
      <c r="F371" s="36" t="str">
        <f>IF(ISBLANK(Table2[[#This Row],[unique_id]]), "", PROPER(SUBSTITUTE(Table2[[#This Row],[unique_id]], "_", " ")))</f>
        <v>Template Kitchen Fridge Plug Proxy</v>
      </c>
      <c r="G371" s="30" t="s">
        <v>221</v>
      </c>
      <c r="H371" s="30" t="s">
        <v>508</v>
      </c>
      <c r="I371" s="30" t="s">
        <v>273</v>
      </c>
      <c r="J371" s="30"/>
      <c r="K371" s="30"/>
      <c r="L371" s="30"/>
      <c r="M371" s="30"/>
      <c r="N371" s="30"/>
      <c r="O371" s="31" t="s">
        <v>754</v>
      </c>
      <c r="P371" s="30" t="s">
        <v>164</v>
      </c>
      <c r="Q371" s="30" t="s">
        <v>726</v>
      </c>
      <c r="R371" s="30" t="s">
        <v>738</v>
      </c>
      <c r="S371" s="30" t="str">
        <f>Table2[[#This Row],[friendly_name]]</f>
        <v>Kitchen Fridge</v>
      </c>
      <c r="T371" s="37" t="s">
        <v>1033</v>
      </c>
      <c r="U371" s="30"/>
      <c r="V371" s="31"/>
      <c r="W371" s="31"/>
      <c r="X371" s="31"/>
      <c r="Y371" s="31"/>
      <c r="Z371" s="31"/>
      <c r="AA371" s="31"/>
      <c r="AB371" s="30"/>
      <c r="AC371" s="30"/>
      <c r="AD371" s="30"/>
      <c r="AE371" s="30"/>
      <c r="AF371" s="30"/>
      <c r="AG371" s="31"/>
      <c r="AH371" s="31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40"/>
      <c r="AU371" s="30" t="s">
        <v>133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1" s="30"/>
      <c r="BA371" s="30" t="str">
        <f>IF(ISBLANK(Table2[[#This Row],[device_model]]), "", Table2[[#This Row],[device_suggested_area]])</f>
        <v>Kitchen</v>
      </c>
      <c r="BB371" s="30" t="s">
        <v>987</v>
      </c>
      <c r="BC371" s="30" t="s">
        <v>341</v>
      </c>
      <c r="BD371" s="30" t="s">
        <v>231</v>
      </c>
      <c r="BE371" s="30"/>
      <c r="BF371" s="30" t="s">
        <v>344</v>
      </c>
      <c r="BG371" s="30" t="s">
        <v>204</v>
      </c>
      <c r="BH371" s="30"/>
      <c r="BI371" s="30"/>
      <c r="BJ371" s="30"/>
      <c r="BK371" s="30"/>
      <c r="BL371" s="30"/>
      <c r="BM371" s="30"/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231</v>
      </c>
      <c r="D372" s="30" t="s">
        <v>133</v>
      </c>
      <c r="E372" s="30" t="s">
        <v>1441</v>
      </c>
      <c r="F372" s="36" t="str">
        <f>IF(ISBLANK(Table2[[#This Row],[unique_id]]), "", PROPER(SUBSTITUTE(Table2[[#This Row],[unique_id]], "_", " ")))</f>
        <v>Kitchen Fridge Plug</v>
      </c>
      <c r="G372" s="30" t="s">
        <v>221</v>
      </c>
      <c r="H372" s="30" t="s">
        <v>508</v>
      </c>
      <c r="I372" s="30" t="s">
        <v>273</v>
      </c>
      <c r="M372" s="30" t="s">
        <v>255</v>
      </c>
      <c r="O372" s="31" t="s">
        <v>754</v>
      </c>
      <c r="P372" s="30" t="s">
        <v>164</v>
      </c>
      <c r="Q372" s="30" t="s">
        <v>726</v>
      </c>
      <c r="R372" s="30" t="s">
        <v>738</v>
      </c>
      <c r="S372" s="30" t="str">
        <f>Table2[[#This Row],[friendly_name]]</f>
        <v>Kitchen Fridge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246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987</v>
      </c>
      <c r="BC372" s="30" t="s">
        <v>341</v>
      </c>
      <c r="BD372" s="30" t="s">
        <v>231</v>
      </c>
      <c r="BF372" s="30" t="s">
        <v>344</v>
      </c>
      <c r="BG372" s="30" t="s">
        <v>204</v>
      </c>
      <c r="BJ372" s="30" t="s">
        <v>943</v>
      </c>
      <c r="BK372" s="63" t="s">
        <v>1209</v>
      </c>
      <c r="BL372" s="63" t="s">
        <v>1413</v>
      </c>
      <c r="BM372" s="63" t="s">
        <v>1414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3" spans="1:66" ht="16" customHeight="1" x14ac:dyDescent="0.2">
      <c r="A373" s="30">
        <v>2591</v>
      </c>
      <c r="B373" s="30" t="s">
        <v>26</v>
      </c>
      <c r="C373" s="30" t="s">
        <v>774</v>
      </c>
      <c r="D373" s="30" t="s">
        <v>147</v>
      </c>
      <c r="E373" s="37" t="s">
        <v>932</v>
      </c>
      <c r="F373" s="36" t="str">
        <f>IF(ISBLANK(Table2[[#This Row],[unique_id]]), "", PROPER(SUBSTITUTE(Table2[[#This Row],[unique_id]], "_", " ")))</f>
        <v>Template Deck Freezer Plug Proxy</v>
      </c>
      <c r="G373" s="30" t="s">
        <v>222</v>
      </c>
      <c r="H373" s="30" t="s">
        <v>508</v>
      </c>
      <c r="I373" s="30" t="s">
        <v>273</v>
      </c>
      <c r="O373" s="31" t="s">
        <v>754</v>
      </c>
      <c r="P373" s="30" t="s">
        <v>164</v>
      </c>
      <c r="Q373" s="30" t="s">
        <v>726</v>
      </c>
      <c r="R373" s="30" t="s">
        <v>738</v>
      </c>
      <c r="S373" s="30" t="str">
        <f>Table2[[#This Row],[friendly_name]]</f>
        <v>Deck Freezer</v>
      </c>
      <c r="T373" s="37" t="s">
        <v>1033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133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Deck</v>
      </c>
      <c r="BB373" s="30" t="s">
        <v>988</v>
      </c>
      <c r="BC373" s="30" t="s">
        <v>341</v>
      </c>
      <c r="BD373" s="30" t="s">
        <v>231</v>
      </c>
      <c r="BF373" s="30" t="s">
        <v>344</v>
      </c>
      <c r="BG373" s="30" t="s">
        <v>339</v>
      </c>
      <c r="BK373" s="64"/>
      <c r="BL373" s="64"/>
      <c r="BM373" s="64"/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customHeight="1" x14ac:dyDescent="0.2">
      <c r="A374" s="30">
        <v>2592</v>
      </c>
      <c r="B374" s="30" t="s">
        <v>26</v>
      </c>
      <c r="C374" s="30" t="s">
        <v>231</v>
      </c>
      <c r="D374" s="30" t="s">
        <v>133</v>
      </c>
      <c r="E374" s="30" t="s">
        <v>803</v>
      </c>
      <c r="F374" s="36" t="str">
        <f>IF(ISBLANK(Table2[[#This Row],[unique_id]]), "", PROPER(SUBSTITUTE(Table2[[#This Row],[unique_id]], "_", " ")))</f>
        <v>Deck Freezer Plug</v>
      </c>
      <c r="G374" s="30" t="s">
        <v>222</v>
      </c>
      <c r="H374" s="30" t="s">
        <v>508</v>
      </c>
      <c r="I374" s="30" t="s">
        <v>273</v>
      </c>
      <c r="M374" s="30" t="s">
        <v>255</v>
      </c>
      <c r="O374" s="31" t="s">
        <v>754</v>
      </c>
      <c r="P374" s="30" t="s">
        <v>164</v>
      </c>
      <c r="Q374" s="30" t="s">
        <v>726</v>
      </c>
      <c r="R374" s="30" t="s">
        <v>738</v>
      </c>
      <c r="S374" s="30" t="str">
        <f>Table2[[#This Row],[friendly_name]]</f>
        <v>Deck Freezer</v>
      </c>
      <c r="T374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247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988</v>
      </c>
      <c r="BC374" s="30" t="s">
        <v>341</v>
      </c>
      <c r="BD374" s="30" t="s">
        <v>231</v>
      </c>
      <c r="BF374" s="30" t="s">
        <v>344</v>
      </c>
      <c r="BG374" s="30" t="s">
        <v>339</v>
      </c>
      <c r="BJ374" s="30" t="s">
        <v>943</v>
      </c>
      <c r="BK374" s="30" t="s">
        <v>1209</v>
      </c>
      <c r="BL374" s="30" t="s">
        <v>329</v>
      </c>
      <c r="BM374" s="30" t="s">
        <v>1251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5" spans="1:66" ht="16" customHeight="1" x14ac:dyDescent="0.2">
      <c r="A375" s="30">
        <v>2593</v>
      </c>
      <c r="B375" s="30" t="s">
        <v>26</v>
      </c>
      <c r="C375" s="30" t="s">
        <v>774</v>
      </c>
      <c r="D375" s="30" t="s">
        <v>147</v>
      </c>
      <c r="E375" s="37" t="s">
        <v>1338</v>
      </c>
      <c r="F375" s="36" t="str">
        <f>IF(ISBLANK(Table2[[#This Row],[unique_id]]), "", PROPER(SUBSTITUTE(Table2[[#This Row],[unique_id]], "_", " ")))</f>
        <v>Template Garden Sewerage Blower Plug Proxy</v>
      </c>
      <c r="G375" s="30" t="s">
        <v>1339</v>
      </c>
      <c r="H375" s="30" t="s">
        <v>508</v>
      </c>
      <c r="I375" s="30" t="s">
        <v>273</v>
      </c>
      <c r="O375" s="31" t="s">
        <v>754</v>
      </c>
      <c r="P375" s="30" t="s">
        <v>164</v>
      </c>
      <c r="Q375" s="30" t="s">
        <v>726</v>
      </c>
      <c r="R375" s="30" t="s">
        <v>508</v>
      </c>
      <c r="S375" s="30" t="str">
        <f>Table2[[#This Row],[friendly_name]]</f>
        <v>Sewerage Blower</v>
      </c>
      <c r="T37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133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">
        <v>558</v>
      </c>
      <c r="BB375" s="30" t="s">
        <v>1339</v>
      </c>
      <c r="BC375" s="30" t="s">
        <v>341</v>
      </c>
      <c r="BD375" s="30" t="s">
        <v>231</v>
      </c>
      <c r="BF375" s="30" t="s">
        <v>344</v>
      </c>
      <c r="BG375" s="30" t="s">
        <v>558</v>
      </c>
      <c r="BL375" s="36"/>
      <c r="BM375" s="36"/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2594</v>
      </c>
      <c r="B376" s="30" t="s">
        <v>26</v>
      </c>
      <c r="C376" s="30" t="s">
        <v>231</v>
      </c>
      <c r="D376" s="30" t="s">
        <v>133</v>
      </c>
      <c r="E376" s="30" t="s">
        <v>1337</v>
      </c>
      <c r="F376" s="36" t="str">
        <f>IF(ISBLANK(Table2[[#This Row],[unique_id]]), "", PROPER(SUBSTITUTE(Table2[[#This Row],[unique_id]], "_", " ")))</f>
        <v>Garden Sewerage Blower Plug</v>
      </c>
      <c r="G376" s="30" t="s">
        <v>1339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508</v>
      </c>
      <c r="S376" s="30" t="str">
        <f>Table2[[#This Row],[friendly_name]]</f>
        <v>Sewerage Blower</v>
      </c>
      <c r="T376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241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558</v>
      </c>
      <c r="BB376" s="30" t="s">
        <v>1339</v>
      </c>
      <c r="BC376" s="30" t="s">
        <v>341</v>
      </c>
      <c r="BD376" s="30" t="s">
        <v>231</v>
      </c>
      <c r="BF376" s="30" t="s">
        <v>344</v>
      </c>
      <c r="BG376" s="30" t="s">
        <v>558</v>
      </c>
      <c r="BJ376" s="30" t="s">
        <v>943</v>
      </c>
      <c r="BK376" s="30" t="s">
        <v>1209</v>
      </c>
      <c r="BL376" s="36" t="s">
        <v>345</v>
      </c>
      <c r="BM376" s="36" t="s">
        <v>1230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7" spans="1:66" ht="16" customHeight="1" x14ac:dyDescent="0.2">
      <c r="A377" s="30">
        <v>2595</v>
      </c>
      <c r="B377" s="54" t="s">
        <v>561</v>
      </c>
      <c r="C377" s="54" t="s">
        <v>774</v>
      </c>
      <c r="D377" s="54" t="s">
        <v>147</v>
      </c>
      <c r="E377" s="55" t="s">
        <v>1358</v>
      </c>
      <c r="F377" s="56" t="str">
        <f>IF(ISBLANK(Table2[[#This Row],[unique_id]]), "", PROPER(SUBSTITUTE(Table2[[#This Row],[unique_id]], "_", " ")))</f>
        <v>Broken Template Study Battery Charger Plug Proxy</v>
      </c>
      <c r="G377" s="54" t="s">
        <v>229</v>
      </c>
      <c r="H377" s="54" t="s">
        <v>508</v>
      </c>
      <c r="I377" s="54" t="s">
        <v>273</v>
      </c>
      <c r="J377" s="54"/>
      <c r="K377" s="54"/>
      <c r="L377" s="54"/>
      <c r="M377" s="54"/>
      <c r="N377" s="54"/>
      <c r="O377" s="57" t="s">
        <v>754</v>
      </c>
      <c r="P377" s="54" t="s">
        <v>164</v>
      </c>
      <c r="Q377" s="54" t="s">
        <v>726</v>
      </c>
      <c r="R377" s="54" t="s">
        <v>508</v>
      </c>
      <c r="S377" s="54" t="str">
        <f>Table2[[#This Row],[friendly_name]]</f>
        <v>Battery Charger</v>
      </c>
      <c r="T377" s="55" t="s">
        <v>1032</v>
      </c>
      <c r="U377" s="54"/>
      <c r="V377" s="57"/>
      <c r="W377" s="57"/>
      <c r="X377" s="57"/>
      <c r="Y377" s="57"/>
      <c r="Z377" s="57"/>
      <c r="AA377" s="57"/>
      <c r="AB377" s="54"/>
      <c r="AC377" s="54"/>
      <c r="AD377" s="54"/>
      <c r="AE377" s="54"/>
      <c r="AF377" s="54"/>
      <c r="AG377" s="57"/>
      <c r="AH377" s="57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8"/>
      <c r="AU377" s="54" t="s">
        <v>133</v>
      </c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54"/>
      <c r="BA377" s="54" t="str">
        <f>IF(ISBLANK(Table2[[#This Row],[device_model]]), "", Table2[[#This Row],[device_suggested_area]])</f>
        <v>Study</v>
      </c>
      <c r="BB377" s="54" t="s">
        <v>229</v>
      </c>
      <c r="BC377" s="59" t="s">
        <v>342</v>
      </c>
      <c r="BD377" s="54" t="s">
        <v>231</v>
      </c>
      <c r="BE377" s="54"/>
      <c r="BF377" s="54" t="s">
        <v>343</v>
      </c>
      <c r="BG377" s="54" t="s">
        <v>338</v>
      </c>
      <c r="BH377" s="54"/>
      <c r="BI377" s="54"/>
      <c r="BJ377" s="54"/>
      <c r="BK377" s="54"/>
      <c r="BL377" s="54"/>
      <c r="BM377" s="54"/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4" customFormat="1" ht="16" customHeight="1" x14ac:dyDescent="0.2">
      <c r="A378" s="30">
        <v>2596</v>
      </c>
      <c r="B378" s="54" t="s">
        <v>561</v>
      </c>
      <c r="C378" s="54" t="s">
        <v>231</v>
      </c>
      <c r="D378" s="54" t="s">
        <v>133</v>
      </c>
      <c r="E378" s="54" t="s">
        <v>1359</v>
      </c>
      <c r="F378" s="56" t="str">
        <f>IF(ISBLANK(Table2[[#This Row],[unique_id]]), "", PROPER(SUBSTITUTE(Table2[[#This Row],[unique_id]], "_", " ")))</f>
        <v>Broken Study Battery Charger Plug</v>
      </c>
      <c r="G378" s="54" t="s">
        <v>229</v>
      </c>
      <c r="H378" s="54" t="s">
        <v>508</v>
      </c>
      <c r="I378" s="54" t="s">
        <v>273</v>
      </c>
      <c r="M378" s="54" t="s">
        <v>255</v>
      </c>
      <c r="O378" s="57" t="s">
        <v>754</v>
      </c>
      <c r="P378" s="54" t="s">
        <v>164</v>
      </c>
      <c r="Q378" s="54" t="s">
        <v>726</v>
      </c>
      <c r="R378" s="54" t="s">
        <v>508</v>
      </c>
      <c r="S378" s="54" t="str">
        <f>Table2[[#This Row],[friendly_name]]</f>
        <v>Battery Charger</v>
      </c>
      <c r="T378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8" s="57"/>
      <c r="W378" s="57"/>
      <c r="X378" s="57"/>
      <c r="Y378" s="57"/>
      <c r="Z378" s="57"/>
      <c r="AA378" s="57"/>
      <c r="AE378" s="54" t="s">
        <v>253</v>
      </c>
      <c r="AG378" s="57"/>
      <c r="AH378" s="57"/>
      <c r="AT378" s="58"/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4" t="str">
        <f>IF(ISBLANK(Table2[[#This Row],[device_model]]), "", Table2[[#This Row],[device_suggested_area]])</f>
        <v>Study</v>
      </c>
      <c r="BB378" s="54" t="s">
        <v>229</v>
      </c>
      <c r="BC378" s="59" t="s">
        <v>342</v>
      </c>
      <c r="BD378" s="54" t="s">
        <v>231</v>
      </c>
      <c r="BF378" s="54" t="s">
        <v>343</v>
      </c>
      <c r="BG378" s="54" t="s">
        <v>338</v>
      </c>
      <c r="BJ378" s="54" t="s">
        <v>942</v>
      </c>
      <c r="BK378" s="54" t="s">
        <v>1209</v>
      </c>
      <c r="BL378" s="54" t="s">
        <v>323</v>
      </c>
      <c r="BM378" s="54" t="s">
        <v>1252</v>
      </c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9" spans="1:66" s="54" customFormat="1" ht="16" customHeight="1" x14ac:dyDescent="0.2">
      <c r="A379" s="30">
        <v>2597</v>
      </c>
      <c r="B379" s="54" t="s">
        <v>561</v>
      </c>
      <c r="C379" s="54" t="s">
        <v>774</v>
      </c>
      <c r="D379" s="54" t="s">
        <v>147</v>
      </c>
      <c r="E379" s="55" t="s">
        <v>1360</v>
      </c>
      <c r="F379" s="56" t="str">
        <f>IF(ISBLANK(Table2[[#This Row],[unique_id]]), "", PROPER(SUBSTITUTE(Table2[[#This Row],[unique_id]], "_", " ")))</f>
        <v>Broken Template Laundry Vacuum Charger Plug Proxy</v>
      </c>
      <c r="G379" s="54" t="s">
        <v>228</v>
      </c>
      <c r="H379" s="54" t="s">
        <v>508</v>
      </c>
      <c r="I379" s="54" t="s">
        <v>273</v>
      </c>
      <c r="O379" s="57" t="s">
        <v>754</v>
      </c>
      <c r="P379" s="54" t="s">
        <v>164</v>
      </c>
      <c r="Q379" s="54" t="s">
        <v>726</v>
      </c>
      <c r="R379" s="54" t="s">
        <v>508</v>
      </c>
      <c r="S379" s="54" t="str">
        <f>Table2[[#This Row],[friendly_name]]</f>
        <v>Vacuum Charger</v>
      </c>
      <c r="T379" s="55" t="s">
        <v>1032</v>
      </c>
      <c r="V379" s="57"/>
      <c r="W379" s="57"/>
      <c r="X379" s="57"/>
      <c r="Y379" s="57"/>
      <c r="Z379" s="57"/>
      <c r="AA379" s="57"/>
      <c r="AG379" s="57"/>
      <c r="AH379" s="57"/>
      <c r="AT379" s="58"/>
      <c r="AU379" s="54" t="s">
        <v>133</v>
      </c>
      <c r="AV37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4" t="str">
        <f>IF(ISBLANK(Table2[[#This Row],[device_model]]), "", Table2[[#This Row],[device_suggested_area]])</f>
        <v>Laundry</v>
      </c>
      <c r="BB379" s="54" t="s">
        <v>228</v>
      </c>
      <c r="BC379" s="59" t="s">
        <v>342</v>
      </c>
      <c r="BD379" s="54" t="s">
        <v>231</v>
      </c>
      <c r="BF379" s="54" t="s">
        <v>343</v>
      </c>
      <c r="BG379" s="54" t="s">
        <v>211</v>
      </c>
      <c r="BN37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231</v>
      </c>
      <c r="D380" s="54" t="s">
        <v>133</v>
      </c>
      <c r="E380" s="54" t="s">
        <v>1361</v>
      </c>
      <c r="F380" s="56" t="str">
        <f>IF(ISBLANK(Table2[[#This Row],[unique_id]]), "", PROPER(SUBSTITUTE(Table2[[#This Row],[unique_id]], "_", " ")))</f>
        <v>Broken Laundry Vacuum Charger Plug</v>
      </c>
      <c r="G380" s="54" t="s">
        <v>228</v>
      </c>
      <c r="H380" s="54" t="s">
        <v>508</v>
      </c>
      <c r="I380" s="54" t="s">
        <v>273</v>
      </c>
      <c r="M380" s="54" t="s">
        <v>255</v>
      </c>
      <c r="O380" s="57" t="s">
        <v>754</v>
      </c>
      <c r="P380" s="54" t="s">
        <v>164</v>
      </c>
      <c r="Q380" s="54" t="s">
        <v>726</v>
      </c>
      <c r="R380" s="54" t="s">
        <v>508</v>
      </c>
      <c r="S380" s="54" t="str">
        <f>Table2[[#This Row],[friendly_name]]</f>
        <v>Vacuum Charger</v>
      </c>
      <c r="T380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0" s="57"/>
      <c r="W380" s="57"/>
      <c r="X380" s="57"/>
      <c r="Y380" s="57"/>
      <c r="Z380" s="57"/>
      <c r="AA380" s="57"/>
      <c r="AE380" s="54" t="s">
        <v>253</v>
      </c>
      <c r="AG380" s="57"/>
      <c r="AH380" s="57"/>
      <c r="AT380" s="58"/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Laundry</v>
      </c>
      <c r="BB380" s="54" t="s">
        <v>228</v>
      </c>
      <c r="BC380" s="59" t="s">
        <v>342</v>
      </c>
      <c r="BD380" s="54" t="s">
        <v>231</v>
      </c>
      <c r="BF380" s="54" t="s">
        <v>343</v>
      </c>
      <c r="BG380" s="54" t="s">
        <v>211</v>
      </c>
      <c r="BJ380" s="54" t="s">
        <v>943</v>
      </c>
      <c r="BK380" s="54" t="s">
        <v>1209</v>
      </c>
      <c r="BL380" s="54" t="s">
        <v>324</v>
      </c>
      <c r="BM380" s="54" t="s">
        <v>1253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774</v>
      </c>
      <c r="D381" s="54" t="s">
        <v>147</v>
      </c>
      <c r="E381" s="55" t="s">
        <v>1362</v>
      </c>
      <c r="F381" s="56" t="str">
        <f>IF(ISBLANK(Table2[[#This Row],[unique_id]]), "", PROPER(SUBSTITUTE(Table2[[#This Row],[unique_id]], "_", " ")))</f>
        <v>Broken Template Ada Tablet Plug Proxy</v>
      </c>
      <c r="G381" s="54" t="s">
        <v>787</v>
      </c>
      <c r="H381" s="54" t="s">
        <v>508</v>
      </c>
      <c r="I381" s="54" t="s">
        <v>273</v>
      </c>
      <c r="O381" s="57" t="s">
        <v>754</v>
      </c>
      <c r="P381" s="54" t="s">
        <v>164</v>
      </c>
      <c r="Q381" s="54" t="s">
        <v>726</v>
      </c>
      <c r="R381" s="60" t="s">
        <v>711</v>
      </c>
      <c r="S381" s="54" t="str">
        <f>Table2[[#This Row],[friendly_name]]</f>
        <v>Ada Tablet</v>
      </c>
      <c r="T381" s="55" t="s">
        <v>1032</v>
      </c>
      <c r="V381" s="57"/>
      <c r="W381" s="57"/>
      <c r="X381" s="57"/>
      <c r="Y381" s="57"/>
      <c r="Z381" s="57"/>
      <c r="AA381" s="57"/>
      <c r="AG381" s="57"/>
      <c r="AH381" s="57"/>
      <c r="AR381" s="59"/>
      <c r="AT381" s="61"/>
      <c r="AU381" s="54" t="s">
        <v>133</v>
      </c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Lounge</v>
      </c>
      <c r="BB381" s="54" t="s">
        <v>787</v>
      </c>
      <c r="BC381" s="59" t="s">
        <v>342</v>
      </c>
      <c r="BD381" s="54" t="s">
        <v>231</v>
      </c>
      <c r="BF381" s="54" t="s">
        <v>343</v>
      </c>
      <c r="BG381" s="54" t="s">
        <v>192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231</v>
      </c>
      <c r="D382" s="54" t="s">
        <v>133</v>
      </c>
      <c r="E382" s="54" t="s">
        <v>1363</v>
      </c>
      <c r="F382" s="56" t="str">
        <f>IF(ISBLANK(Table2[[#This Row],[unique_id]]), "", PROPER(SUBSTITUTE(Table2[[#This Row],[unique_id]], "_", " ")))</f>
        <v>Broken Ada Tablet Plug</v>
      </c>
      <c r="G382" s="54" t="s">
        <v>787</v>
      </c>
      <c r="H382" s="54" t="s">
        <v>508</v>
      </c>
      <c r="I382" s="54" t="s">
        <v>273</v>
      </c>
      <c r="M382" s="54" t="s">
        <v>255</v>
      </c>
      <c r="O382" s="57" t="s">
        <v>754</v>
      </c>
      <c r="P382" s="54" t="s">
        <v>164</v>
      </c>
      <c r="Q382" s="54" t="s">
        <v>726</v>
      </c>
      <c r="R382" s="60" t="s">
        <v>711</v>
      </c>
      <c r="S382" s="54" t="str">
        <f>Table2[[#This Row],[friendly_name]]</f>
        <v>Ada Tablet</v>
      </c>
      <c r="T382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2" s="57"/>
      <c r="W382" s="57"/>
      <c r="X382" s="57"/>
      <c r="Y382" s="57"/>
      <c r="Z382" s="57"/>
      <c r="AA382" s="57"/>
      <c r="AE382" s="54" t="s">
        <v>788</v>
      </c>
      <c r="AG382" s="57"/>
      <c r="AH382" s="57"/>
      <c r="AR382" s="59"/>
      <c r="AT382" s="61"/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Lounge</v>
      </c>
      <c r="BB382" s="54" t="s">
        <v>787</v>
      </c>
      <c r="BC382" s="59" t="s">
        <v>342</v>
      </c>
      <c r="BD382" s="54" t="s">
        <v>231</v>
      </c>
      <c r="BF382" s="54" t="s">
        <v>343</v>
      </c>
      <c r="BG382" s="54" t="s">
        <v>192</v>
      </c>
      <c r="BJ382" s="54" t="s">
        <v>942</v>
      </c>
      <c r="BK382" s="54" t="s">
        <v>1209</v>
      </c>
      <c r="BL382" s="54" t="s">
        <v>766</v>
      </c>
      <c r="BM382" s="54" t="s">
        <v>1254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3" spans="1:66" s="54" customFormat="1" ht="16" customHeight="1" x14ac:dyDescent="0.2">
      <c r="A383" s="30">
        <v>2601</v>
      </c>
      <c r="B383" s="30" t="s">
        <v>26</v>
      </c>
      <c r="C383" s="30" t="s">
        <v>359</v>
      </c>
      <c r="D383" s="30" t="s">
        <v>133</v>
      </c>
      <c r="E383" s="39" t="s">
        <v>593</v>
      </c>
      <c r="F383" s="36" t="str">
        <f>IF(ISBLANK(Table2[[#This Row],[unique_id]]), "", PROPER(SUBSTITUTE(Table2[[#This Row],[unique_id]], "_", " ")))</f>
        <v>Deck Fans Outlet</v>
      </c>
      <c r="G383" s="30" t="s">
        <v>596</v>
      </c>
      <c r="H383" s="30" t="s">
        <v>508</v>
      </c>
      <c r="I383" s="30" t="s">
        <v>273</v>
      </c>
      <c r="J383" s="30"/>
      <c r="K383" s="30"/>
      <c r="L383" s="30"/>
      <c r="M383" s="30" t="s">
        <v>255</v>
      </c>
      <c r="N383" s="30"/>
      <c r="O383" s="31" t="s">
        <v>754</v>
      </c>
      <c r="P383" s="30" t="s">
        <v>164</v>
      </c>
      <c r="Q383" s="30" t="s">
        <v>726</v>
      </c>
      <c r="R383" s="30" t="s">
        <v>728</v>
      </c>
      <c r="S383" s="30" t="s">
        <v>785</v>
      </c>
      <c r="T383" s="37" t="s">
        <v>784</v>
      </c>
      <c r="U383" s="30"/>
      <c r="V383" s="31"/>
      <c r="W383" s="31" t="s">
        <v>471</v>
      </c>
      <c r="X383" s="31"/>
      <c r="Y383" s="42" t="s">
        <v>723</v>
      </c>
      <c r="Z383" s="31"/>
      <c r="AA383" s="31"/>
      <c r="AB383" s="30"/>
      <c r="AC383" s="30"/>
      <c r="AD383" s="30"/>
      <c r="AE383" s="30" t="s">
        <v>249</v>
      </c>
      <c r="AF383" s="30"/>
      <c r="AG383" s="31"/>
      <c r="AH383" s="31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Deck</v>
      </c>
      <c r="BA383" s="30" t="str">
        <f>IF(ISBLANK(Table2[[#This Row],[device_model]]), "", Table2[[#This Row],[device_suggested_area]])</f>
        <v>Deck</v>
      </c>
      <c r="BB383" s="37" t="s">
        <v>980</v>
      </c>
      <c r="BC383" s="37" t="s">
        <v>598</v>
      </c>
      <c r="BD383" s="30" t="s">
        <v>359</v>
      </c>
      <c r="BE383" s="30"/>
      <c r="BF383" s="37" t="s">
        <v>599</v>
      </c>
      <c r="BG383" s="30" t="s">
        <v>339</v>
      </c>
      <c r="BH383" s="30"/>
      <c r="BI383" s="30"/>
      <c r="BJ383" s="30"/>
      <c r="BK383" s="30"/>
      <c r="BL383" s="30" t="s">
        <v>600</v>
      </c>
      <c r="BM383" s="30"/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4" spans="1:66" ht="16" customHeight="1" x14ac:dyDescent="0.2">
      <c r="A384" s="30">
        <v>2602</v>
      </c>
      <c r="B384" s="30" t="s">
        <v>26</v>
      </c>
      <c r="C384" s="30" t="s">
        <v>359</v>
      </c>
      <c r="D384" s="30" t="s">
        <v>133</v>
      </c>
      <c r="E384" s="39" t="s">
        <v>594</v>
      </c>
      <c r="F384" s="36" t="str">
        <f>IF(ISBLANK(Table2[[#This Row],[unique_id]]), "", PROPER(SUBSTITUTE(Table2[[#This Row],[unique_id]], "_", " ")))</f>
        <v>Kitchen Fan Outlet</v>
      </c>
      <c r="G384" s="30" t="s">
        <v>595</v>
      </c>
      <c r="H384" s="30" t="s">
        <v>508</v>
      </c>
      <c r="I384" s="30" t="s">
        <v>273</v>
      </c>
      <c r="M384" s="30" t="s">
        <v>255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">
        <v>785</v>
      </c>
      <c r="T384" s="37" t="s">
        <v>784</v>
      </c>
      <c r="U384" s="30"/>
      <c r="V384" s="31"/>
      <c r="W384" s="31" t="s">
        <v>471</v>
      </c>
      <c r="X384" s="31"/>
      <c r="Y384" s="42" t="s">
        <v>723</v>
      </c>
      <c r="Z384" s="31"/>
      <c r="AA384" s="31"/>
      <c r="AB384" s="30"/>
      <c r="AC384" s="30"/>
      <c r="AE384" s="30" t="s">
        <v>249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Kitchen</v>
      </c>
      <c r="BA384" s="30" t="str">
        <f>IF(ISBLANK(Table2[[#This Row],[device_model]]), "", Table2[[#This Row],[device_suggested_area]])</f>
        <v>Kitchen</v>
      </c>
      <c r="BB384" s="37" t="s">
        <v>981</v>
      </c>
      <c r="BC384" s="37" t="s">
        <v>598</v>
      </c>
      <c r="BD384" s="30" t="s">
        <v>359</v>
      </c>
      <c r="BF384" s="37" t="s">
        <v>599</v>
      </c>
      <c r="BG384" s="30" t="s">
        <v>204</v>
      </c>
      <c r="BL384" s="30" t="s">
        <v>601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5" spans="1:66" ht="16" customHeight="1" x14ac:dyDescent="0.2">
      <c r="A385" s="30">
        <v>2603</v>
      </c>
      <c r="B385" s="30" t="s">
        <v>26</v>
      </c>
      <c r="C385" s="30" t="s">
        <v>359</v>
      </c>
      <c r="D385" s="30" t="s">
        <v>133</v>
      </c>
      <c r="E385" s="39" t="s">
        <v>1458</v>
      </c>
      <c r="F385" s="36" t="str">
        <f>IF(ISBLANK(Table2[[#This Row],[unique_id]]), "", PROPER(SUBSTITUTE(Table2[[#This Row],[unique_id]], "_", " ")))</f>
        <v>Ada Desk Outlet</v>
      </c>
      <c r="G385" s="30" t="s">
        <v>1457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">
        <v>785</v>
      </c>
      <c r="T385" s="37" t="s">
        <v>784</v>
      </c>
      <c r="U385" s="30"/>
      <c r="V385" s="31"/>
      <c r="W385" s="31" t="s">
        <v>471</v>
      </c>
      <c r="X385" s="31"/>
      <c r="Y385" s="42" t="s">
        <v>723</v>
      </c>
      <c r="Z385" s="42"/>
      <c r="AA385" s="42"/>
      <c r="AB385" s="30"/>
      <c r="AC385" s="30"/>
      <c r="AE385" s="30" t="s">
        <v>249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Ada</v>
      </c>
      <c r="BA385" s="30" t="str">
        <f>IF(ISBLANK(Table2[[#This Row],[device_model]]), "", Table2[[#This Row],[device_suggested_area]])</f>
        <v>Ada</v>
      </c>
      <c r="BB385" s="37" t="s">
        <v>1447</v>
      </c>
      <c r="BC385" s="37" t="s">
        <v>598</v>
      </c>
      <c r="BD385" s="30" t="s">
        <v>359</v>
      </c>
      <c r="BF385" s="37" t="s">
        <v>599</v>
      </c>
      <c r="BG385" s="30" t="s">
        <v>129</v>
      </c>
      <c r="BL385" s="30" t="s">
        <v>1459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6" spans="1:66" ht="16" customHeight="1" x14ac:dyDescent="0.2">
      <c r="A386" s="30">
        <v>2604</v>
      </c>
      <c r="B386" s="30" t="s">
        <v>26</v>
      </c>
      <c r="C386" s="30" t="s">
        <v>359</v>
      </c>
      <c r="D386" s="30" t="s">
        <v>133</v>
      </c>
      <c r="E386" s="39" t="s">
        <v>1446</v>
      </c>
      <c r="F386" s="36" t="str">
        <f>IF(ISBLANK(Table2[[#This Row],[unique_id]]), "", PROPER(SUBSTITUTE(Table2[[#This Row],[unique_id]], "_", " ")))</f>
        <v>Edwin Desk Outlet</v>
      </c>
      <c r="G386" s="30" t="s">
        <v>1445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">
        <v>785</v>
      </c>
      <c r="T386" s="37" t="s">
        <v>784</v>
      </c>
      <c r="U386" s="30"/>
      <c r="V386" s="31"/>
      <c r="W386" s="31" t="s">
        <v>471</v>
      </c>
      <c r="X386" s="31"/>
      <c r="Y386" s="42" t="s">
        <v>723</v>
      </c>
      <c r="Z386" s="42"/>
      <c r="AA386" s="42"/>
      <c r="AB386" s="30"/>
      <c r="AC386" s="30"/>
      <c r="AE386" s="30" t="s">
        <v>249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Edwin</v>
      </c>
      <c r="BA386" s="30" t="str">
        <f>IF(ISBLANK(Table2[[#This Row],[device_model]]), "", Table2[[#This Row],[device_suggested_area]])</f>
        <v>Edwin</v>
      </c>
      <c r="BB386" s="37" t="s">
        <v>1447</v>
      </c>
      <c r="BC386" s="37" t="s">
        <v>598</v>
      </c>
      <c r="BD386" s="30" t="s">
        <v>359</v>
      </c>
      <c r="BF386" s="37" t="s">
        <v>599</v>
      </c>
      <c r="BG386" s="30" t="s">
        <v>126</v>
      </c>
      <c r="BL386" s="30" t="s">
        <v>597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7" spans="1:66" ht="16" customHeight="1" x14ac:dyDescent="0.2">
      <c r="A387" s="30">
        <v>2605</v>
      </c>
      <c r="B387" s="54" t="s">
        <v>561</v>
      </c>
      <c r="C387" s="54" t="s">
        <v>774</v>
      </c>
      <c r="D387" s="54" t="s">
        <v>147</v>
      </c>
      <c r="E387" s="55" t="s">
        <v>1387</v>
      </c>
      <c r="F387" s="56" t="str">
        <f>IF(ISBLANK(Table2[[#This Row],[unique_id]]), "", PROPER(SUBSTITUTE(Table2[[#This Row],[unique_id]], "_", " ")))</f>
        <v>Broken Template Server May Plug Proxy</v>
      </c>
      <c r="G387" s="54" t="s">
        <v>1388</v>
      </c>
      <c r="H387" s="54" t="s">
        <v>508</v>
      </c>
      <c r="I387" s="54" t="s">
        <v>273</v>
      </c>
      <c r="J387" s="54"/>
      <c r="K387" s="54"/>
      <c r="L387" s="54"/>
      <c r="M387" s="54"/>
      <c r="N387" s="54"/>
      <c r="O387" s="57" t="s">
        <v>754</v>
      </c>
      <c r="P387" s="54"/>
      <c r="Q387" s="54"/>
      <c r="R387" s="54" t="s">
        <v>767</v>
      </c>
      <c r="S387" s="54" t="str">
        <f>Table2[[#This Row],[friendly_name]]</f>
        <v>Server May</v>
      </c>
      <c r="T387" s="55" t="s">
        <v>1032</v>
      </c>
      <c r="U387" s="54"/>
      <c r="V387" s="57"/>
      <c r="W387" s="57"/>
      <c r="X387" s="57"/>
      <c r="Y387" s="57"/>
      <c r="Z387" s="57"/>
      <c r="AA387" s="57"/>
      <c r="AB387" s="54"/>
      <c r="AC387" s="54"/>
      <c r="AD387" s="54"/>
      <c r="AE387" s="54"/>
      <c r="AF387" s="54"/>
      <c r="AG387" s="57"/>
      <c r="AH387" s="57"/>
      <c r="AI387" s="54"/>
      <c r="AJ387" s="54"/>
      <c r="AK387" s="54"/>
      <c r="AL387" s="54"/>
      <c r="AM387" s="54"/>
      <c r="AN387" s="54"/>
      <c r="AO387" s="54"/>
      <c r="AP387" s="54"/>
      <c r="AQ387" s="54"/>
      <c r="AR387" s="59"/>
      <c r="AS387" s="54"/>
      <c r="AT387" s="61"/>
      <c r="AU387" s="54" t="s">
        <v>133</v>
      </c>
      <c r="AV38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54"/>
      <c r="BA387" s="54" t="str">
        <f>IF(ISBLANK(Table2[[#This Row],[device_model]]), "", Table2[[#This Row],[device_suggested_area]])</f>
        <v>Rack</v>
      </c>
      <c r="BB387" s="54" t="s">
        <v>1392</v>
      </c>
      <c r="BC387" s="59" t="s">
        <v>342</v>
      </c>
      <c r="BD387" s="54" t="s">
        <v>231</v>
      </c>
      <c r="BE387" s="54"/>
      <c r="BF387" s="54" t="s">
        <v>343</v>
      </c>
      <c r="BG387" s="54" t="s">
        <v>28</v>
      </c>
      <c r="BH387" s="54"/>
      <c r="BI387" s="54"/>
      <c r="BJ387" s="54"/>
      <c r="BK387" s="54"/>
      <c r="BL387" s="54"/>
      <c r="BM387" s="54"/>
      <c r="BN38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4" customFormat="1" ht="16" customHeight="1" x14ac:dyDescent="0.2">
      <c r="A388" s="30">
        <v>2606</v>
      </c>
      <c r="B388" s="54" t="s">
        <v>561</v>
      </c>
      <c r="C388" s="54" t="s">
        <v>231</v>
      </c>
      <c r="D388" s="54" t="s">
        <v>133</v>
      </c>
      <c r="E388" s="54" t="s">
        <v>1389</v>
      </c>
      <c r="F388" s="56" t="str">
        <f>IF(ISBLANK(Table2[[#This Row],[unique_id]]), "", PROPER(SUBSTITUTE(Table2[[#This Row],[unique_id]], "_", " ")))</f>
        <v>Broken Server May Plug</v>
      </c>
      <c r="G388" s="54" t="s">
        <v>1388</v>
      </c>
      <c r="H388" s="54" t="s">
        <v>508</v>
      </c>
      <c r="I388" s="54" t="s">
        <v>273</v>
      </c>
      <c r="M388" s="54" t="s">
        <v>255</v>
      </c>
      <c r="O388" s="57" t="s">
        <v>754</v>
      </c>
      <c r="R388" s="54" t="s">
        <v>767</v>
      </c>
      <c r="S388" s="54" t="str">
        <f>Table2[[#This Row],[friendly_name]]</f>
        <v>Server May</v>
      </c>
      <c r="T388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8" s="57"/>
      <c r="W388" s="57"/>
      <c r="X388" s="57"/>
      <c r="Y388" s="57"/>
      <c r="Z388" s="57"/>
      <c r="AA388" s="57"/>
      <c r="AE388" s="54" t="s">
        <v>250</v>
      </c>
      <c r="AG388" s="57"/>
      <c r="AH388" s="57"/>
      <c r="AR388" s="59"/>
      <c r="AT388" s="61"/>
      <c r="AV38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4" t="str">
        <f>IF(ISBLANK(Table2[[#This Row],[device_model]]), "", Table2[[#This Row],[device_suggested_area]])</f>
        <v>Rack</v>
      </c>
      <c r="BB388" s="54" t="s">
        <v>1392</v>
      </c>
      <c r="BC388" s="59" t="s">
        <v>342</v>
      </c>
      <c r="BD388" s="54" t="s">
        <v>231</v>
      </c>
      <c r="BF388" s="54" t="s">
        <v>343</v>
      </c>
      <c r="BG388" s="54" t="s">
        <v>28</v>
      </c>
      <c r="BJ388" s="54" t="s">
        <v>943</v>
      </c>
      <c r="BK388" s="54" t="s">
        <v>1209</v>
      </c>
      <c r="BL388" s="54" t="s">
        <v>770</v>
      </c>
      <c r="BM388" s="54" t="s">
        <v>1255</v>
      </c>
      <c r="BN38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9" spans="1:66" s="54" customFormat="1" ht="16" customHeight="1" x14ac:dyDescent="0.2">
      <c r="A389" s="30">
        <v>2607</v>
      </c>
      <c r="B389" s="54" t="s">
        <v>561</v>
      </c>
      <c r="C389" s="54" t="s">
        <v>774</v>
      </c>
      <c r="D389" s="54" t="s">
        <v>147</v>
      </c>
      <c r="E389" s="55" t="s">
        <v>1364</v>
      </c>
      <c r="F389" s="56" t="str">
        <f>IF(ISBLANK(Table2[[#This Row],[unique_id]]), "", PROPER(SUBSTITUTE(Table2[[#This Row],[unique_id]], "_", " ")))</f>
        <v>Broken Template Server Meg Plug Proxy</v>
      </c>
      <c r="G389" s="59" t="s">
        <v>771</v>
      </c>
      <c r="H389" s="54" t="s">
        <v>508</v>
      </c>
      <c r="I389" s="54" t="s">
        <v>273</v>
      </c>
      <c r="O389" s="57" t="s">
        <v>754</v>
      </c>
      <c r="R389" s="54" t="s">
        <v>767</v>
      </c>
      <c r="S389" s="54" t="str">
        <f>Table2[[#This Row],[friendly_name]]</f>
        <v>Server Meg</v>
      </c>
      <c r="T389" s="55" t="s">
        <v>1032</v>
      </c>
      <c r="V389" s="57"/>
      <c r="W389" s="57"/>
      <c r="X389" s="57"/>
      <c r="Y389" s="57"/>
      <c r="Z389" s="57"/>
      <c r="AA389" s="57"/>
      <c r="AG389" s="57"/>
      <c r="AH389" s="57"/>
      <c r="AR389" s="59"/>
      <c r="AT389" s="61"/>
      <c r="AU389" s="54" t="s">
        <v>133</v>
      </c>
      <c r="AV38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4" t="str">
        <f>IF(ISBLANK(Table2[[#This Row],[device_model]]), "", Table2[[#This Row],[device_suggested_area]])</f>
        <v>Rack</v>
      </c>
      <c r="BB389" s="54" t="s">
        <v>1025</v>
      </c>
      <c r="BC389" s="59" t="s">
        <v>342</v>
      </c>
      <c r="BD389" s="54" t="s">
        <v>231</v>
      </c>
      <c r="BF389" s="54" t="s">
        <v>343</v>
      </c>
      <c r="BG389" s="54" t="s">
        <v>28</v>
      </c>
      <c r="BN38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s="54" customFormat="1" ht="16" customHeight="1" x14ac:dyDescent="0.2">
      <c r="A390" s="30">
        <v>2608</v>
      </c>
      <c r="B390" s="54" t="s">
        <v>561</v>
      </c>
      <c r="C390" s="54" t="s">
        <v>231</v>
      </c>
      <c r="D390" s="54" t="s">
        <v>133</v>
      </c>
      <c r="E390" s="54" t="s">
        <v>1365</v>
      </c>
      <c r="F390" s="56" t="str">
        <f>IF(ISBLANK(Table2[[#This Row],[unique_id]]), "", PROPER(SUBSTITUTE(Table2[[#This Row],[unique_id]], "_", " ")))</f>
        <v>Broken Server Meg Plug</v>
      </c>
      <c r="G390" s="59" t="s">
        <v>771</v>
      </c>
      <c r="H390" s="54" t="s">
        <v>508</v>
      </c>
      <c r="I390" s="54" t="s">
        <v>273</v>
      </c>
      <c r="M390" s="54" t="s">
        <v>255</v>
      </c>
      <c r="O390" s="57" t="s">
        <v>754</v>
      </c>
      <c r="R390" s="54" t="s">
        <v>767</v>
      </c>
      <c r="S390" s="54" t="str">
        <f>Table2[[#This Row],[friendly_name]]</f>
        <v>Server Meg</v>
      </c>
      <c r="T390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0" s="57"/>
      <c r="W390" s="57"/>
      <c r="X390" s="57"/>
      <c r="Y390" s="57"/>
      <c r="Z390" s="57"/>
      <c r="AA390" s="57"/>
      <c r="AE390" s="54" t="s">
        <v>250</v>
      </c>
      <c r="AG390" s="57"/>
      <c r="AH390" s="57"/>
      <c r="AR390" s="59"/>
      <c r="AT390" s="61"/>
      <c r="AV39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4" t="str">
        <f>IF(ISBLANK(Table2[[#This Row],[device_model]]), "", Table2[[#This Row],[device_suggested_area]])</f>
        <v>Rack</v>
      </c>
      <c r="BB390" s="54" t="s">
        <v>1025</v>
      </c>
      <c r="BC390" s="59" t="s">
        <v>342</v>
      </c>
      <c r="BD390" s="54" t="s">
        <v>231</v>
      </c>
      <c r="BF390" s="54" t="s">
        <v>343</v>
      </c>
      <c r="BG390" s="54" t="s">
        <v>28</v>
      </c>
      <c r="BJ390" s="54" t="s">
        <v>943</v>
      </c>
      <c r="BK390" s="54" t="s">
        <v>1209</v>
      </c>
      <c r="BL390" s="54" t="s">
        <v>769</v>
      </c>
      <c r="BM390" s="54" t="s">
        <v>1256</v>
      </c>
      <c r="BN39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1" spans="1:66" s="54" customFormat="1" ht="16" customHeight="1" x14ac:dyDescent="0.2">
      <c r="A391" s="30">
        <v>2609</v>
      </c>
      <c r="B391" s="30" t="s">
        <v>26</v>
      </c>
      <c r="C391" s="30" t="s">
        <v>774</v>
      </c>
      <c r="D391" s="30" t="s">
        <v>147</v>
      </c>
      <c r="E391" s="37" t="s">
        <v>1395</v>
      </c>
      <c r="F391" s="36" t="str">
        <f>IF(ISBLANK(Table2[[#This Row],[unique_id]]), "", PROPER(SUBSTITUTE(Table2[[#This Row],[unique_id]], "_", " ")))</f>
        <v>Template Server Jen Plug Proxy</v>
      </c>
      <c r="G391" s="30" t="s">
        <v>1399</v>
      </c>
      <c r="H391" s="30" t="s">
        <v>508</v>
      </c>
      <c r="I391" s="30" t="s">
        <v>273</v>
      </c>
      <c r="J391" s="30"/>
      <c r="K391" s="30"/>
      <c r="L391" s="30"/>
      <c r="M391" s="30"/>
      <c r="N391" s="30"/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Server Jen</v>
      </c>
      <c r="T39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1" s="30"/>
      <c r="V391" s="31"/>
      <c r="W391" s="31"/>
      <c r="X391" s="31"/>
      <c r="Y391" s="31"/>
      <c r="Z391" s="31"/>
      <c r="AA391" s="31"/>
      <c r="AB391" s="30"/>
      <c r="AC391" s="30"/>
      <c r="AD391" s="30"/>
      <c r="AE391" s="30"/>
      <c r="AF391" s="30"/>
      <c r="AG391" s="31"/>
      <c r="AH391" s="31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40"/>
      <c r="AU391" s="30" t="s">
        <v>133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/>
      <c r="BA391" s="30" t="s">
        <v>477</v>
      </c>
      <c r="BB391" s="30" t="s">
        <v>1400</v>
      </c>
      <c r="BC391" s="30" t="s">
        <v>341</v>
      </c>
      <c r="BD391" s="30" t="s">
        <v>231</v>
      </c>
      <c r="BE391" s="30"/>
      <c r="BF391" s="30" t="s">
        <v>344</v>
      </c>
      <c r="BG391" s="30" t="s">
        <v>477</v>
      </c>
      <c r="BH391" s="30"/>
      <c r="BI391" s="30"/>
      <c r="BJ391" s="30"/>
      <c r="BK391" s="30"/>
      <c r="BL391" s="30"/>
      <c r="BM391" s="30"/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231</v>
      </c>
      <c r="D392" s="30" t="s">
        <v>133</v>
      </c>
      <c r="E392" s="30" t="s">
        <v>1396</v>
      </c>
      <c r="F392" s="36" t="str">
        <f>IF(ISBLANK(Table2[[#This Row],[unique_id]]), "", PROPER(SUBSTITUTE(Table2[[#This Row],[unique_id]], "_", " ")))</f>
        <v>Server Jen Plug</v>
      </c>
      <c r="G392" s="30" t="s">
        <v>1399</v>
      </c>
      <c r="H392" s="30" t="s">
        <v>508</v>
      </c>
      <c r="I392" s="30" t="s">
        <v>273</v>
      </c>
      <c r="M392" s="30" t="s">
        <v>255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Server Jen</v>
      </c>
      <c r="T392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2" s="30"/>
      <c r="V392" s="31"/>
      <c r="W392" s="31"/>
      <c r="X392" s="31"/>
      <c r="Y392" s="31"/>
      <c r="Z392" s="31"/>
      <c r="AA392" s="31"/>
      <c r="AB392" s="30"/>
      <c r="AC392" s="30"/>
      <c r="AE392" s="30" t="s">
        <v>250</v>
      </c>
      <c r="AG392" s="31"/>
      <c r="AH392" s="31"/>
      <c r="AT392" s="40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">
        <v>477</v>
      </c>
      <c r="BB392" s="30" t="s">
        <v>1400</v>
      </c>
      <c r="BC392" s="30" t="s">
        <v>341</v>
      </c>
      <c r="BD392" s="30" t="s">
        <v>231</v>
      </c>
      <c r="BF392" s="30" t="s">
        <v>344</v>
      </c>
      <c r="BG392" s="30" t="s">
        <v>477</v>
      </c>
      <c r="BJ392" s="30" t="s">
        <v>943</v>
      </c>
      <c r="BK392" s="30" t="s">
        <v>1209</v>
      </c>
      <c r="BL392" s="30" t="s">
        <v>330</v>
      </c>
      <c r="BM392" s="30" t="s">
        <v>1257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3" spans="1:66" ht="16" customHeight="1" x14ac:dyDescent="0.2">
      <c r="A393" s="30">
        <v>2611</v>
      </c>
      <c r="B393" s="30" t="s">
        <v>26</v>
      </c>
      <c r="C393" s="30" t="s">
        <v>774</v>
      </c>
      <c r="D393" s="30" t="s">
        <v>147</v>
      </c>
      <c r="E393" s="37" t="s">
        <v>933</v>
      </c>
      <c r="F393" s="36" t="str">
        <f>IF(ISBLANK(Table2[[#This Row],[unique_id]]), "", PROPER(SUBSTITUTE(Table2[[#This Row],[unique_id]], "_", " ")))</f>
        <v>Template Rack Outlet Plug Proxy</v>
      </c>
      <c r="G393" s="30" t="s">
        <v>220</v>
      </c>
      <c r="H393" s="30" t="s">
        <v>508</v>
      </c>
      <c r="I393" s="30" t="s">
        <v>273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Server Rack</v>
      </c>
      <c r="T393" s="37" t="s">
        <v>1034</v>
      </c>
      <c r="U393" s="30"/>
      <c r="V393" s="31"/>
      <c r="W393" s="31"/>
      <c r="X393" s="31"/>
      <c r="Y393" s="31"/>
      <c r="Z393" s="31"/>
      <c r="AA393" s="31"/>
      <c r="AB393" s="30"/>
      <c r="AC393" s="30"/>
      <c r="AG393" s="31"/>
      <c r="AH393" s="31"/>
      <c r="AT393" s="40"/>
      <c r="AU393" s="30" t="s">
        <v>133</v>
      </c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984</v>
      </c>
      <c r="BC393" s="30" t="s">
        <v>881</v>
      </c>
      <c r="BD393" s="30" t="s">
        <v>1072</v>
      </c>
      <c r="BF393" s="30" t="s">
        <v>853</v>
      </c>
      <c r="BG393" s="30" t="s">
        <v>28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133</v>
      </c>
      <c r="E394" s="30" t="s">
        <v>804</v>
      </c>
      <c r="F394" s="36" t="str">
        <f>IF(ISBLANK(Table2[[#This Row],[unique_id]]), "", PROPER(SUBSTITUTE(Table2[[#This Row],[unique_id]], "_", " ")))</f>
        <v>Rack Outlet Plug</v>
      </c>
      <c r="G394" s="30" t="s">
        <v>220</v>
      </c>
      <c r="H394" s="30" t="s">
        <v>508</v>
      </c>
      <c r="I394" s="30" t="s">
        <v>273</v>
      </c>
      <c r="M394" s="30" t="s">
        <v>255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Server Rack</v>
      </c>
      <c r="T39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4" s="30"/>
      <c r="V394" s="31"/>
      <c r="W394" s="31"/>
      <c r="X394" s="31"/>
      <c r="Y394" s="31"/>
      <c r="Z394" s="31"/>
      <c r="AA394" s="42" t="s">
        <v>1529</v>
      </c>
      <c r="AB394" s="30"/>
      <c r="AC394" s="30"/>
      <c r="AE394" s="30" t="s">
        <v>250</v>
      </c>
      <c r="AF394" s="30">
        <v>10</v>
      </c>
      <c r="AG394" s="31" t="s">
        <v>34</v>
      </c>
      <c r="AH394" s="31" t="s">
        <v>863</v>
      </c>
      <c r="AI394" s="30" t="s">
        <v>804</v>
      </c>
      <c r="AJ394" s="30" t="str">
        <f>_xlfn.CONCAT("homeassistant/", Table2[[#This Row],[entity_namespace]], "/tasmota/",Table2[[#This Row],[unique_id]], "/config")</f>
        <v>homeassistant/switch/tasmota/rack_outlet_plug/config</v>
      </c>
      <c r="AK394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4" s="30" t="str">
        <f>_xlfn.CONCAT("tasmota/device/",Table2[[#This Row],[unique_id]], "/cmnd/POWER")</f>
        <v>tasmota/device/rack_outlet_plug/cmnd/POWER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936</v>
      </c>
      <c r="AS394" s="30">
        <v>1</v>
      </c>
      <c r="AT394" s="34" t="str">
        <f>HYPERLINK(_xlfn.CONCAT("http://", Table2[[#This Row],[connection_ip]], "/?"))</f>
        <v>http://10.0.4.102/?</v>
      </c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984</v>
      </c>
      <c r="BC394" s="30" t="s">
        <v>881</v>
      </c>
      <c r="BD394" s="30" t="s">
        <v>1072</v>
      </c>
      <c r="BF394" s="30" t="s">
        <v>853</v>
      </c>
      <c r="BG394" s="30" t="s">
        <v>28</v>
      </c>
      <c r="BK394" s="30" t="s">
        <v>1209</v>
      </c>
      <c r="BL394" s="30" t="s">
        <v>880</v>
      </c>
      <c r="BM394" s="30" t="s">
        <v>1259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934</v>
      </c>
      <c r="F395" s="36" t="str">
        <f>IF(ISBLANK(Table2[[#This Row],[unique_id]]), "", PROPER(SUBSTITUTE(Table2[[#This Row],[unique_id]], "_", " ")))</f>
        <v>Rack Outlet Plug Energy Power</v>
      </c>
      <c r="G395" s="30" t="s">
        <v>220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31</v>
      </c>
      <c r="AC395" s="30" t="s">
        <v>309</v>
      </c>
      <c r="AD395" s="30" t="s">
        <v>864</v>
      </c>
      <c r="AF395" s="30">
        <v>10</v>
      </c>
      <c r="AG395" s="31" t="s">
        <v>34</v>
      </c>
      <c r="AH395" s="31" t="s">
        <v>863</v>
      </c>
      <c r="AI395" s="30" t="s">
        <v>804</v>
      </c>
      <c r="AJ395" s="30" t="str">
        <f>_xlfn.CONCAT("homeassistant/", Table2[[#This Row],[entity_namespace]], "/tasmota/",Table2[[#This Row],[unique_id]], "/config")</f>
        <v>homeassistant/sensor/tasmota/rack_outlet_plug_energy_power/config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1068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Rack</v>
      </c>
      <c r="BB395" s="30" t="s">
        <v>984</v>
      </c>
      <c r="BC395" s="30" t="s">
        <v>881</v>
      </c>
      <c r="BD395" s="30" t="s">
        <v>1072</v>
      </c>
      <c r="BF395" s="30" t="s">
        <v>853</v>
      </c>
      <c r="BG395" s="30" t="s">
        <v>28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935</v>
      </c>
      <c r="F396" s="36" t="str">
        <f>IF(ISBLANK(Table2[[#This Row],[unique_id]]), "", PROPER(SUBSTITUTE(Table2[[#This Row],[unique_id]], "_", " ")))</f>
        <v>Rack Outlet Plug Energy Total</v>
      </c>
      <c r="G396" s="30" t="s">
        <v>220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76</v>
      </c>
      <c r="AC396" s="30" t="s">
        <v>310</v>
      </c>
      <c r="AD396" s="30" t="s">
        <v>865</v>
      </c>
      <c r="AF396" s="30">
        <v>10</v>
      </c>
      <c r="AG396" s="31" t="s">
        <v>34</v>
      </c>
      <c r="AH396" s="31" t="s">
        <v>863</v>
      </c>
      <c r="AI396" s="30" t="s">
        <v>804</v>
      </c>
      <c r="AJ396" s="30" t="str">
        <f>_xlfn.CONCAT("homeassistant/", Table2[[#This Row],[entity_namespace]], "/tasmota/",Table2[[#This Row],[unique_id]], "/config")</f>
        <v>homeassistant/sensor/tasmota/rack_outlet_plug_energy_total/config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1069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984</v>
      </c>
      <c r="BC396" s="30" t="s">
        <v>881</v>
      </c>
      <c r="BD396" s="30" t="s">
        <v>1072</v>
      </c>
      <c r="BF396" s="30" t="s">
        <v>853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774</v>
      </c>
      <c r="D397" s="30" t="s">
        <v>147</v>
      </c>
      <c r="E397" s="37" t="s">
        <v>1059</v>
      </c>
      <c r="F397" s="36" t="str">
        <f>IF(ISBLANK(Table2[[#This Row],[unique_id]]), "", PROPER(SUBSTITUTE(Table2[[#This Row],[unique_id]], "_", " ")))</f>
        <v>Template Ceiling Network Switch Plug Proxy</v>
      </c>
      <c r="G397" s="30" t="s">
        <v>1379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tr">
        <f>Table2[[#This Row],[friendly_name]]</f>
        <v>Ceiling Network Devices</v>
      </c>
      <c r="T397" s="37" t="s">
        <v>1034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133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218</v>
      </c>
      <c r="BC397" s="30" t="s">
        <v>881</v>
      </c>
      <c r="BD397" s="30" t="s">
        <v>1072</v>
      </c>
      <c r="BF397" s="30" t="s">
        <v>853</v>
      </c>
      <c r="BG397" s="30" t="s">
        <v>385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676</v>
      </c>
      <c r="D398" s="30" t="s">
        <v>133</v>
      </c>
      <c r="E398" s="30" t="s">
        <v>1060</v>
      </c>
      <c r="F398" s="36" t="str">
        <f>IF(ISBLANK(Table2[[#This Row],[unique_id]]), "", PROPER(SUBSTITUTE(Table2[[#This Row],[unique_id]], "_", " ")))</f>
        <v>Ceiling Network Switch Plug</v>
      </c>
      <c r="G398" s="30" t="s">
        <v>1379</v>
      </c>
      <c r="H398" s="30" t="s">
        <v>508</v>
      </c>
      <c r="I398" s="30" t="s">
        <v>273</v>
      </c>
      <c r="M398" s="30" t="s">
        <v>255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tr">
        <f>Table2[[#This Row],[friendly_name]]</f>
        <v>Ceiling Network Devices</v>
      </c>
      <c r="T39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8" s="30"/>
      <c r="V398" s="31"/>
      <c r="W398" s="31"/>
      <c r="X398" s="31"/>
      <c r="Y398" s="31"/>
      <c r="Z398" s="31"/>
      <c r="AA398" s="42" t="s">
        <v>1530</v>
      </c>
      <c r="AB398" s="30"/>
      <c r="AC398" s="30"/>
      <c r="AE398" s="30" t="s">
        <v>251</v>
      </c>
      <c r="AF398" s="30">
        <v>10</v>
      </c>
      <c r="AG398" s="31" t="s">
        <v>34</v>
      </c>
      <c r="AH398" s="31" t="s">
        <v>863</v>
      </c>
      <c r="AI398" s="30" t="s">
        <v>1060</v>
      </c>
      <c r="AJ398" s="30" t="str">
        <f>_xlfn.CONCAT("homeassistant/", Table2[[#This Row],[entity_namespace]], "/tasmota/",Table2[[#This Row],[unique_id]], "/config")</f>
        <v>homeassistant/switch/tasmota/ceiling_network_switch_plug/config</v>
      </c>
      <c r="AK39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8" s="30" t="str">
        <f>_xlfn.CONCAT("tasmota/device/",Table2[[#This Row],[unique_id]], "/cmnd/POWER")</f>
        <v>tasmota/device/ceiling_network_switch_plug/cmnd/POWER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882</v>
      </c>
      <c r="AO398" s="30" t="s">
        <v>883</v>
      </c>
      <c r="AP398" s="30" t="s">
        <v>872</v>
      </c>
      <c r="AQ398" s="30" t="s">
        <v>873</v>
      </c>
      <c r="AR398" s="30" t="s">
        <v>936</v>
      </c>
      <c r="AS398" s="30">
        <v>1</v>
      </c>
      <c r="AT398" s="34" t="str">
        <f>HYPERLINK(_xlfn.CONCAT("http://", Table2[[#This Row],[connection_ip]], "/?"))</f>
        <v>http://10.0.4.105/?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218</v>
      </c>
      <c r="BC398" s="30" t="s">
        <v>881</v>
      </c>
      <c r="BD398" s="30" t="s">
        <v>1072</v>
      </c>
      <c r="BF398" s="30" t="s">
        <v>853</v>
      </c>
      <c r="BG398" s="30" t="s">
        <v>385</v>
      </c>
      <c r="BK398" s="30" t="s">
        <v>1209</v>
      </c>
      <c r="BL398" s="41" t="s">
        <v>945</v>
      </c>
      <c r="BM398" s="30" t="s">
        <v>1261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9" spans="1:66" ht="16" customHeight="1" x14ac:dyDescent="0.2">
      <c r="A399" s="30">
        <v>2617</v>
      </c>
      <c r="B399" s="30" t="s">
        <v>26</v>
      </c>
      <c r="C399" s="30" t="s">
        <v>676</v>
      </c>
      <c r="D399" s="30" t="s">
        <v>27</v>
      </c>
      <c r="E399" s="30" t="s">
        <v>1061</v>
      </c>
      <c r="F399" s="36" t="str">
        <f>IF(ISBLANK(Table2[[#This Row],[unique_id]]), "", PROPER(SUBSTITUTE(Table2[[#This Row],[unique_id]], "_", " ")))</f>
        <v>Ceiling Network Switch Plug Energy Power</v>
      </c>
      <c r="G399" s="30" t="s">
        <v>1379</v>
      </c>
      <c r="H399" s="30" t="s">
        <v>508</v>
      </c>
      <c r="I399" s="30" t="s">
        <v>273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31</v>
      </c>
      <c r="AC399" s="30" t="s">
        <v>309</v>
      </c>
      <c r="AD399" s="30" t="s">
        <v>864</v>
      </c>
      <c r="AF399" s="30">
        <v>10</v>
      </c>
      <c r="AG399" s="31" t="s">
        <v>34</v>
      </c>
      <c r="AH399" s="31" t="s">
        <v>863</v>
      </c>
      <c r="AI399" s="30" t="s">
        <v>1060</v>
      </c>
      <c r="AJ399" s="30" t="str">
        <f>_xlfn.CONCAT("homeassistant/", Table2[[#This Row],[entity_namespace]], "/tasmota/",Table2[[#This Row],[unique_id]], "/config")</f>
        <v>homeassistant/sensor/tasmota/ceiling_network_switch_plug_energy_power/config</v>
      </c>
      <c r="AK399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882</v>
      </c>
      <c r="AO399" s="30" t="s">
        <v>883</v>
      </c>
      <c r="AP399" s="30" t="s">
        <v>872</v>
      </c>
      <c r="AQ399" s="30" t="s">
        <v>873</v>
      </c>
      <c r="AR399" s="30" t="s">
        <v>1068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218</v>
      </c>
      <c r="BC399" s="30" t="s">
        <v>881</v>
      </c>
      <c r="BD399" s="30" t="s">
        <v>1072</v>
      </c>
      <c r="BF399" s="30" t="s">
        <v>853</v>
      </c>
      <c r="BG399" s="30" t="s">
        <v>385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676</v>
      </c>
      <c r="D400" s="30" t="s">
        <v>27</v>
      </c>
      <c r="E400" s="30" t="s">
        <v>1062</v>
      </c>
      <c r="F400" s="36" t="str">
        <f>IF(ISBLANK(Table2[[#This Row],[unique_id]]), "", PROPER(SUBSTITUTE(Table2[[#This Row],[unique_id]], "_", " ")))</f>
        <v>Ceiling Network Switch Plug Energy Total</v>
      </c>
      <c r="G400" s="30" t="s">
        <v>1379</v>
      </c>
      <c r="H400" s="30" t="s">
        <v>508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76</v>
      </c>
      <c r="AC400" s="30" t="s">
        <v>310</v>
      </c>
      <c r="AD400" s="30" t="s">
        <v>865</v>
      </c>
      <c r="AF400" s="30">
        <v>10</v>
      </c>
      <c r="AG400" s="31" t="s">
        <v>34</v>
      </c>
      <c r="AH400" s="31" t="s">
        <v>863</v>
      </c>
      <c r="AI400" s="30" t="s">
        <v>1060</v>
      </c>
      <c r="AJ400" s="30" t="str">
        <f>_xlfn.CONCAT("homeassistant/", Table2[[#This Row],[entity_namespace]], "/tasmota/",Table2[[#This Row],[unique_id]], "/config")</f>
        <v>homeassistant/sensor/tasmota/ceiling_network_switch_plug_energy_total/config</v>
      </c>
      <c r="AK400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0" s="30" t="s">
        <v>882</v>
      </c>
      <c r="AO400" s="30" t="s">
        <v>883</v>
      </c>
      <c r="AP400" s="30" t="s">
        <v>872</v>
      </c>
      <c r="AQ400" s="30" t="s">
        <v>873</v>
      </c>
      <c r="AR400" s="30" t="s">
        <v>1069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218</v>
      </c>
      <c r="BC400" s="30" t="s">
        <v>881</v>
      </c>
      <c r="BD400" s="30" t="s">
        <v>1072</v>
      </c>
      <c r="BF400" s="30" t="s">
        <v>853</v>
      </c>
      <c r="BG400" s="30" t="s">
        <v>385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54" t="s">
        <v>561</v>
      </c>
      <c r="C401" s="54" t="s">
        <v>774</v>
      </c>
      <c r="D401" s="54" t="s">
        <v>147</v>
      </c>
      <c r="E401" s="55" t="s">
        <v>1366</v>
      </c>
      <c r="F401" s="56" t="str">
        <f>IF(ISBLANK(Table2[[#This Row],[unique_id]]), "", PROPER(SUBSTITUTE(Table2[[#This Row],[unique_id]], "_", " ")))</f>
        <v>Broken Template Rack Internet Modem Plug Proxy</v>
      </c>
      <c r="G401" s="54" t="s">
        <v>219</v>
      </c>
      <c r="H401" s="54" t="s">
        <v>508</v>
      </c>
      <c r="I401" s="54" t="s">
        <v>273</v>
      </c>
      <c r="J401" s="54"/>
      <c r="K401" s="54"/>
      <c r="L401" s="54"/>
      <c r="M401" s="54"/>
      <c r="N401" s="54"/>
      <c r="O401" s="57" t="s">
        <v>754</v>
      </c>
      <c r="P401" s="54"/>
      <c r="Q401" s="54"/>
      <c r="R401" s="54" t="s">
        <v>768</v>
      </c>
      <c r="S401" s="54" t="str">
        <f>Table2[[#This Row],[friendly_name]]</f>
        <v>Internet Modem</v>
      </c>
      <c r="T401" s="55" t="s">
        <v>1032</v>
      </c>
      <c r="U401" s="54"/>
      <c r="V401" s="57"/>
      <c r="W401" s="57"/>
      <c r="X401" s="57"/>
      <c r="Y401" s="57"/>
      <c r="Z401" s="57"/>
      <c r="AA401" s="57"/>
      <c r="AB401" s="54"/>
      <c r="AC401" s="54"/>
      <c r="AD401" s="54"/>
      <c r="AE401" s="54"/>
      <c r="AF401" s="54"/>
      <c r="AG401" s="57"/>
      <c r="AH401" s="57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8"/>
      <c r="AU401" s="54" t="s">
        <v>133</v>
      </c>
      <c r="AV4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54"/>
      <c r="BA401" s="54" t="str">
        <f>IF(ISBLANK(Table2[[#This Row],[device_model]]), "", Table2[[#This Row],[device_suggested_area]])</f>
        <v>Rack</v>
      </c>
      <c r="BB401" s="54" t="s">
        <v>989</v>
      </c>
      <c r="BC401" s="59" t="s">
        <v>342</v>
      </c>
      <c r="BD401" s="54" t="s">
        <v>231</v>
      </c>
      <c r="BE401" s="54"/>
      <c r="BF401" s="54" t="s">
        <v>343</v>
      </c>
      <c r="BG401" s="54" t="s">
        <v>28</v>
      </c>
      <c r="BH401" s="54"/>
      <c r="BI401" s="54"/>
      <c r="BJ401" s="54"/>
      <c r="BK401" s="54"/>
      <c r="BL401" s="54"/>
      <c r="BM401" s="54"/>
      <c r="BN4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s="54" customFormat="1" ht="16" customHeight="1" x14ac:dyDescent="0.2">
      <c r="A402" s="30">
        <v>2620</v>
      </c>
      <c r="B402" s="54" t="s">
        <v>561</v>
      </c>
      <c r="C402" s="54" t="s">
        <v>231</v>
      </c>
      <c r="D402" s="54" t="s">
        <v>133</v>
      </c>
      <c r="E402" s="54" t="s">
        <v>1367</v>
      </c>
      <c r="F402" s="56" t="str">
        <f>IF(ISBLANK(Table2[[#This Row],[unique_id]]), "", PROPER(SUBSTITUTE(Table2[[#This Row],[unique_id]], "_", " ")))</f>
        <v>Broken Rack Internet Modem Plug</v>
      </c>
      <c r="G402" s="54" t="s">
        <v>219</v>
      </c>
      <c r="H402" s="54" t="s">
        <v>508</v>
      </c>
      <c r="I402" s="54" t="s">
        <v>273</v>
      </c>
      <c r="M402" s="54" t="s">
        <v>255</v>
      </c>
      <c r="O402" s="57" t="s">
        <v>754</v>
      </c>
      <c r="R402" s="54" t="s">
        <v>768</v>
      </c>
      <c r="S402" s="54" t="str">
        <f>Table2[[#This Row],[friendly_name]]</f>
        <v>Internet Modem</v>
      </c>
      <c r="T402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2" s="57"/>
      <c r="W402" s="57"/>
      <c r="X402" s="57"/>
      <c r="Y402" s="57"/>
      <c r="Z402" s="57"/>
      <c r="AA402" s="57"/>
      <c r="AE402" s="54" t="s">
        <v>252</v>
      </c>
      <c r="AG402" s="57"/>
      <c r="AH402" s="57"/>
      <c r="AT402" s="58"/>
      <c r="AV40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54" t="str">
        <f>IF(ISBLANK(Table2[[#This Row],[device_model]]), "", Table2[[#This Row],[device_suggested_area]])</f>
        <v>Rack</v>
      </c>
      <c r="BB402" s="54" t="s">
        <v>989</v>
      </c>
      <c r="BC402" s="59" t="s">
        <v>342</v>
      </c>
      <c r="BD402" s="54" t="s">
        <v>231</v>
      </c>
      <c r="BF402" s="54" t="s">
        <v>343</v>
      </c>
      <c r="BG402" s="54" t="s">
        <v>28</v>
      </c>
      <c r="BJ402" s="54" t="s">
        <v>942</v>
      </c>
      <c r="BK402" s="54" t="s">
        <v>1209</v>
      </c>
      <c r="BL402" s="54" t="s">
        <v>336</v>
      </c>
      <c r="BM402" s="54" t="s">
        <v>1262</v>
      </c>
      <c r="BN40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3" spans="1:66" s="54" customFormat="1" ht="16" customHeight="1" x14ac:dyDescent="0.2">
      <c r="A403" s="30">
        <v>2621</v>
      </c>
      <c r="B403" s="30" t="s">
        <v>26</v>
      </c>
      <c r="C403" s="30" t="s">
        <v>432</v>
      </c>
      <c r="D403" s="30" t="s">
        <v>27</v>
      </c>
      <c r="E403" s="30" t="s">
        <v>780</v>
      </c>
      <c r="F403" s="36" t="str">
        <f>IF(ISBLANK(Table2[[#This Row],[unique_id]]), "", PROPER(SUBSTITUTE(Table2[[#This Row],[unique_id]], "_", " ")))</f>
        <v>Garden Repeater Linkquality</v>
      </c>
      <c r="G403" s="30" t="s">
        <v>680</v>
      </c>
      <c r="H403" s="30" t="s">
        <v>508</v>
      </c>
      <c r="I403" s="30" t="s">
        <v>273</v>
      </c>
      <c r="J403" s="30"/>
      <c r="K403" s="30"/>
      <c r="L403" s="30"/>
      <c r="M403" s="30"/>
      <c r="N403" s="30"/>
      <c r="O403" s="31" t="s">
        <v>754</v>
      </c>
      <c r="P403" s="30" t="s">
        <v>164</v>
      </c>
      <c r="Q403" s="30" t="s">
        <v>726</v>
      </c>
      <c r="R403" s="30" t="s">
        <v>728</v>
      </c>
      <c r="S403" s="30" t="s">
        <v>785</v>
      </c>
      <c r="T403" s="37" t="s">
        <v>783</v>
      </c>
      <c r="U403" s="30"/>
      <c r="V403" s="31"/>
      <c r="W403" s="31" t="s">
        <v>471</v>
      </c>
      <c r="X403" s="31"/>
      <c r="Y403" s="42" t="s">
        <v>723</v>
      </c>
      <c r="Z403" s="31"/>
      <c r="AA403" s="31"/>
      <c r="AB403" s="30"/>
      <c r="AC403" s="30"/>
      <c r="AD403" s="30"/>
      <c r="AE403" s="30"/>
      <c r="AF403" s="30"/>
      <c r="AG403" s="31"/>
      <c r="AH403" s="31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Garden</v>
      </c>
      <c r="BA403" s="30" t="str">
        <f>IF(ISBLANK(Table2[[#This Row],[device_model]]), "", Table2[[#This Row],[device_suggested_area]])</f>
        <v>Garden</v>
      </c>
      <c r="BB403" s="30" t="s">
        <v>954</v>
      </c>
      <c r="BC403" s="39" t="s">
        <v>678</v>
      </c>
      <c r="BD403" s="30" t="s">
        <v>432</v>
      </c>
      <c r="BE403" s="30"/>
      <c r="BF403" s="30" t="s">
        <v>677</v>
      </c>
      <c r="BG403" s="30" t="s">
        <v>558</v>
      </c>
      <c r="BH403" s="30"/>
      <c r="BI403" s="30"/>
      <c r="BJ403" s="30"/>
      <c r="BK403" s="30"/>
      <c r="BL403" s="30" t="s">
        <v>679</v>
      </c>
      <c r="BM403" s="30"/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4" spans="1:66" ht="16" customHeight="1" x14ac:dyDescent="0.2">
      <c r="A404" s="30">
        <v>2622</v>
      </c>
      <c r="B404" s="30" t="s">
        <v>26</v>
      </c>
      <c r="C404" s="30" t="s">
        <v>432</v>
      </c>
      <c r="D404" s="30" t="s">
        <v>27</v>
      </c>
      <c r="E404" s="30" t="s">
        <v>781</v>
      </c>
      <c r="F404" s="36" t="str">
        <f>IF(ISBLANK(Table2[[#This Row],[unique_id]]), "", PROPER(SUBSTITUTE(Table2[[#This Row],[unique_id]], "_", " ")))</f>
        <v>Landing Repeater Linkquality</v>
      </c>
      <c r="G404" s="30" t="s">
        <v>682</v>
      </c>
      <c r="H404" s="30" t="s">
        <v>508</v>
      </c>
      <c r="I404" s="30" t="s">
        <v>273</v>
      </c>
      <c r="O404" s="31" t="s">
        <v>754</v>
      </c>
      <c r="P404" s="30" t="s">
        <v>164</v>
      </c>
      <c r="Q404" s="30" t="s">
        <v>726</v>
      </c>
      <c r="R404" s="30" t="s">
        <v>728</v>
      </c>
      <c r="S404" s="30" t="s">
        <v>785</v>
      </c>
      <c r="T404" s="37" t="s">
        <v>783</v>
      </c>
      <c r="U404" s="30"/>
      <c r="V404" s="31"/>
      <c r="W404" s="31" t="s">
        <v>471</v>
      </c>
      <c r="X404" s="31"/>
      <c r="Y404" s="42" t="s">
        <v>723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Landing</v>
      </c>
      <c r="BA404" s="30" t="str">
        <f>IF(ISBLANK(Table2[[#This Row],[device_model]]), "", Table2[[#This Row],[device_suggested_area]])</f>
        <v>Landing</v>
      </c>
      <c r="BB404" s="30" t="s">
        <v>954</v>
      </c>
      <c r="BC404" s="39" t="s">
        <v>678</v>
      </c>
      <c r="BD404" s="30" t="s">
        <v>432</v>
      </c>
      <c r="BF404" s="30" t="s">
        <v>677</v>
      </c>
      <c r="BG404" s="30" t="s">
        <v>541</v>
      </c>
      <c r="BL404" s="30" t="s">
        <v>684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5" spans="1:66" ht="16" customHeight="1" x14ac:dyDescent="0.2">
      <c r="A405" s="30">
        <v>2623</v>
      </c>
      <c r="B405" s="30" t="s">
        <v>26</v>
      </c>
      <c r="C405" s="30" t="s">
        <v>432</v>
      </c>
      <c r="D405" s="30" t="s">
        <v>27</v>
      </c>
      <c r="E405" s="30" t="s">
        <v>782</v>
      </c>
      <c r="F405" s="36" t="str">
        <f>IF(ISBLANK(Table2[[#This Row],[unique_id]]), "", PROPER(SUBSTITUTE(Table2[[#This Row],[unique_id]], "_", " ")))</f>
        <v>Driveway Repeater Linkquality</v>
      </c>
      <c r="G405" s="30" t="s">
        <v>681</v>
      </c>
      <c r="H405" s="30" t="s">
        <v>508</v>
      </c>
      <c r="I405" s="30" t="s">
        <v>273</v>
      </c>
      <c r="O405" s="31" t="s">
        <v>754</v>
      </c>
      <c r="P405" s="30" t="s">
        <v>164</v>
      </c>
      <c r="Q405" s="30" t="s">
        <v>726</v>
      </c>
      <c r="R405" s="30" t="s">
        <v>728</v>
      </c>
      <c r="S405" s="30" t="s">
        <v>785</v>
      </c>
      <c r="T405" s="37" t="s">
        <v>783</v>
      </c>
      <c r="U405" s="30"/>
      <c r="V405" s="31"/>
      <c r="W405" s="31" t="s">
        <v>471</v>
      </c>
      <c r="X405" s="31"/>
      <c r="Y405" s="42" t="s">
        <v>723</v>
      </c>
      <c r="Z405" s="31"/>
      <c r="AA405" s="31"/>
      <c r="AB405" s="30"/>
      <c r="AC405" s="30"/>
      <c r="AG405" s="31"/>
      <c r="AH405" s="31"/>
      <c r="AT40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5" s="30" t="str">
        <f>Table2[[#This Row],[device_suggested_area]]</f>
        <v>Driveway</v>
      </c>
      <c r="BA405" s="30" t="str">
        <f>IF(ISBLANK(Table2[[#This Row],[device_model]]), "", Table2[[#This Row],[device_suggested_area]])</f>
        <v>Driveway</v>
      </c>
      <c r="BB405" s="30" t="s">
        <v>954</v>
      </c>
      <c r="BC405" s="39" t="s">
        <v>678</v>
      </c>
      <c r="BD405" s="30" t="s">
        <v>432</v>
      </c>
      <c r="BF405" s="30" t="s">
        <v>677</v>
      </c>
      <c r="BG405" s="30" t="s">
        <v>683</v>
      </c>
      <c r="BL405" s="30" t="s">
        <v>685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0" t="s">
        <v>852</v>
      </c>
      <c r="F406" s="36" t="str">
        <f>IF(ISBLANK(Table2[[#This Row],[unique_id]]), "", PROPER(SUBSTITUTE(Table2[[#This Row],[unique_id]], "_", " ")))</f>
        <v>Lighting Reset Adaptive Lighting All</v>
      </c>
      <c r="G406" s="30" t="s">
        <v>756</v>
      </c>
      <c r="H406" s="30" t="s">
        <v>526</v>
      </c>
      <c r="I406" s="30" t="s">
        <v>273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164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513</v>
      </c>
      <c r="F407" s="36" t="str">
        <f>IF(ISBLANK(Table2[[#This Row],[unique_id]]), "", PROPER(SUBSTITUTE(Table2[[#This Row],[unique_id]], "_", " ")))</f>
        <v>Lighting Reset Adaptive Lighting Ada Lamp</v>
      </c>
      <c r="G407" s="36" t="s">
        <v>193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32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129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507</v>
      </c>
      <c r="F408" s="36" t="str">
        <f>IF(ISBLANK(Table2[[#This Row],[unique_id]]), "", PROPER(SUBSTITUTE(Table2[[#This Row],[unique_id]], "_", " ")))</f>
        <v>Lighting Reset Adaptive Lighting Edwin Lamp</v>
      </c>
      <c r="G408" s="36" t="s">
        <v>203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126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514</v>
      </c>
      <c r="F409" s="36" t="str">
        <f>IF(ISBLANK(Table2[[#This Row],[unique_id]]), "", PROPER(SUBSTITUTE(Table2[[#This Row],[unique_id]], "_", " ")))</f>
        <v>Lighting Reset Adaptive Lighting Edwin Night Light</v>
      </c>
      <c r="G409" s="36" t="s">
        <v>390</v>
      </c>
      <c r="H409" s="30" t="s">
        <v>526</v>
      </c>
      <c r="I409" s="30" t="s">
        <v>273</v>
      </c>
      <c r="J409" s="30" t="s">
        <v>525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126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515</v>
      </c>
      <c r="F410" s="36" t="str">
        <f>IF(ISBLANK(Table2[[#This Row],[unique_id]]), "", PROPER(SUBSTITUTE(Table2[[#This Row],[unique_id]], "_", " ")))</f>
        <v>Lighting Reset Adaptive Lighting Hallway Main</v>
      </c>
      <c r="G410" s="36" t="s">
        <v>198</v>
      </c>
      <c r="H410" s="30" t="s">
        <v>526</v>
      </c>
      <c r="I410" s="30" t="s">
        <v>273</v>
      </c>
      <c r="J410" s="30" t="s">
        <v>533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386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836</v>
      </c>
      <c r="F411" s="36" t="str">
        <f>IF(ISBLANK(Table2[[#This Row],[unique_id]]), "", PROPER(SUBSTITUTE(Table2[[#This Row],[unique_id]], "_", " ")))</f>
        <v>Lighting Reset Adaptive Lighting Hallway Sconces</v>
      </c>
      <c r="G411" s="36" t="s">
        <v>821</v>
      </c>
      <c r="H411" s="30" t="s">
        <v>526</v>
      </c>
      <c r="I411" s="30" t="s">
        <v>273</v>
      </c>
      <c r="J411" s="30" t="s">
        <v>837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386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516</v>
      </c>
      <c r="F412" s="36" t="str">
        <f>IF(ISBLANK(Table2[[#This Row],[unique_id]]), "", PROPER(SUBSTITUTE(Table2[[#This Row],[unique_id]], "_", " ")))</f>
        <v>Lighting Reset Adaptive Lighting Dining Main</v>
      </c>
      <c r="G412" s="36" t="s">
        <v>137</v>
      </c>
      <c r="H412" s="30" t="s">
        <v>526</v>
      </c>
      <c r="I412" s="30" t="s">
        <v>273</v>
      </c>
      <c r="J412" s="30" t="s">
        <v>533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191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517</v>
      </c>
      <c r="F413" s="36" t="str">
        <f>IF(ISBLANK(Table2[[#This Row],[unique_id]]), "", PROPER(SUBSTITUTE(Table2[[#This Row],[unique_id]], "_", " ")))</f>
        <v>Lighting Reset Adaptive Lighting Lounge Main</v>
      </c>
      <c r="G413" s="36" t="s">
        <v>205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192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568</v>
      </c>
      <c r="F414" s="36" t="str">
        <f>IF(ISBLANK(Table2[[#This Row],[unique_id]]), "", PROPER(SUBSTITUTE(Table2[[#This Row],[unique_id]], "_", " ")))</f>
        <v>Lighting Reset Adaptive Lighting Lounge Lamp</v>
      </c>
      <c r="G414" s="36" t="s">
        <v>538</v>
      </c>
      <c r="H414" s="30" t="s">
        <v>526</v>
      </c>
      <c r="I414" s="30" t="s">
        <v>273</v>
      </c>
      <c r="J414" s="30" t="s">
        <v>512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164</v>
      </c>
      <c r="BI414" s="30" t="s">
        <v>668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1451</v>
      </c>
      <c r="F415" s="36" t="str">
        <f>IF(ISBLANK(Table2[[#This Row],[unique_id]]), "", PROPER(SUBSTITUTE(Table2[[#This Row],[unique_id]], "_", " ")))</f>
        <v>Lighting Reset Adaptive Lighting Lounge Reading</v>
      </c>
      <c r="G415" s="36" t="s">
        <v>538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164</v>
      </c>
      <c r="BI415" s="30" t="s">
        <v>668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518</v>
      </c>
      <c r="F416" s="36" t="str">
        <f>IF(ISBLANK(Table2[[#This Row],[unique_id]]), "", PROPER(SUBSTITUTE(Table2[[#This Row],[unique_id]], "_", " ")))</f>
        <v>Lighting Reset Adaptive Lighting Parents Main</v>
      </c>
      <c r="G416" s="36" t="s">
        <v>194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838</v>
      </c>
      <c r="F417" s="36" t="str">
        <f>IF(ISBLANK(Table2[[#This Row],[unique_id]]), "", PROPER(SUBSTITUTE(Table2[[#This Row],[unique_id]], "_", " ")))</f>
        <v>Lighting Reset Adaptive Lighting Parents Jane Bedside</v>
      </c>
      <c r="G417" s="36" t="s">
        <v>830</v>
      </c>
      <c r="H417" s="30" t="s">
        <v>526</v>
      </c>
      <c r="I417" s="30" t="s">
        <v>273</v>
      </c>
      <c r="J417" s="30" t="s">
        <v>840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839</v>
      </c>
      <c r="F418" s="36" t="str">
        <f>IF(ISBLANK(Table2[[#This Row],[unique_id]]), "", PROPER(SUBSTITUTE(Table2[[#This Row],[unique_id]], "_", " ")))</f>
        <v>Lighting Reset Adaptive Lighting Parents Graham Bedside</v>
      </c>
      <c r="G418" s="36" t="s">
        <v>831</v>
      </c>
      <c r="H418" s="30" t="s">
        <v>526</v>
      </c>
      <c r="I418" s="30" t="s">
        <v>273</v>
      </c>
      <c r="J418" s="30" t="s">
        <v>841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842</v>
      </c>
      <c r="F419" s="36" t="str">
        <f>IF(ISBLANK(Table2[[#This Row],[unique_id]]), "", PROPER(SUBSTITUTE(Table2[[#This Row],[unique_id]], "_", " ")))</f>
        <v>Lighting Reset Adaptive Lighting Study Lamp</v>
      </c>
      <c r="G419" s="36" t="s">
        <v>708</v>
      </c>
      <c r="H419" s="30" t="s">
        <v>526</v>
      </c>
      <c r="I419" s="30" t="s">
        <v>273</v>
      </c>
      <c r="J419" s="30" t="s">
        <v>512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338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519</v>
      </c>
      <c r="F420" s="36" t="str">
        <f>IF(ISBLANK(Table2[[#This Row],[unique_id]]), "", PROPER(SUBSTITUTE(Table2[[#This Row],[unique_id]], "_", " ")))</f>
        <v>Lighting Reset Adaptive Lighting Kitchen Main</v>
      </c>
      <c r="G420" s="36" t="s">
        <v>200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204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520</v>
      </c>
      <c r="F421" s="36" t="str">
        <f>IF(ISBLANK(Table2[[#This Row],[unique_id]]), "", PROPER(SUBSTITUTE(Table2[[#This Row],[unique_id]], "_", " ")))</f>
        <v>Lighting Reset Adaptive Lighting Laundry Main</v>
      </c>
      <c r="G421" s="36" t="s">
        <v>202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211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521</v>
      </c>
      <c r="F422" s="36" t="str">
        <f>IF(ISBLANK(Table2[[#This Row],[unique_id]]), "", PROPER(SUBSTITUTE(Table2[[#This Row],[unique_id]], "_", " ")))</f>
        <v>Lighting Reset Adaptive Lighting Pantry Main</v>
      </c>
      <c r="G422" s="36" t="s">
        <v>201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209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534</v>
      </c>
      <c r="F423" s="36" t="str">
        <f>IF(ISBLANK(Table2[[#This Row],[unique_id]]), "", PROPER(SUBSTITUTE(Table2[[#This Row],[unique_id]], "_", " ")))</f>
        <v>Lighting Reset Adaptive Lighting Office Main</v>
      </c>
      <c r="G423" s="36" t="s">
        <v>197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210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522</v>
      </c>
      <c r="F424" s="36" t="str">
        <f>IF(ISBLANK(Table2[[#This Row],[unique_id]]), "", PROPER(SUBSTITUTE(Table2[[#This Row],[unique_id]], "_", " ")))</f>
        <v>Lighting Reset Adaptive Lighting Bathroom Main</v>
      </c>
      <c r="G424" s="36" t="s">
        <v>196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340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149</v>
      </c>
      <c r="D425" s="30" t="s">
        <v>292</v>
      </c>
      <c r="E425" s="36" t="s">
        <v>843</v>
      </c>
      <c r="F425" s="36" t="str">
        <f>IF(ISBLANK(Table2[[#This Row],[unique_id]]), "", PROPER(SUBSTITUTE(Table2[[#This Row],[unique_id]], "_", " ")))</f>
        <v>Lighting Reset Adaptive Lighting Bathroom Sconces</v>
      </c>
      <c r="G425" s="36" t="s">
        <v>827</v>
      </c>
      <c r="H425" s="30" t="s">
        <v>526</v>
      </c>
      <c r="I425" s="30" t="s">
        <v>273</v>
      </c>
      <c r="J425" s="30" t="s">
        <v>837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274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340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149</v>
      </c>
      <c r="D426" s="30" t="s">
        <v>292</v>
      </c>
      <c r="E426" s="36" t="s">
        <v>523</v>
      </c>
      <c r="F426" s="36" t="str">
        <f>IF(ISBLANK(Table2[[#This Row],[unique_id]]), "", PROPER(SUBSTITUTE(Table2[[#This Row],[unique_id]], "_", " ")))</f>
        <v>Lighting Reset Adaptive Lighting Ensuite Main</v>
      </c>
      <c r="G426" s="36" t="s">
        <v>195</v>
      </c>
      <c r="H426" s="30" t="s">
        <v>526</v>
      </c>
      <c r="I426" s="30" t="s">
        <v>273</v>
      </c>
      <c r="J426" s="30" t="s">
        <v>533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274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376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149</v>
      </c>
      <c r="D427" s="30" t="s">
        <v>292</v>
      </c>
      <c r="E427" s="36" t="s">
        <v>844</v>
      </c>
      <c r="F427" s="36" t="str">
        <f>IF(ISBLANK(Table2[[#This Row],[unique_id]]), "", PROPER(SUBSTITUTE(Table2[[#This Row],[unique_id]], "_", " ")))</f>
        <v>Lighting Reset Adaptive Lighting Ensuite Sconces</v>
      </c>
      <c r="G427" s="36" t="s">
        <v>810</v>
      </c>
      <c r="H427" s="30" t="s">
        <v>526</v>
      </c>
      <c r="I427" s="30" t="s">
        <v>273</v>
      </c>
      <c r="J427" s="30" t="s">
        <v>837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274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376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149</v>
      </c>
      <c r="D428" s="30" t="s">
        <v>292</v>
      </c>
      <c r="E428" s="36" t="s">
        <v>524</v>
      </c>
      <c r="F428" s="36" t="str">
        <f>IF(ISBLANK(Table2[[#This Row],[unique_id]]), "", PROPER(SUBSTITUTE(Table2[[#This Row],[unique_id]], "_", " ")))</f>
        <v>Lighting Reset Adaptive Lighting Wardrobe Main</v>
      </c>
      <c r="G428" s="36" t="s">
        <v>199</v>
      </c>
      <c r="H428" s="30" t="s">
        <v>526</v>
      </c>
      <c r="I428" s="30" t="s">
        <v>273</v>
      </c>
      <c r="J428" s="30" t="s">
        <v>533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274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477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149</v>
      </c>
      <c r="D429" s="30" t="s">
        <v>587</v>
      </c>
      <c r="E429" s="30" t="s">
        <v>1275</v>
      </c>
      <c r="F429" s="36" t="str">
        <f>IF(ISBLANK(Table2[[#This Row],[unique_id]]), "", PROPER(SUBSTITUTE(Table2[[#This Row],[unique_id]], "_", " ")))</f>
        <v>Google Assistant Synchronize Devices</v>
      </c>
      <c r="G429" s="30" t="s">
        <v>1147</v>
      </c>
      <c r="H429" s="30" t="s">
        <v>588</v>
      </c>
      <c r="I429" s="30" t="s">
        <v>273</v>
      </c>
      <c r="M429" s="30" t="s">
        <v>255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R429" s="39"/>
      <c r="AT429" s="32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2650</v>
      </c>
      <c r="B430" s="30" t="s">
        <v>26</v>
      </c>
      <c r="C430" s="30" t="s">
        <v>233</v>
      </c>
      <c r="D430" s="30" t="s">
        <v>144</v>
      </c>
      <c r="E430" s="30" t="s">
        <v>145</v>
      </c>
      <c r="F430" s="36" t="str">
        <f>IF(ISBLANK(Table2[[#This Row],[unique_id]]), "", PROPER(SUBSTITUTE(Table2[[#This Row],[unique_id]], "_", " ")))</f>
        <v>Ada Home</v>
      </c>
      <c r="G430" s="30" t="s">
        <v>183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 t="s">
        <v>754</v>
      </c>
      <c r="P430" s="30" t="s">
        <v>164</v>
      </c>
      <c r="Q430" s="30" t="s">
        <v>726</v>
      </c>
      <c r="R430" s="41" t="s">
        <v>711</v>
      </c>
      <c r="S430" s="30" t="str">
        <f>_xlfn.CONCAT( Table2[[#This Row],[friendly_name]], " Devices")</f>
        <v>Ada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Ada</v>
      </c>
      <c r="BB430" s="30" t="s">
        <v>164</v>
      </c>
      <c r="BC430" s="30" t="s">
        <v>373</v>
      </c>
      <c r="BD430" s="30" t="s">
        <v>233</v>
      </c>
      <c r="BF430" s="30" t="s">
        <v>1008</v>
      </c>
      <c r="BG430" s="30" t="s">
        <v>129</v>
      </c>
      <c r="BK430" s="30" t="s">
        <v>1208</v>
      </c>
      <c r="BL430" s="41" t="s">
        <v>402</v>
      </c>
      <c r="BM430" s="39" t="s">
        <v>1210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1" spans="1:66" ht="16" customHeight="1" x14ac:dyDescent="0.2">
      <c r="A431" s="30">
        <v>2651</v>
      </c>
      <c r="B431" s="30" t="s">
        <v>26</v>
      </c>
      <c r="C431" s="30" t="s">
        <v>233</v>
      </c>
      <c r="D431" s="30" t="s">
        <v>144</v>
      </c>
      <c r="E431" s="30" t="s">
        <v>256</v>
      </c>
      <c r="F431" s="36" t="str">
        <f>IF(ISBLANK(Table2[[#This Row],[unique_id]]), "", PROPER(SUBSTITUTE(Table2[[#This Row],[unique_id]], "_", " ")))</f>
        <v>Edwin Home</v>
      </c>
      <c r="G431" s="30" t="s">
        <v>257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 t="s">
        <v>754</v>
      </c>
      <c r="P431" s="30" t="s">
        <v>164</v>
      </c>
      <c r="Q431" s="30" t="s">
        <v>726</v>
      </c>
      <c r="R431" s="41" t="s">
        <v>711</v>
      </c>
      <c r="S431" s="30" t="str">
        <f>_xlfn.CONCAT( Table2[[#This Row],[friendly_name]], " Devices")</f>
        <v>Edwin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Edwin</v>
      </c>
      <c r="BB431" s="30" t="s">
        <v>164</v>
      </c>
      <c r="BC431" s="30" t="s">
        <v>373</v>
      </c>
      <c r="BD431" s="30" t="s">
        <v>233</v>
      </c>
      <c r="BF431" s="30" t="s">
        <v>1008</v>
      </c>
      <c r="BG431" s="30" t="s">
        <v>126</v>
      </c>
      <c r="BK431" s="30" t="s">
        <v>1208</v>
      </c>
      <c r="BL431" s="41" t="s">
        <v>401</v>
      </c>
      <c r="BM431" s="39" t="s">
        <v>1211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2" spans="1:66" ht="16" customHeight="1" x14ac:dyDescent="0.2">
      <c r="A432" s="30">
        <v>2652</v>
      </c>
      <c r="B432" s="30" t="s">
        <v>26</v>
      </c>
      <c r="C432" s="30" t="s">
        <v>233</v>
      </c>
      <c r="D432" s="30" t="s">
        <v>144</v>
      </c>
      <c r="E432" s="30" t="s">
        <v>264</v>
      </c>
      <c r="F432" s="36" t="str">
        <f>IF(ISBLANK(Table2[[#This Row],[unique_id]]), "", PROPER(SUBSTITUTE(Table2[[#This Row],[unique_id]], "_", " ")))</f>
        <v>Parents Home</v>
      </c>
      <c r="G432" s="30" t="s">
        <v>258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 t="s">
        <v>754</v>
      </c>
      <c r="P432" s="30" t="s">
        <v>164</v>
      </c>
      <c r="Q432" s="30" t="s">
        <v>726</v>
      </c>
      <c r="R432" s="41" t="s">
        <v>711</v>
      </c>
      <c r="S432" s="30" t="str">
        <f>_xlfn.CONCAT( Table2[[#This Row],[friendly_name]], " Devices")</f>
        <v>Parents Home Devices</v>
      </c>
      <c r="T432" s="37" t="s">
        <v>736</v>
      </c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Parents</v>
      </c>
      <c r="BB432" s="30" t="s">
        <v>164</v>
      </c>
      <c r="BC432" s="30" t="s">
        <v>1002</v>
      </c>
      <c r="BD432" s="30" t="s">
        <v>233</v>
      </c>
      <c r="BF432" s="30" t="s">
        <v>1009</v>
      </c>
      <c r="BG432" s="30" t="s">
        <v>190</v>
      </c>
      <c r="BK432" s="30" t="s">
        <v>1208</v>
      </c>
      <c r="BL432" s="41" t="s">
        <v>618</v>
      </c>
      <c r="BM432" s="39" t="s">
        <v>1212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3" spans="1:66" ht="16" customHeight="1" x14ac:dyDescent="0.2">
      <c r="A433" s="30">
        <v>2653</v>
      </c>
      <c r="B433" s="30" t="s">
        <v>26</v>
      </c>
      <c r="C433" s="30" t="s">
        <v>233</v>
      </c>
      <c r="D433" s="30" t="s">
        <v>144</v>
      </c>
      <c r="E433" s="30" t="s">
        <v>260</v>
      </c>
      <c r="F433" s="36" t="str">
        <f>IF(ISBLANK(Table2[[#This Row],[unique_id]]), "", PROPER(SUBSTITUTE(Table2[[#This Row],[unique_id]], "_", " ")))</f>
        <v>Kitchen Home</v>
      </c>
      <c r="G433" s="30" t="s">
        <v>259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 t="s">
        <v>754</v>
      </c>
      <c r="P433" s="30" t="s">
        <v>164</v>
      </c>
      <c r="Q433" s="30" t="s">
        <v>726</v>
      </c>
      <c r="R433" s="41" t="s">
        <v>711</v>
      </c>
      <c r="S433" s="30" t="str">
        <f>_xlfn.CONCAT( Table2[[#This Row],[friendly_name]], " Devices")</f>
        <v>Kitchen Home Devices</v>
      </c>
      <c r="T433" s="37" t="s">
        <v>736</v>
      </c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Kitchen</v>
      </c>
      <c r="BB433" s="30" t="s">
        <v>164</v>
      </c>
      <c r="BC433" s="30" t="s">
        <v>1002</v>
      </c>
      <c r="BD433" s="30" t="s">
        <v>233</v>
      </c>
      <c r="BF433" s="30" t="s">
        <v>1009</v>
      </c>
      <c r="BG433" s="30" t="s">
        <v>204</v>
      </c>
      <c r="BK433" s="30" t="s">
        <v>1208</v>
      </c>
      <c r="BL433" s="41" t="s">
        <v>696</v>
      </c>
      <c r="BM433" s="39" t="s">
        <v>1213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4" spans="1:66" ht="16" customHeight="1" x14ac:dyDescent="0.2">
      <c r="A434" s="30">
        <v>2654</v>
      </c>
      <c r="B434" s="30" t="s">
        <v>26</v>
      </c>
      <c r="C434" s="30" t="s">
        <v>233</v>
      </c>
      <c r="D434" s="30" t="s">
        <v>144</v>
      </c>
      <c r="E434" s="30" t="s">
        <v>589</v>
      </c>
      <c r="F434" s="36" t="str">
        <f>IF(ISBLANK(Table2[[#This Row],[unique_id]]), "", PROPER(SUBSTITUTE(Table2[[#This Row],[unique_id]], "_", " ")))</f>
        <v>Office Home</v>
      </c>
      <c r="G434" s="30" t="s">
        <v>590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 t="s">
        <v>164</v>
      </c>
      <c r="Q434" s="30" t="s">
        <v>726</v>
      </c>
      <c r="R434" s="41" t="s">
        <v>711</v>
      </c>
      <c r="S434" s="30" t="str">
        <f>_xlfn.CONCAT( Table2[[#This Row],[friendly_name]], " Devices")</f>
        <v>Office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164</v>
      </c>
      <c r="BC434" s="30" t="s">
        <v>373</v>
      </c>
      <c r="BD434" s="30" t="s">
        <v>233</v>
      </c>
      <c r="BF434" s="30" t="s">
        <v>1008</v>
      </c>
      <c r="BG434" s="30" t="s">
        <v>210</v>
      </c>
      <c r="BK434" s="30" t="s">
        <v>1208</v>
      </c>
      <c r="BL434" s="41" t="s">
        <v>399</v>
      </c>
      <c r="BM434" s="39" t="s">
        <v>1214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5" spans="1:66" ht="16" customHeight="1" x14ac:dyDescent="0.2">
      <c r="A435" s="30">
        <v>2655</v>
      </c>
      <c r="B435" s="30" t="s">
        <v>26</v>
      </c>
      <c r="C435" s="30" t="s">
        <v>233</v>
      </c>
      <c r="D435" s="30" t="s">
        <v>144</v>
      </c>
      <c r="E435" s="30" t="s">
        <v>621</v>
      </c>
      <c r="F435" s="36" t="str">
        <f>IF(ISBLANK(Table2[[#This Row],[unique_id]]), "", PROPER(SUBSTITUTE(Table2[[#This Row],[unique_id]], "_", " ")))</f>
        <v>Lounge Home</v>
      </c>
      <c r="G435" s="30" t="s">
        <v>622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Lounge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164</v>
      </c>
      <c r="BC435" s="30" t="s">
        <v>373</v>
      </c>
      <c r="BD435" s="30" t="s">
        <v>233</v>
      </c>
      <c r="BF435" s="30" t="s">
        <v>1008</v>
      </c>
      <c r="BG435" s="30" t="s">
        <v>192</v>
      </c>
      <c r="BK435" s="30" t="s">
        <v>1208</v>
      </c>
      <c r="BL435" s="41" t="s">
        <v>400</v>
      </c>
      <c r="BM435" s="39" t="s">
        <v>1215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6" spans="1:66" ht="16" customHeight="1" x14ac:dyDescent="0.2">
      <c r="A436" s="30">
        <v>2656</v>
      </c>
      <c r="B436" s="30" t="s">
        <v>26</v>
      </c>
      <c r="C436" s="30" t="s">
        <v>233</v>
      </c>
      <c r="D436" s="30" t="s">
        <v>144</v>
      </c>
      <c r="E436" s="30" t="s">
        <v>786</v>
      </c>
      <c r="F436" s="36" t="str">
        <f>IF(ISBLANK(Table2[[#This Row],[unique_id]]), "", PROPER(SUBSTITUTE(Table2[[#This Row],[unique_id]], "_", " ")))</f>
        <v>Ada Tablet</v>
      </c>
      <c r="G436" s="30" t="s">
        <v>787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/>
      <c r="P436" s="30"/>
      <c r="R436" s="41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787</v>
      </c>
      <c r="BC436" s="30" t="s">
        <v>1010</v>
      </c>
      <c r="BD436" s="30" t="s">
        <v>233</v>
      </c>
      <c r="BF436" s="30" t="s">
        <v>789</v>
      </c>
      <c r="BG436" s="30" t="s">
        <v>192</v>
      </c>
      <c r="BK436" s="30" t="s">
        <v>1208</v>
      </c>
      <c r="BL436" s="41" t="s">
        <v>1187</v>
      </c>
      <c r="BM436" s="39" t="s">
        <v>1216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7" spans="1:66" ht="16" customHeight="1" x14ac:dyDescent="0.2">
      <c r="A437" s="30">
        <v>2657</v>
      </c>
      <c r="B437" s="30" t="s">
        <v>26</v>
      </c>
      <c r="C437" s="30" t="s">
        <v>233</v>
      </c>
      <c r="D437" s="30" t="s">
        <v>144</v>
      </c>
      <c r="E437" s="30" t="s">
        <v>790</v>
      </c>
      <c r="F437" s="36" t="str">
        <f>IF(ISBLANK(Table2[[#This Row],[unique_id]]), "", PROPER(SUBSTITUTE(Table2[[#This Row],[unique_id]], "_", " ")))</f>
        <v>Edwin Tablet</v>
      </c>
      <c r="G437" s="30" t="s">
        <v>791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/>
      <c r="P437" s="30"/>
      <c r="R437" s="41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791</v>
      </c>
      <c r="BC437" s="30" t="s">
        <v>1010</v>
      </c>
      <c r="BD437" s="30" t="s">
        <v>233</v>
      </c>
      <c r="BF437" s="30" t="s">
        <v>789</v>
      </c>
      <c r="BG437" s="30" t="s">
        <v>204</v>
      </c>
      <c r="BK437" s="30" t="s">
        <v>1208</v>
      </c>
      <c r="BL437" s="41" t="s">
        <v>1188</v>
      </c>
      <c r="BM437" s="39" t="s">
        <v>1219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8" spans="1:66" ht="16" customHeight="1" x14ac:dyDescent="0.2">
      <c r="A438" s="30">
        <v>2658</v>
      </c>
      <c r="B438" s="30" t="s">
        <v>26</v>
      </c>
      <c r="C438" s="30" t="s">
        <v>562</v>
      </c>
      <c r="D438" s="30" t="s">
        <v>144</v>
      </c>
      <c r="E438" s="30" t="s">
        <v>586</v>
      </c>
      <c r="F438" s="36" t="str">
        <f>IF(ISBLANK(Table2[[#This Row],[unique_id]]), "", PROPER(SUBSTITUTE(Table2[[#This Row],[unique_id]], "_", " ")))</f>
        <v>Lg Webos Smart Tv</v>
      </c>
      <c r="G438" s="30" t="s">
        <v>178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946</v>
      </c>
      <c r="BC438" s="30" t="s">
        <v>565</v>
      </c>
      <c r="BD438" s="30" t="s">
        <v>562</v>
      </c>
      <c r="BF438" s="30" t="s">
        <v>564</v>
      </c>
      <c r="BG438" s="30" t="s">
        <v>192</v>
      </c>
      <c r="BK438" s="30" t="s">
        <v>1208</v>
      </c>
      <c r="BL438" s="41" t="s">
        <v>563</v>
      </c>
      <c r="BM438" s="39" t="s">
        <v>1217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9" spans="1:66" ht="16" customHeight="1" x14ac:dyDescent="0.2">
      <c r="A439" s="30">
        <v>2659</v>
      </c>
      <c r="B439" s="30" t="s">
        <v>561</v>
      </c>
      <c r="C439" s="30" t="s">
        <v>262</v>
      </c>
      <c r="D439" s="30" t="s">
        <v>144</v>
      </c>
      <c r="E439" s="30" t="s">
        <v>263</v>
      </c>
      <c r="F439" s="36" t="str">
        <f>IF(ISBLANK(Table2[[#This Row],[unique_id]]), "", PROPER(SUBSTITUTE(Table2[[#This Row],[unique_id]], "_", " ")))</f>
        <v>Parents Tv</v>
      </c>
      <c r="G439" s="30" t="s">
        <v>261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/>
      <c r="P439" s="30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946</v>
      </c>
      <c r="BC439" s="30" t="s">
        <v>1003</v>
      </c>
      <c r="BD439" s="30" t="s">
        <v>262</v>
      </c>
      <c r="BF439" s="30" t="s">
        <v>379</v>
      </c>
      <c r="BG439" s="30" t="s">
        <v>190</v>
      </c>
      <c r="BK439" s="30" t="s">
        <v>1208</v>
      </c>
      <c r="BL439" s="41" t="s">
        <v>381</v>
      </c>
      <c r="BM439" s="39" t="s">
        <v>1218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0" spans="1:66" ht="16" customHeight="1" x14ac:dyDescent="0.2">
      <c r="A440" s="30">
        <v>2660</v>
      </c>
      <c r="B440" s="30" t="s">
        <v>561</v>
      </c>
      <c r="C440" s="30" t="s">
        <v>233</v>
      </c>
      <c r="D440" s="30" t="s">
        <v>144</v>
      </c>
      <c r="E440" s="30" t="s">
        <v>666</v>
      </c>
      <c r="F440" s="36" t="str">
        <f>IF(ISBLANK(Table2[[#This Row],[unique_id]]), "", PROPER(SUBSTITUTE(Table2[[#This Row],[unique_id]], "_", " ")))</f>
        <v>Office Tv</v>
      </c>
      <c r="G440" s="30" t="s">
        <v>667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Office</v>
      </c>
      <c r="BB440" s="30" t="s">
        <v>946</v>
      </c>
      <c r="BC440" s="30" t="s">
        <v>374</v>
      </c>
      <c r="BD440" s="30" t="s">
        <v>233</v>
      </c>
      <c r="BF440" s="30" t="s">
        <v>375</v>
      </c>
      <c r="BG440" s="30" t="s">
        <v>210</v>
      </c>
      <c r="BK440" s="30" t="s">
        <v>1208</v>
      </c>
      <c r="BL440" s="41" t="s">
        <v>403</v>
      </c>
      <c r="BM440" s="39" t="s">
        <v>1220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1" spans="1:66" ht="16" customHeight="1" x14ac:dyDescent="0.2">
      <c r="A441" s="30">
        <v>2661</v>
      </c>
      <c r="B441" s="30" t="s">
        <v>26</v>
      </c>
      <c r="C441" s="30" t="s">
        <v>422</v>
      </c>
      <c r="D441" s="30" t="s">
        <v>315</v>
      </c>
      <c r="E441" s="30" t="s">
        <v>314</v>
      </c>
      <c r="F441" s="36" t="str">
        <f>IF(ISBLANK(Table2[[#This Row],[unique_id]]), "", PROPER(SUBSTITUTE(Table2[[#This Row],[unique_id]], "_", " ")))</f>
        <v>Column Break</v>
      </c>
      <c r="G441" s="30" t="s">
        <v>311</v>
      </c>
      <c r="H441" s="30" t="s">
        <v>711</v>
      </c>
      <c r="I441" s="30" t="s">
        <v>143</v>
      </c>
      <c r="M441" s="30" t="s">
        <v>312</v>
      </c>
      <c r="N441" s="30" t="s">
        <v>313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2662</v>
      </c>
      <c r="B442" s="30" t="s">
        <v>26</v>
      </c>
      <c r="C442" s="30" t="s">
        <v>180</v>
      </c>
      <c r="D442" s="30" t="s">
        <v>144</v>
      </c>
      <c r="E442" s="30" t="s">
        <v>700</v>
      </c>
      <c r="F442" s="36" t="str">
        <f>IF(ISBLANK(Table2[[#This Row],[unique_id]]), "", PROPER(SUBSTITUTE(Table2[[#This Row],[unique_id]], "_", " ")))</f>
        <v>Lounge Arc</v>
      </c>
      <c r="G442" s="30" t="s">
        <v>703</v>
      </c>
      <c r="H442" s="30" t="s">
        <v>711</v>
      </c>
      <c r="I442" s="30" t="s">
        <v>143</v>
      </c>
      <c r="M442" s="30" t="s">
        <v>135</v>
      </c>
      <c r="N442" s="30" t="s">
        <v>268</v>
      </c>
      <c r="O442" s="31" t="s">
        <v>754</v>
      </c>
      <c r="P442" s="30"/>
      <c r="R442" s="41"/>
      <c r="T442" s="37" t="str">
        <f>_xlfn.CONCAT("name: ", Table2[[#This Row],[friendly_name]])</f>
        <v>name: Lounge Arc</v>
      </c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Lounge</v>
      </c>
      <c r="BB442" s="30" t="s">
        <v>566</v>
      </c>
      <c r="BC442" s="30" t="s">
        <v>1006</v>
      </c>
      <c r="BD442" s="30" t="s">
        <v>180</v>
      </c>
      <c r="BF442" s="30">
        <v>15.4</v>
      </c>
      <c r="BG442" s="30" t="s">
        <v>192</v>
      </c>
      <c r="BK442" s="30" t="s">
        <v>1208</v>
      </c>
      <c r="BL442" s="30" t="s">
        <v>567</v>
      </c>
      <c r="BM442" s="39" t="s">
        <v>1221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3" spans="1:66" ht="16" customHeight="1" x14ac:dyDescent="0.2">
      <c r="A443" s="30">
        <v>2663</v>
      </c>
      <c r="B443" s="30" t="s">
        <v>561</v>
      </c>
      <c r="C443" s="30" t="s">
        <v>774</v>
      </c>
      <c r="D443" s="30" t="s">
        <v>147</v>
      </c>
      <c r="E443" s="30" t="s">
        <v>776</v>
      </c>
      <c r="F443" s="36" t="str">
        <f>IF(ISBLANK(Table2[[#This Row],[unique_id]]), "", PROPER(SUBSTITUTE(Table2[[#This Row],[unique_id]], "_", " ")))</f>
        <v>Template Kitchen Move Proxy</v>
      </c>
      <c r="G443" s="30" t="s">
        <v>704</v>
      </c>
      <c r="H443" s="30" t="s">
        <v>711</v>
      </c>
      <c r="I443" s="30" t="s">
        <v>143</v>
      </c>
      <c r="O443" s="31" t="s">
        <v>754</v>
      </c>
      <c r="P443" s="30" t="s">
        <v>164</v>
      </c>
      <c r="Q443" s="30" t="s">
        <v>726</v>
      </c>
      <c r="R443" s="41" t="s">
        <v>711</v>
      </c>
      <c r="S443" s="30" t="str">
        <f>_xlfn.CONCAT( Table2[[#This Row],[friendly_name]], " Devices")</f>
        <v>Kitchen Move Devices</v>
      </c>
      <c r="T443" s="37" t="s">
        <v>779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144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Kitchen</v>
      </c>
      <c r="BB443" s="30" t="s">
        <v>347</v>
      </c>
      <c r="BC443" s="30" t="s">
        <v>1004</v>
      </c>
      <c r="BD443" s="30" t="s">
        <v>180</v>
      </c>
      <c r="BF443" s="30">
        <v>15.4</v>
      </c>
      <c r="BG443" s="30" t="s">
        <v>204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2664</v>
      </c>
      <c r="B444" s="30" t="s">
        <v>26</v>
      </c>
      <c r="C444" s="30" t="s">
        <v>180</v>
      </c>
      <c r="D444" s="30" t="s">
        <v>144</v>
      </c>
      <c r="E444" s="30" t="s">
        <v>699</v>
      </c>
      <c r="F444" s="36" t="str">
        <f>IF(ISBLANK(Table2[[#This Row],[unique_id]]), "", PROPER(SUBSTITUTE(Table2[[#This Row],[unique_id]], "_", " ")))</f>
        <v>Kitchen Move</v>
      </c>
      <c r="G444" s="30" t="s">
        <v>704</v>
      </c>
      <c r="H444" s="30" t="s">
        <v>711</v>
      </c>
      <c r="I444" s="30" t="s">
        <v>143</v>
      </c>
      <c r="M444" s="30" t="s">
        <v>135</v>
      </c>
      <c r="N444" s="30" t="s">
        <v>268</v>
      </c>
      <c r="O444" s="31" t="s">
        <v>754</v>
      </c>
      <c r="P444" s="30" t="s">
        <v>164</v>
      </c>
      <c r="Q444" s="30" t="s">
        <v>726</v>
      </c>
      <c r="R444" s="41" t="s">
        <v>711</v>
      </c>
      <c r="S444" s="30" t="str">
        <f>_xlfn.CONCAT( Table2[[#This Row],[friendly_name]], " Devices")</f>
        <v>Kitchen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Kitchen</v>
      </c>
      <c r="BB444" s="30" t="s">
        <v>347</v>
      </c>
      <c r="BC444" s="30" t="s">
        <v>1004</v>
      </c>
      <c r="BD444" s="30" t="s">
        <v>180</v>
      </c>
      <c r="BF444" s="30">
        <v>15.4</v>
      </c>
      <c r="BG444" s="30" t="s">
        <v>204</v>
      </c>
      <c r="BK444" s="30" t="s">
        <v>1208</v>
      </c>
      <c r="BL444" s="30" t="s">
        <v>350</v>
      </c>
      <c r="BM444" s="39" t="s">
        <v>1222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5" spans="1:66" ht="16" customHeight="1" x14ac:dyDescent="0.2">
      <c r="A445" s="30">
        <v>2665</v>
      </c>
      <c r="B445" s="30" t="s">
        <v>26</v>
      </c>
      <c r="C445" s="30" t="s">
        <v>180</v>
      </c>
      <c r="D445" s="30" t="s">
        <v>144</v>
      </c>
      <c r="E445" s="30" t="s">
        <v>698</v>
      </c>
      <c r="F445" s="36" t="str">
        <f>IF(ISBLANK(Table2[[#This Row],[unique_id]]), "", PROPER(SUBSTITUTE(Table2[[#This Row],[unique_id]], "_", " ")))</f>
        <v>Kitchen Five</v>
      </c>
      <c r="G445" s="30" t="s">
        <v>705</v>
      </c>
      <c r="H445" s="30" t="s">
        <v>711</v>
      </c>
      <c r="I445" s="30" t="s">
        <v>143</v>
      </c>
      <c r="M445" s="30" t="s">
        <v>135</v>
      </c>
      <c r="N445" s="30" t="s">
        <v>268</v>
      </c>
      <c r="O445" s="31" t="s">
        <v>754</v>
      </c>
      <c r="P445" s="30" t="s">
        <v>164</v>
      </c>
      <c r="Q445" s="30" t="s">
        <v>726</v>
      </c>
      <c r="R445" s="41" t="s">
        <v>711</v>
      </c>
      <c r="S445" s="30" t="str">
        <f>_xlfn.CONCAT( Table2[[#This Row],[friendly_name]], " Devices")</f>
        <v>Kitchen Five Devices</v>
      </c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778</v>
      </c>
      <c r="BC445" s="30" t="s">
        <v>1005</v>
      </c>
      <c r="BD445" s="30" t="s">
        <v>180</v>
      </c>
      <c r="BF445" s="30">
        <v>15.4</v>
      </c>
      <c r="BG445" s="30" t="s">
        <v>204</v>
      </c>
      <c r="BK445" s="30" t="s">
        <v>1208</v>
      </c>
      <c r="BL445" s="37" t="s">
        <v>349</v>
      </c>
      <c r="BM445" s="39" t="s">
        <v>1223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6" spans="1:66" ht="16" customHeight="1" x14ac:dyDescent="0.2">
      <c r="A446" s="30">
        <v>2666</v>
      </c>
      <c r="B446" s="30" t="s">
        <v>561</v>
      </c>
      <c r="C446" s="30" t="s">
        <v>774</v>
      </c>
      <c r="D446" s="30" t="s">
        <v>147</v>
      </c>
      <c r="E446" s="30" t="s">
        <v>777</v>
      </c>
      <c r="F446" s="36" t="str">
        <f>IF(ISBLANK(Table2[[#This Row],[unique_id]]), "", PROPER(SUBSTITUTE(Table2[[#This Row],[unique_id]], "_", " ")))</f>
        <v>Template Parents Move Proxy</v>
      </c>
      <c r="G446" s="30" t="s">
        <v>706</v>
      </c>
      <c r="H446" s="30" t="s">
        <v>711</v>
      </c>
      <c r="I446" s="30" t="s">
        <v>143</v>
      </c>
      <c r="O446" s="31" t="s">
        <v>754</v>
      </c>
      <c r="P446" s="30" t="s">
        <v>164</v>
      </c>
      <c r="Q446" s="30" t="s">
        <v>726</v>
      </c>
      <c r="R446" s="41" t="s">
        <v>711</v>
      </c>
      <c r="S446" s="30" t="str">
        <f>_xlfn.CONCAT( Table2[[#This Row],[friendly_name]], " Devices")</f>
        <v>Parents Move Devices</v>
      </c>
      <c r="T446" s="37" t="s">
        <v>779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 t="s">
        <v>144</v>
      </c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Parents</v>
      </c>
      <c r="BB446" s="30" t="s">
        <v>347</v>
      </c>
      <c r="BC446" s="30" t="s">
        <v>1004</v>
      </c>
      <c r="BD446" s="30" t="s">
        <v>180</v>
      </c>
      <c r="BF446" s="30">
        <v>15.4</v>
      </c>
      <c r="BG446" s="30" t="s">
        <v>190</v>
      </c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2667</v>
      </c>
      <c r="B447" s="30" t="s">
        <v>26</v>
      </c>
      <c r="C447" s="30" t="s">
        <v>180</v>
      </c>
      <c r="D447" s="30" t="s">
        <v>144</v>
      </c>
      <c r="E447" s="30" t="s">
        <v>697</v>
      </c>
      <c r="F447" s="36" t="str">
        <f>IF(ISBLANK(Table2[[#This Row],[unique_id]]), "", PROPER(SUBSTITUTE(Table2[[#This Row],[unique_id]], "_", " ")))</f>
        <v>Parents Move</v>
      </c>
      <c r="G447" s="30" t="s">
        <v>706</v>
      </c>
      <c r="H447" s="30" t="s">
        <v>711</v>
      </c>
      <c r="I447" s="30" t="s">
        <v>143</v>
      </c>
      <c r="M447" s="30" t="s">
        <v>135</v>
      </c>
      <c r="N447" s="30" t="s">
        <v>268</v>
      </c>
      <c r="O447" s="31" t="s">
        <v>754</v>
      </c>
      <c r="P447" s="30" t="s">
        <v>164</v>
      </c>
      <c r="Q447" s="30" t="s">
        <v>726</v>
      </c>
      <c r="R447" s="41" t="s">
        <v>711</v>
      </c>
      <c r="S447" s="30" t="str">
        <f>_xlfn.CONCAT( Table2[[#This Row],[friendly_name]], " Devices")</f>
        <v>Parents Move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Parents</v>
      </c>
      <c r="BB447" s="30" t="s">
        <v>347</v>
      </c>
      <c r="BC447" s="30" t="s">
        <v>1004</v>
      </c>
      <c r="BD447" s="30" t="s">
        <v>180</v>
      </c>
      <c r="BF447" s="30">
        <v>15.4</v>
      </c>
      <c r="BG447" s="30" t="s">
        <v>190</v>
      </c>
      <c r="BK447" s="30" t="s">
        <v>1208</v>
      </c>
      <c r="BL447" s="30" t="s">
        <v>348</v>
      </c>
      <c r="BM447" s="39" t="s">
        <v>1224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8" spans="1:66" ht="16" customHeight="1" x14ac:dyDescent="0.2">
      <c r="A448" s="30">
        <v>2668</v>
      </c>
      <c r="B448" s="30" t="s">
        <v>26</v>
      </c>
      <c r="C448" s="30" t="s">
        <v>262</v>
      </c>
      <c r="D448" s="30" t="s">
        <v>144</v>
      </c>
      <c r="E448" s="30" t="s">
        <v>1267</v>
      </c>
      <c r="F448" s="36" t="str">
        <f>IF(ISBLANK(Table2[[#This Row],[unique_id]]), "", PROPER(SUBSTITUTE(Table2[[#This Row],[unique_id]], "_", " ")))</f>
        <v>Parents Homepod</v>
      </c>
      <c r="G448" s="30" t="s">
        <v>1268</v>
      </c>
      <c r="H448" s="30" t="s">
        <v>711</v>
      </c>
      <c r="I448" s="30" t="s">
        <v>143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1269</v>
      </c>
      <c r="BC448" s="30" t="s">
        <v>1007</v>
      </c>
      <c r="BD448" s="30" t="s">
        <v>262</v>
      </c>
      <c r="BF448" s="30" t="s">
        <v>379</v>
      </c>
      <c r="BG448" s="30" t="s">
        <v>190</v>
      </c>
      <c r="BK448" s="30" t="s">
        <v>1208</v>
      </c>
      <c r="BL448" s="41" t="s">
        <v>382</v>
      </c>
      <c r="BM448" s="39" t="s">
        <v>1225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9" spans="1:66" ht="16" customHeight="1" x14ac:dyDescent="0.2">
      <c r="A449" s="30">
        <v>2700</v>
      </c>
      <c r="B449" s="30" t="s">
        <v>26</v>
      </c>
      <c r="C449" s="30" t="s">
        <v>149</v>
      </c>
      <c r="D449" s="30" t="s">
        <v>292</v>
      </c>
      <c r="E449" s="30" t="s">
        <v>634</v>
      </c>
      <c r="F449" s="36" t="str">
        <f>IF(ISBLANK(Table2[[#This Row],[unique_id]]), "", PROPER(SUBSTITUTE(Table2[[#This Row],[unique_id]], "_", " ")))</f>
        <v>Back Door Lock Security</v>
      </c>
      <c r="G449" s="30" t="s">
        <v>630</v>
      </c>
      <c r="H449" s="30" t="s">
        <v>612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645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2701</v>
      </c>
      <c r="B450" s="30" t="s">
        <v>26</v>
      </c>
      <c r="C450" s="30" t="s">
        <v>149</v>
      </c>
      <c r="D450" s="30" t="s">
        <v>147</v>
      </c>
      <c r="E450" s="30" t="s">
        <v>647</v>
      </c>
      <c r="F450" s="36" t="str">
        <f>IF(ISBLANK(Table2[[#This Row],[unique_id]]), "", PROPER(SUBSTITUTE(Table2[[#This Row],[unique_id]], "_", " ")))</f>
        <v>Template Back Door State</v>
      </c>
      <c r="G450" s="30" t="s">
        <v>272</v>
      </c>
      <c r="H450" s="30" t="s">
        <v>612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2702</v>
      </c>
      <c r="B451" s="30" t="s">
        <v>26</v>
      </c>
      <c r="C451" s="30" t="s">
        <v>603</v>
      </c>
      <c r="D451" s="30" t="s">
        <v>606</v>
      </c>
      <c r="E451" s="30" t="s">
        <v>607</v>
      </c>
      <c r="F451" s="36" t="str">
        <f>IF(ISBLANK(Table2[[#This Row],[unique_id]]), "", PROPER(SUBSTITUTE(Table2[[#This Row],[unique_id]], "_", " ")))</f>
        <v>Back Door Lock</v>
      </c>
      <c r="G451" s="30" t="s">
        <v>649</v>
      </c>
      <c r="H451" s="30" t="s">
        <v>612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Back Door</v>
      </c>
      <c r="BA451" s="30" t="str">
        <f>IF(ISBLANK(Table2[[#This Row],[device_model]]), "", Table2[[#This Row],[device_suggested_area]])</f>
        <v>Back Door</v>
      </c>
      <c r="BB451" s="30" t="s">
        <v>997</v>
      </c>
      <c r="BC451" s="30" t="s">
        <v>604</v>
      </c>
      <c r="BD451" s="30" t="s">
        <v>603</v>
      </c>
      <c r="BF451" s="30" t="s">
        <v>605</v>
      </c>
      <c r="BG451" s="30" t="s">
        <v>612</v>
      </c>
      <c r="BL451" s="30" t="s">
        <v>602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2" spans="1:66" ht="16" customHeight="1" x14ac:dyDescent="0.2">
      <c r="A452" s="30">
        <v>2703</v>
      </c>
      <c r="B452" s="30" t="s">
        <v>26</v>
      </c>
      <c r="C452" s="30" t="s">
        <v>316</v>
      </c>
      <c r="D452" s="30" t="s">
        <v>147</v>
      </c>
      <c r="E452" s="30" t="s">
        <v>640</v>
      </c>
      <c r="F452" s="36" t="str">
        <f>IF(ISBLANK(Table2[[#This Row],[unique_id]]), "", PROPER(SUBSTITUTE(Table2[[#This Row],[unique_id]], "_", " ")))</f>
        <v>Template Back Door Sensor Contact Last</v>
      </c>
      <c r="G452" s="30" t="s">
        <v>648</v>
      </c>
      <c r="H452" s="30" t="s">
        <v>612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Back Door</v>
      </c>
      <c r="BA452" s="30" t="str">
        <f>IF(ISBLANK(Table2[[#This Row],[device_model]]), "", Table2[[#This Row],[device_suggested_area]])</f>
        <v>Back Door</v>
      </c>
      <c r="BB452" s="37" t="s">
        <v>1001</v>
      </c>
      <c r="BC452" s="37" t="s">
        <v>623</v>
      </c>
      <c r="BD452" s="30" t="s">
        <v>1072</v>
      </c>
      <c r="BF452" s="30" t="s">
        <v>605</v>
      </c>
      <c r="BG452" s="30" t="s">
        <v>612</v>
      </c>
      <c r="BL452" s="30" t="s">
        <v>625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3" spans="1:66" ht="16" customHeight="1" x14ac:dyDescent="0.2">
      <c r="A453" s="30">
        <v>2704</v>
      </c>
      <c r="B453" s="30" t="s">
        <v>561</v>
      </c>
      <c r="C453" s="30" t="s">
        <v>232</v>
      </c>
      <c r="D453" s="30" t="s">
        <v>146</v>
      </c>
      <c r="F453" s="36" t="str">
        <f>IF(ISBLANK(Table2[[#This Row],[unique_id]]), "", PROPER(SUBSTITUTE(Table2[[#This Row],[unique_id]], "_", " ")))</f>
        <v/>
      </c>
      <c r="G453" s="30" t="s">
        <v>612</v>
      </c>
      <c r="H453" s="30" t="s">
        <v>620</v>
      </c>
      <c r="I453" s="30" t="s">
        <v>207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2705</v>
      </c>
      <c r="B454" s="30" t="s">
        <v>26</v>
      </c>
      <c r="C454" s="30" t="s">
        <v>149</v>
      </c>
      <c r="D454" s="30" t="s">
        <v>292</v>
      </c>
      <c r="E454" s="30" t="s">
        <v>635</v>
      </c>
      <c r="F454" s="36" t="str">
        <f>IF(ISBLANK(Table2[[#This Row],[unique_id]]), "", PROPER(SUBSTITUTE(Table2[[#This Row],[unique_id]], "_", " ")))</f>
        <v>Front Door Lock Security</v>
      </c>
      <c r="G454" s="30" t="s">
        <v>630</v>
      </c>
      <c r="H454" s="30" t="s">
        <v>611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645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2706</v>
      </c>
      <c r="B455" s="30" t="s">
        <v>26</v>
      </c>
      <c r="C455" s="30" t="s">
        <v>149</v>
      </c>
      <c r="D455" s="30" t="s">
        <v>147</v>
      </c>
      <c r="E455" s="30" t="s">
        <v>646</v>
      </c>
      <c r="F455" s="36" t="str">
        <f>IF(ISBLANK(Table2[[#This Row],[unique_id]]), "", PROPER(SUBSTITUTE(Table2[[#This Row],[unique_id]], "_", " ")))</f>
        <v>Template Front Door State</v>
      </c>
      <c r="G455" s="30" t="s">
        <v>272</v>
      </c>
      <c r="H455" s="30" t="s">
        <v>611</v>
      </c>
      <c r="I455" s="30" t="s">
        <v>207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2707</v>
      </c>
      <c r="B456" s="30" t="s">
        <v>26</v>
      </c>
      <c r="C456" s="30" t="s">
        <v>603</v>
      </c>
      <c r="D456" s="30" t="s">
        <v>606</v>
      </c>
      <c r="E456" s="30" t="s">
        <v>608</v>
      </c>
      <c r="F456" s="36" t="str">
        <f>IF(ISBLANK(Table2[[#This Row],[unique_id]]), "", PROPER(SUBSTITUTE(Table2[[#This Row],[unique_id]], "_", " ")))</f>
        <v>Front Door Lock</v>
      </c>
      <c r="G456" s="30" t="s">
        <v>649</v>
      </c>
      <c r="H456" s="30" t="s">
        <v>611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 t="s">
        <v>471</v>
      </c>
      <c r="X456" s="31"/>
      <c r="Y456" s="42" t="s">
        <v>722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Front Door</v>
      </c>
      <c r="BA456" s="30" t="str">
        <f>IF(ISBLANK(Table2[[#This Row],[device_model]]), "", Table2[[#This Row],[device_suggested_area]])</f>
        <v>Front Door</v>
      </c>
      <c r="BB456" s="30" t="s">
        <v>997</v>
      </c>
      <c r="BC456" s="30" t="s">
        <v>604</v>
      </c>
      <c r="BD456" s="30" t="s">
        <v>603</v>
      </c>
      <c r="BF456" s="30" t="s">
        <v>605</v>
      </c>
      <c r="BG456" s="30" t="s">
        <v>611</v>
      </c>
      <c r="BL456" s="30" t="s">
        <v>609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7" spans="1:66" ht="16" customHeight="1" x14ac:dyDescent="0.2">
      <c r="A457" s="30">
        <v>2708</v>
      </c>
      <c r="B457" s="30" t="s">
        <v>26</v>
      </c>
      <c r="C457" s="30" t="s">
        <v>316</v>
      </c>
      <c r="D457" s="30" t="s">
        <v>147</v>
      </c>
      <c r="E457" s="30" t="s">
        <v>639</v>
      </c>
      <c r="F457" s="36" t="str">
        <f>IF(ISBLANK(Table2[[#This Row],[unique_id]]), "", PROPER(SUBSTITUTE(Table2[[#This Row],[unique_id]], "_", " ")))</f>
        <v>Template Front Door Sensor Contact Last</v>
      </c>
      <c r="G457" s="30" t="s">
        <v>648</v>
      </c>
      <c r="H457" s="30" t="s">
        <v>611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 t="s">
        <v>471</v>
      </c>
      <c r="X457" s="31"/>
      <c r="Y457" s="42" t="s">
        <v>722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Front Door</v>
      </c>
      <c r="BA457" s="30" t="str">
        <f>IF(ISBLANK(Table2[[#This Row],[device_model]]), "", Table2[[#This Row],[device_suggested_area]])</f>
        <v>Front Door</v>
      </c>
      <c r="BB457" s="37" t="s">
        <v>1001</v>
      </c>
      <c r="BC457" s="37" t="s">
        <v>623</v>
      </c>
      <c r="BD457" s="30" t="s">
        <v>1072</v>
      </c>
      <c r="BF457" s="30" t="s">
        <v>605</v>
      </c>
      <c r="BG457" s="30" t="s">
        <v>611</v>
      </c>
      <c r="BL457" s="30" t="s">
        <v>624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8" spans="1:66" ht="16" customHeight="1" x14ac:dyDescent="0.2">
      <c r="A458" s="30">
        <v>2709</v>
      </c>
      <c r="B458" s="30" t="s">
        <v>561</v>
      </c>
      <c r="C458" s="30" t="s">
        <v>232</v>
      </c>
      <c r="D458" s="30" t="s">
        <v>146</v>
      </c>
      <c r="F458" s="36" t="str">
        <f>IF(ISBLANK(Table2[[#This Row],[unique_id]]), "", PROPER(SUBSTITUTE(Table2[[#This Row],[unique_id]], "_", " ")))</f>
        <v/>
      </c>
      <c r="G458" s="30" t="s">
        <v>611</v>
      </c>
      <c r="H458" s="30" t="s">
        <v>619</v>
      </c>
      <c r="I458" s="30" t="s">
        <v>207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2710</v>
      </c>
      <c r="B459" s="30" t="s">
        <v>26</v>
      </c>
      <c r="C459" s="30" t="s">
        <v>132</v>
      </c>
      <c r="D459" s="30" t="s">
        <v>147</v>
      </c>
      <c r="E459" s="30" t="s">
        <v>581</v>
      </c>
      <c r="F459" s="36" t="str">
        <f>IF(ISBLANK(Table2[[#This Row],[unique_id]]), "", PROPER(SUBSTITUTE(Table2[[#This Row],[unique_id]], "_", " ")))</f>
        <v>Ada Fan Occupancy</v>
      </c>
      <c r="G459" s="30" t="s">
        <v>129</v>
      </c>
      <c r="H459" s="30" t="s">
        <v>617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2711</v>
      </c>
      <c r="B460" s="30" t="s">
        <v>26</v>
      </c>
      <c r="C460" s="30" t="s">
        <v>132</v>
      </c>
      <c r="D460" s="30" t="s">
        <v>147</v>
      </c>
      <c r="E460" s="30" t="s">
        <v>580</v>
      </c>
      <c r="F460" s="36" t="str">
        <f>IF(ISBLANK(Table2[[#This Row],[unique_id]]), "", PROPER(SUBSTITUTE(Table2[[#This Row],[unique_id]], "_", " ")))</f>
        <v>Edwin Fan Occupancy</v>
      </c>
      <c r="G460" s="30" t="s">
        <v>126</v>
      </c>
      <c r="H460" s="30" t="s">
        <v>617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2712</v>
      </c>
      <c r="B461" s="30" t="s">
        <v>26</v>
      </c>
      <c r="C461" s="30" t="s">
        <v>132</v>
      </c>
      <c r="D461" s="30" t="s">
        <v>147</v>
      </c>
      <c r="E461" s="30" t="s">
        <v>582</v>
      </c>
      <c r="F461" s="36" t="str">
        <f>IF(ISBLANK(Table2[[#This Row],[unique_id]]), "", PROPER(SUBSTITUTE(Table2[[#This Row],[unique_id]], "_", " ")))</f>
        <v>Parents Fan Occupancy</v>
      </c>
      <c r="G461" s="30" t="s">
        <v>190</v>
      </c>
      <c r="H461" s="30" t="s">
        <v>617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2713</v>
      </c>
      <c r="B462" s="30" t="s">
        <v>26</v>
      </c>
      <c r="C462" s="30" t="s">
        <v>132</v>
      </c>
      <c r="D462" s="30" t="s">
        <v>147</v>
      </c>
      <c r="E462" s="30" t="s">
        <v>583</v>
      </c>
      <c r="F462" s="36" t="str">
        <f>IF(ISBLANK(Table2[[#This Row],[unique_id]]), "", PROPER(SUBSTITUTE(Table2[[#This Row],[unique_id]], "_", " ")))</f>
        <v>Lounge Fan Occupancy</v>
      </c>
      <c r="G462" s="30" t="s">
        <v>192</v>
      </c>
      <c r="H462" s="30" t="s">
        <v>617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2714</v>
      </c>
      <c r="B463" s="30" t="s">
        <v>26</v>
      </c>
      <c r="C463" s="30" t="s">
        <v>132</v>
      </c>
      <c r="D463" s="30" t="s">
        <v>147</v>
      </c>
      <c r="E463" s="30" t="s">
        <v>584</v>
      </c>
      <c r="F463" s="36" t="str">
        <f>IF(ISBLANK(Table2[[#This Row],[unique_id]]), "", PROPER(SUBSTITUTE(Table2[[#This Row],[unique_id]], "_", " ")))</f>
        <v>Deck East Fan Occupancy</v>
      </c>
      <c r="G463" s="30" t="s">
        <v>213</v>
      </c>
      <c r="H463" s="30" t="s">
        <v>617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2715</v>
      </c>
      <c r="B464" s="30" t="s">
        <v>26</v>
      </c>
      <c r="C464" s="30" t="s">
        <v>132</v>
      </c>
      <c r="D464" s="30" t="s">
        <v>147</v>
      </c>
      <c r="E464" s="30" t="s">
        <v>585</v>
      </c>
      <c r="F464" s="36" t="str">
        <f>IF(ISBLANK(Table2[[#This Row],[unique_id]]), "", PROPER(SUBSTITUTE(Table2[[#This Row],[unique_id]], "_", " ")))</f>
        <v>Deck West Fan Occupancy</v>
      </c>
      <c r="G464" s="30" t="s">
        <v>212</v>
      </c>
      <c r="H464" s="30" t="s">
        <v>617</v>
      </c>
      <c r="I464" s="30" t="s">
        <v>207</v>
      </c>
      <c r="M464" s="30" t="s">
        <v>135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2716</v>
      </c>
      <c r="B465" s="30" t="s">
        <v>26</v>
      </c>
      <c r="C465" s="30" t="s">
        <v>422</v>
      </c>
      <c r="D465" s="30" t="s">
        <v>315</v>
      </c>
      <c r="E465" s="30" t="s">
        <v>314</v>
      </c>
      <c r="F465" s="36" t="str">
        <f>IF(ISBLANK(Table2[[#This Row],[unique_id]]), "", PROPER(SUBSTITUTE(Table2[[#This Row],[unique_id]], "_", " ")))</f>
        <v>Column Break</v>
      </c>
      <c r="G465" s="30" t="s">
        <v>311</v>
      </c>
      <c r="H465" s="30" t="s">
        <v>614</v>
      </c>
      <c r="I465" s="30" t="s">
        <v>207</v>
      </c>
      <c r="M465" s="30" t="s">
        <v>312</v>
      </c>
      <c r="N465" s="30" t="s">
        <v>313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2717</v>
      </c>
      <c r="B466" s="30" t="s">
        <v>26</v>
      </c>
      <c r="C466" s="30" t="s">
        <v>232</v>
      </c>
      <c r="D466" s="30" t="s">
        <v>147</v>
      </c>
      <c r="E466" s="30" t="s">
        <v>148</v>
      </c>
      <c r="F466" s="36" t="str">
        <f>IF(ISBLANK(Table2[[#This Row],[unique_id]]), "", PROPER(SUBSTITUTE(Table2[[#This Row],[unique_id]], "_", " ")))</f>
        <v>Uvc Ada Motion</v>
      </c>
      <c r="G466" s="30" t="s">
        <v>610</v>
      </c>
      <c r="H466" s="30" t="s">
        <v>614</v>
      </c>
      <c r="I466" s="30" t="s">
        <v>207</v>
      </c>
      <c r="M466" s="30" t="s">
        <v>135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2718</v>
      </c>
      <c r="B467" s="30" t="s">
        <v>26</v>
      </c>
      <c r="C467" s="30" t="s">
        <v>232</v>
      </c>
      <c r="D467" s="30" t="s">
        <v>146</v>
      </c>
      <c r="E467" s="30" t="s">
        <v>1280</v>
      </c>
      <c r="F467" s="36" t="str">
        <f>IF(ISBLANK(Table2[[#This Row],[unique_id]]), "", PROPER(SUBSTITUTE(Table2[[#This Row],[unique_id]], "_", " ")))</f>
        <v>Uvc Ada Medium Resolution Channel</v>
      </c>
      <c r="G467" s="30" t="s">
        <v>129</v>
      </c>
      <c r="H467" s="30" t="s">
        <v>616</v>
      </c>
      <c r="I467" s="30" t="s">
        <v>207</v>
      </c>
      <c r="M467" s="30" t="s">
        <v>135</v>
      </c>
      <c r="N467" s="30" t="s">
        <v>269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1380</v>
      </c>
      <c r="BA467" s="30" t="str">
        <f>IF(ISBLANK(Table2[[#This Row],[device_model]]), "", Table2[[#This Row],[device_suggested_area]])</f>
        <v>Ada</v>
      </c>
      <c r="BB467" s="30" t="str">
        <f>Table2[[#This Row],[device_suggested_area]]</f>
        <v>Ada</v>
      </c>
      <c r="BC467" s="30" t="s">
        <v>367</v>
      </c>
      <c r="BD467" s="30" t="s">
        <v>232</v>
      </c>
      <c r="BF467" s="30" t="s">
        <v>368</v>
      </c>
      <c r="BG467" s="30" t="s">
        <v>129</v>
      </c>
      <c r="BK467" s="30" t="s">
        <v>1209</v>
      </c>
      <c r="BL467" s="30" t="s">
        <v>365</v>
      </c>
      <c r="BM467" s="30" t="s">
        <v>1264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8" spans="1:66" ht="16" customHeight="1" x14ac:dyDescent="0.2">
      <c r="A468" s="30">
        <v>2719</v>
      </c>
      <c r="B468" s="30" t="s">
        <v>26</v>
      </c>
      <c r="C468" s="30" t="s">
        <v>232</v>
      </c>
      <c r="D468" s="30" t="s">
        <v>147</v>
      </c>
      <c r="E468" s="30" t="s">
        <v>206</v>
      </c>
      <c r="F468" s="36" t="str">
        <f>IF(ISBLANK(Table2[[#This Row],[unique_id]]), "", PROPER(SUBSTITUTE(Table2[[#This Row],[unique_id]], "_", " ")))</f>
        <v>Uvc Edwin Motion</v>
      </c>
      <c r="G468" s="30" t="s">
        <v>610</v>
      </c>
      <c r="H468" s="30" t="s">
        <v>613</v>
      </c>
      <c r="I468" s="30" t="s">
        <v>207</v>
      </c>
      <c r="M468" s="30" t="s">
        <v>135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2720</v>
      </c>
      <c r="B469" s="30" t="s">
        <v>26</v>
      </c>
      <c r="C469" s="30" t="s">
        <v>232</v>
      </c>
      <c r="D469" s="30" t="s">
        <v>146</v>
      </c>
      <c r="E469" s="30" t="s">
        <v>1281</v>
      </c>
      <c r="F469" s="36" t="str">
        <f>IF(ISBLANK(Table2[[#This Row],[unique_id]]), "", PROPER(SUBSTITUTE(Table2[[#This Row],[unique_id]], "_", " ")))</f>
        <v>Uvc Edwin Medium Resolution Channel</v>
      </c>
      <c r="G469" s="30" t="s">
        <v>126</v>
      </c>
      <c r="H469" s="30" t="s">
        <v>615</v>
      </c>
      <c r="I469" s="30" t="s">
        <v>207</v>
      </c>
      <c r="M469" s="30" t="s">
        <v>135</v>
      </c>
      <c r="N469" s="30" t="s">
        <v>269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1380</v>
      </c>
      <c r="BA469" s="30" t="str">
        <f>IF(ISBLANK(Table2[[#This Row],[device_model]]), "", Table2[[#This Row],[device_suggested_area]])</f>
        <v>Edwin</v>
      </c>
      <c r="BB469" s="30" t="str">
        <f>Table2[[#This Row],[device_suggested_area]]</f>
        <v>Edwin</v>
      </c>
      <c r="BC469" s="30" t="s">
        <v>367</v>
      </c>
      <c r="BD469" s="30" t="s">
        <v>232</v>
      </c>
      <c r="BF469" s="30" t="s">
        <v>368</v>
      </c>
      <c r="BG469" s="30" t="s">
        <v>126</v>
      </c>
      <c r="BK469" s="30" t="s">
        <v>1209</v>
      </c>
      <c r="BL469" s="30" t="s">
        <v>366</v>
      </c>
      <c r="BM469" s="30" t="s">
        <v>1265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0" spans="1:66" ht="16" customHeight="1" x14ac:dyDescent="0.2">
      <c r="A470" s="30">
        <v>2721</v>
      </c>
      <c r="B470" s="30" t="s">
        <v>26</v>
      </c>
      <c r="C470" s="30" t="s">
        <v>422</v>
      </c>
      <c r="D470" s="30" t="s">
        <v>315</v>
      </c>
      <c r="E470" s="30" t="s">
        <v>314</v>
      </c>
      <c r="F470" s="36" t="str">
        <f>IF(ISBLANK(Table2[[#This Row],[unique_id]]), "", PROPER(SUBSTITUTE(Table2[[#This Row],[unique_id]], "_", " ")))</f>
        <v>Column Break</v>
      </c>
      <c r="G470" s="30" t="s">
        <v>311</v>
      </c>
      <c r="H470" s="30" t="s">
        <v>615</v>
      </c>
      <c r="I470" s="30" t="s">
        <v>207</v>
      </c>
      <c r="M470" s="30" t="s">
        <v>312</v>
      </c>
      <c r="N470" s="30" t="s">
        <v>313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5000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1381</v>
      </c>
      <c r="BA471" s="30" t="str">
        <f>IF(ISBLANK(Table2[[#This Row],[device_model]]), "", Table2[[#This Row],[device_suggested_area]])</f>
        <v>Rack</v>
      </c>
      <c r="BC471" s="30" t="s">
        <v>993</v>
      </c>
      <c r="BD471" s="30" t="s">
        <v>232</v>
      </c>
      <c r="BF471" s="30" t="s">
        <v>384</v>
      </c>
      <c r="BG471" s="30" t="s">
        <v>28</v>
      </c>
      <c r="BK471" s="30" t="s">
        <v>1202</v>
      </c>
      <c r="BL471" s="30" t="s">
        <v>387</v>
      </c>
      <c r="BM471" s="30" t="s">
        <v>1203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2" spans="1:66" ht="16" customHeight="1" x14ac:dyDescent="0.2">
      <c r="A472" s="30">
        <v>5001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1382</v>
      </c>
      <c r="BA472" s="30" t="str">
        <f>IF(ISBLANK(Table2[[#This Row],[device_model]]), "", Table2[[#This Row],[device_suggested_area]])</f>
        <v>Rack</v>
      </c>
      <c r="BB472" s="30" t="str">
        <f>Table2[[#This Row],[device_suggested_area]]</f>
        <v>Rack</v>
      </c>
      <c r="BC472" s="30" t="s">
        <v>990</v>
      </c>
      <c r="BD472" s="30" t="s">
        <v>232</v>
      </c>
      <c r="BF472" s="30" t="s">
        <v>591</v>
      </c>
      <c r="BG472" s="30" t="s">
        <v>28</v>
      </c>
      <c r="BK472" s="30" t="s">
        <v>1202</v>
      </c>
      <c r="BL472" s="30" t="s">
        <v>592</v>
      </c>
      <c r="BM472" s="30" t="s">
        <v>1204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3" spans="1:66" ht="16" customHeight="1" x14ac:dyDescent="0.2">
      <c r="A473" s="30">
        <v>5002</v>
      </c>
      <c r="B473" s="39" t="s">
        <v>26</v>
      </c>
      <c r="C473" s="30" t="s">
        <v>232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1382</v>
      </c>
      <c r="BA473" s="30" t="str">
        <f>IF(ISBLANK(Table2[[#This Row],[device_model]]), "", Table2[[#This Row],[device_suggested_area]])</f>
        <v>Office</v>
      </c>
      <c r="BB473" s="30" t="str">
        <f>Table2[[#This Row],[device_suggested_area]]</f>
        <v>Office</v>
      </c>
      <c r="BC473" s="30" t="s">
        <v>991</v>
      </c>
      <c r="BD473" s="30" t="s">
        <v>232</v>
      </c>
      <c r="BF473" s="30" t="s">
        <v>1031</v>
      </c>
      <c r="BG473" s="30" t="s">
        <v>210</v>
      </c>
      <c r="BK473" s="30" t="s">
        <v>1202</v>
      </c>
      <c r="BL473" s="30" t="s">
        <v>388</v>
      </c>
      <c r="BM473" s="30" t="s">
        <v>1418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4" spans="1:66" ht="16" customHeight="1" x14ac:dyDescent="0.2">
      <c r="A474" s="30">
        <v>5003</v>
      </c>
      <c r="B474" s="39" t="s">
        <v>26</v>
      </c>
      <c r="C474" s="30" t="s">
        <v>232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1382</v>
      </c>
      <c r="BA474" s="30" t="str">
        <f>IF(ISBLANK(Table2[[#This Row],[device_model]]), "", Table2[[#This Row],[device_suggested_area]])</f>
        <v>Ceiling</v>
      </c>
      <c r="BB474" s="30" t="str">
        <f>Table2[[#This Row],[device_suggested_area]]</f>
        <v>Ceiling</v>
      </c>
      <c r="BC474" s="30" t="s">
        <v>1417</v>
      </c>
      <c r="BD474" s="30" t="s">
        <v>232</v>
      </c>
      <c r="BF474" s="30" t="s">
        <v>1031</v>
      </c>
      <c r="BG474" s="30" t="s">
        <v>385</v>
      </c>
      <c r="BK474" s="30" t="s">
        <v>1202</v>
      </c>
      <c r="BL474" s="30" t="s">
        <v>1419</v>
      </c>
      <c r="BM474" s="30" t="s">
        <v>1205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5" spans="1:66" ht="16" customHeight="1" x14ac:dyDescent="0.2">
      <c r="A475" s="30">
        <v>5004</v>
      </c>
      <c r="B475" s="39" t="s">
        <v>26</v>
      </c>
      <c r="C475" s="30" t="s">
        <v>232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1383</v>
      </c>
      <c r="BA475" s="30" t="str">
        <f>IF(ISBLANK(Table2[[#This Row],[device_model]]), "", Table2[[#This Row],[device_suggested_area]])</f>
        <v>Hallway</v>
      </c>
      <c r="BB475" s="30" t="str">
        <f>Table2[[#This Row],[device_suggested_area]]</f>
        <v>Hallway</v>
      </c>
      <c r="BC475" s="30" t="s">
        <v>1325</v>
      </c>
      <c r="BD475" s="30" t="s">
        <v>232</v>
      </c>
      <c r="BF475" s="30" t="s">
        <v>1030</v>
      </c>
      <c r="BG475" s="30" t="s">
        <v>386</v>
      </c>
      <c r="BK475" s="30" t="s">
        <v>1202</v>
      </c>
      <c r="BL475" s="30" t="s">
        <v>1324</v>
      </c>
      <c r="BM475" s="30" t="s">
        <v>1206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6" spans="1:66" ht="16" customHeight="1" x14ac:dyDescent="0.2">
      <c r="A476" s="30">
        <v>5005</v>
      </c>
      <c r="B476" s="39" t="s">
        <v>26</v>
      </c>
      <c r="C476" s="30" t="s">
        <v>232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1383</v>
      </c>
      <c r="BA476" s="30" t="str">
        <f>IF(ISBLANK(Table2[[#This Row],[device_model]]), "", Table2[[#This Row],[device_suggested_area]])</f>
        <v>Deck North</v>
      </c>
      <c r="BB476" s="30" t="str">
        <f>Table2[[#This Row],[device_suggested_area]]</f>
        <v>Deck North</v>
      </c>
      <c r="BC476" s="30" t="s">
        <v>992</v>
      </c>
      <c r="BD476" s="30" t="s">
        <v>232</v>
      </c>
      <c r="BF476" s="30" t="s">
        <v>1030</v>
      </c>
      <c r="BG476" s="30" t="s">
        <v>1376</v>
      </c>
      <c r="BK476" s="30" t="s">
        <v>1202</v>
      </c>
      <c r="BL476" s="30" t="s">
        <v>1378</v>
      </c>
      <c r="BM476" s="30" t="s">
        <v>1207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7" spans="1:66" ht="16" customHeight="1" x14ac:dyDescent="0.2">
      <c r="A477" s="30">
        <v>5006</v>
      </c>
      <c r="B477" s="39" t="s">
        <v>26</v>
      </c>
      <c r="C477" s="30" t="s">
        <v>232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1383</v>
      </c>
      <c r="BA477" s="30" t="str">
        <f>IF(ISBLANK(Table2[[#This Row],[device_model]]), "", Table2[[#This Row],[device_suggested_area]])</f>
        <v>Deck South</v>
      </c>
      <c r="BB477" s="30" t="str">
        <f>Table2[[#This Row],[device_suggested_area]]</f>
        <v>Deck South</v>
      </c>
      <c r="BC477" s="30" t="s">
        <v>992</v>
      </c>
      <c r="BD477" s="30" t="s">
        <v>232</v>
      </c>
      <c r="BF477" s="30" t="s">
        <v>1030</v>
      </c>
      <c r="BG477" s="30" t="s">
        <v>1375</v>
      </c>
      <c r="BK477" s="30" t="s">
        <v>1202</v>
      </c>
      <c r="BL477" s="30" t="s">
        <v>389</v>
      </c>
      <c r="BM477" s="30" t="s">
        <v>1377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8" spans="1:66" ht="16" customHeight="1" x14ac:dyDescent="0.2">
      <c r="A478" s="30">
        <v>5007</v>
      </c>
      <c r="B478" s="39" t="s">
        <v>561</v>
      </c>
      <c r="C478" s="39" t="s">
        <v>232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1310</v>
      </c>
      <c r="BA478" s="30" t="str">
        <f>IF(ISBLANK(Table2[[#This Row],[device_model]]), "", Table2[[#This Row],[device_suggested_area]])</f>
        <v>Rack</v>
      </c>
      <c r="BB478" s="30" t="s">
        <v>1321</v>
      </c>
      <c r="BC478" s="30" t="s">
        <v>1312</v>
      </c>
      <c r="BD478" s="30" t="s">
        <v>1310</v>
      </c>
      <c r="BF478" s="30" t="s">
        <v>1318</v>
      </c>
      <c r="BG478" s="30" t="s">
        <v>28</v>
      </c>
      <c r="BL478" s="41"/>
      <c r="BM478" s="30" t="s">
        <v>1320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9" spans="1:66" ht="16" customHeight="1" x14ac:dyDescent="0.2">
      <c r="A479" s="30">
        <v>5008</v>
      </c>
      <c r="B479" s="39" t="s">
        <v>561</v>
      </c>
      <c r="C479" s="39" t="s">
        <v>1310</v>
      </c>
      <c r="D479" s="39"/>
      <c r="E479" s="39"/>
      <c r="F479" s="36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L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">
        <v>1311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1310</v>
      </c>
      <c r="BA479" s="30" t="str">
        <f>IF(ISBLANK(Table2[[#This Row],[device_model]]), "", Table2[[#This Row],[device_suggested_area]])</f>
        <v>Rack</v>
      </c>
      <c r="BB479" s="30" t="s">
        <v>989</v>
      </c>
      <c r="BC479" s="30" t="s">
        <v>1312</v>
      </c>
      <c r="BD479" s="30" t="s">
        <v>1310</v>
      </c>
      <c r="BF479" s="30" t="s">
        <v>1318</v>
      </c>
      <c r="BG479" s="30" t="s">
        <v>28</v>
      </c>
      <c r="BL479" s="41"/>
      <c r="BM479" s="30" t="s">
        <v>1313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0" spans="1:66" ht="16" customHeight="1" x14ac:dyDescent="0.2">
      <c r="A480" s="30">
        <v>5009</v>
      </c>
      <c r="B480" s="39" t="s">
        <v>561</v>
      </c>
      <c r="C480" s="39" t="s">
        <v>1314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">
        <v>1315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1314</v>
      </c>
      <c r="BA480" s="30" t="str">
        <f>IF(ISBLANK(Table2[[#This Row],[device_model]]), "", Table2[[#This Row],[device_suggested_area]])</f>
        <v>Rack</v>
      </c>
      <c r="BB480" s="30" t="s">
        <v>1316</v>
      </c>
      <c r="BC480" s="30" t="s">
        <v>1317</v>
      </c>
      <c r="BD480" s="30" t="s">
        <v>1314</v>
      </c>
      <c r="BF480" s="30" t="s">
        <v>1318</v>
      </c>
      <c r="BG480" s="30" t="s">
        <v>28</v>
      </c>
      <c r="BL480" s="41"/>
      <c r="BM480" s="30" t="s">
        <v>1319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1" spans="1:66" ht="16" customHeight="1" x14ac:dyDescent="0.2">
      <c r="A481" s="30">
        <v>5010</v>
      </c>
      <c r="B481" s="39" t="s">
        <v>561</v>
      </c>
      <c r="C481" s="39" t="s">
        <v>369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994</v>
      </c>
      <c r="BA481" s="30" t="str">
        <f>IF(ISBLANK(Table2[[#This Row],[device_model]]), "", Table2[[#This Row],[device_suggested_area]])</f>
        <v>Rack</v>
      </c>
      <c r="BB481" s="30" t="s">
        <v>369</v>
      </c>
      <c r="BC481" s="30" t="s">
        <v>370</v>
      </c>
      <c r="BD481" s="30" t="s">
        <v>372</v>
      </c>
      <c r="BF481" s="30" t="s">
        <v>371</v>
      </c>
      <c r="BG481" s="30" t="s">
        <v>28</v>
      </c>
      <c r="BK481" s="30" t="s">
        <v>1208</v>
      </c>
      <c r="BL481" s="41" t="s">
        <v>414</v>
      </c>
      <c r="BM481" s="30" t="s">
        <v>1226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2" spans="1:66" ht="16" customHeight="1" x14ac:dyDescent="0.2">
      <c r="A482" s="30">
        <v>5011</v>
      </c>
      <c r="B482" s="39" t="s">
        <v>26</v>
      </c>
      <c r="C482" s="39" t="s">
        <v>360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ref="AJ482:AJ487" si="2">IF(ISBLANK(AI482),  "", _xlfn.CONCAT("haas/entity/sensor/", LOWER(C482), "/", E482, "/config"))</f>
        <v/>
      </c>
      <c r="AK482" s="30" t="str">
        <f t="shared" ref="AK482:AK487" si="3"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1021</v>
      </c>
      <c r="BA482" s="30" t="str">
        <f>IF(ISBLANK(Table2[[#This Row],[device_model]]), "", Table2[[#This Row],[device_suggested_area]])</f>
        <v>Wardrobe</v>
      </c>
      <c r="BB482" s="30" t="s">
        <v>1401</v>
      </c>
      <c r="BC482" s="30" t="s">
        <v>1000</v>
      </c>
      <c r="BD482" s="30" t="s">
        <v>536</v>
      </c>
      <c r="BF482" s="62" t="s">
        <v>1405</v>
      </c>
      <c r="BG482" s="30" t="s">
        <v>477</v>
      </c>
      <c r="BK482" s="30" t="s">
        <v>383</v>
      </c>
      <c r="BL482" s="30" t="s">
        <v>535</v>
      </c>
      <c r="BM482" s="30" t="s">
        <v>1201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3" spans="1:66" ht="16" customHeight="1" x14ac:dyDescent="0.2">
      <c r="A483" s="30">
        <v>5012</v>
      </c>
      <c r="B483" s="39" t="s">
        <v>561</v>
      </c>
      <c r="C483" s="39" t="s">
        <v>360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2"/>
        <v/>
      </c>
      <c r="AK483" s="30" t="str">
        <f t="shared" si="3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1021</v>
      </c>
      <c r="BA483" s="30" t="str">
        <f>IF(ISBLANK(Table2[[#This Row],[device_model]]), "", Table2[[#This Row],[device_suggested_area]])</f>
        <v>Guildford</v>
      </c>
      <c r="BB483" s="30" t="s">
        <v>1403</v>
      </c>
      <c r="BC483" s="30" t="s">
        <v>1404</v>
      </c>
      <c r="BD483" s="30" t="s">
        <v>536</v>
      </c>
      <c r="BF483" s="62" t="s">
        <v>1405</v>
      </c>
      <c r="BG483" s="30" t="s">
        <v>1402</v>
      </c>
      <c r="BL483" s="30" t="s">
        <v>1409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4" spans="1:66" ht="16" customHeight="1" x14ac:dyDescent="0.2">
      <c r="A484" s="30">
        <v>5013</v>
      </c>
      <c r="B484" s="39" t="s">
        <v>26</v>
      </c>
      <c r="C484" s="39" t="s">
        <v>360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2"/>
        <v/>
      </c>
      <c r="AK484" s="30" t="str">
        <f t="shared" si="3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1020</v>
      </c>
      <c r="BA484" s="30" t="str">
        <f>IF(ISBLANK(Table2[[#This Row],[device_model]]), "", Table2[[#This Row],[device_suggested_area]])</f>
        <v>Rack</v>
      </c>
      <c r="BB484" s="30" t="s">
        <v>1406</v>
      </c>
      <c r="BC484" s="30" t="s">
        <v>1407</v>
      </c>
      <c r="BD484" s="30" t="s">
        <v>262</v>
      </c>
      <c r="BF484" s="62" t="s">
        <v>1411</v>
      </c>
      <c r="BG484" s="30" t="s">
        <v>28</v>
      </c>
      <c r="BK484" s="30" t="s">
        <v>383</v>
      </c>
      <c r="BL484" s="41" t="s">
        <v>1410</v>
      </c>
      <c r="BM484" s="30" t="s">
        <v>1197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5" spans="1:66" ht="16" customHeight="1" x14ac:dyDescent="0.2">
      <c r="A485" s="30">
        <v>5014</v>
      </c>
      <c r="B485" s="39" t="s">
        <v>26</v>
      </c>
      <c r="C485" s="39" t="s">
        <v>360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2"/>
        <v/>
      </c>
      <c r="AK485" s="30" t="str">
        <f t="shared" si="3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1020</v>
      </c>
      <c r="BA485" s="30" t="str">
        <f>IF(ISBLANK(Table2[[#This Row],[device_model]]), "", Table2[[#This Row],[device_suggested_area]])</f>
        <v>Rack</v>
      </c>
      <c r="BB485" s="30" t="s">
        <v>1408</v>
      </c>
      <c r="BC485" s="30" t="s">
        <v>998</v>
      </c>
      <c r="BD485" s="30" t="s">
        <v>262</v>
      </c>
      <c r="BF485" s="62" t="s">
        <v>1415</v>
      </c>
      <c r="BG485" s="30" t="s">
        <v>28</v>
      </c>
      <c r="BK485" s="30" t="s">
        <v>383</v>
      </c>
      <c r="BL485" s="46" t="s">
        <v>1416</v>
      </c>
      <c r="BM485" s="30" t="s">
        <v>1198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6" spans="1:66" ht="16" customHeight="1" x14ac:dyDescent="0.2">
      <c r="A486" s="30">
        <v>5015</v>
      </c>
      <c r="B486" s="39" t="s">
        <v>26</v>
      </c>
      <c r="C486" s="39" t="s">
        <v>360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2"/>
        <v/>
      </c>
      <c r="AK486" s="30" t="str">
        <f t="shared" si="3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1020</v>
      </c>
      <c r="BA486" s="30" t="str">
        <f>IF(ISBLANK(Table2[[#This Row],[device_model]]), "", Table2[[#This Row],[device_suggested_area]])</f>
        <v>Rack</v>
      </c>
      <c r="BB486" s="30" t="s">
        <v>1390</v>
      </c>
      <c r="BC486" s="30" t="s">
        <v>998</v>
      </c>
      <c r="BD486" s="30" t="s">
        <v>262</v>
      </c>
      <c r="BF486" s="62" t="s">
        <v>1405</v>
      </c>
      <c r="BG486" s="30" t="s">
        <v>28</v>
      </c>
      <c r="BK486" s="30" t="s">
        <v>383</v>
      </c>
      <c r="BL486" s="46" t="s">
        <v>1276</v>
      </c>
      <c r="BM486" s="30" t="s">
        <v>1199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7" spans="1:66" ht="16" customHeight="1" x14ac:dyDescent="0.2">
      <c r="A487" s="30">
        <v>5016</v>
      </c>
      <c r="B487" s="39" t="s">
        <v>26</v>
      </c>
      <c r="C487" s="39" t="s">
        <v>360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2"/>
        <v/>
      </c>
      <c r="AK487" s="30" t="str">
        <f t="shared" si="3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1020</v>
      </c>
      <c r="BA487" s="30" t="str">
        <f>IF(ISBLANK(Table2[[#This Row],[device_model]]), "", Table2[[#This Row],[device_suggested_area]])</f>
        <v>Rack</v>
      </c>
      <c r="BB487" s="30" t="s">
        <v>999</v>
      </c>
      <c r="BC487" s="30" t="s">
        <v>998</v>
      </c>
      <c r="BD487" s="30" t="s">
        <v>262</v>
      </c>
      <c r="BF487" s="62" t="s">
        <v>1405</v>
      </c>
      <c r="BG487" s="30" t="s">
        <v>28</v>
      </c>
      <c r="BK487" s="30" t="s">
        <v>383</v>
      </c>
      <c r="BL487" s="30" t="s">
        <v>569</v>
      </c>
      <c r="BM487" s="30" t="s">
        <v>1200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8" spans="1:66" ht="16" customHeight="1" x14ac:dyDescent="0.2">
      <c r="A488" s="30">
        <v>5017</v>
      </c>
      <c r="B488" s="30" t="s">
        <v>26</v>
      </c>
      <c r="C488" s="30" t="s">
        <v>364</v>
      </c>
      <c r="E488" s="39"/>
      <c r="F488" s="36" t="str">
        <f>IF(ISBLANK(Table2[[#This Row],[unique_id]]), "", PROPER(SUBSTITUTE(Table2[[#This Row],[unique_id]], "_", " ")))</f>
        <v/>
      </c>
      <c r="I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T488" s="40"/>
      <c r="AU488" s="3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362</v>
      </c>
      <c r="BA488" s="30" t="str">
        <f>IF(ISBLANK(Table2[[#This Row],[device_model]]), "", Table2[[#This Row],[device_suggested_area]])</f>
        <v>Rack</v>
      </c>
      <c r="BB488" s="30" t="s">
        <v>364</v>
      </c>
      <c r="BC488" s="30" t="s">
        <v>363</v>
      </c>
      <c r="BD488" s="30" t="s">
        <v>362</v>
      </c>
      <c r="BF488" s="30" t="s">
        <v>742</v>
      </c>
      <c r="BG488" s="30" t="s">
        <v>28</v>
      </c>
      <c r="BK488" s="30" t="s">
        <v>1209</v>
      </c>
      <c r="BL488" s="30" t="s">
        <v>361</v>
      </c>
      <c r="BM488" s="30" t="s">
        <v>1266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9" spans="1:66" ht="16" customHeight="1" x14ac:dyDescent="0.2">
      <c r="A489" s="30">
        <v>5018</v>
      </c>
      <c r="B489" s="30" t="s">
        <v>26</v>
      </c>
      <c r="C489" s="30" t="s">
        <v>439</v>
      </c>
      <c r="E489" s="39"/>
      <c r="F489" s="36" t="str">
        <f>IF(ISBLANK(Table2[[#This Row],[unique_id]]), "", PROPER(SUBSTITUTE(Table2[[#This Row],[unique_id]], "_", " ")))</f>
        <v/>
      </c>
      <c r="I489" s="39"/>
      <c r="O489" s="31"/>
      <c r="P489" s="30"/>
      <c r="T489" s="37"/>
      <c r="U489" s="30"/>
      <c r="V489" s="31"/>
      <c r="W489" s="31" t="s">
        <v>471</v>
      </c>
      <c r="X489" s="31"/>
      <c r="Y489" s="42" t="s">
        <v>722</v>
      </c>
      <c r="Z489" s="42"/>
      <c r="AA489" s="42"/>
      <c r="AB489" s="30"/>
      <c r="AC489" s="30"/>
      <c r="AG489" s="31"/>
      <c r="AH489" s="31"/>
      <c r="AT4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9" s="37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7" t="str">
        <f>Table2[[#This Row],[device_suggested_area]]</f>
        <v>Home</v>
      </c>
      <c r="BA489" s="30" t="str">
        <f>IF(ISBLANK(Table2[[#This Row],[device_model]]), "", Table2[[#This Row],[device_suggested_area]])</f>
        <v>Home</v>
      </c>
      <c r="BB489" s="37" t="s">
        <v>996</v>
      </c>
      <c r="BC489" s="37" t="s">
        <v>463</v>
      </c>
      <c r="BD489" s="30" t="s">
        <v>439</v>
      </c>
      <c r="BF489" s="37" t="s">
        <v>464</v>
      </c>
      <c r="BG489" s="30" t="s">
        <v>164</v>
      </c>
      <c r="BL489" s="30" t="s">
        <v>462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2026-09-11T03:19:09Z</dcterms:modified>
</cp:coreProperties>
</file>