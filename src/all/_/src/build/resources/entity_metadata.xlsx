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EDE3EEA4-023F-5E49-A086-E59E6F33570D}" xr6:coauthVersionLast="47" xr6:coauthVersionMax="47" xr10:uidLastSave="{00000000-0000-0000-0000-000000000000}"/>
  <bookViews>
    <workbookView xWindow="9080" yWindow="1420" windowWidth="396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308" i="1" l="1"/>
  <c r="BA308" i="1"/>
  <c r="AW308" i="1"/>
  <c r="AV308" i="1"/>
  <c r="AM308" i="1"/>
  <c r="AL308" i="1"/>
  <c r="AK308" i="1"/>
  <c r="AJ308" i="1"/>
  <c r="F308" i="1"/>
  <c r="AY308" i="1" s="1"/>
  <c r="BN301" i="1"/>
  <c r="BA301" i="1"/>
  <c r="AW301" i="1" s="1"/>
  <c r="AV301" i="1" s="1"/>
  <c r="AM301" i="1"/>
  <c r="AL301" i="1"/>
  <c r="AK301" i="1"/>
  <c r="AJ301" i="1"/>
  <c r="F301" i="1"/>
  <c r="BN338" i="1"/>
  <c r="BA338" i="1"/>
  <c r="AW338" i="1" s="1"/>
  <c r="AV338" i="1" s="1"/>
  <c r="AK338" i="1"/>
  <c r="AJ338" i="1"/>
  <c r="F338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K328" i="1"/>
  <c r="AK324" i="1"/>
  <c r="AK322" i="1"/>
  <c r="AK320" i="1"/>
  <c r="AK318" i="1"/>
  <c r="AJ328" i="1"/>
  <c r="AJ324" i="1"/>
  <c r="AJ322" i="1"/>
  <c r="AJ320" i="1"/>
  <c r="AJ318" i="1"/>
  <c r="AJ311" i="1"/>
  <c r="AJ310" i="1"/>
  <c r="AJ309" i="1"/>
  <c r="AJ292" i="1"/>
  <c r="AJ307" i="1"/>
  <c r="AJ306" i="1"/>
  <c r="AJ298" i="1"/>
  <c r="AJ305" i="1"/>
  <c r="AJ294" i="1"/>
  <c r="AJ303" i="1"/>
  <c r="AJ302" i="1"/>
  <c r="AJ300" i="1"/>
  <c r="AJ304" i="1"/>
  <c r="AJ299" i="1"/>
  <c r="AJ297" i="1"/>
  <c r="AJ296" i="1"/>
  <c r="AJ295" i="1"/>
  <c r="AJ293" i="1"/>
  <c r="AJ291" i="1"/>
  <c r="AL311" i="1"/>
  <c r="AL310" i="1"/>
  <c r="AL309" i="1"/>
  <c r="AL292" i="1"/>
  <c r="AL307" i="1"/>
  <c r="AL306" i="1"/>
  <c r="AL298" i="1"/>
  <c r="AL305" i="1"/>
  <c r="AL294" i="1"/>
  <c r="AL303" i="1"/>
  <c r="AL302" i="1"/>
  <c r="AL300" i="1"/>
  <c r="AL304" i="1"/>
  <c r="AL299" i="1"/>
  <c r="AL297" i="1"/>
  <c r="AL296" i="1"/>
  <c r="AL295" i="1"/>
  <c r="AL293" i="1"/>
  <c r="AL291" i="1"/>
  <c r="BN330" i="1"/>
  <c r="BA330" i="1"/>
  <c r="AW330" i="1"/>
  <c r="AX330" i="1" s="1"/>
  <c r="AV330" i="1"/>
  <c r="F330" i="1"/>
  <c r="BN290" i="1"/>
  <c r="BA290" i="1"/>
  <c r="AW290" i="1"/>
  <c r="AV290" i="1"/>
  <c r="F290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292" i="1"/>
  <c r="BA292" i="1"/>
  <c r="AW292" i="1" s="1"/>
  <c r="AM292" i="1"/>
  <c r="AK292" i="1"/>
  <c r="F292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298" i="1"/>
  <c r="BA298" i="1"/>
  <c r="AW298" i="1" s="1"/>
  <c r="AM298" i="1"/>
  <c r="AK298" i="1"/>
  <c r="F298" i="1"/>
  <c r="BN305" i="1"/>
  <c r="BA305" i="1"/>
  <c r="AW305" i="1" s="1"/>
  <c r="AM305" i="1"/>
  <c r="AK305" i="1"/>
  <c r="F305" i="1"/>
  <c r="BN294" i="1"/>
  <c r="BA294" i="1"/>
  <c r="AW294" i="1" s="1"/>
  <c r="AM294" i="1"/>
  <c r="AK294" i="1"/>
  <c r="F29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0" i="1"/>
  <c r="BA300" i="1"/>
  <c r="AW300" i="1" s="1"/>
  <c r="AM300" i="1"/>
  <c r="AK300" i="1"/>
  <c r="F300" i="1"/>
  <c r="BN304" i="1"/>
  <c r="BA304" i="1"/>
  <c r="AW304" i="1" s="1"/>
  <c r="AM304" i="1"/>
  <c r="AK304" i="1"/>
  <c r="F304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81" i="1"/>
  <c r="BA381" i="1"/>
  <c r="AZ381" i="1"/>
  <c r="AW381" i="1" s="1"/>
  <c r="AX381" i="1" s="1"/>
  <c r="AT381" i="1"/>
  <c r="F381" i="1"/>
  <c r="BN410" i="1"/>
  <c r="BA410" i="1"/>
  <c r="AW410" i="1"/>
  <c r="AX410" i="1" s="1"/>
  <c r="AV410" i="1"/>
  <c r="F410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2" i="1"/>
  <c r="AW372" i="1"/>
  <c r="AV372" i="1" s="1"/>
  <c r="T372" i="1"/>
  <c r="S372" i="1"/>
  <c r="F372" i="1"/>
  <c r="BN371" i="1"/>
  <c r="AW371" i="1"/>
  <c r="AX371" i="1" s="1"/>
  <c r="T371" i="1"/>
  <c r="S371" i="1"/>
  <c r="F371" i="1"/>
  <c r="BN398" i="1"/>
  <c r="BA398" i="1"/>
  <c r="AW398" i="1" s="1"/>
  <c r="AX398" i="1" s="1"/>
  <c r="T398" i="1"/>
  <c r="S398" i="1"/>
  <c r="F398" i="1"/>
  <c r="BN397" i="1"/>
  <c r="BA397" i="1"/>
  <c r="AW397" i="1" s="1"/>
  <c r="AX397" i="1" s="1"/>
  <c r="S397" i="1"/>
  <c r="F397" i="1"/>
  <c r="BN396" i="1"/>
  <c r="BA396" i="1"/>
  <c r="AW396" i="1" s="1"/>
  <c r="AM396" i="1"/>
  <c r="AK396" i="1"/>
  <c r="AJ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T394" i="1"/>
  <c r="AM394" i="1"/>
  <c r="AL394" i="1"/>
  <c r="AK394" i="1"/>
  <c r="AJ394" i="1"/>
  <c r="T394" i="1"/>
  <c r="S394" i="1"/>
  <c r="F394" i="1"/>
  <c r="BN393" i="1"/>
  <c r="BA393" i="1"/>
  <c r="AW393" i="1" s="1"/>
  <c r="S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T390" i="1"/>
  <c r="AM390" i="1"/>
  <c r="AL390" i="1"/>
  <c r="AK390" i="1"/>
  <c r="AJ390" i="1"/>
  <c r="T390" i="1"/>
  <c r="S390" i="1"/>
  <c r="F390" i="1"/>
  <c r="BN389" i="1"/>
  <c r="BA389" i="1"/>
  <c r="AW389" i="1" s="1"/>
  <c r="S389" i="1"/>
  <c r="F389" i="1"/>
  <c r="BN388" i="1"/>
  <c r="AW388" i="1"/>
  <c r="AX388" i="1" s="1"/>
  <c r="T388" i="1"/>
  <c r="S388" i="1"/>
  <c r="F388" i="1"/>
  <c r="BN387" i="1"/>
  <c r="AW387" i="1"/>
  <c r="AX387" i="1" s="1"/>
  <c r="T387" i="1"/>
  <c r="S387" i="1"/>
  <c r="F387" i="1"/>
  <c r="BN386" i="1"/>
  <c r="BA386" i="1"/>
  <c r="AW386" i="1" s="1"/>
  <c r="T386" i="1"/>
  <c r="S386" i="1"/>
  <c r="F386" i="1"/>
  <c r="BN385" i="1"/>
  <c r="BA385" i="1"/>
  <c r="AW385" i="1" s="1"/>
  <c r="S385" i="1"/>
  <c r="F385" i="1"/>
  <c r="BN384" i="1"/>
  <c r="BA384" i="1"/>
  <c r="AW384" i="1" s="1"/>
  <c r="T384" i="1"/>
  <c r="S384" i="1"/>
  <c r="F384" i="1"/>
  <c r="BN383" i="1"/>
  <c r="BA383" i="1"/>
  <c r="AW383" i="1" s="1"/>
  <c r="AX383" i="1" s="1"/>
  <c r="S383" i="1"/>
  <c r="F383" i="1"/>
  <c r="BN350" i="1"/>
  <c r="BA350" i="1"/>
  <c r="AW350" i="1" s="1"/>
  <c r="AV350" i="1" s="1"/>
  <c r="AT350" i="1"/>
  <c r="AM350" i="1"/>
  <c r="AL350" i="1"/>
  <c r="AK350" i="1"/>
  <c r="AJ350" i="1"/>
  <c r="F350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8" i="1"/>
  <c r="BN469" i="1"/>
  <c r="BB469" i="1"/>
  <c r="AW469" i="1" s="1"/>
  <c r="BA469" i="1"/>
  <c r="F469" i="1"/>
  <c r="BN470" i="1"/>
  <c r="BB470" i="1"/>
  <c r="AW470" i="1" s="1"/>
  <c r="BA470" i="1"/>
  <c r="F470" i="1"/>
  <c r="BN482" i="1"/>
  <c r="BA482" i="1"/>
  <c r="AW482" i="1"/>
  <c r="AX482" i="1" s="1"/>
  <c r="AK482" i="1"/>
  <c r="AJ482" i="1"/>
  <c r="F482" i="1"/>
  <c r="BN481" i="1"/>
  <c r="BA481" i="1"/>
  <c r="AW481" i="1"/>
  <c r="AX481" i="1" s="1"/>
  <c r="AK481" i="1"/>
  <c r="AJ481" i="1"/>
  <c r="F481" i="1"/>
  <c r="BA479" i="1"/>
  <c r="BA478" i="1"/>
  <c r="BN478" i="1"/>
  <c r="AW478" i="1"/>
  <c r="AX478" i="1" s="1"/>
  <c r="AK478" i="1"/>
  <c r="AJ478" i="1"/>
  <c r="F478" i="1"/>
  <c r="BN477" i="1"/>
  <c r="BA477" i="1"/>
  <c r="AW477" i="1"/>
  <c r="AX477" i="1" s="1"/>
  <c r="AK477" i="1"/>
  <c r="AJ477" i="1"/>
  <c r="F477" i="1"/>
  <c r="AV463" i="1"/>
  <c r="AV448" i="1"/>
  <c r="AV453" i="1"/>
  <c r="AV461" i="1"/>
  <c r="BB471" i="1"/>
  <c r="AW471" i="1" s="1"/>
  <c r="AV471" i="1" s="1"/>
  <c r="BN471" i="1"/>
  <c r="BA471" i="1"/>
  <c r="F471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1" i="1"/>
  <c r="AW361" i="1" s="1"/>
  <c r="BA362" i="1"/>
  <c r="AW362" i="1" s="1"/>
  <c r="S362" i="1"/>
  <c r="S361" i="1"/>
  <c r="BN362" i="1"/>
  <c r="T362" i="1"/>
  <c r="F362" i="1"/>
  <c r="BN361" i="1"/>
  <c r="T361" i="1"/>
  <c r="F361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3" i="1"/>
  <c r="BA473" i="1"/>
  <c r="AW473" i="1"/>
  <c r="AX473" i="1" s="1"/>
  <c r="F473" i="1"/>
  <c r="BN475" i="1"/>
  <c r="BA475" i="1"/>
  <c r="AW475" i="1"/>
  <c r="AX475" i="1" s="1"/>
  <c r="F475" i="1"/>
  <c r="AW474" i="1"/>
  <c r="AX474" i="1" s="1"/>
  <c r="BN474" i="1"/>
  <c r="BA474" i="1"/>
  <c r="F474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9" i="1"/>
  <c r="BA459" i="1"/>
  <c r="AW459" i="1"/>
  <c r="AX459" i="1" s="1"/>
  <c r="AV459" i="1"/>
  <c r="F459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32" i="1"/>
  <c r="BA432" i="1"/>
  <c r="AW432" i="1" s="1"/>
  <c r="AX432" i="1" s="1"/>
  <c r="F432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80" i="1"/>
  <c r="AW479" i="1"/>
  <c r="AX479" i="1" s="1"/>
  <c r="AW480" i="1"/>
  <c r="AX480" i="1" s="1"/>
  <c r="F479" i="1"/>
  <c r="AJ479" i="1"/>
  <c r="AK479" i="1"/>
  <c r="BN479" i="1"/>
  <c r="F480" i="1"/>
  <c r="AJ480" i="1"/>
  <c r="AK480" i="1"/>
  <c r="BN480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9" i="1"/>
  <c r="F340" i="1"/>
  <c r="F341" i="1"/>
  <c r="F342" i="1"/>
  <c r="F343" i="1"/>
  <c r="F344" i="1"/>
  <c r="F345" i="1"/>
  <c r="F346" i="1"/>
  <c r="F351" i="1"/>
  <c r="F352" i="1"/>
  <c r="F353" i="1"/>
  <c r="F354" i="1"/>
  <c r="F355" i="1"/>
  <c r="F356" i="1"/>
  <c r="F357" i="1"/>
  <c r="F358" i="1"/>
  <c r="F359" i="1"/>
  <c r="F360" i="1"/>
  <c r="F363" i="1"/>
  <c r="F364" i="1"/>
  <c r="F365" i="1"/>
  <c r="F366" i="1"/>
  <c r="F367" i="1"/>
  <c r="F368" i="1"/>
  <c r="F369" i="1"/>
  <c r="F370" i="1"/>
  <c r="F373" i="1"/>
  <c r="F374" i="1"/>
  <c r="F375" i="1"/>
  <c r="F376" i="1"/>
  <c r="F377" i="1"/>
  <c r="F378" i="1"/>
  <c r="F379" i="1"/>
  <c r="F380" i="1"/>
  <c r="F382" i="1"/>
  <c r="F399" i="1"/>
  <c r="F400" i="1"/>
  <c r="F401" i="1"/>
  <c r="F402" i="1"/>
  <c r="F403" i="1"/>
  <c r="F404" i="1"/>
  <c r="F405" i="1"/>
  <c r="F406" i="1"/>
  <c r="F407" i="1"/>
  <c r="F408" i="1"/>
  <c r="F409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60" i="1"/>
  <c r="F461" i="1"/>
  <c r="F462" i="1"/>
  <c r="F463" i="1"/>
  <c r="F464" i="1"/>
  <c r="F465" i="1"/>
  <c r="F466" i="1"/>
  <c r="F467" i="1"/>
  <c r="F468" i="1"/>
  <c r="F472" i="1"/>
  <c r="F476" i="1"/>
  <c r="F483" i="1"/>
  <c r="F484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1" i="1"/>
  <c r="AR77" i="1"/>
  <c r="AR76" i="1"/>
  <c r="AR75" i="1"/>
  <c r="AR74" i="1"/>
  <c r="AR73" i="1"/>
  <c r="AR72" i="1"/>
  <c r="AX308" i="1" l="1"/>
  <c r="AY301" i="1"/>
  <c r="AX301" i="1"/>
  <c r="AX338" i="1"/>
  <c r="AY338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20" i="1"/>
  <c r="AX318" i="1"/>
  <c r="AY330" i="1"/>
  <c r="AY312" i="1"/>
  <c r="AY290" i="1"/>
  <c r="AX290" i="1"/>
  <c r="AX294" i="1"/>
  <c r="AX306" i="1"/>
  <c r="AX299" i="1"/>
  <c r="AX302" i="1"/>
  <c r="AX310" i="1"/>
  <c r="AX296" i="1"/>
  <c r="AX298" i="1"/>
  <c r="AY299" i="1"/>
  <c r="AY298" i="1"/>
  <c r="AY296" i="1"/>
  <c r="AY304" i="1"/>
  <c r="AY307" i="1"/>
  <c r="AX300" i="1"/>
  <c r="AY302" i="1"/>
  <c r="AX292" i="1"/>
  <c r="AY310" i="1"/>
  <c r="AY295" i="1"/>
  <c r="AY294" i="1"/>
  <c r="AV296" i="1"/>
  <c r="AX295" i="1"/>
  <c r="AY300" i="1"/>
  <c r="AY292" i="1"/>
  <c r="AY297" i="1"/>
  <c r="AY303" i="1"/>
  <c r="AX309" i="1"/>
  <c r="AY311" i="1"/>
  <c r="AX293" i="1"/>
  <c r="AY305" i="1"/>
  <c r="AX303" i="1"/>
  <c r="AX311" i="1"/>
  <c r="AX297" i="1"/>
  <c r="AX305" i="1"/>
  <c r="AY306" i="1"/>
  <c r="AY293" i="1"/>
  <c r="AX304" i="1"/>
  <c r="AX307" i="1"/>
  <c r="AY309" i="1"/>
  <c r="AV299" i="1"/>
  <c r="AV304" i="1"/>
  <c r="AV300" i="1"/>
  <c r="AV302" i="1"/>
  <c r="AV303" i="1"/>
  <c r="AV294" i="1"/>
  <c r="AV305" i="1"/>
  <c r="AV298" i="1"/>
  <c r="AV306" i="1"/>
  <c r="AV307" i="1"/>
  <c r="AV292" i="1"/>
  <c r="AV309" i="1"/>
  <c r="AV310" i="1"/>
  <c r="AV311" i="1"/>
  <c r="AY381" i="1"/>
  <c r="AV381" i="1"/>
  <c r="AY162" i="1"/>
  <c r="AY410" i="1"/>
  <c r="AV161" i="1"/>
  <c r="AY372" i="1"/>
  <c r="AY161" i="1"/>
  <c r="AV162" i="1"/>
  <c r="AX162" i="1"/>
  <c r="AV371" i="1"/>
  <c r="AY371" i="1"/>
  <c r="AY389" i="1"/>
  <c r="AX372" i="1"/>
  <c r="AY393" i="1"/>
  <c r="AV397" i="1"/>
  <c r="AY387" i="1"/>
  <c r="AY397" i="1"/>
  <c r="AX392" i="1"/>
  <c r="AV392" i="1"/>
  <c r="AX391" i="1"/>
  <c r="AV391" i="1"/>
  <c r="AX393" i="1"/>
  <c r="AV393" i="1"/>
  <c r="AX390" i="1"/>
  <c r="AV390" i="1"/>
  <c r="AY388" i="1"/>
  <c r="AY390" i="1"/>
  <c r="AY392" i="1"/>
  <c r="AY391" i="1"/>
  <c r="AY396" i="1"/>
  <c r="AY398" i="1"/>
  <c r="AV387" i="1"/>
  <c r="AX395" i="1"/>
  <c r="AV395" i="1"/>
  <c r="AX386" i="1"/>
  <c r="AV386" i="1"/>
  <c r="AY386" i="1"/>
  <c r="AY384" i="1"/>
  <c r="AX384" i="1"/>
  <c r="AV384" i="1"/>
  <c r="AX394" i="1"/>
  <c r="AV394" i="1"/>
  <c r="AY394" i="1"/>
  <c r="AY385" i="1"/>
  <c r="AY395" i="1"/>
  <c r="AX396" i="1"/>
  <c r="AV396" i="1"/>
  <c r="AV385" i="1"/>
  <c r="AX385" i="1"/>
  <c r="AX389" i="1"/>
  <c r="AV383" i="1"/>
  <c r="AV389" i="1"/>
  <c r="AY383" i="1"/>
  <c r="AV388" i="1"/>
  <c r="AV398" i="1"/>
  <c r="AY347" i="1"/>
  <c r="AX349" i="1"/>
  <c r="AY350" i="1"/>
  <c r="AX347" i="1"/>
  <c r="AY348" i="1"/>
  <c r="AX348" i="1"/>
  <c r="AV348" i="1"/>
  <c r="AY349" i="1"/>
  <c r="AX350" i="1"/>
  <c r="AV347" i="1"/>
  <c r="AY320" i="1"/>
  <c r="AY318" i="1"/>
  <c r="AY469" i="1"/>
  <c r="AV469" i="1"/>
  <c r="AX469" i="1"/>
  <c r="AX470" i="1"/>
  <c r="AV470" i="1"/>
  <c r="AY470" i="1"/>
  <c r="AY482" i="1"/>
  <c r="AV482" i="1"/>
  <c r="AY477" i="1"/>
  <c r="AV477" i="1"/>
  <c r="AY481" i="1"/>
  <c r="AV481" i="1"/>
  <c r="AY478" i="1"/>
  <c r="AV478" i="1"/>
  <c r="AV473" i="1"/>
  <c r="AY127" i="1"/>
  <c r="AY471" i="1"/>
  <c r="AX471" i="1"/>
  <c r="AV127" i="1"/>
  <c r="AY128" i="1"/>
  <c r="AV128" i="1"/>
  <c r="AY42" i="1"/>
  <c r="AY109" i="1"/>
  <c r="AY108" i="1"/>
  <c r="AV108" i="1"/>
  <c r="AX108" i="1"/>
  <c r="AV109" i="1"/>
  <c r="AY361" i="1"/>
  <c r="AX362" i="1"/>
  <c r="AV362" i="1"/>
  <c r="AY362" i="1"/>
  <c r="AX361" i="1"/>
  <c r="AV361" i="1"/>
  <c r="AY473" i="1"/>
  <c r="AY475" i="1"/>
  <c r="AY474" i="1"/>
  <c r="AY459" i="1"/>
  <c r="AX107" i="1"/>
  <c r="AV107" i="1"/>
  <c r="AY107" i="1"/>
  <c r="AX106" i="1"/>
  <c r="AV106" i="1"/>
  <c r="AY106" i="1"/>
  <c r="AY56" i="1"/>
  <c r="AY457" i="1"/>
  <c r="AY456" i="1"/>
  <c r="AY454" i="1"/>
  <c r="AY455" i="1"/>
  <c r="AY458" i="1"/>
  <c r="AY432" i="1"/>
  <c r="AV432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80" i="1"/>
  <c r="AV480" i="1"/>
  <c r="AV479" i="1"/>
  <c r="AY479" i="1"/>
  <c r="AY41" i="1"/>
  <c r="AY43" i="1"/>
  <c r="AX328" i="1"/>
  <c r="AX324" i="1"/>
  <c r="AX314" i="1"/>
  <c r="AX291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1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5" i="1"/>
  <c r="AX465" i="1" s="1"/>
  <c r="AW463" i="1"/>
  <c r="AX463" i="1" s="1"/>
  <c r="AW461" i="1"/>
  <c r="AX461" i="1" s="1"/>
  <c r="AW460" i="1"/>
  <c r="AX460" i="1" s="1"/>
  <c r="AV460" i="1"/>
  <c r="AW453" i="1"/>
  <c r="AX453" i="1" s="1"/>
  <c r="AW450" i="1"/>
  <c r="AX450" i="1" s="1"/>
  <c r="AV450" i="1"/>
  <c r="AW449" i="1"/>
  <c r="AX449" i="1" s="1"/>
  <c r="AV449" i="1"/>
  <c r="AW448" i="1"/>
  <c r="AX448" i="1" s="1"/>
  <c r="AW445" i="1"/>
  <c r="AX445" i="1" s="1"/>
  <c r="AV445" i="1"/>
  <c r="AW444" i="1"/>
  <c r="AX444" i="1" s="1"/>
  <c r="AV444" i="1"/>
  <c r="AW436" i="1"/>
  <c r="AX436" i="1" s="1"/>
  <c r="AV436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09" i="1"/>
  <c r="AX409" i="1" s="1"/>
  <c r="AV409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346" i="1"/>
  <c r="AX346" i="1" s="1"/>
  <c r="AV346" i="1"/>
  <c r="AW345" i="1"/>
  <c r="AX345" i="1" s="1"/>
  <c r="AV345" i="1"/>
  <c r="AW344" i="1"/>
  <c r="AX344" i="1" s="1"/>
  <c r="AV344" i="1"/>
  <c r="AW343" i="1"/>
  <c r="AX343" i="1" s="1"/>
  <c r="AV343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6" i="1"/>
  <c r="AV466" i="1" s="1"/>
  <c r="AW476" i="1"/>
  <c r="AW483" i="1"/>
  <c r="AX483" i="1" s="1"/>
  <c r="BA465" i="1"/>
  <c r="BA463" i="1"/>
  <c r="BA461" i="1"/>
  <c r="BA460" i="1"/>
  <c r="BA453" i="1"/>
  <c r="BA450" i="1"/>
  <c r="BA449" i="1"/>
  <c r="BA448" i="1"/>
  <c r="BA445" i="1"/>
  <c r="BA444" i="1"/>
  <c r="BA436" i="1"/>
  <c r="BA424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09" i="1"/>
  <c r="BA408" i="1"/>
  <c r="BA407" i="1"/>
  <c r="BA406" i="1"/>
  <c r="BA405" i="1"/>
  <c r="BA404" i="1"/>
  <c r="BA403" i="1"/>
  <c r="BA402" i="1"/>
  <c r="BA346" i="1"/>
  <c r="BA345" i="1"/>
  <c r="BA344" i="1"/>
  <c r="BA343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1" i="1"/>
  <c r="BA446" i="1"/>
  <c r="BA484" i="1"/>
  <c r="BA281" i="1"/>
  <c r="AW281" i="1" s="1"/>
  <c r="AX281" i="1" s="1"/>
  <c r="BA472" i="1"/>
  <c r="BA467" i="1"/>
  <c r="BA466" i="1"/>
  <c r="BA464" i="1"/>
  <c r="BA462" i="1"/>
  <c r="BA378" i="1"/>
  <c r="AW378" i="1" s="1"/>
  <c r="AX378" i="1" s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0" i="1"/>
  <c r="AW370" i="1" s="1"/>
  <c r="AX370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2" i="1"/>
  <c r="AW442" i="1" s="1"/>
  <c r="AX442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52" i="1"/>
  <c r="BA447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2" i="1"/>
  <c r="BA380" i="1"/>
  <c r="BA379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6" i="1"/>
  <c r="BA342" i="1"/>
  <c r="AW342" i="1" s="1"/>
  <c r="AX342" i="1" s="1"/>
  <c r="BA341" i="1"/>
  <c r="AW341" i="1" s="1"/>
  <c r="AX341" i="1" s="1"/>
  <c r="BA340" i="1"/>
  <c r="AW340" i="1" s="1"/>
  <c r="AX340" i="1" s="1"/>
  <c r="BA339" i="1"/>
  <c r="AW339" i="1" s="1"/>
  <c r="AX339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3" i="1"/>
  <c r="AW433" i="1" s="1"/>
  <c r="AX433" i="1" s="1"/>
  <c r="BA401" i="1"/>
  <c r="BA400" i="1"/>
  <c r="BA399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5" i="1"/>
  <c r="AW435" i="1" s="1"/>
  <c r="AX435" i="1" s="1"/>
  <c r="BA431" i="1"/>
  <c r="AW431" i="1" s="1"/>
  <c r="AX431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3" i="1"/>
  <c r="BA443" i="1"/>
  <c r="BA434" i="1"/>
  <c r="AW434" i="1" s="1"/>
  <c r="AX434" i="1" s="1"/>
  <c r="S366" i="1"/>
  <c r="S365" i="1"/>
  <c r="S364" i="1"/>
  <c r="S360" i="1"/>
  <c r="S376" i="1"/>
  <c r="S375" i="1"/>
  <c r="S374" i="1"/>
  <c r="S358" i="1"/>
  <c r="S356" i="1"/>
  <c r="T230" i="1"/>
  <c r="T226" i="1"/>
  <c r="T114" i="1"/>
  <c r="S438" i="1"/>
  <c r="S439" i="1"/>
  <c r="S442" i="1"/>
  <c r="S441" i="1"/>
  <c r="S352" i="1"/>
  <c r="S351" i="1"/>
  <c r="S354" i="1"/>
  <c r="S353" i="1"/>
  <c r="S378" i="1"/>
  <c r="S377" i="1"/>
  <c r="T368" i="1"/>
  <c r="T370" i="1"/>
  <c r="T224" i="1"/>
  <c r="T352" i="1"/>
  <c r="T366" i="1"/>
  <c r="T364" i="1"/>
  <c r="T360" i="1"/>
  <c r="T356" i="1"/>
  <c r="T374" i="1"/>
  <c r="T358" i="1"/>
  <c r="T376" i="1"/>
  <c r="T354" i="1"/>
  <c r="T378" i="1"/>
  <c r="S427" i="1"/>
  <c r="S429" i="1"/>
  <c r="S430" i="1"/>
  <c r="S440" i="1"/>
  <c r="S428" i="1"/>
  <c r="S426" i="1"/>
  <c r="S425" i="1"/>
  <c r="S373" i="1"/>
  <c r="S355" i="1"/>
  <c r="S357" i="1"/>
  <c r="S359" i="1"/>
  <c r="S363" i="1"/>
  <c r="BB472" i="1"/>
  <c r="AW472" i="1" s="1"/>
  <c r="BB468" i="1"/>
  <c r="AW468" i="1" s="1"/>
  <c r="BB467" i="1"/>
  <c r="AW467" i="1" s="1"/>
  <c r="BB464" i="1"/>
  <c r="AW464" i="1" s="1"/>
  <c r="BB462" i="1"/>
  <c r="AW462" i="1" s="1"/>
  <c r="AZ484" i="1"/>
  <c r="AW484" i="1" s="1"/>
  <c r="AX484" i="1" s="1"/>
  <c r="AZ451" i="1"/>
  <c r="AW451" i="1" s="1"/>
  <c r="AX451" i="1" s="1"/>
  <c r="AZ446" i="1"/>
  <c r="AW446" i="1" s="1"/>
  <c r="AX446" i="1" s="1"/>
  <c r="AZ452" i="1"/>
  <c r="AW452" i="1" s="1"/>
  <c r="AX452" i="1" s="1"/>
  <c r="AZ447" i="1"/>
  <c r="AW447" i="1" s="1"/>
  <c r="AX447" i="1" s="1"/>
  <c r="AZ382" i="1"/>
  <c r="AW382" i="1" s="1"/>
  <c r="AX382" i="1" s="1"/>
  <c r="AZ380" i="1"/>
  <c r="AW380" i="1" s="1"/>
  <c r="AX380" i="1" s="1"/>
  <c r="AZ379" i="1"/>
  <c r="AW379" i="1" s="1"/>
  <c r="AX379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1" i="1"/>
  <c r="AW401" i="1" s="1"/>
  <c r="AX401" i="1" s="1"/>
  <c r="AZ400" i="1"/>
  <c r="AW400" i="1" s="1"/>
  <c r="AX400" i="1" s="1"/>
  <c r="AZ399" i="1"/>
  <c r="AW399" i="1" s="1"/>
  <c r="AX399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9" i="1"/>
  <c r="S367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9" i="1"/>
  <c r="BN340" i="1"/>
  <c r="BN341" i="1"/>
  <c r="BN342" i="1"/>
  <c r="BN343" i="1"/>
  <c r="BN344" i="1"/>
  <c r="BN345" i="1"/>
  <c r="BN346" i="1"/>
  <c r="BN351" i="1"/>
  <c r="BN352" i="1"/>
  <c r="BN353" i="1"/>
  <c r="BN354" i="1"/>
  <c r="BN355" i="1"/>
  <c r="BN356" i="1"/>
  <c r="BN357" i="1"/>
  <c r="BN358" i="1"/>
  <c r="BN359" i="1"/>
  <c r="BN360" i="1"/>
  <c r="BN363" i="1"/>
  <c r="BN364" i="1"/>
  <c r="BN365" i="1"/>
  <c r="BN366" i="1"/>
  <c r="BN367" i="1"/>
  <c r="BN368" i="1"/>
  <c r="BN369" i="1"/>
  <c r="BN370" i="1"/>
  <c r="BN373" i="1"/>
  <c r="BN374" i="1"/>
  <c r="BN375" i="1"/>
  <c r="BN376" i="1"/>
  <c r="BN377" i="1"/>
  <c r="BN378" i="1"/>
  <c r="BN379" i="1"/>
  <c r="BN380" i="1"/>
  <c r="BN382" i="1"/>
  <c r="BN399" i="1"/>
  <c r="BN400" i="1"/>
  <c r="BN401" i="1"/>
  <c r="BN402" i="1"/>
  <c r="BN403" i="1"/>
  <c r="BN404" i="1"/>
  <c r="BN405" i="1"/>
  <c r="BN406" i="1"/>
  <c r="BN407" i="1"/>
  <c r="BN408" i="1"/>
  <c r="BN409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1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60" i="1"/>
  <c r="BN461" i="1"/>
  <c r="BN462" i="1"/>
  <c r="BN463" i="1"/>
  <c r="BN464" i="1"/>
  <c r="BN465" i="1"/>
  <c r="BN466" i="1"/>
  <c r="BN467" i="1"/>
  <c r="BN468" i="1"/>
  <c r="BN472" i="1"/>
  <c r="BN476" i="1"/>
  <c r="BN483" i="1"/>
  <c r="BN484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7" i="1"/>
  <c r="T205" i="1"/>
  <c r="T200" i="1"/>
  <c r="S370" i="1"/>
  <c r="S368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1" i="1"/>
  <c r="AT400" i="1"/>
  <c r="AT484" i="1"/>
  <c r="AT399" i="1"/>
  <c r="AT382" i="1"/>
  <c r="AT380" i="1"/>
  <c r="AT379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7" i="1" l="1"/>
  <c r="AV467" i="1"/>
  <c r="AX468" i="1"/>
  <c r="AV468" i="1"/>
  <c r="AX476" i="1"/>
  <c r="AV476" i="1"/>
  <c r="AX462" i="1"/>
  <c r="AV462" i="1"/>
  <c r="AX472" i="1"/>
  <c r="AV472" i="1"/>
  <c r="AX464" i="1"/>
  <c r="AV464" i="1"/>
  <c r="AX466" i="1"/>
  <c r="AW443" i="1"/>
  <c r="AX443" i="1" s="1"/>
  <c r="AY337" i="1"/>
  <c r="AY226" i="1"/>
  <c r="AV382" i="1"/>
  <c r="AV168" i="1"/>
  <c r="AY47" i="1"/>
  <c r="AV120" i="1"/>
  <c r="AY332" i="1"/>
  <c r="AY215" i="1"/>
  <c r="AY216" i="1"/>
  <c r="AY95" i="1"/>
  <c r="AY101" i="1"/>
  <c r="AY333" i="1"/>
  <c r="AY345" i="1"/>
  <c r="AV81" i="1"/>
  <c r="AY8" i="1"/>
  <c r="AY355" i="1"/>
  <c r="AV142" i="1"/>
  <c r="AV192" i="1"/>
  <c r="AY230" i="1"/>
  <c r="AY200" i="1"/>
  <c r="AY233" i="1"/>
  <c r="AY152" i="1"/>
  <c r="AV442" i="1"/>
  <c r="AY445" i="1"/>
  <c r="AY140" i="1"/>
  <c r="AY73" i="1"/>
  <c r="AV429" i="1"/>
  <c r="AY429" i="1"/>
  <c r="AY231" i="1"/>
  <c r="AY483" i="1"/>
  <c r="AY96" i="1"/>
  <c r="AY346" i="1"/>
  <c r="AY406" i="1"/>
  <c r="AY419" i="1"/>
  <c r="AY4" i="1"/>
  <c r="AY28" i="1"/>
  <c r="AY26" i="1"/>
  <c r="AV167" i="1"/>
  <c r="AY167" i="1"/>
  <c r="AY366" i="1"/>
  <c r="AY462" i="1"/>
  <c r="AY86" i="1"/>
  <c r="AY178" i="1"/>
  <c r="AY219" i="1"/>
  <c r="AY74" i="1"/>
  <c r="AY87" i="1"/>
  <c r="AV430" i="1"/>
  <c r="AY430" i="1"/>
  <c r="AV202" i="1"/>
  <c r="AY202" i="1"/>
  <c r="AY205" i="1"/>
  <c r="AY352" i="1"/>
  <c r="AY422" i="1"/>
  <c r="AY451" i="1"/>
  <c r="AY89" i="1"/>
  <c r="AV431" i="1"/>
  <c r="AY431" i="1"/>
  <c r="AY68" i="1"/>
  <c r="AV203" i="1"/>
  <c r="AY203" i="1"/>
  <c r="AY206" i="1"/>
  <c r="AY360" i="1"/>
  <c r="AV374" i="1"/>
  <c r="AY240" i="1"/>
  <c r="AY246" i="1"/>
  <c r="AY252" i="1"/>
  <c r="AY264" i="1"/>
  <c r="AY276" i="1"/>
  <c r="AY335" i="1"/>
  <c r="AY407" i="1"/>
  <c r="AY420" i="1"/>
  <c r="AV452" i="1"/>
  <c r="AY367" i="1"/>
  <c r="AY188" i="1"/>
  <c r="AV190" i="1"/>
  <c r="AY190" i="1"/>
  <c r="AY468" i="1"/>
  <c r="AY434" i="1"/>
  <c r="AV32" i="1"/>
  <c r="AV69" i="1"/>
  <c r="AY69" i="1"/>
  <c r="AY204" i="1"/>
  <c r="AY363" i="1"/>
  <c r="AY375" i="1"/>
  <c r="AV154" i="1"/>
  <c r="AV191" i="1"/>
  <c r="AY191" i="1"/>
  <c r="AY150" i="1"/>
  <c r="AV379" i="1"/>
  <c r="AY379" i="1"/>
  <c r="AY70" i="1"/>
  <c r="AV112" i="1"/>
  <c r="AY112" i="1"/>
  <c r="AY207" i="1"/>
  <c r="AY241" i="1"/>
  <c r="AY253" i="1"/>
  <c r="AY265" i="1"/>
  <c r="AY277" i="1"/>
  <c r="AY421" i="1"/>
  <c r="AY460" i="1"/>
  <c r="AY378" i="1"/>
  <c r="AV169" i="1"/>
  <c r="AY169" i="1"/>
  <c r="AY75" i="1"/>
  <c r="AY166" i="1"/>
  <c r="AV92" i="1"/>
  <c r="AY92" i="1"/>
  <c r="AY71" i="1"/>
  <c r="AY117" i="1"/>
  <c r="AY208" i="1"/>
  <c r="AV441" i="1"/>
  <c r="AY441" i="1"/>
  <c r="AY365" i="1"/>
  <c r="AY377" i="1"/>
  <c r="AY62" i="1"/>
  <c r="AY399" i="1"/>
  <c r="AY464" i="1"/>
  <c r="AY476" i="1"/>
  <c r="AY400" i="1"/>
  <c r="AV145" i="1"/>
  <c r="AY199" i="1"/>
  <c r="AY18" i="1"/>
  <c r="AY55" i="1"/>
  <c r="AV110" i="1"/>
  <c r="AY341" i="1"/>
  <c r="AV181" i="1"/>
  <c r="AY435" i="1"/>
  <c r="AY85" i="1"/>
  <c r="AY183" i="1"/>
  <c r="AY195" i="1"/>
  <c r="AY447" i="1"/>
  <c r="AY133" i="1"/>
  <c r="AY237" i="1"/>
  <c r="AY273" i="1"/>
  <c r="AY411" i="1"/>
  <c r="AY448" i="1"/>
  <c r="AY49" i="1"/>
  <c r="AY63" i="1"/>
  <c r="AV342" i="1"/>
  <c r="AY48" i="1"/>
  <c r="AY249" i="1"/>
  <c r="AV156" i="1"/>
  <c r="AY50" i="1"/>
  <c r="AY356" i="1"/>
  <c r="AY368" i="1"/>
  <c r="AY238" i="1"/>
  <c r="AY412" i="1"/>
  <c r="AY424" i="1"/>
  <c r="AY6" i="1"/>
  <c r="AY423" i="1"/>
  <c r="AY170" i="1"/>
  <c r="AV157" i="1"/>
  <c r="AY12" i="1"/>
  <c r="AY357" i="1"/>
  <c r="AV171" i="1"/>
  <c r="AV193" i="1"/>
  <c r="AY465" i="1"/>
  <c r="AY239" i="1"/>
  <c r="AY251" i="1"/>
  <c r="AY263" i="1"/>
  <c r="AY159" i="1"/>
  <c r="AV111" i="1"/>
  <c r="AY223" i="1"/>
  <c r="AY51" i="1"/>
  <c r="AY135" i="1"/>
  <c r="AY211" i="1"/>
  <c r="AV359" i="1"/>
  <c r="AY343" i="1"/>
  <c r="AY30" i="1"/>
  <c r="AY275" i="1"/>
  <c r="AV373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0" i="1"/>
  <c r="AY259" i="1"/>
  <c r="AY235" i="1"/>
  <c r="AY446" i="1"/>
  <c r="AY212" i="1"/>
  <c r="AY61" i="1"/>
  <c r="AY463" i="1"/>
  <c r="AY143" i="1"/>
  <c r="AY404" i="1"/>
  <c r="AY20" i="1"/>
  <c r="AY250" i="1"/>
  <c r="AY364" i="1"/>
  <c r="AV176" i="1"/>
  <c r="AV428" i="1"/>
  <c r="AV158" i="1"/>
  <c r="AY158" i="1"/>
  <c r="AV177" i="1"/>
  <c r="AV218" i="1"/>
  <c r="AY218" i="1"/>
  <c r="AY14" i="1"/>
  <c r="AY52" i="1"/>
  <c r="AV66" i="1"/>
  <c r="AV281" i="1"/>
  <c r="AY160" i="1"/>
  <c r="AY413" i="1"/>
  <c r="AV4" i="1"/>
  <c r="AV28" i="1"/>
  <c r="AY67" i="1"/>
  <c r="AY224" i="1"/>
  <c r="AY369" i="1"/>
  <c r="AY32" i="1"/>
  <c r="AY155" i="1"/>
  <c r="AY111" i="1"/>
  <c r="AY262" i="1"/>
  <c r="AY408" i="1"/>
  <c r="AY72" i="1"/>
  <c r="AY229" i="1"/>
  <c r="AY376" i="1"/>
  <c r="AY138" i="1"/>
  <c r="AY99" i="1"/>
  <c r="AY80" i="1"/>
  <c r="AY405" i="1"/>
  <c r="AY65" i="1"/>
  <c r="AV172" i="1"/>
  <c r="AY172" i="1"/>
  <c r="AV198" i="1"/>
  <c r="AV16" i="1"/>
  <c r="AY53" i="1"/>
  <c r="AY232" i="1"/>
  <c r="AY437" i="1"/>
  <c r="AY79" i="1"/>
  <c r="AY46" i="1"/>
  <c r="AY461" i="1"/>
  <c r="AY274" i="1"/>
  <c r="AY472" i="1"/>
  <c r="AY358" i="1"/>
  <c r="AY438" i="1"/>
  <c r="AY453" i="1"/>
  <c r="AY186" i="1"/>
  <c r="AY179" i="1"/>
  <c r="AY370" i="1"/>
  <c r="AY163" i="1"/>
  <c r="AV199" i="1"/>
  <c r="AY220" i="1"/>
  <c r="AV55" i="1"/>
  <c r="AY97" i="1"/>
  <c r="AY414" i="1"/>
  <c r="AY436" i="1"/>
  <c r="AY58" i="1"/>
  <c r="AY214" i="1"/>
  <c r="AY359" i="1"/>
  <c r="AY466" i="1"/>
  <c r="AY144" i="1"/>
  <c r="AY433" i="1"/>
  <c r="AY382" i="1"/>
  <c r="AY334" i="1"/>
  <c r="AY484" i="1"/>
  <c r="AY281" i="1"/>
  <c r="AY201" i="1"/>
  <c r="AY66" i="1"/>
  <c r="AY91" i="1"/>
  <c r="AY401" i="1"/>
  <c r="AY149" i="1"/>
  <c r="AY209" i="1"/>
  <c r="AY221" i="1"/>
  <c r="AY76" i="1"/>
  <c r="AV439" i="1"/>
  <c r="AV223" i="1"/>
  <c r="AY258" i="1"/>
  <c r="AY373" i="1"/>
  <c r="AY331" i="1"/>
  <c r="AY156" i="1"/>
  <c r="AY444" i="1"/>
  <c r="AY409" i="1"/>
  <c r="AY351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7" i="1"/>
  <c r="AY81" i="1"/>
  <c r="AY236" i="1"/>
  <c r="AY344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7" i="1"/>
  <c r="AY145" i="1"/>
  <c r="AY439" i="1"/>
  <c r="AY271" i="1"/>
  <c r="AY247" i="1"/>
  <c r="AY16" i="1"/>
  <c r="AY198" i="1"/>
  <c r="AY100" i="1"/>
  <c r="AY257" i="1"/>
  <c r="AY136" i="1"/>
  <c r="AY184" i="1"/>
  <c r="AV339" i="1"/>
  <c r="AY40" i="1"/>
  <c r="AY88" i="1"/>
  <c r="AY242" i="1"/>
  <c r="AY254" i="1"/>
  <c r="AY266" i="1"/>
  <c r="AY278" i="1"/>
  <c r="AY440" i="1"/>
  <c r="AY260" i="1"/>
  <c r="AY374" i="1"/>
  <c r="AY34" i="1"/>
  <c r="AY192" i="1"/>
  <c r="AY157" i="1"/>
  <c r="AY402" i="1"/>
  <c r="AY415" i="1"/>
  <c r="AY116" i="1"/>
  <c r="AY45" i="1"/>
  <c r="AY118" i="1"/>
  <c r="AV146" i="1"/>
  <c r="AY146" i="1"/>
  <c r="AY196" i="1"/>
  <c r="AY137" i="1"/>
  <c r="AY185" i="1"/>
  <c r="AV340" i="1"/>
  <c r="AY353" i="1"/>
  <c r="AY452" i="1"/>
  <c r="AY119" i="1"/>
  <c r="AY272" i="1"/>
  <c r="AY82" i="1"/>
  <c r="AY171" i="1"/>
  <c r="AY450" i="1"/>
  <c r="AY342" i="1"/>
  <c r="AY39" i="1"/>
  <c r="AY256" i="1"/>
  <c r="AY139" i="1"/>
  <c r="AY340" i="1"/>
  <c r="AY217" i="1"/>
  <c r="AY197" i="1"/>
  <c r="AY425" i="1"/>
  <c r="AY113" i="1"/>
  <c r="AY354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6" i="1"/>
  <c r="AY114" i="1"/>
  <c r="AV355" i="1"/>
  <c r="AV367" i="1"/>
  <c r="AY154" i="1"/>
  <c r="AY442" i="1"/>
  <c r="AY110" i="1"/>
  <c r="AY261" i="1"/>
  <c r="AY228" i="1"/>
  <c r="AY193" i="1"/>
  <c r="AY189" i="1"/>
  <c r="AY418" i="1"/>
  <c r="AY165" i="1"/>
  <c r="AY416" i="1"/>
  <c r="AY175" i="1"/>
  <c r="AV451" i="1"/>
  <c r="AV54" i="1"/>
  <c r="AV427" i="1"/>
  <c r="AY64" i="1"/>
  <c r="AV115" i="1"/>
  <c r="AV356" i="1"/>
  <c r="AV368" i="1"/>
  <c r="AY449" i="1"/>
  <c r="AY168" i="1"/>
  <c r="AY120" i="1"/>
  <c r="AY428" i="1"/>
  <c r="AY403" i="1"/>
  <c r="AY339" i="1"/>
  <c r="AY77" i="1"/>
  <c r="AY427" i="1"/>
  <c r="AY177" i="1"/>
  <c r="AV65" i="1"/>
  <c r="AV159" i="1"/>
  <c r="AV219" i="1"/>
  <c r="AV53" i="1"/>
  <c r="AV437" i="1"/>
  <c r="AV220" i="1"/>
  <c r="AV76" i="1"/>
  <c r="AV435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1" i="1"/>
  <c r="AV204" i="1"/>
  <c r="AV217" i="1"/>
  <c r="AV12" i="1"/>
  <c r="AV205" i="1"/>
  <c r="AV75" i="1"/>
  <c r="AV33" i="1"/>
  <c r="AV22" i="1"/>
  <c r="AV207" i="1"/>
  <c r="AV364" i="1"/>
  <c r="AV376" i="1"/>
  <c r="AV216" i="1"/>
  <c r="AV64" i="1"/>
  <c r="AV34" i="1"/>
  <c r="AV59" i="1"/>
  <c r="AV208" i="1"/>
  <c r="AV351" i="1"/>
  <c r="AV365" i="1"/>
  <c r="AV377" i="1"/>
  <c r="AV233" i="1"/>
  <c r="AV74" i="1"/>
  <c r="AV60" i="1"/>
  <c r="AV352" i="1"/>
  <c r="AV366" i="1"/>
  <c r="AV378" i="1"/>
  <c r="AV10" i="1"/>
  <c r="AV86" i="1"/>
  <c r="AV231" i="1"/>
  <c r="AV399" i="1"/>
  <c r="AV87" i="1"/>
  <c r="AV400" i="1"/>
  <c r="AV447" i="1"/>
  <c r="AV36" i="1"/>
  <c r="AV337" i="1"/>
  <c r="AV433" i="1"/>
  <c r="AV353" i="1"/>
  <c r="AV48" i="1"/>
  <c r="AV62" i="1"/>
  <c r="AV341" i="1"/>
  <c r="AV113" i="1"/>
  <c r="AV354" i="1"/>
  <c r="AV484" i="1"/>
  <c r="AV230" i="1"/>
  <c r="AV14" i="1"/>
  <c r="AV483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0" i="1"/>
  <c r="AV45" i="1"/>
  <c r="AV71" i="1"/>
  <c r="AV117" i="1"/>
  <c r="AV426" i="1"/>
  <c r="AV46" i="1"/>
  <c r="AV119" i="1"/>
  <c r="AV425" i="1"/>
  <c r="AV196" i="1"/>
  <c r="AV47" i="1"/>
  <c r="AV226" i="1"/>
  <c r="AV83" i="1"/>
  <c r="AV197" i="1"/>
  <c r="AV227" i="1"/>
  <c r="AV144" i="1"/>
  <c r="AV438" i="1"/>
  <c r="AV360" i="1"/>
  <c r="AV434" i="1"/>
  <c r="AV363" i="1"/>
  <c r="AV141" i="1"/>
  <c r="AV175" i="1"/>
  <c r="AV188" i="1"/>
  <c r="AV229" i="1"/>
  <c r="AV72" i="1"/>
  <c r="AV200" i="1"/>
  <c r="AV357" i="1"/>
  <c r="AV369" i="1"/>
  <c r="AV73" i="1"/>
  <c r="AV201" i="1"/>
  <c r="AV358" i="1"/>
  <c r="AV370" i="1"/>
  <c r="AV178" i="1"/>
  <c r="AV67" i="1"/>
  <c r="AV189" i="1"/>
  <c r="AV163" i="1"/>
  <c r="AV179" i="1"/>
  <c r="AV89" i="1"/>
  <c r="AV18" i="1"/>
  <c r="AV68" i="1"/>
  <c r="AV206" i="1"/>
  <c r="AV90" i="1"/>
  <c r="AV20" i="1"/>
  <c r="AV375" i="1"/>
  <c r="AV77" i="1"/>
  <c r="AV91" i="1"/>
  <c r="AV440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6" i="1"/>
  <c r="AV221" i="1"/>
  <c r="AV174" i="1"/>
  <c r="AV170" i="1"/>
  <c r="AY443" i="1" l="1"/>
  <c r="AV443" i="1"/>
  <c r="AY180" i="1"/>
  <c r="AV180" i="1"/>
  <c r="AY187" i="1"/>
  <c r="AV187" i="1"/>
</calcChain>
</file>

<file path=xl/sharedStrings.xml><?xml version="1.0" encoding="utf-8"?>
<sst xmlns="http://schemas.openxmlformats.org/spreadsheetml/2006/main" count="7753" uniqueCount="1527">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</sst>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4" totalsRowShown="0" headerRowDxfId="68" dataDxfId="66" headerRowBorderDxfId="67">
  <autoFilter ref="A3:BN484" xr:uid="{00000000-000C-0000-FFFF-FFFF00000000}"/>
  <sortState xmlns:xlrd2="http://schemas.microsoft.com/office/spreadsheetml/2017/richdata2" ref="A4:BN484">
    <sortCondition ref="A3:A484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4"/>
  <sheetViews>
    <sheetView tabSelected="1" topLeftCell="XEG277" zoomScale="121" zoomScaleNormal="120" workbookViewId="0">
      <selection activeCell="XFD308" sqref="XFD308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1429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1524</v>
      </c>
      <c r="F300" s="30" t="str">
        <f>IF(ISBLANK(Table2[[#This Row],[unique_id]]), "", PROPER(SUBSTITUTE(Table2[[#This Row],[unique_id]], "_", " ")))</f>
        <v>Service Cloudflare</v>
      </c>
      <c r="G300" s="30" t="s">
        <v>1525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homeassistant/switch/supervisor_macmini-may/service_cloudflare/config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supervisor/macmini-may/data/service/cloudflare/health_status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supervisor/macmini-may/command/service/cloudflare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1472</v>
      </c>
      <c r="F301" s="30" t="str">
        <f>IF(ISBLANK(Table2[[#This Row],[unique_id]]), "", PROPER(SUBSTITUTE(Table2[[#This Row],[unique_id]], "_", " ")))</f>
        <v>Service Grafana</v>
      </c>
      <c r="G301" s="30" t="s">
        <v>1153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1473</v>
      </c>
      <c r="F302" s="30" t="str">
        <f>IF(ISBLANK(Table2[[#This Row],[unique_id]]), "", PROPER(SUBSTITUTE(Table2[[#This Row],[unique_id]], "_", " ")))</f>
        <v>Service Letsencrypt</v>
      </c>
      <c r="G302" s="30" t="s">
        <v>1488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1474</v>
      </c>
      <c r="F303" s="30" t="str">
        <f>IF(ISBLANK(Table2[[#This Row],[unique_id]]), "", PROPER(SUBSTITUTE(Table2[[#This Row],[unique_id]], "_", " ")))</f>
        <v>Service Sonarr</v>
      </c>
      <c r="G303" s="30" t="s">
        <v>1482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1498</v>
      </c>
      <c r="F304" s="30" t="str">
        <f>IF(ISBLANK(Table2[[#This Row],[unique_id]]), "", PROPER(SUBSTITUTE(Table2[[#This Row],[unique_id]], "_", " ")))</f>
        <v>Service Tempstat</v>
      </c>
      <c r="G304" s="30" t="s">
        <v>1494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1394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4" s="30" t="str">
        <f>IF(ISBLANK(Table2[[#This Row],[index]]),  "", _xlfn.CONCAT("supervisor/", Table2[[#This Row],[unique_id_device]], "/status"))</f>
        <v>supervisor/macmini-may/status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Homeassistant</v>
      </c>
      <c r="G305" s="30" t="s">
        <v>1157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1476</v>
      </c>
      <c r="F306" s="30" t="str">
        <f>IF(ISBLANK(Table2[[#This Row],[unique_id]]), "", PROPER(SUBSTITUTE(Table2[[#This Row],[unique_id]], "_", " ")))</f>
        <v>Service Mariadb</v>
      </c>
      <c r="G306" s="30" t="s">
        <v>1489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1477</v>
      </c>
      <c r="F307" s="30" t="str">
        <f>IF(ISBLANK(Table2[[#This Row],[unique_id]]), "", PROPER(SUBSTITUTE(Table2[[#This Row],[unique_id]], "_", " ")))</f>
        <v>Service Nginx</v>
      </c>
      <c r="G307" s="30" t="s">
        <v>1155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1526</v>
      </c>
      <c r="F308" s="30" t="str">
        <f>IF(ISBLANK(Table2[[#This Row],[unique_id]]), "", PROPER(SUBSTITUTE(Table2[[#This Row],[unique_id]], "_", " ")))</f>
        <v>Service Tasmota</v>
      </c>
      <c r="G308" s="30" t="s">
        <v>676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1102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08" s="30" t="str">
        <f>IF(ISBLANK(Table2[[#This Row],[index]]),  "", _xlfn.CONCAT("supervisor/", Table2[[#This Row],[unique_id_device]], "/status"))</f>
        <v>supervisor/macmini-meg/status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1479</v>
      </c>
      <c r="F309" s="30" t="str">
        <f>IF(ISBLANK(Table2[[#This Row],[unique_id]]), "", PROPER(SUBSTITUTE(Table2[[#This Row],[unique_id]], "_", " ")))</f>
        <v>Service Vernemq</v>
      </c>
      <c r="G309" s="30" t="s">
        <v>1490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1102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1151</v>
      </c>
      <c r="D310" s="30" t="s">
        <v>133</v>
      </c>
      <c r="E310" s="30" t="s">
        <v>1480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1501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1493</v>
      </c>
      <c r="AF310" s="30">
        <v>6</v>
      </c>
      <c r="AG310" s="31" t="s">
        <v>34</v>
      </c>
      <c r="AH310" s="31"/>
      <c r="AI310" s="30" t="s">
        <v>1397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1492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1151</v>
      </c>
      <c r="BC310" s="30" t="s">
        <v>1464</v>
      </c>
      <c r="BD310" s="30" t="s">
        <v>1083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1151</v>
      </c>
      <c r="D311" s="30" t="s">
        <v>133</v>
      </c>
      <c r="E311" s="30" t="s">
        <v>1481</v>
      </c>
      <c r="F311" s="30" t="str">
        <f>IF(ISBLANK(Table2[[#This Row],[unique_id]]), "", PROPER(SUBSTITUTE(Table2[[#This Row],[unique_id]], "_", " ")))</f>
        <v>Service Zigbee2Mqtt</v>
      </c>
      <c r="G311" s="30" t="s">
        <v>1491</v>
      </c>
      <c r="H311" s="30" t="s">
        <v>1501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1493</v>
      </c>
      <c r="AF311" s="30">
        <v>6</v>
      </c>
      <c r="AG311" s="31" t="s">
        <v>34</v>
      </c>
      <c r="AH311" s="31"/>
      <c r="AI311" s="30" t="s">
        <v>1397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1492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1151</v>
      </c>
      <c r="BC311" s="30" t="s">
        <v>1464</v>
      </c>
      <c r="BD311" s="30" t="s">
        <v>1083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422</v>
      </c>
      <c r="D312" s="30" t="s">
        <v>315</v>
      </c>
      <c r="E312" s="30" t="s">
        <v>314</v>
      </c>
      <c r="F312" s="36" t="str">
        <f>IF(ISBLANK(Table2[[#This Row],[unique_id]]), "", PROPER(SUBSTITUTE(Table2[[#This Row],[unique_id]], "_", " ")))</f>
        <v>Column Break</v>
      </c>
      <c r="G312" s="30" t="s">
        <v>311</v>
      </c>
      <c r="H312" s="30" t="s">
        <v>1501</v>
      </c>
      <c r="I312" s="30" t="s">
        <v>273</v>
      </c>
      <c r="M312" s="30" t="s">
        <v>312</v>
      </c>
      <c r="N312" s="30" t="s">
        <v>313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1162</v>
      </c>
      <c r="D313" s="30" t="s">
        <v>27</v>
      </c>
      <c r="E313" s="30" t="s">
        <v>1168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1163</v>
      </c>
      <c r="H313" s="30" t="s">
        <v>1165</v>
      </c>
      <c r="I313" s="30" t="s">
        <v>273</v>
      </c>
      <c r="K313" s="30" t="s">
        <v>1133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1080</v>
      </c>
      <c r="F314" s="36" t="str">
        <f>IF(ISBLANK(Table2[[#This Row],[unique_id]]), "", PROPER(SUBSTITUTE(Table2[[#This Row],[unique_id]], "_", " ")))</f>
        <v>Rack Top Temperature</v>
      </c>
      <c r="G314" s="30" t="s">
        <v>1082</v>
      </c>
      <c r="H314" s="30" t="s">
        <v>1165</v>
      </c>
      <c r="I314" s="30" t="s">
        <v>273</v>
      </c>
      <c r="K314" s="30" t="s">
        <v>1125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1101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1125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1082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1494</v>
      </c>
      <c r="D316" s="30" t="s">
        <v>27</v>
      </c>
      <c r="E316" s="30" t="s">
        <v>1081</v>
      </c>
      <c r="F316" s="36" t="str">
        <f>IF(ISBLANK(Table2[[#This Row],[unique_id]]), "", PROPER(SUBSTITUTE(Table2[[#This Row],[unique_id]], "_", " ")))</f>
        <v>Rack Bottom Temperature</v>
      </c>
      <c r="G316" s="30" t="s">
        <v>1084</v>
      </c>
      <c r="H316" s="30" t="s">
        <v>1165</v>
      </c>
      <c r="I316" s="30" t="s">
        <v>273</v>
      </c>
      <c r="K316" s="30" t="s">
        <v>1126</v>
      </c>
      <c r="O316" s="31"/>
      <c r="P316" s="30"/>
      <c r="T316" s="37"/>
      <c r="U316" s="30"/>
      <c r="V316" s="31" t="s">
        <v>1145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300</v>
      </c>
      <c r="AG316" s="31" t="s">
        <v>34</v>
      </c>
      <c r="AH316" s="31"/>
      <c r="AI316" s="30" t="s">
        <v>1394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1496</v>
      </c>
      <c r="BD316" s="30" t="s">
        <v>1497</v>
      </c>
      <c r="BF316" s="30" t="s">
        <v>955</v>
      </c>
      <c r="BG316" s="30" t="s">
        <v>28</v>
      </c>
      <c r="BL316" s="30" t="s">
        <v>1100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1494</v>
      </c>
      <c r="D317" s="30" t="s">
        <v>27</v>
      </c>
      <c r="E317" s="30" t="s">
        <v>1126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1084</v>
      </c>
      <c r="H317" s="30" t="s">
        <v>1165</v>
      </c>
      <c r="I317" s="30" t="s">
        <v>273</v>
      </c>
      <c r="J317" s="30" t="s">
        <v>86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1423</v>
      </c>
      <c r="F318" s="30" t="str">
        <f>IF(ISBLANK(Table2[[#This Row],[unique_id]]), "", PROPER(SUBSTITUTE(Table2[[#This Row],[unique_id]], "_", " ")))</f>
        <v>Host Mad Temperature</v>
      </c>
      <c r="G318" s="30" t="s">
        <v>1427</v>
      </c>
      <c r="H318" s="30" t="s">
        <v>1165</v>
      </c>
      <c r="I318" s="30" t="s">
        <v>273</v>
      </c>
      <c r="K318" s="30" t="s">
        <v>1424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1429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8" s="30" t="str">
        <f>IF(ISBLANK(Table2[[#This Row],[index]]),  "", _xlfn.CONCAT("supervisor/", Table2[[#This Row],[unique_id_device]], "/status"))</f>
        <v>supervisor/macmini-mad/status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1424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1427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1425</v>
      </c>
      <c r="F320" s="30" t="str">
        <f>IF(ISBLANK(Table2[[#This Row],[unique_id]]), "", PROPER(SUBSTITUTE(Table2[[#This Row],[unique_id]], "_", " ")))</f>
        <v>Host Max Temperature</v>
      </c>
      <c r="G320" s="30" t="s">
        <v>1428</v>
      </c>
      <c r="H320" s="30" t="s">
        <v>1165</v>
      </c>
      <c r="I320" s="30" t="s">
        <v>273</v>
      </c>
      <c r="K320" s="30" t="s">
        <v>1426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1430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20" s="30" t="str">
        <f>IF(ISBLANK(Table2[[#This Row],[index]]),  "", _xlfn.CONCAT("supervisor/", Table2[[#This Row],[unique_id_device]], "/status"))</f>
        <v>supervisor/macmini-max/status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1426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1428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1388</v>
      </c>
      <c r="F322" s="30" t="str">
        <f>IF(ISBLANK(Table2[[#This Row],[unique_id]]), "", PROPER(SUBSTITUTE(Table2[[#This Row],[unique_id]], "_", " ")))</f>
        <v>Host May Temperature</v>
      </c>
      <c r="G322" s="30" t="s">
        <v>1387</v>
      </c>
      <c r="H322" s="30" t="s">
        <v>1165</v>
      </c>
      <c r="I322" s="30" t="s">
        <v>273</v>
      </c>
      <c r="K322" s="30" t="s">
        <v>1389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1394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2" s="30" t="str">
        <f>IF(ISBLANK(Table2[[#This Row],[index]]),  "", _xlfn.CONCAT("supervisor/", Table2[[#This Row],[unique_id_device]], "/status"))</f>
        <v>supervisor/macmini-may/status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1389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1387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1151</v>
      </c>
      <c r="D324" s="30" t="s">
        <v>27</v>
      </c>
      <c r="E324" s="30" t="s">
        <v>1158</v>
      </c>
      <c r="F324" s="30" t="str">
        <f>IF(ISBLANK(Table2[[#This Row],[unique_id]]), "", PROPER(SUBSTITUTE(Table2[[#This Row],[unique_id]], "_", " ")))</f>
        <v>Host Meg Temperature</v>
      </c>
      <c r="G324" s="30" t="s">
        <v>1161</v>
      </c>
      <c r="H324" s="30" t="s">
        <v>1165</v>
      </c>
      <c r="I324" s="30" t="s">
        <v>273</v>
      </c>
      <c r="K324" s="30" t="s">
        <v>1160</v>
      </c>
      <c r="O324" s="31"/>
      <c r="P324" s="30"/>
      <c r="T324" s="37"/>
      <c r="U324" s="30"/>
      <c r="V324" s="31" t="s">
        <v>297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F324" s="30">
        <v>5</v>
      </c>
      <c r="AG324" s="31" t="s">
        <v>34</v>
      </c>
      <c r="AH324" s="31"/>
      <c r="AI324" s="30" t="s">
        <v>1102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4" s="30" t="str">
        <f>IF(ISBLANK(Table2[[#This Row],[index]]),  "", _xlfn.CONCAT("supervisor/", Table2[[#This Row],[unique_id_device]], "/status"))</f>
        <v>supervisor/macmini-meg/status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1151</v>
      </c>
      <c r="BC324" s="30" t="s">
        <v>1464</v>
      </c>
      <c r="BD324" s="30" t="s">
        <v>1083</v>
      </c>
      <c r="BF324" s="30" t="s">
        <v>955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1151</v>
      </c>
      <c r="D325" s="30" t="s">
        <v>27</v>
      </c>
      <c r="E325" s="30" t="s">
        <v>1160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1161</v>
      </c>
      <c r="H325" s="30" t="s">
        <v>1165</v>
      </c>
      <c r="I325" s="30" t="s">
        <v>273</v>
      </c>
      <c r="M325" s="30" t="s">
        <v>135</v>
      </c>
      <c r="O325" s="31"/>
      <c r="P325" s="30"/>
      <c r="T325" s="37"/>
      <c r="U325" s="30" t="s">
        <v>418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1162</v>
      </c>
      <c r="D326" s="30" t="s">
        <v>27</v>
      </c>
      <c r="E326" s="30" t="s">
        <v>1170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1167</v>
      </c>
      <c r="H326" s="30" t="s">
        <v>1166</v>
      </c>
      <c r="I326" s="30" t="s">
        <v>273</v>
      </c>
      <c r="K326" s="30" t="s">
        <v>1124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1162</v>
      </c>
      <c r="D327" s="30" t="s">
        <v>27</v>
      </c>
      <c r="E327" s="30" t="s">
        <v>1169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1373</v>
      </c>
      <c r="H327" s="30" t="s">
        <v>1164</v>
      </c>
      <c r="I327" s="30" t="s">
        <v>273</v>
      </c>
      <c r="K327" s="30" t="s">
        <v>1130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1151</v>
      </c>
      <c r="D328" s="30" t="s">
        <v>27</v>
      </c>
      <c r="E328" s="30" t="s">
        <v>1400</v>
      </c>
      <c r="F328" s="30" t="str">
        <f>IF(ISBLANK(Table2[[#This Row],[unique_id]]), "", PROPER(SUBSTITUTE(Table2[[#This Row],[unique_id]], "_", " ")))</f>
        <v>Host Jen Temperature</v>
      </c>
      <c r="G328" s="30" t="s">
        <v>1401</v>
      </c>
      <c r="H328" s="30" t="s">
        <v>1164</v>
      </c>
      <c r="I328" s="30" t="s">
        <v>273</v>
      </c>
      <c r="K328" s="30" t="s">
        <v>1396</v>
      </c>
      <c r="O328" s="31"/>
      <c r="P328" s="30"/>
      <c r="T328" s="37"/>
      <c r="U328" s="30"/>
      <c r="V328" s="31" t="s">
        <v>297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F328" s="30">
        <v>5</v>
      </c>
      <c r="AG328" s="31" t="s">
        <v>34</v>
      </c>
      <c r="AH328" s="31"/>
      <c r="AI328" s="30" t="s">
        <v>1397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8" s="30" t="str">
        <f>IF(ISBLANK(Table2[[#This Row],[index]]),  "", _xlfn.CONCAT("supervisor/", Table2[[#This Row],[unique_id_device]], "/status"))</f>
        <v>supervisor/raspbpi-jen/status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1151</v>
      </c>
      <c r="BC328" s="30" t="s">
        <v>1464</v>
      </c>
      <c r="BD328" s="30" t="s">
        <v>1083</v>
      </c>
      <c r="BF328" s="30" t="s">
        <v>955</v>
      </c>
      <c r="BG328" s="30" t="s">
        <v>477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1151</v>
      </c>
      <c r="D329" s="30" t="s">
        <v>27</v>
      </c>
      <c r="E329" s="30" t="s">
        <v>1396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1401</v>
      </c>
      <c r="H329" s="30" t="s">
        <v>1164</v>
      </c>
      <c r="I329" s="30" t="s">
        <v>273</v>
      </c>
      <c r="M329" s="30" t="s">
        <v>135</v>
      </c>
      <c r="O329" s="31"/>
      <c r="P329" s="30"/>
      <c r="T329" s="37"/>
      <c r="U329" s="30" t="s">
        <v>418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477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422</v>
      </c>
      <c r="D330" s="30" t="s">
        <v>315</v>
      </c>
      <c r="E330" s="30" t="s">
        <v>314</v>
      </c>
      <c r="F330" s="36" t="str">
        <f>IF(ISBLANK(Table2[[#This Row],[unique_id]]), "", PROPER(SUBSTITUTE(Table2[[#This Row],[unique_id]], "_", " ")))</f>
        <v>Column Break</v>
      </c>
      <c r="G330" s="30" t="s">
        <v>311</v>
      </c>
      <c r="H330" s="30" t="s">
        <v>1164</v>
      </c>
      <c r="I330" s="30" t="s">
        <v>273</v>
      </c>
      <c r="M330" s="30" t="s">
        <v>312</v>
      </c>
      <c r="N330" s="30" t="s">
        <v>313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603</v>
      </c>
      <c r="D331" s="30" t="s">
        <v>27</v>
      </c>
      <c r="E331" s="30" t="s">
        <v>641</v>
      </c>
      <c r="F331" s="36" t="str">
        <f>IF(ISBLANK(Table2[[#This Row],[unique_id]]), "", PROPER(SUBSTITUTE(Table2[[#This Row],[unique_id]], "_", " ")))</f>
        <v>Back Door Lock Battery</v>
      </c>
      <c r="G331" s="30" t="s">
        <v>627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603</v>
      </c>
      <c r="D332" s="30" t="s">
        <v>27</v>
      </c>
      <c r="E332" s="30" t="s">
        <v>642</v>
      </c>
      <c r="F332" s="36" t="str">
        <f>IF(ISBLANK(Table2[[#This Row],[unique_id]]), "", PROPER(SUBSTITUTE(Table2[[#This Row],[unique_id]], "_", " ")))</f>
        <v>Front Door Lock Battery</v>
      </c>
      <c r="G332" s="30" t="s">
        <v>626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316</v>
      </c>
      <c r="D333" s="30" t="s">
        <v>27</v>
      </c>
      <c r="E333" s="30" t="s">
        <v>644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629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316</v>
      </c>
      <c r="D334" s="30" t="s">
        <v>27</v>
      </c>
      <c r="E334" s="30" t="s">
        <v>643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628</v>
      </c>
      <c r="H334" s="30" t="s">
        <v>1149</v>
      </c>
      <c r="I334" s="30" t="s">
        <v>273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561</v>
      </c>
      <c r="C335" s="30" t="s">
        <v>439</v>
      </c>
      <c r="D335" s="30" t="s">
        <v>27</v>
      </c>
      <c r="E335" s="30" t="s">
        <v>467</v>
      </c>
      <c r="F335" s="36" t="str">
        <f>IF(ISBLANK(Table2[[#This Row],[unique_id]]), "", PROPER(SUBSTITUTE(Table2[[#This Row],[unique_id]], "_", " ")))</f>
        <v>Home Cube Remote Battery</v>
      </c>
      <c r="G335" s="30" t="s">
        <v>447</v>
      </c>
      <c r="H335" s="30" t="s">
        <v>1149</v>
      </c>
      <c r="I335" s="30" t="s">
        <v>273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638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636</v>
      </c>
      <c r="H336" s="48" t="s">
        <v>1149</v>
      </c>
      <c r="I336" s="48" t="s">
        <v>273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637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446</v>
      </c>
      <c r="H337" s="48" t="s">
        <v>1149</v>
      </c>
      <c r="I337" s="48" t="s">
        <v>273</v>
      </c>
      <c r="O337" s="50"/>
      <c r="T337" s="51"/>
      <c r="V337" s="50" t="s">
        <v>1178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1147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1177</v>
      </c>
      <c r="BC337" s="48" t="s">
        <v>36</v>
      </c>
      <c r="BD337" s="48" t="s">
        <v>37</v>
      </c>
      <c r="BF337" s="48" t="s">
        <v>1029</v>
      </c>
      <c r="BG337" s="48" t="s">
        <v>477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39</v>
      </c>
      <c r="D338" s="30" t="s">
        <v>27</v>
      </c>
      <c r="E338" s="30" t="s">
        <v>1520</v>
      </c>
      <c r="F338" s="36" t="str">
        <f>IF(ISBLANK(Table2[[#This Row],[unique_id]]), "", PROPER(SUBSTITUTE(Table2[[#This Row],[unique_id]], "_", " ")))</f>
        <v>Weatherstation Coms Signal Quality</v>
      </c>
      <c r="G338" s="30" t="s">
        <v>1521</v>
      </c>
      <c r="H338" s="30" t="s">
        <v>1149</v>
      </c>
      <c r="I338" s="30" t="s">
        <v>273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F338" s="30">
        <v>300</v>
      </c>
      <c r="AG338" s="31" t="s">
        <v>34</v>
      </c>
      <c r="AH338" s="31"/>
      <c r="AI338" s="30" t="s">
        <v>1522</v>
      </c>
      <c r="AJ338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38" s="30" t="str">
        <f>IF(ISBLANK(Table2[[#This Row],[index]]),  "", _xlfn.CONCAT(LOWER(Table2[[#This Row],[device_via_device]]), "/", Table2[[#This Row],[unique_id]]))</f>
        <v>weewx/weatherstation_coms_signal_quality</v>
      </c>
      <c r="AR338" s="39" t="s">
        <v>1523</v>
      </c>
      <c r="AS338" s="30">
        <v>1</v>
      </c>
      <c r="AT338" s="32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Wardrobe</v>
      </c>
      <c r="BB338" s="30" t="s">
        <v>1177</v>
      </c>
      <c r="BC338" s="30" t="s">
        <v>36</v>
      </c>
      <c r="BD338" s="30" t="s">
        <v>37</v>
      </c>
      <c r="BF338" s="30" t="s">
        <v>1029</v>
      </c>
      <c r="BG338" s="30" t="s">
        <v>477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1306</v>
      </c>
      <c r="F339" s="36" t="str">
        <f>IF(ISBLANK(Table2[[#This Row],[unique_id]]), "", PROPER(SUBSTITUTE(Table2[[#This Row],[unique_id]], "_", " ")))</f>
        <v>Office Pantry Battery</v>
      </c>
      <c r="G339" s="30" t="s">
        <v>440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Pantry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209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1307</v>
      </c>
      <c r="F340" s="36" t="str">
        <f>IF(ISBLANK(Table2[[#This Row],[unique_id]]), "", PROPER(SUBSTITUTE(Table2[[#This Row],[unique_id]], "_", " ")))</f>
        <v>Office Lounge Battery</v>
      </c>
      <c r="G340" s="30" t="s">
        <v>441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Lounge</v>
      </c>
      <c r="BB340" s="30" t="s">
        <v>957</v>
      </c>
      <c r="BC340" s="30" t="s">
        <v>959</v>
      </c>
      <c r="BD340" s="30" t="s">
        <v>127</v>
      </c>
      <c r="BF340" s="30" t="s">
        <v>406</v>
      </c>
      <c r="BG340" s="30" t="s">
        <v>192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1308</v>
      </c>
      <c r="F341" s="36" t="str">
        <f>IF(ISBLANK(Table2[[#This Row],[unique_id]]), "", PROPER(SUBSTITUTE(Table2[[#This Row],[unique_id]], "_", " ")))</f>
        <v>Office Dining Battery</v>
      </c>
      <c r="G341" s="30" t="s">
        <v>442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Dining</v>
      </c>
      <c r="BB341" s="30" t="s">
        <v>957</v>
      </c>
      <c r="BC341" s="30" t="s">
        <v>959</v>
      </c>
      <c r="BD341" s="30" t="s">
        <v>127</v>
      </c>
      <c r="BF341" s="30" t="s">
        <v>406</v>
      </c>
      <c r="BG341" s="30" t="s">
        <v>191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127</v>
      </c>
      <c r="D342" s="30" t="s">
        <v>27</v>
      </c>
      <c r="E342" s="39" t="s">
        <v>1309</v>
      </c>
      <c r="F342" s="36" t="str">
        <f>IF(ISBLANK(Table2[[#This Row],[unique_id]]), "", PROPER(SUBSTITUTE(Table2[[#This Row],[unique_id]], "_", " ")))</f>
        <v>Office Basement Battery</v>
      </c>
      <c r="G342" s="30" t="s">
        <v>443</v>
      </c>
      <c r="H342" s="30" t="s">
        <v>1149</v>
      </c>
      <c r="I342" s="30" t="s">
        <v>273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U342" s="3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>Basement</v>
      </c>
      <c r="BB342" s="30" t="s">
        <v>957</v>
      </c>
      <c r="BC342" s="30" t="s">
        <v>959</v>
      </c>
      <c r="BD342" s="30" t="s">
        <v>127</v>
      </c>
      <c r="BF342" s="30" t="s">
        <v>406</v>
      </c>
      <c r="BG342" s="30" t="s">
        <v>208</v>
      </c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702</v>
      </c>
      <c r="F343" s="36" t="str">
        <f>IF(ISBLANK(Table2[[#This Row],[unique_id]]), "", PROPER(SUBSTITUTE(Table2[[#This Row],[unique_id]], "_", " ")))</f>
        <v>Parents Move Battery</v>
      </c>
      <c r="G343" s="30" t="s">
        <v>444</v>
      </c>
      <c r="H343" s="30" t="s">
        <v>1149</v>
      </c>
      <c r="I343" s="30" t="s">
        <v>273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180</v>
      </c>
      <c r="D344" s="30" t="s">
        <v>27</v>
      </c>
      <c r="E344" s="30" t="s">
        <v>701</v>
      </c>
      <c r="F344" s="36" t="str">
        <f>IF(ISBLANK(Table2[[#This Row],[unique_id]]), "", PROPER(SUBSTITUTE(Table2[[#This Row],[unique_id]], "_", " ")))</f>
        <v>Kitchen Move Battery</v>
      </c>
      <c r="G344" s="30" t="s">
        <v>445</v>
      </c>
      <c r="H344" s="30" t="s">
        <v>1149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422</v>
      </c>
      <c r="D345" s="30" t="s">
        <v>315</v>
      </c>
      <c r="E345" s="30" t="s">
        <v>314</v>
      </c>
      <c r="F345" s="36" t="str">
        <f>IF(ISBLANK(Table2[[#This Row],[unique_id]]), "", PROPER(SUBSTITUTE(Table2[[#This Row],[unique_id]], "_", " ")))</f>
        <v>Column Break</v>
      </c>
      <c r="G345" s="30" t="s">
        <v>311</v>
      </c>
      <c r="H345" s="30" t="s">
        <v>1149</v>
      </c>
      <c r="I345" s="30" t="s">
        <v>273</v>
      </c>
      <c r="M345" s="30" t="s">
        <v>312</v>
      </c>
      <c r="N345" s="30" t="s">
        <v>313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R345" s="39"/>
      <c r="AT345" s="32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743</v>
      </c>
      <c r="D346" s="30" t="s">
        <v>27</v>
      </c>
      <c r="E346" s="30" t="s">
        <v>794</v>
      </c>
      <c r="F346" s="36" t="str">
        <f>IF(ISBLANK(Table2[[#This Row],[unique_id]]), "", PROPER(SUBSTITUTE(Table2[[#This Row],[unique_id]], "_", " ")))</f>
        <v>All Standby</v>
      </c>
      <c r="G346" s="30" t="s">
        <v>795</v>
      </c>
      <c r="H346" s="30" t="s">
        <v>508</v>
      </c>
      <c r="I346" s="30" t="s">
        <v>273</v>
      </c>
      <c r="O346" s="31" t="s">
        <v>754</v>
      </c>
      <c r="P346" s="30"/>
      <c r="R346" s="41"/>
      <c r="T346" s="37" t="s">
        <v>793</v>
      </c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/>
      </c>
      <c r="BF346" s="31"/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561</v>
      </c>
      <c r="C347" s="30" t="s">
        <v>676</v>
      </c>
      <c r="D347" s="30" t="s">
        <v>133</v>
      </c>
      <c r="E347" s="30" t="s">
        <v>1431</v>
      </c>
      <c r="F347" s="36" t="str">
        <f>IF(ISBLANK(Table2[[#This Row],[unique_id]]), "", PROPER(SUBSTITUTE(Table2[[#This Row],[unique_id]], "_", " ")))</f>
        <v>Rack Printer Plug</v>
      </c>
      <c r="G347" s="30" t="s">
        <v>1446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1432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homeassistant/switch/tasmota/rack_printer_plug/config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7" s="30" t="str">
        <f>_xlfn.CONCAT("tasmota/device/",Table2[[#This Row],[unique_id]], "/cmnd/POWER")</f>
        <v>tasmota/device/rack_printer_plug/cmnd/POWER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http://10.0.4.111/?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364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1451</v>
      </c>
      <c r="BM347" s="30" t="s">
        <v>1447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8" spans="1:66" ht="16" customHeight="1" x14ac:dyDescent="0.2">
      <c r="A348" s="30">
        <v>2566</v>
      </c>
      <c r="B348" s="30" t="s">
        <v>26</v>
      </c>
      <c r="C348" s="30" t="s">
        <v>676</v>
      </c>
      <c r="D348" s="30" t="s">
        <v>133</v>
      </c>
      <c r="E348" s="30" t="s">
        <v>1441</v>
      </c>
      <c r="F348" s="36" t="str">
        <f>IF(ISBLANK(Table2[[#This Row],[unique_id]]), "", PROPER(SUBSTITUTE(Table2[[#This Row],[unique_id]], "_", " ")))</f>
        <v>Rack Screen Plug</v>
      </c>
      <c r="G348" s="30" t="s">
        <v>1434</v>
      </c>
      <c r="H348" s="30" t="s">
        <v>508</v>
      </c>
      <c r="I348" s="30" t="s">
        <v>273</v>
      </c>
      <c r="M348" s="30" t="s">
        <v>255</v>
      </c>
      <c r="O348" s="31" t="s">
        <v>754</v>
      </c>
      <c r="P348" s="30"/>
      <c r="T348" s="37" t="s">
        <v>937</v>
      </c>
      <c r="U348" s="30"/>
      <c r="V348" s="31"/>
      <c r="W348" s="31"/>
      <c r="X348" s="31"/>
      <c r="Y348" s="31"/>
      <c r="Z348" s="31"/>
      <c r="AA348" s="31" t="s">
        <v>1074</v>
      </c>
      <c r="AB348" s="30"/>
      <c r="AC348" s="30"/>
      <c r="AE348" s="30" t="s">
        <v>1435</v>
      </c>
      <c r="AF348" s="30">
        <v>10</v>
      </c>
      <c r="AG348" s="31" t="s">
        <v>34</v>
      </c>
      <c r="AH348" s="31" t="s">
        <v>863</v>
      </c>
      <c r="AJ348" s="30" t="str">
        <f>_xlfn.CONCAT("homeassistant/", Table2[[#This Row],[entity_namespace]], "/tasmota/",Table2[[#This Row],[unique_id]], "/config")</f>
        <v>homeassistant/switch/tasmota/rack_screen_plug/config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8" s="30" t="str">
        <f>_xlfn.CONCAT("tasmota/device/",Table2[[#This Row],[unique_id]], "/cmnd/POWER")</f>
        <v>tasmota/device/rack_screen_plug/cmnd/POWER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8" s="30" t="s">
        <v>882</v>
      </c>
      <c r="AO348" s="30" t="s">
        <v>883</v>
      </c>
      <c r="AP348" s="30" t="s">
        <v>872</v>
      </c>
      <c r="AQ348" s="30" t="s">
        <v>873</v>
      </c>
      <c r="AR348" s="30" t="s">
        <v>936</v>
      </c>
      <c r="AS348" s="30">
        <v>1</v>
      </c>
      <c r="AT348" s="34" t="str">
        <f>HYPERLINK(_xlfn.CONCAT("http://", Table2[[#This Row],[connection_ip]], "/?"))</f>
        <v>http://10.0.4.109/?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1438</v>
      </c>
      <c r="BC348" s="39" t="s">
        <v>733</v>
      </c>
      <c r="BD348" s="30" t="s">
        <v>1075</v>
      </c>
      <c r="BF348" s="30" t="s">
        <v>853</v>
      </c>
      <c r="BG348" s="30" t="s">
        <v>28</v>
      </c>
      <c r="BK348" s="30" t="s">
        <v>1212</v>
      </c>
      <c r="BL348" s="30" t="s">
        <v>1443</v>
      </c>
      <c r="BM348" s="30" t="s">
        <v>1439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9" spans="1:66" ht="16" customHeight="1" x14ac:dyDescent="0.2">
      <c r="A349" s="30">
        <v>2567</v>
      </c>
      <c r="B349" s="30" t="s">
        <v>26</v>
      </c>
      <c r="C349" s="30" t="s">
        <v>676</v>
      </c>
      <c r="D349" s="30" t="s">
        <v>133</v>
      </c>
      <c r="E349" s="30" t="s">
        <v>1415</v>
      </c>
      <c r="F349" s="36" t="str">
        <f>IF(ISBLANK(Table2[[#This Row],[unique_id]]), "", PROPER(SUBSTITUTE(Table2[[#This Row],[unique_id]], "_", " ")))</f>
        <v>Rack Backup Plug</v>
      </c>
      <c r="G349" s="30" t="s">
        <v>1433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/>
      <c r="T349" s="37" t="s">
        <v>937</v>
      </c>
      <c r="U349" s="30"/>
      <c r="V349" s="31"/>
      <c r="W349" s="31"/>
      <c r="X349" s="31"/>
      <c r="Y349" s="31"/>
      <c r="Z349" s="31"/>
      <c r="AA349" s="31" t="s">
        <v>1074</v>
      </c>
      <c r="AB349" s="30"/>
      <c r="AC349" s="30"/>
      <c r="AE349" s="30" t="s">
        <v>1436</v>
      </c>
      <c r="AF349" s="30">
        <v>10</v>
      </c>
      <c r="AG349" s="31" t="s">
        <v>34</v>
      </c>
      <c r="AH349" s="31" t="s">
        <v>863</v>
      </c>
      <c r="AJ349" s="30" t="str">
        <f>_xlfn.CONCAT("homeassistant/", Table2[[#This Row],[entity_namespace]], "/tasmota/",Table2[[#This Row],[unique_id]], "/config")</f>
        <v>homeassistant/switch/tasmota/rack_backup_plug/config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9" s="30" t="str">
        <f>_xlfn.CONCAT("tasmota/device/",Table2[[#This Row],[unique_id]], "/cmnd/POWER")</f>
        <v>tasmota/device/rack_backup_plug/cmnd/POWER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9" s="30" t="s">
        <v>882</v>
      </c>
      <c r="AO349" s="30" t="s">
        <v>883</v>
      </c>
      <c r="AP349" s="30" t="s">
        <v>872</v>
      </c>
      <c r="AQ349" s="30" t="s">
        <v>873</v>
      </c>
      <c r="AR349" s="30" t="s">
        <v>936</v>
      </c>
      <c r="AS349" s="30">
        <v>1</v>
      </c>
      <c r="AT349" s="34" t="str">
        <f>HYPERLINK(_xlfn.CONCAT("http://", Table2[[#This Row],[connection_ip]], "/?"))</f>
        <v>http://10.0.4.110/?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1437</v>
      </c>
      <c r="BC349" s="39" t="s">
        <v>733</v>
      </c>
      <c r="BD349" s="30" t="s">
        <v>1075</v>
      </c>
      <c r="BF349" s="30" t="s">
        <v>853</v>
      </c>
      <c r="BG349" s="30" t="s">
        <v>28</v>
      </c>
      <c r="BK349" s="30" t="s">
        <v>1212</v>
      </c>
      <c r="BL349" s="30" t="s">
        <v>1442</v>
      </c>
      <c r="BM349" s="30" t="s">
        <v>1440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0" spans="1:66" ht="16" customHeight="1" x14ac:dyDescent="0.2">
      <c r="A350" s="30">
        <v>2568</v>
      </c>
      <c r="B350" s="30" t="s">
        <v>26</v>
      </c>
      <c r="C350" s="30" t="s">
        <v>676</v>
      </c>
      <c r="D350" s="30" t="s">
        <v>133</v>
      </c>
      <c r="E350" s="30" t="s">
        <v>854</v>
      </c>
      <c r="F350" s="36" t="str">
        <f>IF(ISBLANK(Table2[[#This Row],[unique_id]]), "", PROPER(SUBSTITUTE(Table2[[#This Row],[unique_id]], "_", " ")))</f>
        <v>Rack Fans Plug</v>
      </c>
      <c r="G350" s="30" t="s">
        <v>570</v>
      </c>
      <c r="H350" s="30" t="s">
        <v>508</v>
      </c>
      <c r="I350" s="30" t="s">
        <v>273</v>
      </c>
      <c r="M350" s="30" t="s">
        <v>255</v>
      </c>
      <c r="O350" s="31" t="s">
        <v>754</v>
      </c>
      <c r="P350" s="30"/>
      <c r="T350" s="37" t="s">
        <v>937</v>
      </c>
      <c r="U350" s="30"/>
      <c r="V350" s="31"/>
      <c r="W350" s="31"/>
      <c r="X350" s="31"/>
      <c r="Y350" s="31"/>
      <c r="Z350" s="31"/>
      <c r="AA350" s="31" t="s">
        <v>1074</v>
      </c>
      <c r="AB350" s="30"/>
      <c r="AC350" s="30"/>
      <c r="AE350" s="30" t="s">
        <v>1514</v>
      </c>
      <c r="AF350" s="30">
        <v>10</v>
      </c>
      <c r="AG350" s="31" t="s">
        <v>34</v>
      </c>
      <c r="AH350" s="31" t="s">
        <v>863</v>
      </c>
      <c r="AJ350" s="30" t="str">
        <f>_xlfn.CONCAT("homeassistant/", Table2[[#This Row],[entity_namespace]], "/tasmota/",Table2[[#This Row],[unique_id]], "/config")</f>
        <v>homeassistant/switch/tasmota/rack_fans_plug/config</v>
      </c>
      <c r="AK350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50" s="30" t="str">
        <f>_xlfn.CONCAT("tasmota/device/",Table2[[#This Row],[unique_id]], "/cmnd/POWER")</f>
        <v>tasmota/device/rack_fans_plug/cmnd/POWER</v>
      </c>
      <c r="AM350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0" s="30" t="s">
        <v>882</v>
      </c>
      <c r="AO350" s="30" t="s">
        <v>883</v>
      </c>
      <c r="AP350" s="30" t="s">
        <v>872</v>
      </c>
      <c r="AQ350" s="30" t="s">
        <v>873</v>
      </c>
      <c r="AR350" s="30" t="s">
        <v>936</v>
      </c>
      <c r="AS350" s="30">
        <v>1</v>
      </c>
      <c r="AT350" s="34" t="str">
        <f>HYPERLINK(_xlfn.CONCAT("http://", Table2[[#This Row],[connection_ip]], "/?"))</f>
        <v>http://10.0.4.101/?</v>
      </c>
      <c r="AU350" s="30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Rack</v>
      </c>
      <c r="BB350" s="30" t="s">
        <v>130</v>
      </c>
      <c r="BC350" s="39" t="s">
        <v>733</v>
      </c>
      <c r="BD350" s="30" t="s">
        <v>1075</v>
      </c>
      <c r="BF350" s="30" t="s">
        <v>853</v>
      </c>
      <c r="BG350" s="30" t="s">
        <v>28</v>
      </c>
      <c r="BK350" s="30" t="s">
        <v>1212</v>
      </c>
      <c r="BL350" s="30" t="s">
        <v>571</v>
      </c>
      <c r="BM350" s="30" t="s">
        <v>1266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1" spans="1:66" ht="16" customHeight="1" x14ac:dyDescent="0.2">
      <c r="A351" s="30">
        <v>2569</v>
      </c>
      <c r="B351" s="30" t="s">
        <v>26</v>
      </c>
      <c r="C351" s="30" t="s">
        <v>774</v>
      </c>
      <c r="D351" s="30" t="s">
        <v>147</v>
      </c>
      <c r="E351" s="37" t="s">
        <v>1036</v>
      </c>
      <c r="F351" s="36" t="str">
        <f>IF(ISBLANK(Table2[[#This Row],[unique_id]]), "", PROPER(SUBSTITUTE(Table2[[#This Row],[unique_id]], "_", " ")))</f>
        <v>Template Lounge Tv Plug Proxy</v>
      </c>
      <c r="G351" s="30" t="s">
        <v>178</v>
      </c>
      <c r="H351" s="30" t="s">
        <v>508</v>
      </c>
      <c r="I351" s="30" t="s">
        <v>273</v>
      </c>
      <c r="O351" s="31" t="s">
        <v>754</v>
      </c>
      <c r="P351" s="30" t="s">
        <v>164</v>
      </c>
      <c r="Q351" s="30" t="s">
        <v>726</v>
      </c>
      <c r="R351" s="41" t="s">
        <v>711</v>
      </c>
      <c r="S351" s="30" t="str">
        <f>Table2[[#This Row],[friendly_name]]</f>
        <v>Lounge TV</v>
      </c>
      <c r="T351" s="37" t="s">
        <v>1033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R351" s="39"/>
      <c r="AT351" s="32"/>
      <c r="AU351" s="30" t="s">
        <v>133</v>
      </c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946</v>
      </c>
      <c r="BC351" s="30" t="s">
        <v>341</v>
      </c>
      <c r="BD351" s="30" t="s">
        <v>231</v>
      </c>
      <c r="BF351" s="30" t="s">
        <v>344</v>
      </c>
      <c r="BG351" s="30" t="s">
        <v>192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26</v>
      </c>
      <c r="C352" s="30" t="s">
        <v>231</v>
      </c>
      <c r="D352" s="30" t="s">
        <v>133</v>
      </c>
      <c r="E352" s="30" t="s">
        <v>1035</v>
      </c>
      <c r="F352" s="36" t="str">
        <f>IF(ISBLANK(Table2[[#This Row],[unique_id]]), "", PROPER(SUBSTITUTE(Table2[[#This Row],[unique_id]], "_", " ")))</f>
        <v>Lounge Tv Plug</v>
      </c>
      <c r="G352" s="30" t="s">
        <v>178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 t="s">
        <v>164</v>
      </c>
      <c r="Q352" s="30" t="s">
        <v>726</v>
      </c>
      <c r="R352" s="41" t="s">
        <v>711</v>
      </c>
      <c r="S352" s="30" t="str">
        <f>Table2[[#This Row],[friendly_name]]</f>
        <v>Lounge TV</v>
      </c>
      <c r="T352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2" s="30"/>
      <c r="V352" s="31"/>
      <c r="W352" s="31"/>
      <c r="X352" s="31"/>
      <c r="Y352" s="31"/>
      <c r="Z352" s="31"/>
      <c r="AA352" s="31"/>
      <c r="AB352" s="30"/>
      <c r="AC352" s="30"/>
      <c r="AE352" s="30" t="s">
        <v>248</v>
      </c>
      <c r="AG352" s="31"/>
      <c r="AH352" s="31"/>
      <c r="AT352" s="40"/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Lounge</v>
      </c>
      <c r="BB352" s="30" t="s">
        <v>946</v>
      </c>
      <c r="BC352" s="30" t="s">
        <v>341</v>
      </c>
      <c r="BD352" s="30" t="s">
        <v>231</v>
      </c>
      <c r="BF352" s="30" t="s">
        <v>344</v>
      </c>
      <c r="BG352" s="30" t="s">
        <v>192</v>
      </c>
      <c r="BJ352" s="30" t="s">
        <v>943</v>
      </c>
      <c r="BK352" s="30" t="s">
        <v>1212</v>
      </c>
      <c r="BL352" s="30" t="s">
        <v>331</v>
      </c>
      <c r="BM352" s="30" t="s">
        <v>1246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774</v>
      </c>
      <c r="D353" s="54" t="s">
        <v>147</v>
      </c>
      <c r="E353" s="55" t="s">
        <v>1349</v>
      </c>
      <c r="F353" s="56" t="str">
        <f>IF(ISBLANK(Table2[[#This Row],[unique_id]]), "", PROPER(SUBSTITUTE(Table2[[#This Row],[unique_id]], "_", " ")))</f>
        <v>Broken Template Lounge Sub Plug Proxy</v>
      </c>
      <c r="G353" s="54" t="s">
        <v>758</v>
      </c>
      <c r="H353" s="54" t="s">
        <v>508</v>
      </c>
      <c r="I353" s="54" t="s">
        <v>273</v>
      </c>
      <c r="O353" s="57" t="s">
        <v>754</v>
      </c>
      <c r="P353" s="54" t="s">
        <v>164</v>
      </c>
      <c r="Q353" s="54" t="s">
        <v>726</v>
      </c>
      <c r="R353" s="60" t="s">
        <v>711</v>
      </c>
      <c r="S353" s="54" t="str">
        <f>Table2[[#This Row],[friendly_name]]</f>
        <v>Lounge Sub</v>
      </c>
      <c r="T353" s="55" t="s">
        <v>1033</v>
      </c>
      <c r="V353" s="57"/>
      <c r="W353" s="57"/>
      <c r="X353" s="57"/>
      <c r="Y353" s="57"/>
      <c r="Z353" s="57"/>
      <c r="AA353" s="57"/>
      <c r="AG353" s="57"/>
      <c r="AH353" s="57"/>
      <c r="AR353" s="59"/>
      <c r="AT353" s="61"/>
      <c r="AU353" s="54" t="s">
        <v>133</v>
      </c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986</v>
      </c>
      <c r="BC353" s="59" t="s">
        <v>342</v>
      </c>
      <c r="BD353" s="54" t="s">
        <v>231</v>
      </c>
      <c r="BF353" s="54" t="s">
        <v>343</v>
      </c>
      <c r="BG353" s="54" t="s">
        <v>192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231</v>
      </c>
      <c r="D354" s="54" t="s">
        <v>133</v>
      </c>
      <c r="E354" s="54" t="s">
        <v>1350</v>
      </c>
      <c r="F354" s="56" t="str">
        <f>IF(ISBLANK(Table2[[#This Row],[unique_id]]), "", PROPER(SUBSTITUTE(Table2[[#This Row],[unique_id]], "_", " ")))</f>
        <v>Broken Lounge Sub Plug</v>
      </c>
      <c r="G354" s="54" t="s">
        <v>758</v>
      </c>
      <c r="H354" s="54" t="s">
        <v>508</v>
      </c>
      <c r="I354" s="54" t="s">
        <v>273</v>
      </c>
      <c r="M354" s="54" t="s">
        <v>255</v>
      </c>
      <c r="O354" s="57" t="s">
        <v>754</v>
      </c>
      <c r="P354" s="54" t="s">
        <v>164</v>
      </c>
      <c r="Q354" s="54" t="s">
        <v>726</v>
      </c>
      <c r="R354" s="60" t="s">
        <v>711</v>
      </c>
      <c r="S354" s="54" t="str">
        <f>Table2[[#This Row],[friendly_name]]</f>
        <v>Lounge Sub</v>
      </c>
      <c r="T354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4" s="57"/>
      <c r="W354" s="57"/>
      <c r="X354" s="57"/>
      <c r="Y354" s="57"/>
      <c r="Z354" s="57"/>
      <c r="AA354" s="57"/>
      <c r="AE354" s="54" t="s">
        <v>759</v>
      </c>
      <c r="AG354" s="57"/>
      <c r="AH354" s="57"/>
      <c r="AT354" s="58"/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Lounge</v>
      </c>
      <c r="BB354" s="54" t="s">
        <v>986</v>
      </c>
      <c r="BC354" s="59" t="s">
        <v>342</v>
      </c>
      <c r="BD354" s="54" t="s">
        <v>231</v>
      </c>
      <c r="BF354" s="54" t="s">
        <v>343</v>
      </c>
      <c r="BG354" s="54" t="s">
        <v>192</v>
      </c>
      <c r="BJ354" s="54" t="s">
        <v>942</v>
      </c>
      <c r="BK354" s="54" t="s">
        <v>1212</v>
      </c>
      <c r="BL354" s="54" t="s">
        <v>322</v>
      </c>
      <c r="BM354" s="54" t="s">
        <v>1247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774</v>
      </c>
      <c r="D355" s="54" t="s">
        <v>147</v>
      </c>
      <c r="E355" s="55" t="s">
        <v>1351</v>
      </c>
      <c r="F355" s="56" t="str">
        <f>IF(ISBLANK(Table2[[#This Row],[unique_id]]), "", PROPER(SUBSTITUTE(Table2[[#This Row],[unique_id]], "_", " ")))</f>
        <v>Broken Template Study Outlet Plug Proxy</v>
      </c>
      <c r="G355" s="54" t="s">
        <v>224</v>
      </c>
      <c r="H355" s="54" t="s">
        <v>508</v>
      </c>
      <c r="I355" s="54" t="s">
        <v>273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Study Outlet</v>
      </c>
      <c r="T355" s="55" t="s">
        <v>1032</v>
      </c>
      <c r="V355" s="57"/>
      <c r="W355" s="57"/>
      <c r="X355" s="57"/>
      <c r="Y355" s="57"/>
      <c r="Z355" s="57"/>
      <c r="AA355" s="57"/>
      <c r="AG355" s="57"/>
      <c r="AH355" s="57"/>
      <c r="AT355" s="58"/>
      <c r="AU355" s="54" t="s">
        <v>133</v>
      </c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338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231</v>
      </c>
      <c r="D356" s="54" t="s">
        <v>133</v>
      </c>
      <c r="E356" s="54" t="s">
        <v>1352</v>
      </c>
      <c r="F356" s="56" t="str">
        <f>IF(ISBLANK(Table2[[#This Row],[unique_id]]), "", PROPER(SUBSTITUTE(Table2[[#This Row],[unique_id]], "_", " ")))</f>
        <v>Broken Study Outlet Plug</v>
      </c>
      <c r="G356" s="54" t="s">
        <v>224</v>
      </c>
      <c r="H356" s="54" t="s">
        <v>508</v>
      </c>
      <c r="I356" s="54" t="s">
        <v>273</v>
      </c>
      <c r="M356" s="54" t="s">
        <v>255</v>
      </c>
      <c r="O356" s="57" t="s">
        <v>754</v>
      </c>
      <c r="P356" s="54" t="s">
        <v>164</v>
      </c>
      <c r="Q356" s="54" t="s">
        <v>726</v>
      </c>
      <c r="R356" s="54" t="s">
        <v>508</v>
      </c>
      <c r="S356" s="54" t="str">
        <f>Table2[[#This Row],[friendly_name]]</f>
        <v>Study Outlet</v>
      </c>
      <c r="T356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6" s="57"/>
      <c r="W356" s="57"/>
      <c r="X356" s="57"/>
      <c r="Y356" s="57"/>
      <c r="Z356" s="57"/>
      <c r="AA356" s="57"/>
      <c r="AE356" s="54" t="s">
        <v>249</v>
      </c>
      <c r="AG356" s="57"/>
      <c r="AH356" s="57"/>
      <c r="AT356" s="58"/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Study</v>
      </c>
      <c r="BB356" s="54" t="s">
        <v>984</v>
      </c>
      <c r="BC356" s="59" t="s">
        <v>342</v>
      </c>
      <c r="BD356" s="54" t="s">
        <v>231</v>
      </c>
      <c r="BF356" s="54" t="s">
        <v>343</v>
      </c>
      <c r="BG356" s="54" t="s">
        <v>338</v>
      </c>
      <c r="BJ356" s="54" t="s">
        <v>942</v>
      </c>
      <c r="BK356" s="54" t="s">
        <v>1212</v>
      </c>
      <c r="BL356" s="54" t="s">
        <v>333</v>
      </c>
      <c r="BM356" s="54" t="s">
        <v>1248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774</v>
      </c>
      <c r="D357" s="54" t="s">
        <v>147</v>
      </c>
      <c r="E357" s="55" t="s">
        <v>1353</v>
      </c>
      <c r="F357" s="56" t="str">
        <f>IF(ISBLANK(Table2[[#This Row],[unique_id]]), "", PROPER(SUBSTITUTE(Table2[[#This Row],[unique_id]], "_", " ")))</f>
        <v>Broken Template Office Outlet Plug Proxy</v>
      </c>
      <c r="G357" s="54" t="s">
        <v>223</v>
      </c>
      <c r="H357" s="54" t="s">
        <v>508</v>
      </c>
      <c r="I357" s="54" t="s">
        <v>273</v>
      </c>
      <c r="O357" s="57" t="s">
        <v>754</v>
      </c>
      <c r="P357" s="54" t="s">
        <v>164</v>
      </c>
      <c r="Q357" s="54" t="s">
        <v>726</v>
      </c>
      <c r="R357" s="54" t="s">
        <v>508</v>
      </c>
      <c r="S357" s="54" t="str">
        <f>Table2[[#This Row],[friendly_name]]</f>
        <v>Office Outlet</v>
      </c>
      <c r="T357" s="55" t="s">
        <v>1032</v>
      </c>
      <c r="V357" s="57"/>
      <c r="W357" s="57"/>
      <c r="X357" s="57"/>
      <c r="Y357" s="57"/>
      <c r="Z357" s="57"/>
      <c r="AA357" s="57"/>
      <c r="AG357" s="57"/>
      <c r="AH357" s="57"/>
      <c r="AT357" s="58"/>
      <c r="AU357" s="54" t="s">
        <v>133</v>
      </c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984</v>
      </c>
      <c r="BC357" s="59" t="s">
        <v>342</v>
      </c>
      <c r="BD357" s="54" t="s">
        <v>231</v>
      </c>
      <c r="BF357" s="54" t="s">
        <v>343</v>
      </c>
      <c r="BG357" s="54" t="s">
        <v>210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8" spans="1:66" s="54" customFormat="1" ht="16" customHeight="1" x14ac:dyDescent="0.2">
      <c r="A358" s="30">
        <v>2576</v>
      </c>
      <c r="B358" s="54" t="s">
        <v>561</v>
      </c>
      <c r="C358" s="54" t="s">
        <v>231</v>
      </c>
      <c r="D358" s="54" t="s">
        <v>133</v>
      </c>
      <c r="E358" s="54" t="s">
        <v>1354</v>
      </c>
      <c r="F358" s="56" t="str">
        <f>IF(ISBLANK(Table2[[#This Row],[unique_id]]), "", PROPER(SUBSTITUTE(Table2[[#This Row],[unique_id]], "_", " ")))</f>
        <v>Broken Office Outlet Plug</v>
      </c>
      <c r="G358" s="54" t="s">
        <v>223</v>
      </c>
      <c r="H358" s="54" t="s">
        <v>508</v>
      </c>
      <c r="I358" s="54" t="s">
        <v>273</v>
      </c>
      <c r="M358" s="54" t="s">
        <v>255</v>
      </c>
      <c r="O358" s="57" t="s">
        <v>754</v>
      </c>
      <c r="P358" s="54" t="s">
        <v>164</v>
      </c>
      <c r="Q358" s="54" t="s">
        <v>726</v>
      </c>
      <c r="R358" s="54" t="s">
        <v>508</v>
      </c>
      <c r="S358" s="54" t="str">
        <f>Table2[[#This Row],[friendly_name]]</f>
        <v>Office Outlet</v>
      </c>
      <c r="T358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8" s="57"/>
      <c r="W358" s="57"/>
      <c r="X358" s="57"/>
      <c r="Y358" s="57"/>
      <c r="Z358" s="57"/>
      <c r="AA358" s="57"/>
      <c r="AE358" s="54" t="s">
        <v>249</v>
      </c>
      <c r="AG358" s="57"/>
      <c r="AH358" s="57"/>
      <c r="AT358" s="58"/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Office</v>
      </c>
      <c r="BB358" s="54" t="s">
        <v>984</v>
      </c>
      <c r="BC358" s="59" t="s">
        <v>342</v>
      </c>
      <c r="BD358" s="54" t="s">
        <v>231</v>
      </c>
      <c r="BF358" s="54" t="s">
        <v>343</v>
      </c>
      <c r="BG358" s="54" t="s">
        <v>210</v>
      </c>
      <c r="BJ358" s="54" t="s">
        <v>943</v>
      </c>
      <c r="BK358" s="54" t="s">
        <v>1212</v>
      </c>
      <c r="BL358" s="54" t="s">
        <v>334</v>
      </c>
      <c r="BM358" s="54" t="s">
        <v>1249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774</v>
      </c>
      <c r="D359" s="54" t="s">
        <v>147</v>
      </c>
      <c r="E359" s="55" t="s">
        <v>1355</v>
      </c>
      <c r="F359" s="56" t="str">
        <f>IF(ISBLANK(Table2[[#This Row],[unique_id]]), "", PROPER(SUBSTITUTE(Table2[[#This Row],[unique_id]], "_", " ")))</f>
        <v>Broken Template Kitchen Dish Washer Plug Proxy</v>
      </c>
      <c r="G359" s="54" t="s">
        <v>226</v>
      </c>
      <c r="H359" s="54" t="s">
        <v>508</v>
      </c>
      <c r="I359" s="54" t="s">
        <v>273</v>
      </c>
      <c r="O359" s="57" t="s">
        <v>754</v>
      </c>
      <c r="P359" s="54" t="s">
        <v>164</v>
      </c>
      <c r="Q359" s="54" t="s">
        <v>727</v>
      </c>
      <c r="R359" s="54" t="s">
        <v>737</v>
      </c>
      <c r="S359" s="54" t="str">
        <f>Table2[[#This Row],[friendly_name]]</f>
        <v>Dish Washer</v>
      </c>
      <c r="T359" s="55" t="s">
        <v>1032</v>
      </c>
      <c r="V359" s="57"/>
      <c r="W359" s="57"/>
      <c r="X359" s="57"/>
      <c r="Y359" s="57"/>
      <c r="Z359" s="57"/>
      <c r="AA359" s="57"/>
      <c r="AG359" s="57"/>
      <c r="AH359" s="57"/>
      <c r="AT359" s="58"/>
      <c r="AU359" s="54" t="s">
        <v>133</v>
      </c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342</v>
      </c>
      <c r="BD359" s="54" t="s">
        <v>231</v>
      </c>
      <c r="BF359" s="54" t="s">
        <v>343</v>
      </c>
      <c r="BG359" s="54" t="s">
        <v>204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231</v>
      </c>
      <c r="D360" s="54" t="s">
        <v>133</v>
      </c>
      <c r="E360" s="54" t="s">
        <v>1356</v>
      </c>
      <c r="F360" s="56" t="str">
        <f>IF(ISBLANK(Table2[[#This Row],[unique_id]]), "", PROPER(SUBSTITUTE(Table2[[#This Row],[unique_id]], "_", " ")))</f>
        <v>Broken Kitchen Dish Washer Plug</v>
      </c>
      <c r="G360" s="54" t="s">
        <v>226</v>
      </c>
      <c r="H360" s="54" t="s">
        <v>508</v>
      </c>
      <c r="I360" s="54" t="s">
        <v>273</v>
      </c>
      <c r="M360" s="54" t="s">
        <v>255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Dish Washer</v>
      </c>
      <c r="T360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0" s="57"/>
      <c r="W360" s="57"/>
      <c r="X360" s="57"/>
      <c r="Y360" s="57"/>
      <c r="Z360" s="57"/>
      <c r="AA360" s="57"/>
      <c r="AE360" s="54" t="s">
        <v>242</v>
      </c>
      <c r="AG360" s="57"/>
      <c r="AH360" s="57"/>
      <c r="AT360" s="58"/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Kitchen</v>
      </c>
      <c r="BB360" s="54" t="s">
        <v>226</v>
      </c>
      <c r="BC360" s="59" t="s">
        <v>342</v>
      </c>
      <c r="BD360" s="54" t="s">
        <v>231</v>
      </c>
      <c r="BF360" s="54" t="s">
        <v>343</v>
      </c>
      <c r="BG360" s="54" t="s">
        <v>204</v>
      </c>
      <c r="BJ360" s="54" t="s">
        <v>943</v>
      </c>
      <c r="BK360" s="54" t="s">
        <v>1212</v>
      </c>
      <c r="BL360" s="54" t="s">
        <v>325</v>
      </c>
      <c r="BM360" s="54" t="s">
        <v>1250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1" spans="1:66" ht="16" customHeight="1" x14ac:dyDescent="0.2">
      <c r="A361" s="30">
        <v>2579</v>
      </c>
      <c r="B361" s="30" t="s">
        <v>26</v>
      </c>
      <c r="C361" s="30" t="s">
        <v>774</v>
      </c>
      <c r="D361" s="30" t="s">
        <v>147</v>
      </c>
      <c r="E361" s="37" t="s">
        <v>930</v>
      </c>
      <c r="F361" s="36" t="str">
        <f>IF(ISBLANK(Table2[[#This Row],[unique_id]]), "", PROPER(SUBSTITUTE(Table2[[#This Row],[unique_id]], "_", " ")))</f>
        <v>Template Kitchen Dish Washer Plug Proxy</v>
      </c>
      <c r="G361" s="30" t="s">
        <v>226</v>
      </c>
      <c r="H361" s="30" t="s">
        <v>508</v>
      </c>
      <c r="I361" s="30" t="s">
        <v>273</v>
      </c>
      <c r="O361" s="31" t="s">
        <v>754</v>
      </c>
      <c r="P361" s="30" t="s">
        <v>164</v>
      </c>
      <c r="Q361" s="30" t="s">
        <v>727</v>
      </c>
      <c r="R361" s="30" t="s">
        <v>737</v>
      </c>
      <c r="S361" s="30" t="str">
        <f>Table2[[#This Row],[friendly_name]]</f>
        <v>Dish Washer</v>
      </c>
      <c r="T36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1" s="30"/>
      <c r="V361" s="31"/>
      <c r="W361" s="31"/>
      <c r="X361" s="31"/>
      <c r="Y361" s="31"/>
      <c r="Z361" s="31"/>
      <c r="AA361" s="31"/>
      <c r="AB361" s="30"/>
      <c r="AC361" s="30"/>
      <c r="AG361" s="31"/>
      <c r="AH361" s="31"/>
      <c r="AT361" s="40"/>
      <c r="AU361" s="30" t="s">
        <v>133</v>
      </c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341</v>
      </c>
      <c r="BD361" s="30" t="s">
        <v>231</v>
      </c>
      <c r="BF361" s="30" t="s">
        <v>344</v>
      </c>
      <c r="BG361" s="30" t="s">
        <v>204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2" spans="1:66" ht="16" customHeight="1" x14ac:dyDescent="0.2">
      <c r="A362" s="30">
        <v>2580</v>
      </c>
      <c r="B362" s="30" t="s">
        <v>26</v>
      </c>
      <c r="C362" s="30" t="s">
        <v>231</v>
      </c>
      <c r="D362" s="30" t="s">
        <v>133</v>
      </c>
      <c r="E362" s="30" t="s">
        <v>801</v>
      </c>
      <c r="F362" s="36" t="str">
        <f>IF(ISBLANK(Table2[[#This Row],[unique_id]]), "", PROPER(SUBSTITUTE(Table2[[#This Row],[unique_id]], "_", " ")))</f>
        <v>Kitchen Dish Washer Plug</v>
      </c>
      <c r="G362" s="30" t="s">
        <v>226</v>
      </c>
      <c r="H362" s="30" t="s">
        <v>508</v>
      </c>
      <c r="I362" s="30" t="s">
        <v>273</v>
      </c>
      <c r="M362" s="30" t="s">
        <v>255</v>
      </c>
      <c r="O362" s="31" t="s">
        <v>754</v>
      </c>
      <c r="P362" s="30" t="s">
        <v>164</v>
      </c>
      <c r="Q362" s="30" t="s">
        <v>727</v>
      </c>
      <c r="R362" s="30" t="s">
        <v>737</v>
      </c>
      <c r="S362" s="30" t="str">
        <f>Table2[[#This Row],[friendly_name]]</f>
        <v>Dish Washer</v>
      </c>
      <c r="T362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2" s="30"/>
      <c r="V362" s="31"/>
      <c r="W362" s="31"/>
      <c r="X362" s="31"/>
      <c r="Y362" s="31"/>
      <c r="Z362" s="31"/>
      <c r="AA362" s="31"/>
      <c r="AB362" s="30"/>
      <c r="AC362" s="30"/>
      <c r="AE362" s="30" t="s">
        <v>242</v>
      </c>
      <c r="AG362" s="31"/>
      <c r="AH362" s="31"/>
      <c r="AT362" s="40"/>
      <c r="AU362" s="30"/>
      <c r="AV3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30" t="str">
        <f>IF(ISBLANK(Table2[[#This Row],[device_model]]), "", Table2[[#This Row],[device_suggested_area]])</f>
        <v>Kitchen</v>
      </c>
      <c r="BB362" s="30" t="s">
        <v>226</v>
      </c>
      <c r="BC362" s="30" t="s">
        <v>341</v>
      </c>
      <c r="BD362" s="30" t="s">
        <v>231</v>
      </c>
      <c r="BF362" s="30" t="s">
        <v>344</v>
      </c>
      <c r="BG362" s="30" t="s">
        <v>204</v>
      </c>
      <c r="BJ362" s="30" t="s">
        <v>943</v>
      </c>
      <c r="BK362" s="30" t="s">
        <v>1212</v>
      </c>
      <c r="BL362" s="30" t="s">
        <v>337</v>
      </c>
      <c r="BM362" s="30" t="s">
        <v>1261</v>
      </c>
      <c r="BN3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774</v>
      </c>
      <c r="D363" s="54" t="s">
        <v>147</v>
      </c>
      <c r="E363" s="55" t="s">
        <v>1357</v>
      </c>
      <c r="F363" s="56" t="str">
        <f>IF(ISBLANK(Table2[[#This Row],[unique_id]]), "", PROPER(SUBSTITUTE(Table2[[#This Row],[unique_id]], "_", " ")))</f>
        <v>Broken Template Laundry Clothes Dryer Plug Proxy</v>
      </c>
      <c r="G363" s="54" t="s">
        <v>227</v>
      </c>
      <c r="H363" s="54" t="s">
        <v>508</v>
      </c>
      <c r="I363" s="54" t="s">
        <v>273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Clothes Dryer</v>
      </c>
      <c r="T363" s="55" t="s">
        <v>1032</v>
      </c>
      <c r="V363" s="57"/>
      <c r="W363" s="57"/>
      <c r="X363" s="57"/>
      <c r="Y363" s="57"/>
      <c r="Z363" s="57"/>
      <c r="AA363" s="57"/>
      <c r="AG363" s="57"/>
      <c r="AH363" s="57"/>
      <c r="AT363" s="58"/>
      <c r="AU363" s="54" t="s">
        <v>133</v>
      </c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231</v>
      </c>
      <c r="D364" s="54" t="s">
        <v>133</v>
      </c>
      <c r="E364" s="54" t="s">
        <v>1358</v>
      </c>
      <c r="F364" s="56" t="str">
        <f>IF(ISBLANK(Table2[[#This Row],[unique_id]]), "", PROPER(SUBSTITUTE(Table2[[#This Row],[unique_id]], "_", " ")))</f>
        <v>Broken Laundry Clothes Dryer Plug</v>
      </c>
      <c r="G364" s="54" t="s">
        <v>227</v>
      </c>
      <c r="H364" s="54" t="s">
        <v>508</v>
      </c>
      <c r="I364" s="54" t="s">
        <v>273</v>
      </c>
      <c r="M364" s="54" t="s">
        <v>255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Clothes Dryer</v>
      </c>
      <c r="T364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4" s="57"/>
      <c r="W364" s="57"/>
      <c r="X364" s="57"/>
      <c r="Y364" s="57"/>
      <c r="Z364" s="57"/>
      <c r="AA364" s="57"/>
      <c r="AE364" s="54" t="s">
        <v>243</v>
      </c>
      <c r="AG364" s="57"/>
      <c r="AH364" s="57"/>
      <c r="AT364" s="58"/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227</v>
      </c>
      <c r="BC364" s="59" t="s">
        <v>342</v>
      </c>
      <c r="BD364" s="54" t="s">
        <v>231</v>
      </c>
      <c r="BF364" s="54" t="s">
        <v>343</v>
      </c>
      <c r="BG364" s="54" t="s">
        <v>211</v>
      </c>
      <c r="BJ364" s="54" t="s">
        <v>942</v>
      </c>
      <c r="BK364" s="54" t="s">
        <v>1212</v>
      </c>
      <c r="BL364" s="54" t="s">
        <v>326</v>
      </c>
      <c r="BM364" s="54" t="s">
        <v>1251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774</v>
      </c>
      <c r="D365" s="54" t="s">
        <v>147</v>
      </c>
      <c r="E365" s="55" t="s">
        <v>1359</v>
      </c>
      <c r="F365" s="56" t="str">
        <f>IF(ISBLANK(Table2[[#This Row],[unique_id]]), "", PROPER(SUBSTITUTE(Table2[[#This Row],[unique_id]], "_", " ")))</f>
        <v>Broken Template Laundry Washing Machine Plug Proxy</v>
      </c>
      <c r="G365" s="54" t="s">
        <v>225</v>
      </c>
      <c r="H365" s="54" t="s">
        <v>508</v>
      </c>
      <c r="I365" s="54" t="s">
        <v>273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Washing Machine</v>
      </c>
      <c r="T365" s="55" t="s">
        <v>1032</v>
      </c>
      <c r="V365" s="57"/>
      <c r="W365" s="57"/>
      <c r="X365" s="57"/>
      <c r="Y365" s="57"/>
      <c r="Z365" s="57"/>
      <c r="AA365" s="57"/>
      <c r="AG365" s="57"/>
      <c r="AH365" s="57"/>
      <c r="AT365" s="58"/>
      <c r="AU365" s="54" t="s">
        <v>133</v>
      </c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342</v>
      </c>
      <c r="BD365" s="54" t="s">
        <v>231</v>
      </c>
      <c r="BF365" s="54" t="s">
        <v>343</v>
      </c>
      <c r="BG365" s="54" t="s">
        <v>211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6" spans="1:66" s="54" customFormat="1" ht="16" customHeight="1" x14ac:dyDescent="0.2">
      <c r="A366" s="30">
        <v>2584</v>
      </c>
      <c r="B366" s="54" t="s">
        <v>561</v>
      </c>
      <c r="C366" s="54" t="s">
        <v>231</v>
      </c>
      <c r="D366" s="54" t="s">
        <v>133</v>
      </c>
      <c r="E366" s="54" t="s">
        <v>1360</v>
      </c>
      <c r="F366" s="56" t="str">
        <f>IF(ISBLANK(Table2[[#This Row],[unique_id]]), "", PROPER(SUBSTITUTE(Table2[[#This Row],[unique_id]], "_", " ")))</f>
        <v>Broken Laundry Washing Machine Plug</v>
      </c>
      <c r="G366" s="54" t="s">
        <v>225</v>
      </c>
      <c r="H366" s="54" t="s">
        <v>508</v>
      </c>
      <c r="I366" s="54" t="s">
        <v>273</v>
      </c>
      <c r="M366" s="54" t="s">
        <v>255</v>
      </c>
      <c r="O366" s="57" t="s">
        <v>754</v>
      </c>
      <c r="P366" s="54" t="s">
        <v>164</v>
      </c>
      <c r="Q366" s="54" t="s">
        <v>727</v>
      </c>
      <c r="R366" s="54" t="s">
        <v>737</v>
      </c>
      <c r="S366" s="54" t="str">
        <f>Table2[[#This Row],[friendly_name]]</f>
        <v>Washing Machine</v>
      </c>
      <c r="T366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6" s="57"/>
      <c r="W366" s="57"/>
      <c r="X366" s="57"/>
      <c r="Y366" s="57"/>
      <c r="Z366" s="57"/>
      <c r="AA366" s="57"/>
      <c r="AE366" s="54" t="s">
        <v>244</v>
      </c>
      <c r="AG366" s="57"/>
      <c r="AH366" s="57"/>
      <c r="AT366" s="58"/>
      <c r="AV36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54" t="str">
        <f>IF(ISBLANK(Table2[[#This Row],[device_model]]), "", Table2[[#This Row],[device_suggested_area]])</f>
        <v>Laundry</v>
      </c>
      <c r="BB366" s="54" t="s">
        <v>225</v>
      </c>
      <c r="BC366" s="59" t="s">
        <v>342</v>
      </c>
      <c r="BD366" s="54" t="s">
        <v>231</v>
      </c>
      <c r="BF366" s="54" t="s">
        <v>343</v>
      </c>
      <c r="BG366" s="54" t="s">
        <v>211</v>
      </c>
      <c r="BJ366" s="54" t="s">
        <v>942</v>
      </c>
      <c r="BK366" s="54" t="s">
        <v>1212</v>
      </c>
      <c r="BL366" s="54" t="s">
        <v>327</v>
      </c>
      <c r="BM366" s="54" t="s">
        <v>1252</v>
      </c>
      <c r="BN36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7" spans="1:66" ht="16" customHeight="1" x14ac:dyDescent="0.2">
      <c r="A367" s="30">
        <v>2585</v>
      </c>
      <c r="B367" s="30" t="s">
        <v>26</v>
      </c>
      <c r="C367" s="30" t="s">
        <v>774</v>
      </c>
      <c r="D367" s="30" t="s">
        <v>147</v>
      </c>
      <c r="E367" s="37" t="s">
        <v>1445</v>
      </c>
      <c r="F367" s="36" t="str">
        <f>IF(ISBLANK(Table2[[#This Row],[unique_id]]), "", PROPER(SUBSTITUTE(Table2[[#This Row],[unique_id]], "_", " ")))</f>
        <v>Template Kitchen Fridge Plug Proxy</v>
      </c>
      <c r="G367" s="30" t="s">
        <v>221</v>
      </c>
      <c r="H367" s="30" t="s">
        <v>508</v>
      </c>
      <c r="I367" s="30" t="s">
        <v>273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Kitchen Fridge</v>
      </c>
      <c r="T367" s="37" t="s">
        <v>1033</v>
      </c>
      <c r="U367" s="30"/>
      <c r="V367" s="31"/>
      <c r="W367" s="31"/>
      <c r="X367" s="31"/>
      <c r="Y367" s="31"/>
      <c r="Z367" s="31"/>
      <c r="AA367" s="31"/>
      <c r="AB367" s="30"/>
      <c r="AC367" s="30"/>
      <c r="AG367" s="31"/>
      <c r="AH367" s="31"/>
      <c r="AT367" s="40"/>
      <c r="AU367" s="30" t="s">
        <v>133</v>
      </c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987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8" spans="1:66" ht="16" customHeight="1" x14ac:dyDescent="0.2">
      <c r="A368" s="30">
        <v>2586</v>
      </c>
      <c r="B368" s="30" t="s">
        <v>26</v>
      </c>
      <c r="C368" s="30" t="s">
        <v>231</v>
      </c>
      <c r="D368" s="30" t="s">
        <v>133</v>
      </c>
      <c r="E368" s="30" t="s">
        <v>1444</v>
      </c>
      <c r="F368" s="36" t="str">
        <f>IF(ISBLANK(Table2[[#This Row],[unique_id]]), "", PROPER(SUBSTITUTE(Table2[[#This Row],[unique_id]], "_", " ")))</f>
        <v>Kitchen Fridge Plug</v>
      </c>
      <c r="G368" s="30" t="s">
        <v>221</v>
      </c>
      <c r="H368" s="30" t="s">
        <v>508</v>
      </c>
      <c r="I368" s="30" t="s">
        <v>273</v>
      </c>
      <c r="M368" s="30" t="s">
        <v>255</v>
      </c>
      <c r="O368" s="31" t="s">
        <v>754</v>
      </c>
      <c r="P368" s="30" t="s">
        <v>164</v>
      </c>
      <c r="Q368" s="30" t="s">
        <v>726</v>
      </c>
      <c r="R368" s="30" t="s">
        <v>738</v>
      </c>
      <c r="S368" s="30" t="str">
        <f>Table2[[#This Row],[friendly_name]]</f>
        <v>Kitchen Fridge</v>
      </c>
      <c r="T368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8" s="30"/>
      <c r="V368" s="31"/>
      <c r="W368" s="31"/>
      <c r="X368" s="31"/>
      <c r="Y368" s="31"/>
      <c r="Z368" s="31"/>
      <c r="AA368" s="31"/>
      <c r="AB368" s="30"/>
      <c r="AC368" s="30"/>
      <c r="AE368" s="30" t="s">
        <v>246</v>
      </c>
      <c r="AG368" s="31"/>
      <c r="AH368" s="31"/>
      <c r="AT368" s="40"/>
      <c r="AU368" s="30"/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Kitchen</v>
      </c>
      <c r="BB368" s="30" t="s">
        <v>987</v>
      </c>
      <c r="BC368" s="30" t="s">
        <v>341</v>
      </c>
      <c r="BD368" s="30" t="s">
        <v>231</v>
      </c>
      <c r="BF368" s="30" t="s">
        <v>344</v>
      </c>
      <c r="BG368" s="30" t="s">
        <v>204</v>
      </c>
      <c r="BJ368" s="30" t="s">
        <v>943</v>
      </c>
      <c r="BK368" s="62" t="s">
        <v>1212</v>
      </c>
      <c r="BL368" s="62" t="s">
        <v>1416</v>
      </c>
      <c r="BM368" s="62" t="s">
        <v>1417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9" spans="1:66" ht="16" customHeight="1" x14ac:dyDescent="0.2">
      <c r="A369" s="30">
        <v>2587</v>
      </c>
      <c r="B369" s="30" t="s">
        <v>26</v>
      </c>
      <c r="C369" s="30" t="s">
        <v>774</v>
      </c>
      <c r="D369" s="30" t="s">
        <v>147</v>
      </c>
      <c r="E369" s="37" t="s">
        <v>932</v>
      </c>
      <c r="F369" s="36" t="str">
        <f>IF(ISBLANK(Table2[[#This Row],[unique_id]]), "", PROPER(SUBSTITUTE(Table2[[#This Row],[unique_id]], "_", " ")))</f>
        <v>Template Deck Freezer Plug Proxy</v>
      </c>
      <c r="G369" s="30" t="s">
        <v>222</v>
      </c>
      <c r="H369" s="30" t="s">
        <v>508</v>
      </c>
      <c r="I369" s="30" t="s">
        <v>273</v>
      </c>
      <c r="O369" s="31" t="s">
        <v>754</v>
      </c>
      <c r="P369" s="30" t="s">
        <v>164</v>
      </c>
      <c r="Q369" s="30" t="s">
        <v>726</v>
      </c>
      <c r="R369" s="30" t="s">
        <v>738</v>
      </c>
      <c r="S369" s="30" t="str">
        <f>Table2[[#This Row],[friendly_name]]</f>
        <v>Deck Freezer</v>
      </c>
      <c r="T369" s="37" t="s">
        <v>1033</v>
      </c>
      <c r="U369" s="30"/>
      <c r="V369" s="31"/>
      <c r="W369" s="31"/>
      <c r="X369" s="31"/>
      <c r="Y369" s="31"/>
      <c r="Z369" s="31"/>
      <c r="AA369" s="31"/>
      <c r="AB369" s="30"/>
      <c r="AC369" s="30"/>
      <c r="AG369" s="31"/>
      <c r="AH369" s="31"/>
      <c r="AT369" s="40"/>
      <c r="AU369" s="30" t="s">
        <v>133</v>
      </c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988</v>
      </c>
      <c r="BC369" s="30" t="s">
        <v>341</v>
      </c>
      <c r="BD369" s="30" t="s">
        <v>231</v>
      </c>
      <c r="BF369" s="30" t="s">
        <v>344</v>
      </c>
      <c r="BG369" s="30" t="s">
        <v>339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0" spans="1:66" ht="16" customHeight="1" x14ac:dyDescent="0.2">
      <c r="A370" s="30">
        <v>2588</v>
      </c>
      <c r="B370" s="30" t="s">
        <v>26</v>
      </c>
      <c r="C370" s="30" t="s">
        <v>231</v>
      </c>
      <c r="D370" s="30" t="s">
        <v>133</v>
      </c>
      <c r="E370" s="30" t="s">
        <v>803</v>
      </c>
      <c r="F370" s="36" t="str">
        <f>IF(ISBLANK(Table2[[#This Row],[unique_id]]), "", PROPER(SUBSTITUTE(Table2[[#This Row],[unique_id]], "_", " ")))</f>
        <v>Deck Freezer Plug</v>
      </c>
      <c r="G370" s="30" t="s">
        <v>222</v>
      </c>
      <c r="H370" s="30" t="s">
        <v>508</v>
      </c>
      <c r="I370" s="30" t="s">
        <v>273</v>
      </c>
      <c r="M370" s="30" t="s">
        <v>255</v>
      </c>
      <c r="O370" s="31" t="s">
        <v>754</v>
      </c>
      <c r="P370" s="30" t="s">
        <v>164</v>
      </c>
      <c r="Q370" s="30" t="s">
        <v>726</v>
      </c>
      <c r="R370" s="30" t="s">
        <v>738</v>
      </c>
      <c r="S370" s="30" t="str">
        <f>Table2[[#This Row],[friendly_name]]</f>
        <v>Deck Freezer</v>
      </c>
      <c r="T370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0" s="30"/>
      <c r="V370" s="31"/>
      <c r="W370" s="31"/>
      <c r="X370" s="31"/>
      <c r="Y370" s="31"/>
      <c r="Z370" s="31"/>
      <c r="AA370" s="31"/>
      <c r="AB370" s="30"/>
      <c r="AC370" s="30"/>
      <c r="AE370" s="30" t="s">
        <v>247</v>
      </c>
      <c r="AG370" s="31"/>
      <c r="AH370" s="31"/>
      <c r="AT370" s="40"/>
      <c r="AU370" s="30"/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tr">
        <f>IF(ISBLANK(Table2[[#This Row],[device_model]]), "", Table2[[#This Row],[device_suggested_area]])</f>
        <v>Deck</v>
      </c>
      <c r="BB370" s="30" t="s">
        <v>988</v>
      </c>
      <c r="BC370" s="30" t="s">
        <v>341</v>
      </c>
      <c r="BD370" s="30" t="s">
        <v>231</v>
      </c>
      <c r="BF370" s="30" t="s">
        <v>344</v>
      </c>
      <c r="BG370" s="30" t="s">
        <v>339</v>
      </c>
      <c r="BJ370" s="30" t="s">
        <v>943</v>
      </c>
      <c r="BK370" s="30" t="s">
        <v>1212</v>
      </c>
      <c r="BL370" s="30" t="s">
        <v>329</v>
      </c>
      <c r="BM370" s="30" t="s">
        <v>1254</v>
      </c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1" spans="1:66" ht="16" customHeight="1" x14ac:dyDescent="0.2">
      <c r="A371" s="30">
        <v>2589</v>
      </c>
      <c r="B371" s="30" t="s">
        <v>26</v>
      </c>
      <c r="C371" s="30" t="s">
        <v>774</v>
      </c>
      <c r="D371" s="30" t="s">
        <v>147</v>
      </c>
      <c r="E371" s="37" t="s">
        <v>1341</v>
      </c>
      <c r="F371" s="36" t="str">
        <f>IF(ISBLANK(Table2[[#This Row],[unique_id]]), "", PROPER(SUBSTITUTE(Table2[[#This Row],[unique_id]], "_", " ")))</f>
        <v>Template Garden Sewerage Blower Plug Proxy</v>
      </c>
      <c r="G371" s="30" t="s">
        <v>1342</v>
      </c>
      <c r="H371" s="30" t="s">
        <v>508</v>
      </c>
      <c r="I371" s="30" t="s">
        <v>273</v>
      </c>
      <c r="O371" s="31" t="s">
        <v>754</v>
      </c>
      <c r="P371" s="30" t="s">
        <v>164</v>
      </c>
      <c r="Q371" s="30" t="s">
        <v>726</v>
      </c>
      <c r="R371" s="30" t="s">
        <v>508</v>
      </c>
      <c r="S371" s="30" t="str">
        <f>Table2[[#This Row],[friendly_name]]</f>
        <v>Sewerage Blower</v>
      </c>
      <c r="T371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1" s="30"/>
      <c r="V371" s="31"/>
      <c r="W371" s="31"/>
      <c r="X371" s="31"/>
      <c r="Y371" s="31"/>
      <c r="Z371" s="31"/>
      <c r="AA371" s="31"/>
      <c r="AB371" s="30"/>
      <c r="AC371" s="30"/>
      <c r="AG371" s="31"/>
      <c r="AH371" s="31"/>
      <c r="AT371" s="40"/>
      <c r="AU371" s="30" t="s">
        <v>133</v>
      </c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558</v>
      </c>
      <c r="BB371" s="30" t="s">
        <v>1342</v>
      </c>
      <c r="BC371" s="30" t="s">
        <v>341</v>
      </c>
      <c r="BD371" s="30" t="s">
        <v>231</v>
      </c>
      <c r="BF371" s="30" t="s">
        <v>344</v>
      </c>
      <c r="BG371" s="30" t="s">
        <v>558</v>
      </c>
      <c r="BL371" s="36"/>
      <c r="BM371" s="36"/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2" spans="1:66" ht="16" customHeight="1" x14ac:dyDescent="0.2">
      <c r="A372" s="30">
        <v>2590</v>
      </c>
      <c r="B372" s="30" t="s">
        <v>26</v>
      </c>
      <c r="C372" s="30" t="s">
        <v>231</v>
      </c>
      <c r="D372" s="30" t="s">
        <v>133</v>
      </c>
      <c r="E372" s="30" t="s">
        <v>1340</v>
      </c>
      <c r="F372" s="36" t="str">
        <f>IF(ISBLANK(Table2[[#This Row],[unique_id]]), "", PROPER(SUBSTITUTE(Table2[[#This Row],[unique_id]], "_", " ")))</f>
        <v>Garden Sewerage Blower Plug</v>
      </c>
      <c r="G372" s="30" t="s">
        <v>1342</v>
      </c>
      <c r="H372" s="30" t="s">
        <v>508</v>
      </c>
      <c r="I372" s="30" t="s">
        <v>273</v>
      </c>
      <c r="M372" s="30" t="s">
        <v>255</v>
      </c>
      <c r="O372" s="31" t="s">
        <v>754</v>
      </c>
      <c r="P372" s="30" t="s">
        <v>164</v>
      </c>
      <c r="Q372" s="30" t="s">
        <v>726</v>
      </c>
      <c r="R372" s="30" t="s">
        <v>508</v>
      </c>
      <c r="S372" s="30" t="str">
        <f>Table2[[#This Row],[friendly_name]]</f>
        <v>Sewerage Blower</v>
      </c>
      <c r="T372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2" s="30"/>
      <c r="V372" s="31"/>
      <c r="W372" s="31"/>
      <c r="X372" s="31"/>
      <c r="Y372" s="31"/>
      <c r="Z372" s="31"/>
      <c r="AA372" s="31"/>
      <c r="AB372" s="30"/>
      <c r="AC372" s="30"/>
      <c r="AE372" s="30" t="s">
        <v>241</v>
      </c>
      <c r="AG372" s="31"/>
      <c r="AH372" s="31"/>
      <c r="AT372" s="40"/>
      <c r="AU372" s="30"/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30" t="s">
        <v>558</v>
      </c>
      <c r="BB372" s="30" t="s">
        <v>1342</v>
      </c>
      <c r="BC372" s="30" t="s">
        <v>341</v>
      </c>
      <c r="BD372" s="30" t="s">
        <v>231</v>
      </c>
      <c r="BF372" s="30" t="s">
        <v>344</v>
      </c>
      <c r="BG372" s="30" t="s">
        <v>558</v>
      </c>
      <c r="BJ372" s="30" t="s">
        <v>943</v>
      </c>
      <c r="BK372" s="30" t="s">
        <v>1212</v>
      </c>
      <c r="BL372" s="36" t="s">
        <v>345</v>
      </c>
      <c r="BM372" s="36" t="s">
        <v>1233</v>
      </c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774</v>
      </c>
      <c r="D373" s="54" t="s">
        <v>147</v>
      </c>
      <c r="E373" s="55" t="s">
        <v>1361</v>
      </c>
      <c r="F373" s="56" t="str">
        <f>IF(ISBLANK(Table2[[#This Row],[unique_id]]), "", PROPER(SUBSTITUTE(Table2[[#This Row],[unique_id]], "_", " ")))</f>
        <v>Broken Template Study Battery Charger Plug Proxy</v>
      </c>
      <c r="G373" s="54" t="s">
        <v>229</v>
      </c>
      <c r="H373" s="54" t="s">
        <v>508</v>
      </c>
      <c r="I373" s="54" t="s">
        <v>273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Battery Charger</v>
      </c>
      <c r="T373" s="55" t="s">
        <v>1032</v>
      </c>
      <c r="V373" s="57"/>
      <c r="W373" s="57"/>
      <c r="X373" s="57"/>
      <c r="Y373" s="57"/>
      <c r="Z373" s="57"/>
      <c r="AA373" s="57"/>
      <c r="AG373" s="57"/>
      <c r="AH373" s="57"/>
      <c r="AT373" s="58"/>
      <c r="AU373" s="54" t="s">
        <v>133</v>
      </c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342</v>
      </c>
      <c r="BD373" s="54" t="s">
        <v>231</v>
      </c>
      <c r="BF373" s="54" t="s">
        <v>343</v>
      </c>
      <c r="BG373" s="54" t="s">
        <v>338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231</v>
      </c>
      <c r="D374" s="54" t="s">
        <v>133</v>
      </c>
      <c r="E374" s="54" t="s">
        <v>1362</v>
      </c>
      <c r="F374" s="56" t="str">
        <f>IF(ISBLANK(Table2[[#This Row],[unique_id]]), "", PROPER(SUBSTITUTE(Table2[[#This Row],[unique_id]], "_", " ")))</f>
        <v>Broken Study Battery Charger Plug</v>
      </c>
      <c r="G374" s="54" t="s">
        <v>229</v>
      </c>
      <c r="H374" s="54" t="s">
        <v>508</v>
      </c>
      <c r="I374" s="54" t="s">
        <v>273</v>
      </c>
      <c r="M374" s="54" t="s">
        <v>255</v>
      </c>
      <c r="O374" s="57" t="s">
        <v>754</v>
      </c>
      <c r="P374" s="54" t="s">
        <v>164</v>
      </c>
      <c r="Q374" s="54" t="s">
        <v>726</v>
      </c>
      <c r="R374" s="54" t="s">
        <v>508</v>
      </c>
      <c r="S374" s="54" t="str">
        <f>Table2[[#This Row],[friendly_name]]</f>
        <v>Battery Charger</v>
      </c>
      <c r="T374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4" s="57"/>
      <c r="W374" s="57"/>
      <c r="X374" s="57"/>
      <c r="Y374" s="57"/>
      <c r="Z374" s="57"/>
      <c r="AA374" s="57"/>
      <c r="AE374" s="54" t="s">
        <v>253</v>
      </c>
      <c r="AG374" s="57"/>
      <c r="AH374" s="57"/>
      <c r="AT374" s="58"/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Study</v>
      </c>
      <c r="BB374" s="54" t="s">
        <v>229</v>
      </c>
      <c r="BC374" s="59" t="s">
        <v>342</v>
      </c>
      <c r="BD374" s="54" t="s">
        <v>231</v>
      </c>
      <c r="BF374" s="54" t="s">
        <v>343</v>
      </c>
      <c r="BG374" s="54" t="s">
        <v>338</v>
      </c>
      <c r="BJ374" s="54" t="s">
        <v>942</v>
      </c>
      <c r="BK374" s="54" t="s">
        <v>1212</v>
      </c>
      <c r="BL374" s="54" t="s">
        <v>323</v>
      </c>
      <c r="BM374" s="54" t="s">
        <v>1255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774</v>
      </c>
      <c r="D375" s="54" t="s">
        <v>147</v>
      </c>
      <c r="E375" s="55" t="s">
        <v>1363</v>
      </c>
      <c r="F375" s="56" t="str">
        <f>IF(ISBLANK(Table2[[#This Row],[unique_id]]), "", PROPER(SUBSTITUTE(Table2[[#This Row],[unique_id]], "_", " ")))</f>
        <v>Broken Template Laundry Vacuum Charger Plug Proxy</v>
      </c>
      <c r="G375" s="54" t="s">
        <v>228</v>
      </c>
      <c r="H375" s="54" t="s">
        <v>508</v>
      </c>
      <c r="I375" s="54" t="s">
        <v>273</v>
      </c>
      <c r="O375" s="57" t="s">
        <v>754</v>
      </c>
      <c r="P375" s="54" t="s">
        <v>164</v>
      </c>
      <c r="Q375" s="54" t="s">
        <v>726</v>
      </c>
      <c r="R375" s="54" t="s">
        <v>508</v>
      </c>
      <c r="S375" s="54" t="str">
        <f>Table2[[#This Row],[friendly_name]]</f>
        <v>Vacuum Charger</v>
      </c>
      <c r="T375" s="55" t="s">
        <v>1032</v>
      </c>
      <c r="V375" s="57"/>
      <c r="W375" s="57"/>
      <c r="X375" s="57"/>
      <c r="Y375" s="57"/>
      <c r="Z375" s="57"/>
      <c r="AA375" s="57"/>
      <c r="AG375" s="57"/>
      <c r="AH375" s="57"/>
      <c r="AT375" s="58"/>
      <c r="AU375" s="54" t="s">
        <v>133</v>
      </c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342</v>
      </c>
      <c r="BD375" s="54" t="s">
        <v>231</v>
      </c>
      <c r="BF375" s="54" t="s">
        <v>343</v>
      </c>
      <c r="BG375" s="54" t="s">
        <v>211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6" spans="1:66" s="54" customFormat="1" ht="16" customHeight="1" x14ac:dyDescent="0.2">
      <c r="A376" s="30">
        <v>2594</v>
      </c>
      <c r="B376" s="54" t="s">
        <v>561</v>
      </c>
      <c r="C376" s="54" t="s">
        <v>231</v>
      </c>
      <c r="D376" s="54" t="s">
        <v>133</v>
      </c>
      <c r="E376" s="54" t="s">
        <v>1364</v>
      </c>
      <c r="F376" s="56" t="str">
        <f>IF(ISBLANK(Table2[[#This Row],[unique_id]]), "", PROPER(SUBSTITUTE(Table2[[#This Row],[unique_id]], "_", " ")))</f>
        <v>Broken Laundry Vacuum Charger Plug</v>
      </c>
      <c r="G376" s="54" t="s">
        <v>228</v>
      </c>
      <c r="H376" s="54" t="s">
        <v>508</v>
      </c>
      <c r="I376" s="54" t="s">
        <v>273</v>
      </c>
      <c r="M376" s="54" t="s">
        <v>255</v>
      </c>
      <c r="O376" s="57" t="s">
        <v>754</v>
      </c>
      <c r="P376" s="54" t="s">
        <v>164</v>
      </c>
      <c r="Q376" s="54" t="s">
        <v>726</v>
      </c>
      <c r="R376" s="54" t="s">
        <v>508</v>
      </c>
      <c r="S376" s="54" t="str">
        <f>Table2[[#This Row],[friendly_name]]</f>
        <v>Vacuum Charger</v>
      </c>
      <c r="T376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6" s="57"/>
      <c r="W376" s="57"/>
      <c r="X376" s="57"/>
      <c r="Y376" s="57"/>
      <c r="Z376" s="57"/>
      <c r="AA376" s="57"/>
      <c r="AE376" s="54" t="s">
        <v>253</v>
      </c>
      <c r="AG376" s="57"/>
      <c r="AH376" s="57"/>
      <c r="AT376" s="58"/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Laundry</v>
      </c>
      <c r="BB376" s="54" t="s">
        <v>228</v>
      </c>
      <c r="BC376" s="59" t="s">
        <v>342</v>
      </c>
      <c r="BD376" s="54" t="s">
        <v>231</v>
      </c>
      <c r="BF376" s="54" t="s">
        <v>343</v>
      </c>
      <c r="BG376" s="54" t="s">
        <v>211</v>
      </c>
      <c r="BJ376" s="54" t="s">
        <v>943</v>
      </c>
      <c r="BK376" s="54" t="s">
        <v>1212</v>
      </c>
      <c r="BL376" s="54" t="s">
        <v>324</v>
      </c>
      <c r="BM376" s="54" t="s">
        <v>1256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7" spans="1:66" s="54" customFormat="1" ht="16" customHeight="1" x14ac:dyDescent="0.2">
      <c r="A377" s="30">
        <v>2595</v>
      </c>
      <c r="B377" s="54" t="s">
        <v>561</v>
      </c>
      <c r="C377" s="54" t="s">
        <v>774</v>
      </c>
      <c r="D377" s="54" t="s">
        <v>147</v>
      </c>
      <c r="E377" s="55" t="s">
        <v>1365</v>
      </c>
      <c r="F377" s="56" t="str">
        <f>IF(ISBLANK(Table2[[#This Row],[unique_id]]), "", PROPER(SUBSTITUTE(Table2[[#This Row],[unique_id]], "_", " ")))</f>
        <v>Broken Template Ada Tablet Plug Proxy</v>
      </c>
      <c r="G377" s="54" t="s">
        <v>787</v>
      </c>
      <c r="H377" s="54" t="s">
        <v>508</v>
      </c>
      <c r="I377" s="54" t="s">
        <v>273</v>
      </c>
      <c r="O377" s="57" t="s">
        <v>754</v>
      </c>
      <c r="P377" s="54" t="s">
        <v>164</v>
      </c>
      <c r="Q377" s="54" t="s">
        <v>726</v>
      </c>
      <c r="R377" s="60" t="s">
        <v>711</v>
      </c>
      <c r="S377" s="54" t="str">
        <f>Table2[[#This Row],[friendly_name]]</f>
        <v>Ada Tablet</v>
      </c>
      <c r="T377" s="55" t="s">
        <v>1032</v>
      </c>
      <c r="V377" s="57"/>
      <c r="W377" s="57"/>
      <c r="X377" s="57"/>
      <c r="Y377" s="57"/>
      <c r="Z377" s="57"/>
      <c r="AA377" s="57"/>
      <c r="AG377" s="57"/>
      <c r="AH377" s="57"/>
      <c r="AR377" s="59"/>
      <c r="AT377" s="61"/>
      <c r="AU377" s="54" t="s">
        <v>133</v>
      </c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787</v>
      </c>
      <c r="BC377" s="59" t="s">
        <v>342</v>
      </c>
      <c r="BD377" s="54" t="s">
        <v>231</v>
      </c>
      <c r="BF377" s="54" t="s">
        <v>343</v>
      </c>
      <c r="BG377" s="54" t="s">
        <v>192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8" spans="1:66" s="54" customFormat="1" ht="16" customHeight="1" x14ac:dyDescent="0.2">
      <c r="A378" s="30">
        <v>2596</v>
      </c>
      <c r="B378" s="54" t="s">
        <v>561</v>
      </c>
      <c r="C378" s="54" t="s">
        <v>231</v>
      </c>
      <c r="D378" s="54" t="s">
        <v>133</v>
      </c>
      <c r="E378" s="54" t="s">
        <v>1366</v>
      </c>
      <c r="F378" s="56" t="str">
        <f>IF(ISBLANK(Table2[[#This Row],[unique_id]]), "", PROPER(SUBSTITUTE(Table2[[#This Row],[unique_id]], "_", " ")))</f>
        <v>Broken Ada Tablet Plug</v>
      </c>
      <c r="G378" s="54" t="s">
        <v>787</v>
      </c>
      <c r="H378" s="54" t="s">
        <v>508</v>
      </c>
      <c r="I378" s="54" t="s">
        <v>273</v>
      </c>
      <c r="M378" s="54" t="s">
        <v>255</v>
      </c>
      <c r="O378" s="57" t="s">
        <v>754</v>
      </c>
      <c r="P378" s="54" t="s">
        <v>164</v>
      </c>
      <c r="Q378" s="54" t="s">
        <v>726</v>
      </c>
      <c r="R378" s="60" t="s">
        <v>711</v>
      </c>
      <c r="S378" s="54" t="str">
        <f>Table2[[#This Row],[friendly_name]]</f>
        <v>Ada Tablet</v>
      </c>
      <c r="T378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8" s="57"/>
      <c r="W378" s="57"/>
      <c r="X378" s="57"/>
      <c r="Y378" s="57"/>
      <c r="Z378" s="57"/>
      <c r="AA378" s="57"/>
      <c r="AE378" s="54" t="s">
        <v>788</v>
      </c>
      <c r="AG378" s="57"/>
      <c r="AH378" s="57"/>
      <c r="AR378" s="59"/>
      <c r="AT378" s="61"/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8" s="54" t="str">
        <f>IF(ISBLANK(Table2[[#This Row],[device_model]]), "", Table2[[#This Row],[device_suggested_area]])</f>
        <v>Lounge</v>
      </c>
      <c r="BB378" s="54" t="s">
        <v>787</v>
      </c>
      <c r="BC378" s="59" t="s">
        <v>342</v>
      </c>
      <c r="BD378" s="54" t="s">
        <v>231</v>
      </c>
      <c r="BF378" s="54" t="s">
        <v>343</v>
      </c>
      <c r="BG378" s="54" t="s">
        <v>192</v>
      </c>
      <c r="BJ378" s="54" t="s">
        <v>942</v>
      </c>
      <c r="BK378" s="54" t="s">
        <v>1212</v>
      </c>
      <c r="BL378" s="54" t="s">
        <v>766</v>
      </c>
      <c r="BM378" s="54" t="s">
        <v>1257</v>
      </c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593</v>
      </c>
      <c r="F379" s="36" t="str">
        <f>IF(ISBLANK(Table2[[#This Row],[unique_id]]), "", PROPER(SUBSTITUTE(Table2[[#This Row],[unique_id]], "_", " ")))</f>
        <v>Deck Fans Outlet</v>
      </c>
      <c r="G379" s="30" t="s">
        <v>596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Deck</v>
      </c>
      <c r="BA379" s="30" t="str">
        <f>IF(ISBLANK(Table2[[#This Row],[device_model]]), "", Table2[[#This Row],[device_suggested_area]])</f>
        <v>Deck</v>
      </c>
      <c r="BB379" s="37" t="s">
        <v>980</v>
      </c>
      <c r="BC379" s="37" t="s">
        <v>598</v>
      </c>
      <c r="BD379" s="30" t="s">
        <v>359</v>
      </c>
      <c r="BF379" s="37" t="s">
        <v>599</v>
      </c>
      <c r="BG379" s="30" t="s">
        <v>339</v>
      </c>
      <c r="BL379" s="30" t="s">
        <v>600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0" spans="1:66" ht="16" customHeight="1" x14ac:dyDescent="0.2">
      <c r="A380" s="30">
        <v>2598</v>
      </c>
      <c r="B380" s="30" t="s">
        <v>26</v>
      </c>
      <c r="C380" s="30" t="s">
        <v>359</v>
      </c>
      <c r="D380" s="30" t="s">
        <v>133</v>
      </c>
      <c r="E380" s="39" t="s">
        <v>594</v>
      </c>
      <c r="F380" s="36" t="str">
        <f>IF(ISBLANK(Table2[[#This Row],[unique_id]]), "", PROPER(SUBSTITUTE(Table2[[#This Row],[unique_id]], "_", " ")))</f>
        <v>Kitchen Fan Outlet</v>
      </c>
      <c r="G380" s="30" t="s">
        <v>595</v>
      </c>
      <c r="H380" s="30" t="s">
        <v>508</v>
      </c>
      <c r="I380" s="30" t="s">
        <v>273</v>
      </c>
      <c r="M380" s="30" t="s">
        <v>255</v>
      </c>
      <c r="O380" s="31" t="s">
        <v>754</v>
      </c>
      <c r="P380" s="30" t="s">
        <v>164</v>
      </c>
      <c r="Q380" s="30" t="s">
        <v>726</v>
      </c>
      <c r="R380" s="30" t="s">
        <v>728</v>
      </c>
      <c r="S380" s="30" t="s">
        <v>785</v>
      </c>
      <c r="T380" s="37" t="s">
        <v>784</v>
      </c>
      <c r="U380" s="30"/>
      <c r="V380" s="31"/>
      <c r="W380" s="31" t="s">
        <v>471</v>
      </c>
      <c r="X380" s="31"/>
      <c r="Y380" s="42" t="s">
        <v>723</v>
      </c>
      <c r="Z380" s="31"/>
      <c r="AA380" s="31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Kitchen</v>
      </c>
      <c r="BA380" s="30" t="str">
        <f>IF(ISBLANK(Table2[[#This Row],[device_model]]), "", Table2[[#This Row],[device_suggested_area]])</f>
        <v>Kitchen</v>
      </c>
      <c r="BB380" s="37" t="s">
        <v>981</v>
      </c>
      <c r="BC380" s="37" t="s">
        <v>598</v>
      </c>
      <c r="BD380" s="30" t="s">
        <v>359</v>
      </c>
      <c r="BF380" s="37" t="s">
        <v>599</v>
      </c>
      <c r="BG380" s="30" t="s">
        <v>204</v>
      </c>
      <c r="BL380" s="30" t="s">
        <v>601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1" spans="1:66" ht="16" customHeight="1" x14ac:dyDescent="0.2">
      <c r="A381" s="30">
        <v>2599</v>
      </c>
      <c r="B381" s="30" t="s">
        <v>26</v>
      </c>
      <c r="C381" s="30" t="s">
        <v>359</v>
      </c>
      <c r="D381" s="30" t="s">
        <v>133</v>
      </c>
      <c r="E381" s="39" t="s">
        <v>1461</v>
      </c>
      <c r="F381" s="36" t="str">
        <f>IF(ISBLANK(Table2[[#This Row],[unique_id]]), "", PROPER(SUBSTITUTE(Table2[[#This Row],[unique_id]], "_", " ")))</f>
        <v>Ada Desk Outlet</v>
      </c>
      <c r="G381" s="30" t="s">
        <v>1460</v>
      </c>
      <c r="H381" s="30" t="s">
        <v>508</v>
      </c>
      <c r="I381" s="30" t="s">
        <v>273</v>
      </c>
      <c r="M381" s="30" t="s">
        <v>255</v>
      </c>
      <c r="O381" s="31" t="s">
        <v>754</v>
      </c>
      <c r="P381" s="30" t="s">
        <v>164</v>
      </c>
      <c r="Q381" s="30" t="s">
        <v>726</v>
      </c>
      <c r="R381" s="30" t="s">
        <v>728</v>
      </c>
      <c r="S381" s="30" t="s">
        <v>785</v>
      </c>
      <c r="T381" s="37" t="s">
        <v>784</v>
      </c>
      <c r="U381" s="30"/>
      <c r="V381" s="31"/>
      <c r="W381" s="31" t="s">
        <v>471</v>
      </c>
      <c r="X381" s="31"/>
      <c r="Y381" s="42" t="s">
        <v>723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Ada</v>
      </c>
      <c r="BA381" s="30" t="str">
        <f>IF(ISBLANK(Table2[[#This Row],[device_model]]), "", Table2[[#This Row],[device_suggested_area]])</f>
        <v>Ada</v>
      </c>
      <c r="BB381" s="37" t="s">
        <v>1450</v>
      </c>
      <c r="BC381" s="37" t="s">
        <v>598</v>
      </c>
      <c r="BD381" s="30" t="s">
        <v>359</v>
      </c>
      <c r="BF381" s="37" t="s">
        <v>599</v>
      </c>
      <c r="BG381" s="30" t="s">
        <v>129</v>
      </c>
      <c r="BL381" s="30" t="s">
        <v>1462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2" spans="1:66" ht="16" customHeight="1" x14ac:dyDescent="0.2">
      <c r="A382" s="30">
        <v>2600</v>
      </c>
      <c r="B382" s="30" t="s">
        <v>26</v>
      </c>
      <c r="C382" s="30" t="s">
        <v>359</v>
      </c>
      <c r="D382" s="30" t="s">
        <v>133</v>
      </c>
      <c r="E382" s="39" t="s">
        <v>1449</v>
      </c>
      <c r="F382" s="36" t="str">
        <f>IF(ISBLANK(Table2[[#This Row],[unique_id]]), "", PROPER(SUBSTITUTE(Table2[[#This Row],[unique_id]], "_", " ")))</f>
        <v>Edwin Desk Outlet</v>
      </c>
      <c r="G382" s="30" t="s">
        <v>1448</v>
      </c>
      <c r="H382" s="30" t="s">
        <v>508</v>
      </c>
      <c r="I382" s="30" t="s">
        <v>273</v>
      </c>
      <c r="M382" s="30" t="s">
        <v>255</v>
      </c>
      <c r="O382" s="31" t="s">
        <v>754</v>
      </c>
      <c r="P382" s="30" t="s">
        <v>164</v>
      </c>
      <c r="Q382" s="30" t="s">
        <v>726</v>
      </c>
      <c r="R382" s="30" t="s">
        <v>728</v>
      </c>
      <c r="S382" s="30" t="s">
        <v>785</v>
      </c>
      <c r="T382" s="37" t="s">
        <v>784</v>
      </c>
      <c r="U382" s="30"/>
      <c r="V382" s="31"/>
      <c r="W382" s="31" t="s">
        <v>471</v>
      </c>
      <c r="X382" s="31"/>
      <c r="Y382" s="42" t="s">
        <v>723</v>
      </c>
      <c r="Z382" s="42"/>
      <c r="AA382" s="42"/>
      <c r="AB382" s="30"/>
      <c r="AC382" s="30"/>
      <c r="AE382" s="30" t="s">
        <v>249</v>
      </c>
      <c r="AG382" s="31"/>
      <c r="AH382" s="31"/>
      <c r="AT3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2" s="37"/>
      <c r="AV3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2" s="30" t="str">
        <f>Table2[[#This Row],[device_suggested_area]]</f>
        <v>Edwin</v>
      </c>
      <c r="BA382" s="30" t="str">
        <f>IF(ISBLANK(Table2[[#This Row],[device_model]]), "", Table2[[#This Row],[device_suggested_area]])</f>
        <v>Edwin</v>
      </c>
      <c r="BB382" s="37" t="s">
        <v>1450</v>
      </c>
      <c r="BC382" s="37" t="s">
        <v>598</v>
      </c>
      <c r="BD382" s="30" t="s">
        <v>359</v>
      </c>
      <c r="BF382" s="37" t="s">
        <v>599</v>
      </c>
      <c r="BG382" s="30" t="s">
        <v>126</v>
      </c>
      <c r="BL382" s="30" t="s">
        <v>597</v>
      </c>
      <c r="BN3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774</v>
      </c>
      <c r="D383" s="54" t="s">
        <v>147</v>
      </c>
      <c r="E383" s="55" t="s">
        <v>1390</v>
      </c>
      <c r="F383" s="56" t="str">
        <f>IF(ISBLANK(Table2[[#This Row],[unique_id]]), "", PROPER(SUBSTITUTE(Table2[[#This Row],[unique_id]], "_", " ")))</f>
        <v>Broken Template Server May Plug Proxy</v>
      </c>
      <c r="G383" s="54" t="s">
        <v>1391</v>
      </c>
      <c r="H383" s="54" t="s">
        <v>508</v>
      </c>
      <c r="I383" s="54" t="s">
        <v>273</v>
      </c>
      <c r="O383" s="57" t="s">
        <v>754</v>
      </c>
      <c r="R383" s="54" t="s">
        <v>767</v>
      </c>
      <c r="S383" s="54" t="str">
        <f>Table2[[#This Row],[friendly_name]]</f>
        <v>Server May</v>
      </c>
      <c r="T383" s="55" t="s">
        <v>1032</v>
      </c>
      <c r="V383" s="57"/>
      <c r="W383" s="57"/>
      <c r="X383" s="57"/>
      <c r="Y383" s="57"/>
      <c r="Z383" s="57"/>
      <c r="AA383" s="57"/>
      <c r="AG383" s="57"/>
      <c r="AH383" s="57"/>
      <c r="AR383" s="59"/>
      <c r="AT383" s="61"/>
      <c r="AU383" s="54" t="s">
        <v>133</v>
      </c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4" spans="1:66" s="54" customFormat="1" ht="16" customHeight="1" x14ac:dyDescent="0.2">
      <c r="A384" s="30">
        <v>2602</v>
      </c>
      <c r="B384" s="54" t="s">
        <v>561</v>
      </c>
      <c r="C384" s="54" t="s">
        <v>231</v>
      </c>
      <c r="D384" s="54" t="s">
        <v>133</v>
      </c>
      <c r="E384" s="54" t="s">
        <v>1392</v>
      </c>
      <c r="F384" s="56" t="str">
        <f>IF(ISBLANK(Table2[[#This Row],[unique_id]]), "", PROPER(SUBSTITUTE(Table2[[#This Row],[unique_id]], "_", " ")))</f>
        <v>Broken Server May Plug</v>
      </c>
      <c r="G384" s="54" t="s">
        <v>1391</v>
      </c>
      <c r="H384" s="54" t="s">
        <v>508</v>
      </c>
      <c r="I384" s="54" t="s">
        <v>273</v>
      </c>
      <c r="M384" s="54" t="s">
        <v>255</v>
      </c>
      <c r="O384" s="57" t="s">
        <v>754</v>
      </c>
      <c r="R384" s="54" t="s">
        <v>767</v>
      </c>
      <c r="S384" s="54" t="str">
        <f>Table2[[#This Row],[friendly_name]]</f>
        <v>Server May</v>
      </c>
      <c r="T384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4" s="57"/>
      <c r="W384" s="57"/>
      <c r="X384" s="57"/>
      <c r="Y384" s="57"/>
      <c r="Z384" s="57"/>
      <c r="AA384" s="57"/>
      <c r="AE384" s="54" t="s">
        <v>250</v>
      </c>
      <c r="AG384" s="57"/>
      <c r="AH384" s="57"/>
      <c r="AR384" s="59"/>
      <c r="AT384" s="61"/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1395</v>
      </c>
      <c r="BC384" s="59" t="s">
        <v>342</v>
      </c>
      <c r="BD384" s="54" t="s">
        <v>231</v>
      </c>
      <c r="BF384" s="54" t="s">
        <v>343</v>
      </c>
      <c r="BG384" s="54" t="s">
        <v>28</v>
      </c>
      <c r="BJ384" s="54" t="s">
        <v>943</v>
      </c>
      <c r="BK384" s="54" t="s">
        <v>1212</v>
      </c>
      <c r="BL384" s="54" t="s">
        <v>770</v>
      </c>
      <c r="BM384" s="54" t="s">
        <v>1258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5" spans="1:66" s="54" customFormat="1" ht="16" customHeight="1" x14ac:dyDescent="0.2">
      <c r="A385" s="30">
        <v>2603</v>
      </c>
      <c r="B385" s="54" t="s">
        <v>561</v>
      </c>
      <c r="C385" s="54" t="s">
        <v>774</v>
      </c>
      <c r="D385" s="54" t="s">
        <v>147</v>
      </c>
      <c r="E385" s="55" t="s">
        <v>1367</v>
      </c>
      <c r="F385" s="56" t="str">
        <f>IF(ISBLANK(Table2[[#This Row],[unique_id]]), "", PROPER(SUBSTITUTE(Table2[[#This Row],[unique_id]], "_", " ")))</f>
        <v>Broken Template Server Meg Plug Proxy</v>
      </c>
      <c r="G385" s="59" t="s">
        <v>771</v>
      </c>
      <c r="H385" s="54" t="s">
        <v>508</v>
      </c>
      <c r="I385" s="54" t="s">
        <v>273</v>
      </c>
      <c r="O385" s="57" t="s">
        <v>754</v>
      </c>
      <c r="R385" s="54" t="s">
        <v>767</v>
      </c>
      <c r="S385" s="54" t="str">
        <f>Table2[[#This Row],[friendly_name]]</f>
        <v>Server Meg</v>
      </c>
      <c r="T385" s="55" t="s">
        <v>1032</v>
      </c>
      <c r="V385" s="57"/>
      <c r="W385" s="57"/>
      <c r="X385" s="57"/>
      <c r="Y385" s="57"/>
      <c r="Z385" s="57"/>
      <c r="AA385" s="57"/>
      <c r="AG385" s="57"/>
      <c r="AH385" s="57"/>
      <c r="AR385" s="59"/>
      <c r="AT385" s="61"/>
      <c r="AU385" s="54" t="s">
        <v>133</v>
      </c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1025</v>
      </c>
      <c r="BC385" s="59" t="s">
        <v>342</v>
      </c>
      <c r="BD385" s="54" t="s">
        <v>231</v>
      </c>
      <c r="BF385" s="54" t="s">
        <v>343</v>
      </c>
      <c r="BG385" s="54" t="s">
        <v>28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6" spans="1:66" s="54" customFormat="1" ht="16" customHeight="1" x14ac:dyDescent="0.2">
      <c r="A386" s="30">
        <v>2604</v>
      </c>
      <c r="B386" s="54" t="s">
        <v>561</v>
      </c>
      <c r="C386" s="54" t="s">
        <v>231</v>
      </c>
      <c r="D386" s="54" t="s">
        <v>133</v>
      </c>
      <c r="E386" s="54" t="s">
        <v>1368</v>
      </c>
      <c r="F386" s="56" t="str">
        <f>IF(ISBLANK(Table2[[#This Row],[unique_id]]), "", PROPER(SUBSTITUTE(Table2[[#This Row],[unique_id]], "_", " ")))</f>
        <v>Broken Server Meg Plug</v>
      </c>
      <c r="G386" s="59" t="s">
        <v>771</v>
      </c>
      <c r="H386" s="54" t="s">
        <v>508</v>
      </c>
      <c r="I386" s="54" t="s">
        <v>273</v>
      </c>
      <c r="M386" s="54" t="s">
        <v>255</v>
      </c>
      <c r="O386" s="57" t="s">
        <v>754</v>
      </c>
      <c r="R386" s="54" t="s">
        <v>767</v>
      </c>
      <c r="S386" s="54" t="str">
        <f>Table2[[#This Row],[friendly_name]]</f>
        <v>Server Meg</v>
      </c>
      <c r="T386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6" s="57"/>
      <c r="W386" s="57"/>
      <c r="X386" s="57"/>
      <c r="Y386" s="57"/>
      <c r="Z386" s="57"/>
      <c r="AA386" s="57"/>
      <c r="AE386" s="54" t="s">
        <v>250</v>
      </c>
      <c r="AG386" s="57"/>
      <c r="AH386" s="57"/>
      <c r="AR386" s="59"/>
      <c r="AT386" s="61"/>
      <c r="AV38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54" t="str">
        <f>IF(ISBLANK(Table2[[#This Row],[device_model]]), "", Table2[[#This Row],[device_suggested_area]])</f>
        <v>Rack</v>
      </c>
      <c r="BB386" s="54" t="s">
        <v>1025</v>
      </c>
      <c r="BC386" s="59" t="s">
        <v>342</v>
      </c>
      <c r="BD386" s="54" t="s">
        <v>231</v>
      </c>
      <c r="BF386" s="54" t="s">
        <v>343</v>
      </c>
      <c r="BG386" s="54" t="s">
        <v>28</v>
      </c>
      <c r="BJ386" s="54" t="s">
        <v>943</v>
      </c>
      <c r="BK386" s="54" t="s">
        <v>1212</v>
      </c>
      <c r="BL386" s="54" t="s">
        <v>769</v>
      </c>
      <c r="BM386" s="54" t="s">
        <v>1259</v>
      </c>
      <c r="BN38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7" spans="1:66" ht="16" customHeight="1" x14ac:dyDescent="0.2">
      <c r="A387" s="30">
        <v>2605</v>
      </c>
      <c r="B387" s="30" t="s">
        <v>26</v>
      </c>
      <c r="C387" s="30" t="s">
        <v>774</v>
      </c>
      <c r="D387" s="30" t="s">
        <v>147</v>
      </c>
      <c r="E387" s="37" t="s">
        <v>1398</v>
      </c>
      <c r="F387" s="36" t="str">
        <f>IF(ISBLANK(Table2[[#This Row],[unique_id]]), "", PROPER(SUBSTITUTE(Table2[[#This Row],[unique_id]], "_", " ")))</f>
        <v>Template Server Jen Plug Proxy</v>
      </c>
      <c r="G387" s="30" t="s">
        <v>1402</v>
      </c>
      <c r="H387" s="30" t="s">
        <v>508</v>
      </c>
      <c r="I387" s="30" t="s">
        <v>273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Jen</v>
      </c>
      <c r="T387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7" s="30"/>
      <c r="V387" s="31"/>
      <c r="W387" s="31"/>
      <c r="X387" s="31"/>
      <c r="Y387" s="31"/>
      <c r="Z387" s="31"/>
      <c r="AA387" s="31"/>
      <c r="AB387" s="30"/>
      <c r="AC387" s="30"/>
      <c r="AG387" s="31"/>
      <c r="AH387" s="31"/>
      <c r="AT387" s="40"/>
      <c r="AU387" s="30" t="s">
        <v>133</v>
      </c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477</v>
      </c>
      <c r="BB387" s="30" t="s">
        <v>1403</v>
      </c>
      <c r="BC387" s="30" t="s">
        <v>341</v>
      </c>
      <c r="BD387" s="30" t="s">
        <v>231</v>
      </c>
      <c r="BF387" s="30" t="s">
        <v>344</v>
      </c>
      <c r="BG387" s="30" t="s">
        <v>477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8" spans="1:66" ht="16" customHeight="1" x14ac:dyDescent="0.2">
      <c r="A388" s="30">
        <v>2606</v>
      </c>
      <c r="B388" s="30" t="s">
        <v>26</v>
      </c>
      <c r="C388" s="30" t="s">
        <v>231</v>
      </c>
      <c r="D388" s="30" t="s">
        <v>133</v>
      </c>
      <c r="E388" s="30" t="s">
        <v>1399</v>
      </c>
      <c r="F388" s="36" t="str">
        <f>IF(ISBLANK(Table2[[#This Row],[unique_id]]), "", PROPER(SUBSTITUTE(Table2[[#This Row],[unique_id]], "_", " ")))</f>
        <v>Server Jen Plug</v>
      </c>
      <c r="G388" s="30" t="s">
        <v>1402</v>
      </c>
      <c r="H388" s="30" t="s">
        <v>508</v>
      </c>
      <c r="I388" s="30" t="s">
        <v>273</v>
      </c>
      <c r="M388" s="30" t="s">
        <v>255</v>
      </c>
      <c r="O388" s="31" t="s">
        <v>754</v>
      </c>
      <c r="P388" s="30" t="s">
        <v>164</v>
      </c>
      <c r="Q388" s="30" t="s">
        <v>726</v>
      </c>
      <c r="R388" s="30" t="s">
        <v>728</v>
      </c>
      <c r="S388" s="30" t="str">
        <f>Table2[[#This Row],[friendly_name]]</f>
        <v>Server Jen</v>
      </c>
      <c r="T388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8" s="30"/>
      <c r="V388" s="31"/>
      <c r="W388" s="31"/>
      <c r="X388" s="31"/>
      <c r="Y388" s="31"/>
      <c r="Z388" s="31"/>
      <c r="AA388" s="31"/>
      <c r="AB388" s="30"/>
      <c r="AC388" s="30"/>
      <c r="AE388" s="30" t="s">
        <v>250</v>
      </c>
      <c r="AG388" s="31"/>
      <c r="AH388" s="31"/>
      <c r="AT388" s="40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">
        <v>477</v>
      </c>
      <c r="BB388" s="30" t="s">
        <v>1403</v>
      </c>
      <c r="BC388" s="30" t="s">
        <v>341</v>
      </c>
      <c r="BD388" s="30" t="s">
        <v>231</v>
      </c>
      <c r="BF388" s="30" t="s">
        <v>344</v>
      </c>
      <c r="BG388" s="30" t="s">
        <v>477</v>
      </c>
      <c r="BJ388" s="30" t="s">
        <v>943</v>
      </c>
      <c r="BK388" s="30" t="s">
        <v>1212</v>
      </c>
      <c r="BL388" s="30" t="s">
        <v>330</v>
      </c>
      <c r="BM388" s="30" t="s">
        <v>1260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9" spans="1:66" ht="16" customHeight="1" x14ac:dyDescent="0.2">
      <c r="A389" s="30">
        <v>2607</v>
      </c>
      <c r="B389" s="30" t="s">
        <v>26</v>
      </c>
      <c r="C389" s="30" t="s">
        <v>774</v>
      </c>
      <c r="D389" s="30" t="s">
        <v>147</v>
      </c>
      <c r="E389" s="37" t="s">
        <v>933</v>
      </c>
      <c r="F389" s="36" t="str">
        <f>IF(ISBLANK(Table2[[#This Row],[unique_id]]), "", PROPER(SUBSTITUTE(Table2[[#This Row],[unique_id]], "_", " ")))</f>
        <v>Template Rack Outlet Plug Proxy</v>
      </c>
      <c r="G389" s="30" t="s">
        <v>220</v>
      </c>
      <c r="H389" s="30" t="s">
        <v>508</v>
      </c>
      <c r="I389" s="30" t="s">
        <v>273</v>
      </c>
      <c r="O389" s="31" t="s">
        <v>754</v>
      </c>
      <c r="P389" s="30" t="s">
        <v>164</v>
      </c>
      <c r="Q389" s="30" t="s">
        <v>726</v>
      </c>
      <c r="R389" s="30" t="s">
        <v>728</v>
      </c>
      <c r="S389" s="30" t="str">
        <f>Table2[[#This Row],[friendly_name]]</f>
        <v>Server Rack</v>
      </c>
      <c r="T389" s="37" t="s">
        <v>1034</v>
      </c>
      <c r="U389" s="30"/>
      <c r="V389" s="31"/>
      <c r="W389" s="31"/>
      <c r="X389" s="31"/>
      <c r="Y389" s="31"/>
      <c r="Z389" s="31"/>
      <c r="AA389" s="31"/>
      <c r="AB389" s="30"/>
      <c r="AC389" s="30"/>
      <c r="AG389" s="31"/>
      <c r="AH389" s="31"/>
      <c r="AT389" s="40"/>
      <c r="AU389" s="30" t="s">
        <v>133</v>
      </c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676</v>
      </c>
      <c r="D390" s="30" t="s">
        <v>133</v>
      </c>
      <c r="E390" s="30" t="s">
        <v>804</v>
      </c>
      <c r="F390" s="36" t="str">
        <f>IF(ISBLANK(Table2[[#This Row],[unique_id]]), "", PROPER(SUBSTITUTE(Table2[[#This Row],[unique_id]], "_", " ")))</f>
        <v>Rack Outlet Plug</v>
      </c>
      <c r="G390" s="30" t="s">
        <v>220</v>
      </c>
      <c r="H390" s="30" t="s">
        <v>508</v>
      </c>
      <c r="I390" s="30" t="s">
        <v>273</v>
      </c>
      <c r="M390" s="30" t="s">
        <v>255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Server Rack</v>
      </c>
      <c r="T39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0" s="30"/>
      <c r="V390" s="31"/>
      <c r="W390" s="31"/>
      <c r="X390" s="31"/>
      <c r="Y390" s="31"/>
      <c r="Z390" s="31"/>
      <c r="AA390" s="42" t="s">
        <v>1073</v>
      </c>
      <c r="AB390" s="30"/>
      <c r="AC390" s="30"/>
      <c r="AE390" s="30" t="s">
        <v>250</v>
      </c>
      <c r="AF390" s="30">
        <v>10</v>
      </c>
      <c r="AG390" s="31" t="s">
        <v>34</v>
      </c>
      <c r="AH390" s="31" t="s">
        <v>863</v>
      </c>
      <c r="AJ390" s="30" t="str">
        <f>_xlfn.CONCAT("homeassistant/", Table2[[#This Row],[entity_namespace]], "/tasmota/",Table2[[#This Row],[unique_id]], "/config")</f>
        <v>homeassistant/switch/tasmota/rack_outlet_plug/config</v>
      </c>
      <c r="AK390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90" s="30" t="str">
        <f>_xlfn.CONCAT("tasmota/device/",Table2[[#This Row],[unique_id]], "/cmnd/POWER")</f>
        <v>tasmota/device/rack_outlet_plug/cmnd/POWER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882</v>
      </c>
      <c r="AO390" s="30" t="s">
        <v>883</v>
      </c>
      <c r="AP390" s="30" t="s">
        <v>872</v>
      </c>
      <c r="AQ390" s="30" t="s">
        <v>873</v>
      </c>
      <c r="AR390" s="30" t="s">
        <v>936</v>
      </c>
      <c r="AS390" s="30">
        <v>1</v>
      </c>
      <c r="AT390" s="34" t="str">
        <f>HYPERLINK(_xlfn.CONCAT("http://", Table2[[#This Row],[connection_ip]], "/?"))</f>
        <v>http://10.0.4.102/?</v>
      </c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984</v>
      </c>
      <c r="BC390" s="30" t="s">
        <v>881</v>
      </c>
      <c r="BD390" s="30" t="s">
        <v>1075</v>
      </c>
      <c r="BF390" s="30" t="s">
        <v>853</v>
      </c>
      <c r="BG390" s="30" t="s">
        <v>28</v>
      </c>
      <c r="BK390" s="30" t="s">
        <v>1212</v>
      </c>
      <c r="BL390" s="30" t="s">
        <v>880</v>
      </c>
      <c r="BM390" s="30" t="s">
        <v>1262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27</v>
      </c>
      <c r="E391" s="30" t="s">
        <v>934</v>
      </c>
      <c r="F391" s="36" t="str">
        <f>IF(ISBLANK(Table2[[#This Row],[unique_id]]), "", PROPER(SUBSTITUTE(Table2[[#This Row],[unique_id]], "_", " ")))</f>
        <v>Rack Outlet Plug Energy Power</v>
      </c>
      <c r="G391" s="30" t="s">
        <v>220</v>
      </c>
      <c r="H391" s="30" t="s">
        <v>508</v>
      </c>
      <c r="I391" s="30" t="s">
        <v>273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31</v>
      </c>
      <c r="AC391" s="30" t="s">
        <v>309</v>
      </c>
      <c r="AD391" s="30" t="s">
        <v>864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homeassistant/sensor/tasmota/rack_outlet_plug_energy_power/config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1069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984</v>
      </c>
      <c r="BC391" s="30" t="s">
        <v>881</v>
      </c>
      <c r="BD391" s="30" t="s">
        <v>1075</v>
      </c>
      <c r="BF391" s="30" t="s">
        <v>853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935</v>
      </c>
      <c r="F392" s="36" t="str">
        <f>IF(ISBLANK(Table2[[#This Row],[unique_id]]), "", PROPER(SUBSTITUTE(Table2[[#This Row],[unique_id]], "_", " ")))</f>
        <v>Rack Outlet Plug Energy Total</v>
      </c>
      <c r="G392" s="30" t="s">
        <v>220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76</v>
      </c>
      <c r="AC392" s="30" t="s">
        <v>310</v>
      </c>
      <c r="AD392" s="30" t="s">
        <v>865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homeassistant/sensor/tasmota/rack_outlet_plug_energy_total/config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1070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Rack</v>
      </c>
      <c r="BB392" s="30" t="s">
        <v>984</v>
      </c>
      <c r="BC392" s="30" t="s">
        <v>881</v>
      </c>
      <c r="BD392" s="30" t="s">
        <v>1075</v>
      </c>
      <c r="BF392" s="30" t="s">
        <v>853</v>
      </c>
      <c r="BG392" s="30" t="s">
        <v>28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774</v>
      </c>
      <c r="D393" s="30" t="s">
        <v>147</v>
      </c>
      <c r="E393" s="37" t="s">
        <v>1059</v>
      </c>
      <c r="F393" s="36" t="str">
        <f>IF(ISBLANK(Table2[[#This Row],[unique_id]]), "", PROPER(SUBSTITUTE(Table2[[#This Row],[unique_id]], "_", " ")))</f>
        <v>Template Ceiling Network Switch Plug Proxy</v>
      </c>
      <c r="G393" s="30" t="s">
        <v>1382</v>
      </c>
      <c r="H393" s="30" t="s">
        <v>508</v>
      </c>
      <c r="I393" s="30" t="s">
        <v>273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Ceiling Network Devices</v>
      </c>
      <c r="T393" s="37" t="s">
        <v>1034</v>
      </c>
      <c r="U393" s="30"/>
      <c r="V393" s="31"/>
      <c r="W393" s="31"/>
      <c r="X393" s="31"/>
      <c r="Y393" s="31"/>
      <c r="Z393" s="31"/>
      <c r="AA393" s="31"/>
      <c r="AB393" s="30"/>
      <c r="AC393" s="30"/>
      <c r="AG393" s="31"/>
      <c r="AH393" s="31"/>
      <c r="AT393" s="40"/>
      <c r="AU393" s="30" t="s">
        <v>133</v>
      </c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ht="16" customHeight="1" x14ac:dyDescent="0.2">
      <c r="A394" s="30">
        <v>2612</v>
      </c>
      <c r="B394" s="30" t="s">
        <v>26</v>
      </c>
      <c r="C394" s="30" t="s">
        <v>676</v>
      </c>
      <c r="D394" s="30" t="s">
        <v>133</v>
      </c>
      <c r="E394" s="30" t="s">
        <v>1060</v>
      </c>
      <c r="F394" s="36" t="str">
        <f>IF(ISBLANK(Table2[[#This Row],[unique_id]]), "", PROPER(SUBSTITUTE(Table2[[#This Row],[unique_id]], "_", " ")))</f>
        <v>Ceiling Network Switch Plug</v>
      </c>
      <c r="G394" s="30" t="s">
        <v>1382</v>
      </c>
      <c r="H394" s="30" t="s">
        <v>508</v>
      </c>
      <c r="I394" s="30" t="s">
        <v>273</v>
      </c>
      <c r="M394" s="30" t="s">
        <v>255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Ceiling Network Devices</v>
      </c>
      <c r="T39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4" s="30"/>
      <c r="V394" s="31"/>
      <c r="W394" s="31"/>
      <c r="X394" s="31"/>
      <c r="Y394" s="31"/>
      <c r="Z394" s="31"/>
      <c r="AA394" s="42" t="s">
        <v>1073</v>
      </c>
      <c r="AB394" s="30"/>
      <c r="AC394" s="30"/>
      <c r="AE394" s="30" t="s">
        <v>251</v>
      </c>
      <c r="AF394" s="30">
        <v>10</v>
      </c>
      <c r="AG394" s="31" t="s">
        <v>34</v>
      </c>
      <c r="AH394" s="31" t="s">
        <v>863</v>
      </c>
      <c r="AJ394" s="30" t="str">
        <f>_xlfn.CONCAT("homeassistant/", Table2[[#This Row],[entity_namespace]], "/tasmota/",Table2[[#This Row],[unique_id]], "/config")</f>
        <v>homeassistant/switch/tasmota/ceiling_network_switch_plug/config</v>
      </c>
      <c r="AK394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4" s="30" t="str">
        <f>_xlfn.CONCAT("tasmota/device/",Table2[[#This Row],[unique_id]], "/cmnd/POWER")</f>
        <v>tasmota/device/ceiling_network_switch_plug/cmnd/POWER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882</v>
      </c>
      <c r="AO394" s="30" t="s">
        <v>883</v>
      </c>
      <c r="AP394" s="30" t="s">
        <v>872</v>
      </c>
      <c r="AQ394" s="30" t="s">
        <v>873</v>
      </c>
      <c r="AR394" s="30" t="s">
        <v>936</v>
      </c>
      <c r="AS394" s="30">
        <v>1</v>
      </c>
      <c r="AT394" s="34" t="str">
        <f>HYPERLINK(_xlfn.CONCAT("http://", Table2[[#This Row],[connection_ip]], "/?"))</f>
        <v>http://10.0.4.105/?</v>
      </c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881</v>
      </c>
      <c r="BD394" s="30" t="s">
        <v>1075</v>
      </c>
      <c r="BF394" s="30" t="s">
        <v>853</v>
      </c>
      <c r="BG394" s="30" t="s">
        <v>385</v>
      </c>
      <c r="BK394" s="30" t="s">
        <v>1212</v>
      </c>
      <c r="BL394" s="41" t="s">
        <v>945</v>
      </c>
      <c r="BM394" s="30" t="s">
        <v>1264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27</v>
      </c>
      <c r="E395" s="30" t="s">
        <v>1061</v>
      </c>
      <c r="F395" s="36" t="str">
        <f>IF(ISBLANK(Table2[[#This Row],[unique_id]]), "", PROPER(SUBSTITUTE(Table2[[#This Row],[unique_id]], "_", " ")))</f>
        <v>Ceiling Network Switch Plug Energy Power</v>
      </c>
      <c r="G395" s="30" t="s">
        <v>1382</v>
      </c>
      <c r="H395" s="30" t="s">
        <v>508</v>
      </c>
      <c r="I395" s="30" t="s">
        <v>273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31</v>
      </c>
      <c r="AC395" s="30" t="s">
        <v>309</v>
      </c>
      <c r="AD395" s="30" t="s">
        <v>864</v>
      </c>
      <c r="AF395" s="30">
        <v>10</v>
      </c>
      <c r="AG395" s="31" t="s">
        <v>34</v>
      </c>
      <c r="AH395" s="31" t="s">
        <v>863</v>
      </c>
      <c r="AJ395" s="30" t="str">
        <f>_xlfn.CONCAT("homeassistant/", Table2[[#This Row],[entity_namespace]], "/tasmota/",Table2[[#This Row],[unique_id]], "/config")</f>
        <v>homeassistant/sensor/tasmota/ceiling_network_switch_plug_energy_power/config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1069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881</v>
      </c>
      <c r="BD395" s="30" t="s">
        <v>1075</v>
      </c>
      <c r="BF395" s="30" t="s">
        <v>853</v>
      </c>
      <c r="BG395" s="30" t="s">
        <v>385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1062</v>
      </c>
      <c r="F396" s="36" t="str">
        <f>IF(ISBLANK(Table2[[#This Row],[unique_id]]), "", PROPER(SUBSTITUTE(Table2[[#This Row],[unique_id]], "_", " ")))</f>
        <v>Ceiling Network Switch Plug Energy Total</v>
      </c>
      <c r="G396" s="30" t="s">
        <v>1382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76</v>
      </c>
      <c r="AC396" s="30" t="s">
        <v>310</v>
      </c>
      <c r="AD396" s="30" t="s">
        <v>865</v>
      </c>
      <c r="AF396" s="30">
        <v>10</v>
      </c>
      <c r="AG396" s="31" t="s">
        <v>34</v>
      </c>
      <c r="AH396" s="31" t="s">
        <v>863</v>
      </c>
      <c r="AJ396" s="30" t="str">
        <f>_xlfn.CONCAT("homeassistant/", Table2[[#This Row],[entity_namespace]], "/tasmota/",Table2[[#This Row],[unique_id]], "/config")</f>
        <v>homeassistant/sensor/tasmota/ceiling_network_switch_plug_energy_total/config</v>
      </c>
      <c r="AK396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1070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Ceiling</v>
      </c>
      <c r="BB396" s="30" t="s">
        <v>218</v>
      </c>
      <c r="BC396" s="30" t="s">
        <v>881</v>
      </c>
      <c r="BD396" s="30" t="s">
        <v>1075</v>
      </c>
      <c r="BF396" s="30" t="s">
        <v>853</v>
      </c>
      <c r="BG396" s="30" t="s">
        <v>385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561</v>
      </c>
      <c r="C397" s="54" t="s">
        <v>774</v>
      </c>
      <c r="D397" s="54" t="s">
        <v>147</v>
      </c>
      <c r="E397" s="55" t="s">
        <v>1369</v>
      </c>
      <c r="F397" s="56" t="str">
        <f>IF(ISBLANK(Table2[[#This Row],[unique_id]]), "", PROPER(SUBSTITUTE(Table2[[#This Row],[unique_id]], "_", " ")))</f>
        <v>Broken Template Rack Internet Modem Plug Proxy</v>
      </c>
      <c r="G397" s="54" t="s">
        <v>219</v>
      </c>
      <c r="H397" s="54" t="s">
        <v>508</v>
      </c>
      <c r="I397" s="54" t="s">
        <v>273</v>
      </c>
      <c r="O397" s="57" t="s">
        <v>754</v>
      </c>
      <c r="R397" s="54" t="s">
        <v>768</v>
      </c>
      <c r="S397" s="54" t="str">
        <f>Table2[[#This Row],[friendly_name]]</f>
        <v>Internet Modem</v>
      </c>
      <c r="T397" s="55" t="s">
        <v>1032</v>
      </c>
      <c r="V397" s="57"/>
      <c r="W397" s="57"/>
      <c r="X397" s="57"/>
      <c r="Y397" s="57"/>
      <c r="Z397" s="57"/>
      <c r="AA397" s="57"/>
      <c r="AG397" s="57"/>
      <c r="AH397" s="57"/>
      <c r="AT397" s="58"/>
      <c r="AU397" s="54" t="s">
        <v>133</v>
      </c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989</v>
      </c>
      <c r="BC397" s="59" t="s">
        <v>342</v>
      </c>
      <c r="BD397" s="54" t="s">
        <v>231</v>
      </c>
      <c r="BF397" s="54" t="s">
        <v>343</v>
      </c>
      <c r="BG397" s="54" t="s">
        <v>28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s="54" customFormat="1" ht="16" customHeight="1" x14ac:dyDescent="0.2">
      <c r="A398" s="30">
        <v>2616</v>
      </c>
      <c r="B398" s="54" t="s">
        <v>561</v>
      </c>
      <c r="C398" s="54" t="s">
        <v>231</v>
      </c>
      <c r="D398" s="54" t="s">
        <v>133</v>
      </c>
      <c r="E398" s="54" t="s">
        <v>1370</v>
      </c>
      <c r="F398" s="56" t="str">
        <f>IF(ISBLANK(Table2[[#This Row],[unique_id]]), "", PROPER(SUBSTITUTE(Table2[[#This Row],[unique_id]], "_", " ")))</f>
        <v>Broken Rack Internet Modem Plug</v>
      </c>
      <c r="G398" s="54" t="s">
        <v>219</v>
      </c>
      <c r="H398" s="54" t="s">
        <v>508</v>
      </c>
      <c r="I398" s="54" t="s">
        <v>273</v>
      </c>
      <c r="M398" s="54" t="s">
        <v>255</v>
      </c>
      <c r="O398" s="57" t="s">
        <v>754</v>
      </c>
      <c r="R398" s="54" t="s">
        <v>768</v>
      </c>
      <c r="S398" s="54" t="str">
        <f>Table2[[#This Row],[friendly_name]]</f>
        <v>Internet Modem</v>
      </c>
      <c r="T398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8" s="57"/>
      <c r="W398" s="57"/>
      <c r="X398" s="57"/>
      <c r="Y398" s="57"/>
      <c r="Z398" s="57"/>
      <c r="AA398" s="57"/>
      <c r="AE398" s="54" t="s">
        <v>252</v>
      </c>
      <c r="AG398" s="57"/>
      <c r="AH398" s="57"/>
      <c r="AT398" s="58"/>
      <c r="AV39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54" t="str">
        <f>IF(ISBLANK(Table2[[#This Row],[device_model]]), "", Table2[[#This Row],[device_suggested_area]])</f>
        <v>Rack</v>
      </c>
      <c r="BB398" s="54" t="s">
        <v>989</v>
      </c>
      <c r="BC398" s="59" t="s">
        <v>342</v>
      </c>
      <c r="BD398" s="54" t="s">
        <v>231</v>
      </c>
      <c r="BF398" s="54" t="s">
        <v>343</v>
      </c>
      <c r="BG398" s="54" t="s">
        <v>28</v>
      </c>
      <c r="BJ398" s="54" t="s">
        <v>942</v>
      </c>
      <c r="BK398" s="54" t="s">
        <v>1212</v>
      </c>
      <c r="BL398" s="54" t="s">
        <v>336</v>
      </c>
      <c r="BM398" s="54" t="s">
        <v>1265</v>
      </c>
      <c r="BN39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9" spans="1:66" ht="16" customHeight="1" x14ac:dyDescent="0.2">
      <c r="A399" s="30">
        <v>2617</v>
      </c>
      <c r="B399" s="30" t="s">
        <v>26</v>
      </c>
      <c r="C399" s="30" t="s">
        <v>432</v>
      </c>
      <c r="D399" s="30" t="s">
        <v>27</v>
      </c>
      <c r="E399" s="30" t="s">
        <v>780</v>
      </c>
      <c r="F399" s="36" t="str">
        <f>IF(ISBLANK(Table2[[#This Row],[unique_id]]), "", PROPER(SUBSTITUTE(Table2[[#This Row],[unique_id]], "_", " ")))</f>
        <v>Garden Repeater Linkquality</v>
      </c>
      <c r="G399" s="30" t="s">
        <v>680</v>
      </c>
      <c r="H399" s="30" t="s">
        <v>508</v>
      </c>
      <c r="I399" s="30" t="s">
        <v>273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">
        <v>785</v>
      </c>
      <c r="T399" s="37" t="s">
        <v>783</v>
      </c>
      <c r="U399" s="30"/>
      <c r="V399" s="31"/>
      <c r="W399" s="31" t="s">
        <v>471</v>
      </c>
      <c r="X399" s="31"/>
      <c r="Y399" s="42" t="s">
        <v>723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Garden</v>
      </c>
      <c r="BA399" s="30" t="str">
        <f>IF(ISBLANK(Table2[[#This Row],[device_model]]), "", Table2[[#This Row],[device_suggested_area]])</f>
        <v>Garden</v>
      </c>
      <c r="BB399" s="30" t="s">
        <v>954</v>
      </c>
      <c r="BC399" s="39" t="s">
        <v>678</v>
      </c>
      <c r="BD399" s="30" t="s">
        <v>432</v>
      </c>
      <c r="BF399" s="30" t="s">
        <v>677</v>
      </c>
      <c r="BG399" s="30" t="s">
        <v>558</v>
      </c>
      <c r="BL399" s="30" t="s">
        <v>679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0" spans="1:66" ht="16" customHeight="1" x14ac:dyDescent="0.2">
      <c r="A400" s="30">
        <v>2618</v>
      </c>
      <c r="B400" s="30" t="s">
        <v>26</v>
      </c>
      <c r="C400" s="30" t="s">
        <v>432</v>
      </c>
      <c r="D400" s="30" t="s">
        <v>27</v>
      </c>
      <c r="E400" s="30" t="s">
        <v>781</v>
      </c>
      <c r="F400" s="36" t="str">
        <f>IF(ISBLANK(Table2[[#This Row],[unique_id]]), "", PROPER(SUBSTITUTE(Table2[[#This Row],[unique_id]], "_", " ")))</f>
        <v>Landing Repeater Linkquality</v>
      </c>
      <c r="G400" s="30" t="s">
        <v>682</v>
      </c>
      <c r="H400" s="30" t="s">
        <v>508</v>
      </c>
      <c r="I400" s="30" t="s">
        <v>273</v>
      </c>
      <c r="O400" s="31" t="s">
        <v>754</v>
      </c>
      <c r="P400" s="30" t="s">
        <v>164</v>
      </c>
      <c r="Q400" s="30" t="s">
        <v>726</v>
      </c>
      <c r="R400" s="30" t="s">
        <v>728</v>
      </c>
      <c r="S400" s="30" t="s">
        <v>785</v>
      </c>
      <c r="T400" s="37" t="s">
        <v>783</v>
      </c>
      <c r="U400" s="30"/>
      <c r="V400" s="31"/>
      <c r="W400" s="31" t="s">
        <v>471</v>
      </c>
      <c r="X400" s="31"/>
      <c r="Y400" s="42" t="s">
        <v>723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Landing</v>
      </c>
      <c r="BA400" s="30" t="str">
        <f>IF(ISBLANK(Table2[[#This Row],[device_model]]), "", Table2[[#This Row],[device_suggested_area]])</f>
        <v>Landing</v>
      </c>
      <c r="BB400" s="30" t="s">
        <v>954</v>
      </c>
      <c r="BC400" s="39" t="s">
        <v>678</v>
      </c>
      <c r="BD400" s="30" t="s">
        <v>432</v>
      </c>
      <c r="BF400" s="30" t="s">
        <v>677</v>
      </c>
      <c r="BG400" s="30" t="s">
        <v>541</v>
      </c>
      <c r="BL400" s="30" t="s">
        <v>684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1" spans="1:66" ht="16" customHeight="1" x14ac:dyDescent="0.2">
      <c r="A401" s="30">
        <v>2619</v>
      </c>
      <c r="B401" s="30" t="s">
        <v>26</v>
      </c>
      <c r="C401" s="30" t="s">
        <v>432</v>
      </c>
      <c r="D401" s="30" t="s">
        <v>27</v>
      </c>
      <c r="E401" s="30" t="s">
        <v>782</v>
      </c>
      <c r="F401" s="36" t="str">
        <f>IF(ISBLANK(Table2[[#This Row],[unique_id]]), "", PROPER(SUBSTITUTE(Table2[[#This Row],[unique_id]], "_", " ")))</f>
        <v>Driveway Repeater Linkquality</v>
      </c>
      <c r="G401" s="30" t="s">
        <v>681</v>
      </c>
      <c r="H401" s="30" t="s">
        <v>508</v>
      </c>
      <c r="I401" s="30" t="s">
        <v>273</v>
      </c>
      <c r="O401" s="31" t="s">
        <v>754</v>
      </c>
      <c r="P401" s="30" t="s">
        <v>164</v>
      </c>
      <c r="Q401" s="30" t="s">
        <v>726</v>
      </c>
      <c r="R401" s="30" t="s">
        <v>728</v>
      </c>
      <c r="S401" s="30" t="s">
        <v>785</v>
      </c>
      <c r="T401" s="37" t="s">
        <v>783</v>
      </c>
      <c r="U401" s="30"/>
      <c r="V401" s="31"/>
      <c r="W401" s="31" t="s">
        <v>471</v>
      </c>
      <c r="X401" s="31"/>
      <c r="Y401" s="42" t="s">
        <v>723</v>
      </c>
      <c r="Z401" s="31"/>
      <c r="AA401" s="31"/>
      <c r="AB401" s="30"/>
      <c r="AC401" s="30"/>
      <c r="AG401" s="31"/>
      <c r="AH401" s="31"/>
      <c r="AT40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1" s="30" t="str">
        <f>Table2[[#This Row],[device_suggested_area]]</f>
        <v>Driveway</v>
      </c>
      <c r="BA401" s="30" t="str">
        <f>IF(ISBLANK(Table2[[#This Row],[device_model]]), "", Table2[[#This Row],[device_suggested_area]])</f>
        <v>Driveway</v>
      </c>
      <c r="BB401" s="30" t="s">
        <v>954</v>
      </c>
      <c r="BC401" s="39" t="s">
        <v>678</v>
      </c>
      <c r="BD401" s="30" t="s">
        <v>432</v>
      </c>
      <c r="BF401" s="30" t="s">
        <v>677</v>
      </c>
      <c r="BG401" s="30" t="s">
        <v>683</v>
      </c>
      <c r="BL401" s="30" t="s">
        <v>685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0" t="s">
        <v>852</v>
      </c>
      <c r="F402" s="36" t="str">
        <f>IF(ISBLANK(Table2[[#This Row],[unique_id]]), "", PROPER(SUBSTITUTE(Table2[[#This Row],[unique_id]], "_", " ")))</f>
        <v>Lighting Reset Adaptive Lighting All</v>
      </c>
      <c r="G402" s="30" t="s">
        <v>756</v>
      </c>
      <c r="H402" s="30" t="s">
        <v>526</v>
      </c>
      <c r="I402" s="30" t="s">
        <v>273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164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513</v>
      </c>
      <c r="F403" s="36" t="str">
        <f>IF(ISBLANK(Table2[[#This Row],[unique_id]]), "", PROPER(SUBSTITUTE(Table2[[#This Row],[unique_id]], "_", " ")))</f>
        <v>Lighting Reset Adaptive Lighting Ada Lamp</v>
      </c>
      <c r="G403" s="36" t="s">
        <v>193</v>
      </c>
      <c r="H403" s="30" t="s">
        <v>526</v>
      </c>
      <c r="I403" s="30" t="s">
        <v>273</v>
      </c>
      <c r="J403" s="30" t="s">
        <v>512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32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129</v>
      </c>
      <c r="BI403" s="30" t="s">
        <v>668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507</v>
      </c>
      <c r="F404" s="36" t="str">
        <f>IF(ISBLANK(Table2[[#This Row],[unique_id]]), "", PROPER(SUBSTITUTE(Table2[[#This Row],[unique_id]], "_", " ")))</f>
        <v>Lighting Reset Adaptive Lighting Edwin Lamp</v>
      </c>
      <c r="G404" s="36" t="s">
        <v>203</v>
      </c>
      <c r="H404" s="30" t="s">
        <v>526</v>
      </c>
      <c r="I404" s="30" t="s">
        <v>273</v>
      </c>
      <c r="J404" s="30" t="s">
        <v>512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668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514</v>
      </c>
      <c r="F405" s="36" t="str">
        <f>IF(ISBLANK(Table2[[#This Row],[unique_id]]), "", PROPER(SUBSTITUTE(Table2[[#This Row],[unique_id]], "_", " ")))</f>
        <v>Lighting Reset Adaptive Lighting Edwin Night Light</v>
      </c>
      <c r="G405" s="36" t="s">
        <v>390</v>
      </c>
      <c r="H405" s="30" t="s">
        <v>526</v>
      </c>
      <c r="I405" s="30" t="s">
        <v>273</v>
      </c>
      <c r="J405" s="30" t="s">
        <v>525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126</v>
      </c>
      <c r="BI405" s="30" t="s">
        <v>668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515</v>
      </c>
      <c r="F406" s="36" t="str">
        <f>IF(ISBLANK(Table2[[#This Row],[unique_id]]), "", PROPER(SUBSTITUTE(Table2[[#This Row],[unique_id]], "_", " ")))</f>
        <v>Lighting Reset Adaptive Lighting Hallway Main</v>
      </c>
      <c r="G406" s="36" t="s">
        <v>198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386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836</v>
      </c>
      <c r="F407" s="36" t="str">
        <f>IF(ISBLANK(Table2[[#This Row],[unique_id]]), "", PROPER(SUBSTITUTE(Table2[[#This Row],[unique_id]], "_", " ")))</f>
        <v>Lighting Reset Adaptive Lighting Hallway Sconces</v>
      </c>
      <c r="G407" s="36" t="s">
        <v>821</v>
      </c>
      <c r="H407" s="30" t="s">
        <v>526</v>
      </c>
      <c r="I407" s="30" t="s">
        <v>273</v>
      </c>
      <c r="J407" s="30" t="s">
        <v>837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386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516</v>
      </c>
      <c r="F408" s="36" t="str">
        <f>IF(ISBLANK(Table2[[#This Row],[unique_id]]), "", PROPER(SUBSTITUTE(Table2[[#This Row],[unique_id]], "_", " ")))</f>
        <v>Lighting Reset Adaptive Lighting Dining Main</v>
      </c>
      <c r="G408" s="36" t="s">
        <v>137</v>
      </c>
      <c r="H408" s="30" t="s">
        <v>526</v>
      </c>
      <c r="I408" s="30" t="s">
        <v>273</v>
      </c>
      <c r="J408" s="30" t="s">
        <v>533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191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517</v>
      </c>
      <c r="F409" s="36" t="str">
        <f>IF(ISBLANK(Table2[[#This Row],[unique_id]]), "", PROPER(SUBSTITUTE(Table2[[#This Row],[unique_id]], "_", " ")))</f>
        <v>Lighting Reset Adaptive Lighting Lounge Main</v>
      </c>
      <c r="G409" s="36" t="s">
        <v>205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192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568</v>
      </c>
      <c r="F410" s="36" t="str">
        <f>IF(ISBLANK(Table2[[#This Row],[unique_id]]), "", PROPER(SUBSTITUTE(Table2[[#This Row],[unique_id]], "_", " ")))</f>
        <v>Lighting Reset Adaptive Lighting Lounge Lamp</v>
      </c>
      <c r="G410" s="36" t="s">
        <v>538</v>
      </c>
      <c r="H410" s="30" t="s">
        <v>526</v>
      </c>
      <c r="I410" s="30" t="s">
        <v>273</v>
      </c>
      <c r="J410" s="30" t="s">
        <v>512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1454</v>
      </c>
      <c r="F411" s="36" t="str">
        <f>IF(ISBLANK(Table2[[#This Row],[unique_id]]), "", PROPER(SUBSTITUTE(Table2[[#This Row],[unique_id]], "_", " ")))</f>
        <v>Lighting Reset Adaptive Lighting Lounge Reading</v>
      </c>
      <c r="G411" s="36" t="s">
        <v>538</v>
      </c>
      <c r="H411" s="30" t="s">
        <v>526</v>
      </c>
      <c r="I411" s="30" t="s">
        <v>273</v>
      </c>
      <c r="J411" s="30" t="s">
        <v>512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164</v>
      </c>
      <c r="BI411" s="30" t="s">
        <v>668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518</v>
      </c>
      <c r="F412" s="36" t="str">
        <f>IF(ISBLANK(Table2[[#This Row],[unique_id]]), "", PROPER(SUBSTITUTE(Table2[[#This Row],[unique_id]], "_", " ")))</f>
        <v>Lighting Reset Adaptive Lighting Parents Main</v>
      </c>
      <c r="G412" s="36" t="s">
        <v>194</v>
      </c>
      <c r="H412" s="30" t="s">
        <v>526</v>
      </c>
      <c r="I412" s="30" t="s">
        <v>273</v>
      </c>
      <c r="J412" s="30" t="s">
        <v>533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838</v>
      </c>
      <c r="F413" s="36" t="str">
        <f>IF(ISBLANK(Table2[[#This Row],[unique_id]]), "", PROPER(SUBSTITUTE(Table2[[#This Row],[unique_id]], "_", " ")))</f>
        <v>Lighting Reset Adaptive Lighting Parents Jane Bedside</v>
      </c>
      <c r="G413" s="36" t="s">
        <v>830</v>
      </c>
      <c r="H413" s="30" t="s">
        <v>526</v>
      </c>
      <c r="I413" s="30" t="s">
        <v>273</v>
      </c>
      <c r="J413" s="30" t="s">
        <v>840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839</v>
      </c>
      <c r="F414" s="36" t="str">
        <f>IF(ISBLANK(Table2[[#This Row],[unique_id]]), "", PROPER(SUBSTITUTE(Table2[[#This Row],[unique_id]], "_", " ")))</f>
        <v>Lighting Reset Adaptive Lighting Parents Graham Bedside</v>
      </c>
      <c r="G414" s="36" t="s">
        <v>831</v>
      </c>
      <c r="H414" s="30" t="s">
        <v>526</v>
      </c>
      <c r="I414" s="30" t="s">
        <v>273</v>
      </c>
      <c r="J414" s="30" t="s">
        <v>841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190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842</v>
      </c>
      <c r="F415" s="36" t="str">
        <f>IF(ISBLANK(Table2[[#This Row],[unique_id]]), "", PROPER(SUBSTITUTE(Table2[[#This Row],[unique_id]], "_", " ")))</f>
        <v>Lighting Reset Adaptive Lighting Study Lamp</v>
      </c>
      <c r="G415" s="36" t="s">
        <v>708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338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519</v>
      </c>
      <c r="F416" s="36" t="str">
        <f>IF(ISBLANK(Table2[[#This Row],[unique_id]]), "", PROPER(SUBSTITUTE(Table2[[#This Row],[unique_id]], "_", " ")))</f>
        <v>Lighting Reset Adaptive Lighting Kitchen Main</v>
      </c>
      <c r="G416" s="36" t="s">
        <v>200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204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520</v>
      </c>
      <c r="F417" s="36" t="str">
        <f>IF(ISBLANK(Table2[[#This Row],[unique_id]]), "", PROPER(SUBSTITUTE(Table2[[#This Row],[unique_id]], "_", " ")))</f>
        <v>Lighting Reset Adaptive Lighting Laundry Main</v>
      </c>
      <c r="G417" s="36" t="s">
        <v>202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211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521</v>
      </c>
      <c r="F418" s="36" t="str">
        <f>IF(ISBLANK(Table2[[#This Row],[unique_id]]), "", PROPER(SUBSTITUTE(Table2[[#This Row],[unique_id]], "_", " ")))</f>
        <v>Lighting Reset Adaptive Lighting Pantry Main</v>
      </c>
      <c r="G418" s="36" t="s">
        <v>201</v>
      </c>
      <c r="H418" s="30" t="s">
        <v>526</v>
      </c>
      <c r="I418" s="30" t="s">
        <v>273</v>
      </c>
      <c r="J418" s="30" t="s">
        <v>533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209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534</v>
      </c>
      <c r="F419" s="36" t="str">
        <f>IF(ISBLANK(Table2[[#This Row],[unique_id]]), "", PROPER(SUBSTITUTE(Table2[[#This Row],[unique_id]], "_", " ")))</f>
        <v>Lighting Reset Adaptive Lighting Office Main</v>
      </c>
      <c r="G419" s="36" t="s">
        <v>197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210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522</v>
      </c>
      <c r="F420" s="36" t="str">
        <f>IF(ISBLANK(Table2[[#This Row],[unique_id]]), "", PROPER(SUBSTITUTE(Table2[[#This Row],[unique_id]], "_", " ")))</f>
        <v>Lighting Reset Adaptive Lighting Bathroom Main</v>
      </c>
      <c r="G420" s="36" t="s">
        <v>196</v>
      </c>
      <c r="H420" s="30" t="s">
        <v>526</v>
      </c>
      <c r="I420" s="30" t="s">
        <v>273</v>
      </c>
      <c r="J420" s="30" t="s">
        <v>533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340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843</v>
      </c>
      <c r="F421" s="36" t="str">
        <f>IF(ISBLANK(Table2[[#This Row],[unique_id]]), "", PROPER(SUBSTITUTE(Table2[[#This Row],[unique_id]], "_", " ")))</f>
        <v>Lighting Reset Adaptive Lighting Bathroom Sconces</v>
      </c>
      <c r="G421" s="36" t="s">
        <v>827</v>
      </c>
      <c r="H421" s="30" t="s">
        <v>526</v>
      </c>
      <c r="I421" s="30" t="s">
        <v>273</v>
      </c>
      <c r="J421" s="30" t="s">
        <v>837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340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523</v>
      </c>
      <c r="F422" s="36" t="str">
        <f>IF(ISBLANK(Table2[[#This Row],[unique_id]]), "", PROPER(SUBSTITUTE(Table2[[#This Row],[unique_id]], "_", " ")))</f>
        <v>Lighting Reset Adaptive Lighting Ensuite Main</v>
      </c>
      <c r="G422" s="36" t="s">
        <v>195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376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844</v>
      </c>
      <c r="F423" s="36" t="str">
        <f>IF(ISBLANK(Table2[[#This Row],[unique_id]]), "", PROPER(SUBSTITUTE(Table2[[#This Row],[unique_id]], "_", " ")))</f>
        <v>Lighting Reset Adaptive Lighting Ensuite Sconces</v>
      </c>
      <c r="G423" s="36" t="s">
        <v>810</v>
      </c>
      <c r="H423" s="30" t="s">
        <v>526</v>
      </c>
      <c r="I423" s="30" t="s">
        <v>273</v>
      </c>
      <c r="J423" s="30" t="s">
        <v>837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376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524</v>
      </c>
      <c r="F424" s="36" t="str">
        <f>IF(ISBLANK(Table2[[#This Row],[unique_id]]), "", PROPER(SUBSTITUTE(Table2[[#This Row],[unique_id]], "_", " ")))</f>
        <v>Lighting Reset Adaptive Lighting Wardrobe Main</v>
      </c>
      <c r="G424" s="36" t="s">
        <v>199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477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2650</v>
      </c>
      <c r="B425" s="30" t="s">
        <v>26</v>
      </c>
      <c r="C425" s="30" t="s">
        <v>233</v>
      </c>
      <c r="D425" s="30" t="s">
        <v>144</v>
      </c>
      <c r="E425" s="30" t="s">
        <v>145</v>
      </c>
      <c r="F425" s="36" t="str">
        <f>IF(ISBLANK(Table2[[#This Row],[unique_id]]), "", PROPER(SUBSTITUTE(Table2[[#This Row],[unique_id]], "_", " ")))</f>
        <v>Ada Home</v>
      </c>
      <c r="G425" s="30" t="s">
        <v>183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Ada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Ada</v>
      </c>
      <c r="BB425" s="30" t="s">
        <v>164</v>
      </c>
      <c r="BC425" s="30" t="s">
        <v>373</v>
      </c>
      <c r="BD425" s="30" t="s">
        <v>233</v>
      </c>
      <c r="BF425" s="30" t="s">
        <v>1008</v>
      </c>
      <c r="BG425" s="30" t="s">
        <v>129</v>
      </c>
      <c r="BK425" s="30" t="s">
        <v>1211</v>
      </c>
      <c r="BL425" s="41" t="s">
        <v>402</v>
      </c>
      <c r="BM425" s="39" t="s">
        <v>1213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6" spans="1:66" ht="16" customHeight="1" x14ac:dyDescent="0.2">
      <c r="A426" s="30">
        <v>2651</v>
      </c>
      <c r="B426" s="30" t="s">
        <v>26</v>
      </c>
      <c r="C426" s="30" t="s">
        <v>233</v>
      </c>
      <c r="D426" s="30" t="s">
        <v>144</v>
      </c>
      <c r="E426" s="30" t="s">
        <v>256</v>
      </c>
      <c r="F426" s="36" t="str">
        <f>IF(ISBLANK(Table2[[#This Row],[unique_id]]), "", PROPER(SUBSTITUTE(Table2[[#This Row],[unique_id]], "_", " ")))</f>
        <v>Edwin Home</v>
      </c>
      <c r="G426" s="30" t="s">
        <v>257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Edwin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Edwin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126</v>
      </c>
      <c r="BK426" s="30" t="s">
        <v>1211</v>
      </c>
      <c r="BL426" s="41" t="s">
        <v>401</v>
      </c>
      <c r="BM426" s="39" t="s">
        <v>1214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7" spans="1:66" ht="16" customHeight="1" x14ac:dyDescent="0.2">
      <c r="A427" s="30">
        <v>2652</v>
      </c>
      <c r="B427" s="30" t="s">
        <v>26</v>
      </c>
      <c r="C427" s="30" t="s">
        <v>233</v>
      </c>
      <c r="D427" s="30" t="s">
        <v>144</v>
      </c>
      <c r="E427" s="30" t="s">
        <v>264</v>
      </c>
      <c r="F427" s="36" t="str">
        <f>IF(ISBLANK(Table2[[#This Row],[unique_id]]), "", PROPER(SUBSTITUTE(Table2[[#This Row],[unique_id]], "_", " ")))</f>
        <v>Parents Home</v>
      </c>
      <c r="G427" s="30" t="s">
        <v>258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Parents Home Devices</v>
      </c>
      <c r="T427" s="37" t="s">
        <v>736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Parents</v>
      </c>
      <c r="BB427" s="30" t="s">
        <v>164</v>
      </c>
      <c r="BC427" s="30" t="s">
        <v>1002</v>
      </c>
      <c r="BD427" s="30" t="s">
        <v>233</v>
      </c>
      <c r="BF427" s="30" t="s">
        <v>1009</v>
      </c>
      <c r="BG427" s="30" t="s">
        <v>190</v>
      </c>
      <c r="BK427" s="30" t="s">
        <v>1211</v>
      </c>
      <c r="BL427" s="41" t="s">
        <v>618</v>
      </c>
      <c r="BM427" s="39" t="s">
        <v>1215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8" spans="1:66" ht="16" customHeight="1" x14ac:dyDescent="0.2">
      <c r="A428" s="30">
        <v>2653</v>
      </c>
      <c r="B428" s="30" t="s">
        <v>26</v>
      </c>
      <c r="C428" s="30" t="s">
        <v>233</v>
      </c>
      <c r="D428" s="30" t="s">
        <v>144</v>
      </c>
      <c r="E428" s="30" t="s">
        <v>260</v>
      </c>
      <c r="F428" s="36" t="str">
        <f>IF(ISBLANK(Table2[[#This Row],[unique_id]]), "", PROPER(SUBSTITUTE(Table2[[#This Row],[unique_id]], "_", " ")))</f>
        <v>Kitchen Home</v>
      </c>
      <c r="G428" s="30" t="s">
        <v>259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 t="s">
        <v>754</v>
      </c>
      <c r="P428" s="30" t="s">
        <v>164</v>
      </c>
      <c r="Q428" s="30" t="s">
        <v>726</v>
      </c>
      <c r="R428" s="41" t="s">
        <v>711</v>
      </c>
      <c r="S428" s="30" t="str">
        <f>_xlfn.CONCAT( Table2[[#This Row],[friendly_name]], " Devices")</f>
        <v>Kitchen Home Devices</v>
      </c>
      <c r="T428" s="37" t="s">
        <v>736</v>
      </c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Kitchen</v>
      </c>
      <c r="BB428" s="30" t="s">
        <v>164</v>
      </c>
      <c r="BC428" s="30" t="s">
        <v>1002</v>
      </c>
      <c r="BD428" s="30" t="s">
        <v>233</v>
      </c>
      <c r="BF428" s="30" t="s">
        <v>1009</v>
      </c>
      <c r="BG428" s="30" t="s">
        <v>204</v>
      </c>
      <c r="BK428" s="30" t="s">
        <v>1211</v>
      </c>
      <c r="BL428" s="41" t="s">
        <v>696</v>
      </c>
      <c r="BM428" s="39" t="s">
        <v>1216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9" spans="1:66" ht="16" customHeight="1" x14ac:dyDescent="0.2">
      <c r="A429" s="30">
        <v>2654</v>
      </c>
      <c r="B429" s="30" t="s">
        <v>26</v>
      </c>
      <c r="C429" s="30" t="s">
        <v>233</v>
      </c>
      <c r="D429" s="30" t="s">
        <v>144</v>
      </c>
      <c r="E429" s="30" t="s">
        <v>589</v>
      </c>
      <c r="F429" s="36" t="str">
        <f>IF(ISBLANK(Table2[[#This Row],[unique_id]]), "", PROPER(SUBSTITUTE(Table2[[#This Row],[unique_id]], "_", " ")))</f>
        <v>Office Home</v>
      </c>
      <c r="G429" s="30" t="s">
        <v>590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 t="s">
        <v>754</v>
      </c>
      <c r="P429" s="30" t="s">
        <v>164</v>
      </c>
      <c r="Q429" s="30" t="s">
        <v>726</v>
      </c>
      <c r="R429" s="41" t="s">
        <v>711</v>
      </c>
      <c r="S429" s="30" t="str">
        <f>_xlfn.CONCAT( Table2[[#This Row],[friendly_name]], " Devices")</f>
        <v>Office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Office</v>
      </c>
      <c r="BB429" s="30" t="s">
        <v>164</v>
      </c>
      <c r="BC429" s="30" t="s">
        <v>373</v>
      </c>
      <c r="BD429" s="30" t="s">
        <v>233</v>
      </c>
      <c r="BF429" s="30" t="s">
        <v>1008</v>
      </c>
      <c r="BG429" s="30" t="s">
        <v>210</v>
      </c>
      <c r="BK429" s="30" t="s">
        <v>1211</v>
      </c>
      <c r="BL429" s="41" t="s">
        <v>399</v>
      </c>
      <c r="BM429" s="39" t="s">
        <v>1217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0" spans="1:66" ht="16" customHeight="1" x14ac:dyDescent="0.2">
      <c r="A430" s="30">
        <v>2655</v>
      </c>
      <c r="B430" s="30" t="s">
        <v>26</v>
      </c>
      <c r="C430" s="30" t="s">
        <v>233</v>
      </c>
      <c r="D430" s="30" t="s">
        <v>144</v>
      </c>
      <c r="E430" s="30" t="s">
        <v>621</v>
      </c>
      <c r="F430" s="36" t="str">
        <f>IF(ISBLANK(Table2[[#This Row],[unique_id]]), "", PROPER(SUBSTITUTE(Table2[[#This Row],[unique_id]], "_", " ")))</f>
        <v>Lounge Home</v>
      </c>
      <c r="G430" s="30" t="s">
        <v>622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 t="s">
        <v>754</v>
      </c>
      <c r="P430" s="30" t="s">
        <v>164</v>
      </c>
      <c r="Q430" s="30" t="s">
        <v>726</v>
      </c>
      <c r="R430" s="41" t="s">
        <v>711</v>
      </c>
      <c r="S430" s="30" t="str">
        <f>_xlfn.CONCAT( Table2[[#This Row],[friendly_name]], " Devices")</f>
        <v>Lounge Home Devices</v>
      </c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164</v>
      </c>
      <c r="BC430" s="30" t="s">
        <v>373</v>
      </c>
      <c r="BD430" s="30" t="s">
        <v>233</v>
      </c>
      <c r="BF430" s="30" t="s">
        <v>1008</v>
      </c>
      <c r="BG430" s="30" t="s">
        <v>192</v>
      </c>
      <c r="BK430" s="30" t="s">
        <v>1211</v>
      </c>
      <c r="BL430" s="41" t="s">
        <v>400</v>
      </c>
      <c r="BM430" s="39" t="s">
        <v>1218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1" spans="1:66" ht="16" customHeight="1" x14ac:dyDescent="0.2">
      <c r="A431" s="30">
        <v>2656</v>
      </c>
      <c r="B431" s="30" t="s">
        <v>26</v>
      </c>
      <c r="C431" s="30" t="s">
        <v>233</v>
      </c>
      <c r="D431" s="30" t="s">
        <v>144</v>
      </c>
      <c r="E431" s="30" t="s">
        <v>786</v>
      </c>
      <c r="F431" s="36" t="str">
        <f>IF(ISBLANK(Table2[[#This Row],[unique_id]]), "", PROPER(SUBSTITUTE(Table2[[#This Row],[unique_id]], "_", " ")))</f>
        <v>Ada Tablet</v>
      </c>
      <c r="G431" s="30" t="s">
        <v>787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Lounge</v>
      </c>
      <c r="BB431" s="30" t="s">
        <v>787</v>
      </c>
      <c r="BC431" s="30" t="s">
        <v>1010</v>
      </c>
      <c r="BD431" s="30" t="s">
        <v>233</v>
      </c>
      <c r="BF431" s="30" t="s">
        <v>789</v>
      </c>
      <c r="BG431" s="30" t="s">
        <v>192</v>
      </c>
      <c r="BK431" s="30" t="s">
        <v>1211</v>
      </c>
      <c r="BL431" s="41" t="s">
        <v>1190</v>
      </c>
      <c r="BM431" s="39" t="s">
        <v>1219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2" spans="1:66" ht="16" customHeight="1" x14ac:dyDescent="0.2">
      <c r="A432" s="30">
        <v>2657</v>
      </c>
      <c r="B432" s="30" t="s">
        <v>26</v>
      </c>
      <c r="C432" s="30" t="s">
        <v>233</v>
      </c>
      <c r="D432" s="30" t="s">
        <v>144</v>
      </c>
      <c r="E432" s="30" t="s">
        <v>790</v>
      </c>
      <c r="F432" s="36" t="str">
        <f>IF(ISBLANK(Table2[[#This Row],[unique_id]]), "", PROPER(SUBSTITUTE(Table2[[#This Row],[unique_id]], "_", " ")))</f>
        <v>Edwin Tablet</v>
      </c>
      <c r="G432" s="30" t="s">
        <v>791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Kitchen</v>
      </c>
      <c r="BB432" s="30" t="s">
        <v>791</v>
      </c>
      <c r="BC432" s="30" t="s">
        <v>1010</v>
      </c>
      <c r="BD432" s="30" t="s">
        <v>233</v>
      </c>
      <c r="BF432" s="30" t="s">
        <v>789</v>
      </c>
      <c r="BG432" s="30" t="s">
        <v>204</v>
      </c>
      <c r="BK432" s="30" t="s">
        <v>1211</v>
      </c>
      <c r="BL432" s="41" t="s">
        <v>1191</v>
      </c>
      <c r="BM432" s="39" t="s">
        <v>1222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3" spans="1:66" ht="16" customHeight="1" x14ac:dyDescent="0.2">
      <c r="A433" s="30">
        <v>2658</v>
      </c>
      <c r="B433" s="30" t="s">
        <v>26</v>
      </c>
      <c r="C433" s="30" t="s">
        <v>562</v>
      </c>
      <c r="D433" s="30" t="s">
        <v>144</v>
      </c>
      <c r="E433" s="30" t="s">
        <v>586</v>
      </c>
      <c r="F433" s="36" t="str">
        <f>IF(ISBLANK(Table2[[#This Row],[unique_id]]), "", PROPER(SUBSTITUTE(Table2[[#This Row],[unique_id]], "_", " ")))</f>
        <v>Lg Webos Smart Tv</v>
      </c>
      <c r="G433" s="30" t="s">
        <v>178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/>
      <c r="P433" s="30"/>
      <c r="R433" s="41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Lounge</v>
      </c>
      <c r="BB433" s="30" t="s">
        <v>946</v>
      </c>
      <c r="BC433" s="30" t="s">
        <v>565</v>
      </c>
      <c r="BD433" s="30" t="s">
        <v>562</v>
      </c>
      <c r="BF433" s="30" t="s">
        <v>564</v>
      </c>
      <c r="BG433" s="30" t="s">
        <v>192</v>
      </c>
      <c r="BK433" s="30" t="s">
        <v>1211</v>
      </c>
      <c r="BL433" s="41" t="s">
        <v>563</v>
      </c>
      <c r="BM433" s="39" t="s">
        <v>1220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4" spans="1:66" ht="16" customHeight="1" x14ac:dyDescent="0.2">
      <c r="A434" s="30">
        <v>2659</v>
      </c>
      <c r="B434" s="30" t="s">
        <v>561</v>
      </c>
      <c r="C434" s="30" t="s">
        <v>262</v>
      </c>
      <c r="D434" s="30" t="s">
        <v>144</v>
      </c>
      <c r="E434" s="30" t="s">
        <v>263</v>
      </c>
      <c r="F434" s="36" t="str">
        <f>IF(ISBLANK(Table2[[#This Row],[unique_id]]), "", PROPER(SUBSTITUTE(Table2[[#This Row],[unique_id]], "_", " ")))</f>
        <v>Parents Tv</v>
      </c>
      <c r="G434" s="30" t="s">
        <v>261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Parents</v>
      </c>
      <c r="BB434" s="30" t="s">
        <v>946</v>
      </c>
      <c r="BC434" s="30" t="s">
        <v>1003</v>
      </c>
      <c r="BD434" s="30" t="s">
        <v>262</v>
      </c>
      <c r="BF434" s="30" t="s">
        <v>379</v>
      </c>
      <c r="BG434" s="30" t="s">
        <v>190</v>
      </c>
      <c r="BK434" s="30" t="s">
        <v>1211</v>
      </c>
      <c r="BL434" s="41" t="s">
        <v>381</v>
      </c>
      <c r="BM434" s="39" t="s">
        <v>1221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5" spans="1:66" ht="16" customHeight="1" x14ac:dyDescent="0.2">
      <c r="A435" s="30">
        <v>2660</v>
      </c>
      <c r="B435" s="30" t="s">
        <v>561</v>
      </c>
      <c r="C435" s="30" t="s">
        <v>233</v>
      </c>
      <c r="D435" s="30" t="s">
        <v>144</v>
      </c>
      <c r="E435" s="30" t="s">
        <v>666</v>
      </c>
      <c r="F435" s="36" t="str">
        <f>IF(ISBLANK(Table2[[#This Row],[unique_id]]), "", PROPER(SUBSTITUTE(Table2[[#This Row],[unique_id]], "_", " ")))</f>
        <v>Office Tv</v>
      </c>
      <c r="G435" s="30" t="s">
        <v>667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Office</v>
      </c>
      <c r="BB435" s="30" t="s">
        <v>946</v>
      </c>
      <c r="BC435" s="30" t="s">
        <v>374</v>
      </c>
      <c r="BD435" s="30" t="s">
        <v>233</v>
      </c>
      <c r="BF435" s="30" t="s">
        <v>375</v>
      </c>
      <c r="BG435" s="30" t="s">
        <v>210</v>
      </c>
      <c r="BK435" s="30" t="s">
        <v>1211</v>
      </c>
      <c r="BL435" s="41" t="s">
        <v>403</v>
      </c>
      <c r="BM435" s="39" t="s">
        <v>1223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6" spans="1:66" ht="16" customHeight="1" x14ac:dyDescent="0.2">
      <c r="A436" s="30">
        <v>2661</v>
      </c>
      <c r="B436" s="30" t="s">
        <v>26</v>
      </c>
      <c r="C436" s="30" t="s">
        <v>422</v>
      </c>
      <c r="D436" s="30" t="s">
        <v>315</v>
      </c>
      <c r="E436" s="30" t="s">
        <v>314</v>
      </c>
      <c r="F436" s="36" t="str">
        <f>IF(ISBLANK(Table2[[#This Row],[unique_id]]), "", PROPER(SUBSTITUTE(Table2[[#This Row],[unique_id]], "_", " ")))</f>
        <v>Column Break</v>
      </c>
      <c r="G436" s="30" t="s">
        <v>311</v>
      </c>
      <c r="H436" s="30" t="s">
        <v>711</v>
      </c>
      <c r="I436" s="30" t="s">
        <v>143</v>
      </c>
      <c r="M436" s="30" t="s">
        <v>312</v>
      </c>
      <c r="N436" s="30" t="s">
        <v>313</v>
      </c>
      <c r="O436" s="31"/>
      <c r="P436" s="30"/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/>
      </c>
      <c r="BF436" s="31"/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7" spans="1:66" ht="16" customHeight="1" x14ac:dyDescent="0.2">
      <c r="A437" s="30">
        <v>2662</v>
      </c>
      <c r="B437" s="30" t="s">
        <v>26</v>
      </c>
      <c r="C437" s="30" t="s">
        <v>180</v>
      </c>
      <c r="D437" s="30" t="s">
        <v>144</v>
      </c>
      <c r="E437" s="30" t="s">
        <v>700</v>
      </c>
      <c r="F437" s="36" t="str">
        <f>IF(ISBLANK(Table2[[#This Row],[unique_id]]), "", PROPER(SUBSTITUTE(Table2[[#This Row],[unique_id]], "_", " ")))</f>
        <v>Lounge Arc</v>
      </c>
      <c r="G437" s="30" t="s">
        <v>703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/>
      <c r="R437" s="41"/>
      <c r="T437" s="37" t="str">
        <f>_xlfn.CONCAT("name: ", Table2[[#This Row],[friendly_name]])</f>
        <v>name: Lounge Arc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566</v>
      </c>
      <c r="BC437" s="30" t="s">
        <v>1006</v>
      </c>
      <c r="BD437" s="30" t="s">
        <v>180</v>
      </c>
      <c r="BF437" s="30">
        <v>15.4</v>
      </c>
      <c r="BG437" s="30" t="s">
        <v>192</v>
      </c>
      <c r="BK437" s="30" t="s">
        <v>1211</v>
      </c>
      <c r="BL437" s="30" t="s">
        <v>567</v>
      </c>
      <c r="BM437" s="39" t="s">
        <v>1224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8" spans="1:66" ht="16" customHeight="1" x14ac:dyDescent="0.2">
      <c r="A438" s="30">
        <v>2663</v>
      </c>
      <c r="B438" s="30" t="s">
        <v>561</v>
      </c>
      <c r="C438" s="30" t="s">
        <v>774</v>
      </c>
      <c r="D438" s="30" t="s">
        <v>147</v>
      </c>
      <c r="E438" s="30" t="s">
        <v>776</v>
      </c>
      <c r="F438" s="36" t="str">
        <f>IF(ISBLANK(Table2[[#This Row],[unique_id]]), "", PROPER(SUBSTITUTE(Table2[[#This Row],[unique_id]], "_", " ")))</f>
        <v>Template Kitchen Move Proxy</v>
      </c>
      <c r="G438" s="30" t="s">
        <v>704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Kitchen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204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2664</v>
      </c>
      <c r="B439" s="30" t="s">
        <v>26</v>
      </c>
      <c r="C439" s="30" t="s">
        <v>180</v>
      </c>
      <c r="D439" s="30" t="s">
        <v>144</v>
      </c>
      <c r="E439" s="30" t="s">
        <v>699</v>
      </c>
      <c r="F439" s="36" t="str">
        <f>IF(ISBLANK(Table2[[#This Row],[unique_id]]), "", PROPER(SUBSTITUTE(Table2[[#This Row],[unique_id]], "_", " ")))</f>
        <v>Kitchen Move</v>
      </c>
      <c r="G439" s="30" t="s">
        <v>704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Kitchen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204</v>
      </c>
      <c r="BK439" s="30" t="s">
        <v>1211</v>
      </c>
      <c r="BL439" s="30" t="s">
        <v>350</v>
      </c>
      <c r="BM439" s="39" t="s">
        <v>1225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0" spans="1:66" ht="16" customHeight="1" x14ac:dyDescent="0.2">
      <c r="A440" s="30">
        <v>2665</v>
      </c>
      <c r="B440" s="30" t="s">
        <v>26</v>
      </c>
      <c r="C440" s="30" t="s">
        <v>180</v>
      </c>
      <c r="D440" s="30" t="s">
        <v>144</v>
      </c>
      <c r="E440" s="30" t="s">
        <v>698</v>
      </c>
      <c r="F440" s="36" t="str">
        <f>IF(ISBLANK(Table2[[#This Row],[unique_id]]), "", PROPER(SUBSTITUTE(Table2[[#This Row],[unique_id]], "_", " ")))</f>
        <v>Kitchen Five</v>
      </c>
      <c r="G440" s="30" t="s">
        <v>705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 t="s">
        <v>754</v>
      </c>
      <c r="P440" s="30" t="s">
        <v>164</v>
      </c>
      <c r="Q440" s="30" t="s">
        <v>726</v>
      </c>
      <c r="R440" s="41" t="s">
        <v>711</v>
      </c>
      <c r="S440" s="30" t="str">
        <f>_xlfn.CONCAT( Table2[[#This Row],[friendly_name]], " Devices")</f>
        <v>Kitchen Five Devices</v>
      </c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Kitchen</v>
      </c>
      <c r="BB440" s="30" t="s">
        <v>778</v>
      </c>
      <c r="BC440" s="30" t="s">
        <v>1005</v>
      </c>
      <c r="BD440" s="30" t="s">
        <v>180</v>
      </c>
      <c r="BF440" s="30">
        <v>15.4</v>
      </c>
      <c r="BG440" s="30" t="s">
        <v>204</v>
      </c>
      <c r="BK440" s="30" t="s">
        <v>1211</v>
      </c>
      <c r="BL440" s="37" t="s">
        <v>349</v>
      </c>
      <c r="BM440" s="39" t="s">
        <v>1226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1" spans="1:66" ht="16" customHeight="1" x14ac:dyDescent="0.2">
      <c r="A441" s="30">
        <v>2666</v>
      </c>
      <c r="B441" s="30" t="s">
        <v>561</v>
      </c>
      <c r="C441" s="30" t="s">
        <v>774</v>
      </c>
      <c r="D441" s="30" t="s">
        <v>147</v>
      </c>
      <c r="E441" s="30" t="s">
        <v>777</v>
      </c>
      <c r="F441" s="36" t="str">
        <f>IF(ISBLANK(Table2[[#This Row],[unique_id]]), "", PROPER(SUBSTITUTE(Table2[[#This Row],[unique_id]], "_", " ")))</f>
        <v>Template Parents Move Proxy</v>
      </c>
      <c r="G441" s="30" t="s">
        <v>706</v>
      </c>
      <c r="H441" s="30" t="s">
        <v>711</v>
      </c>
      <c r="I441" s="30" t="s">
        <v>143</v>
      </c>
      <c r="O441" s="31" t="s">
        <v>754</v>
      </c>
      <c r="P441" s="30" t="s">
        <v>164</v>
      </c>
      <c r="Q441" s="30" t="s">
        <v>726</v>
      </c>
      <c r="R441" s="41" t="s">
        <v>711</v>
      </c>
      <c r="S441" s="30" t="str">
        <f>_xlfn.CONCAT( Table2[[#This Row],[friendly_name]], " Devices")</f>
        <v>Parents Move Devices</v>
      </c>
      <c r="T441" s="37" t="s">
        <v>779</v>
      </c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 t="s">
        <v>144</v>
      </c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347</v>
      </c>
      <c r="BC441" s="30" t="s">
        <v>1004</v>
      </c>
      <c r="BD441" s="30" t="s">
        <v>180</v>
      </c>
      <c r="BF441" s="30">
        <v>15.4</v>
      </c>
      <c r="BG441" s="30" t="s">
        <v>190</v>
      </c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2667</v>
      </c>
      <c r="B442" s="30" t="s">
        <v>26</v>
      </c>
      <c r="C442" s="30" t="s">
        <v>180</v>
      </c>
      <c r="D442" s="30" t="s">
        <v>144</v>
      </c>
      <c r="E442" s="30" t="s">
        <v>697</v>
      </c>
      <c r="F442" s="36" t="str">
        <f>IF(ISBLANK(Table2[[#This Row],[unique_id]]), "", PROPER(SUBSTITUTE(Table2[[#This Row],[unique_id]], "_", " ")))</f>
        <v>Parents Move</v>
      </c>
      <c r="G442" s="30" t="s">
        <v>706</v>
      </c>
      <c r="H442" s="30" t="s">
        <v>711</v>
      </c>
      <c r="I442" s="30" t="s">
        <v>143</v>
      </c>
      <c r="M442" s="30" t="s">
        <v>135</v>
      </c>
      <c r="N442" s="30" t="s">
        <v>268</v>
      </c>
      <c r="O442" s="31" t="s">
        <v>754</v>
      </c>
      <c r="P442" s="30" t="s">
        <v>164</v>
      </c>
      <c r="Q442" s="30" t="s">
        <v>726</v>
      </c>
      <c r="R442" s="41" t="s">
        <v>711</v>
      </c>
      <c r="S442" s="30" t="str">
        <f>_xlfn.CONCAT( Table2[[#This Row],[friendly_name]], " Devices")</f>
        <v>Parents Move Devices</v>
      </c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347</v>
      </c>
      <c r="BC442" s="30" t="s">
        <v>1004</v>
      </c>
      <c r="BD442" s="30" t="s">
        <v>180</v>
      </c>
      <c r="BF442" s="30">
        <v>15.4</v>
      </c>
      <c r="BG442" s="30" t="s">
        <v>190</v>
      </c>
      <c r="BK442" s="30" t="s">
        <v>1211</v>
      </c>
      <c r="BL442" s="30" t="s">
        <v>348</v>
      </c>
      <c r="BM442" s="39" t="s">
        <v>1227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3" spans="1:66" ht="16" customHeight="1" x14ac:dyDescent="0.2">
      <c r="A443" s="30">
        <v>2668</v>
      </c>
      <c r="B443" s="30" t="s">
        <v>26</v>
      </c>
      <c r="C443" s="30" t="s">
        <v>262</v>
      </c>
      <c r="D443" s="30" t="s">
        <v>144</v>
      </c>
      <c r="E443" s="30" t="s">
        <v>1270</v>
      </c>
      <c r="F443" s="36" t="str">
        <f>IF(ISBLANK(Table2[[#This Row],[unique_id]]), "", PROPER(SUBSTITUTE(Table2[[#This Row],[unique_id]], "_", " ")))</f>
        <v>Parents Homepod</v>
      </c>
      <c r="G443" s="30" t="s">
        <v>1271</v>
      </c>
      <c r="H443" s="30" t="s">
        <v>711</v>
      </c>
      <c r="I443" s="30" t="s">
        <v>143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Parents</v>
      </c>
      <c r="BB443" s="30" t="s">
        <v>1272</v>
      </c>
      <c r="BC443" s="30" t="s">
        <v>1007</v>
      </c>
      <c r="BD443" s="30" t="s">
        <v>262</v>
      </c>
      <c r="BF443" s="30" t="s">
        <v>379</v>
      </c>
      <c r="BG443" s="30" t="s">
        <v>190</v>
      </c>
      <c r="BK443" s="30" t="s">
        <v>1211</v>
      </c>
      <c r="BL443" s="41" t="s">
        <v>382</v>
      </c>
      <c r="BM443" s="39" t="s">
        <v>1228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4" spans="1:66" ht="16" customHeight="1" x14ac:dyDescent="0.2">
      <c r="A444" s="30">
        <v>2700</v>
      </c>
      <c r="B444" s="30" t="s">
        <v>26</v>
      </c>
      <c r="C444" s="30" t="s">
        <v>149</v>
      </c>
      <c r="D444" s="30" t="s">
        <v>292</v>
      </c>
      <c r="E444" s="30" t="s">
        <v>634</v>
      </c>
      <c r="F444" s="36" t="str">
        <f>IF(ISBLANK(Table2[[#This Row],[unique_id]]), "", PROPER(SUBSTITUTE(Table2[[#This Row],[unique_id]], "_", " ")))</f>
        <v>Back Door Lock Security</v>
      </c>
      <c r="G444" s="30" t="s">
        <v>630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E444" s="30" t="s">
        <v>645</v>
      </c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2701</v>
      </c>
      <c r="B445" s="30" t="s">
        <v>26</v>
      </c>
      <c r="C445" s="30" t="s">
        <v>149</v>
      </c>
      <c r="D445" s="30" t="s">
        <v>147</v>
      </c>
      <c r="E445" s="30" t="s">
        <v>647</v>
      </c>
      <c r="F445" s="36" t="str">
        <f>IF(ISBLANK(Table2[[#This Row],[unique_id]]), "", PROPER(SUBSTITUTE(Table2[[#This Row],[unique_id]], "_", " ")))</f>
        <v>Template Back Door State</v>
      </c>
      <c r="G445" s="30" t="s">
        <v>272</v>
      </c>
      <c r="H445" s="30" t="s">
        <v>612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F445" s="31"/>
      <c r="BL445" s="41"/>
      <c r="BM445" s="39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2702</v>
      </c>
      <c r="B446" s="30" t="s">
        <v>26</v>
      </c>
      <c r="C446" s="30" t="s">
        <v>603</v>
      </c>
      <c r="D446" s="30" t="s">
        <v>606</v>
      </c>
      <c r="E446" s="30" t="s">
        <v>607</v>
      </c>
      <c r="F446" s="36" t="str">
        <f>IF(ISBLANK(Table2[[#This Row],[unique_id]]), "", PROPER(SUBSTITUTE(Table2[[#This Row],[unique_id]], "_", " ")))</f>
        <v>Back Door Lock</v>
      </c>
      <c r="G446" s="30" t="s">
        <v>649</v>
      </c>
      <c r="H446" s="30" t="s">
        <v>612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471</v>
      </c>
      <c r="X446" s="31"/>
      <c r="Y446" s="42" t="s">
        <v>722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0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0" t="s">
        <v>997</v>
      </c>
      <c r="BC446" s="30" t="s">
        <v>604</v>
      </c>
      <c r="BD446" s="30" t="s">
        <v>603</v>
      </c>
      <c r="BF446" s="30" t="s">
        <v>605</v>
      </c>
      <c r="BG446" s="30" t="s">
        <v>612</v>
      </c>
      <c r="BL446" s="30" t="s">
        <v>602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7" spans="1:66" ht="16" customHeight="1" x14ac:dyDescent="0.2">
      <c r="A447" s="30">
        <v>2703</v>
      </c>
      <c r="B447" s="30" t="s">
        <v>26</v>
      </c>
      <c r="C447" s="30" t="s">
        <v>316</v>
      </c>
      <c r="D447" s="30" t="s">
        <v>147</v>
      </c>
      <c r="E447" s="30" t="s">
        <v>640</v>
      </c>
      <c r="F447" s="36" t="str">
        <f>IF(ISBLANK(Table2[[#This Row],[unique_id]]), "", PROPER(SUBSTITUTE(Table2[[#This Row],[unique_id]], "_", " ")))</f>
        <v>Template Back Door Sensor Contact Last</v>
      </c>
      <c r="G447" s="30" t="s">
        <v>648</v>
      </c>
      <c r="H447" s="30" t="s">
        <v>612</v>
      </c>
      <c r="I447" s="30" t="s">
        <v>207</v>
      </c>
      <c r="M447" s="30" t="s">
        <v>135</v>
      </c>
      <c r="O447" s="31"/>
      <c r="P447" s="30"/>
      <c r="T447" s="37"/>
      <c r="U447" s="30"/>
      <c r="V447" s="31"/>
      <c r="W447" s="31" t="s">
        <v>471</v>
      </c>
      <c r="X447" s="31"/>
      <c r="Y447" s="42" t="s">
        <v>722</v>
      </c>
      <c r="Z447" s="31"/>
      <c r="AA447" s="31"/>
      <c r="AB447" s="30"/>
      <c r="AC447" s="30"/>
      <c r="AG447" s="31"/>
      <c r="AH447" s="31"/>
      <c r="AT447" s="40"/>
      <c r="AU447" s="3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7" s="37" t="str">
        <f>Table2[[#This Row],[device_suggested_area]]</f>
        <v>Back Door</v>
      </c>
      <c r="BA447" s="30" t="str">
        <f>IF(ISBLANK(Table2[[#This Row],[device_model]]), "", Table2[[#This Row],[device_suggested_area]])</f>
        <v>Back Door</v>
      </c>
      <c r="BB447" s="37" t="s">
        <v>1001</v>
      </c>
      <c r="BC447" s="37" t="s">
        <v>623</v>
      </c>
      <c r="BD447" s="30" t="s">
        <v>1075</v>
      </c>
      <c r="BF447" s="30" t="s">
        <v>605</v>
      </c>
      <c r="BG447" s="30" t="s">
        <v>612</v>
      </c>
      <c r="BL447" s="30" t="s">
        <v>625</v>
      </c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8" spans="1:66" ht="16" customHeight="1" x14ac:dyDescent="0.2">
      <c r="A448" s="30">
        <v>2704</v>
      </c>
      <c r="B448" s="30" t="s">
        <v>561</v>
      </c>
      <c r="C448" s="30" t="s">
        <v>232</v>
      </c>
      <c r="D448" s="30" t="s">
        <v>146</v>
      </c>
      <c r="F448" s="36" t="str">
        <f>IF(ISBLANK(Table2[[#This Row],[unique_id]]), "", PROPER(SUBSTITUTE(Table2[[#This Row],[unique_id]], "_", " ")))</f>
        <v/>
      </c>
      <c r="G448" s="30" t="s">
        <v>612</v>
      </c>
      <c r="H448" s="30" t="s">
        <v>620</v>
      </c>
      <c r="I448" s="30" t="s">
        <v>207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C448" s="37"/>
      <c r="BF448" s="31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2705</v>
      </c>
      <c r="B449" s="30" t="s">
        <v>26</v>
      </c>
      <c r="C449" s="30" t="s">
        <v>149</v>
      </c>
      <c r="D449" s="30" t="s">
        <v>292</v>
      </c>
      <c r="E449" s="30" t="s">
        <v>635</v>
      </c>
      <c r="F449" s="36" t="str">
        <f>IF(ISBLANK(Table2[[#This Row],[unique_id]]), "", PROPER(SUBSTITUTE(Table2[[#This Row],[unique_id]], "_", " ")))</f>
        <v>Front Door Lock Security</v>
      </c>
      <c r="G449" s="30" t="s">
        <v>630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E449" s="30" t="s">
        <v>645</v>
      </c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2706</v>
      </c>
      <c r="B450" s="30" t="s">
        <v>26</v>
      </c>
      <c r="C450" s="30" t="s">
        <v>149</v>
      </c>
      <c r="D450" s="30" t="s">
        <v>147</v>
      </c>
      <c r="E450" s="30" t="s">
        <v>646</v>
      </c>
      <c r="F450" s="36" t="str">
        <f>IF(ISBLANK(Table2[[#This Row],[unique_id]]), "", PROPER(SUBSTITUTE(Table2[[#This Row],[unique_id]], "_", " ")))</f>
        <v>Template Front Door State</v>
      </c>
      <c r="G450" s="30" t="s">
        <v>272</v>
      </c>
      <c r="H450" s="30" t="s">
        <v>611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2707</v>
      </c>
      <c r="B451" s="30" t="s">
        <v>26</v>
      </c>
      <c r="C451" s="30" t="s">
        <v>603</v>
      </c>
      <c r="D451" s="30" t="s">
        <v>606</v>
      </c>
      <c r="E451" s="30" t="s">
        <v>608</v>
      </c>
      <c r="F451" s="36" t="str">
        <f>IF(ISBLANK(Table2[[#This Row],[unique_id]]), "", PROPER(SUBSTITUTE(Table2[[#This Row],[unique_id]], "_", " ")))</f>
        <v>Front Door Lock</v>
      </c>
      <c r="G451" s="30" t="s">
        <v>649</v>
      </c>
      <c r="H451" s="30" t="s">
        <v>611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471</v>
      </c>
      <c r="X451" s="31"/>
      <c r="Y451" s="42" t="s">
        <v>722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0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0" t="s">
        <v>997</v>
      </c>
      <c r="BC451" s="30" t="s">
        <v>604</v>
      </c>
      <c r="BD451" s="30" t="s">
        <v>603</v>
      </c>
      <c r="BF451" s="30" t="s">
        <v>605</v>
      </c>
      <c r="BG451" s="30" t="s">
        <v>611</v>
      </c>
      <c r="BL451" s="30" t="s">
        <v>609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2" spans="1:66" ht="16" customHeight="1" x14ac:dyDescent="0.2">
      <c r="A452" s="30">
        <v>2708</v>
      </c>
      <c r="B452" s="30" t="s">
        <v>26</v>
      </c>
      <c r="C452" s="30" t="s">
        <v>316</v>
      </c>
      <c r="D452" s="30" t="s">
        <v>147</v>
      </c>
      <c r="E452" s="30" t="s">
        <v>639</v>
      </c>
      <c r="F452" s="36" t="str">
        <f>IF(ISBLANK(Table2[[#This Row],[unique_id]]), "", PROPER(SUBSTITUTE(Table2[[#This Row],[unique_id]], "_", " ")))</f>
        <v>Template Front Door Sensor Contact Last</v>
      </c>
      <c r="G452" s="30" t="s">
        <v>648</v>
      </c>
      <c r="H452" s="30" t="s">
        <v>611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7" t="str">
        <f>Table2[[#This Row],[device_suggested_area]]</f>
        <v>Front Door</v>
      </c>
      <c r="BA452" s="30" t="str">
        <f>IF(ISBLANK(Table2[[#This Row],[device_model]]), "", Table2[[#This Row],[device_suggested_area]])</f>
        <v>Front Door</v>
      </c>
      <c r="BB452" s="37" t="s">
        <v>1001</v>
      </c>
      <c r="BC452" s="37" t="s">
        <v>623</v>
      </c>
      <c r="BD452" s="30" t="s">
        <v>1075</v>
      </c>
      <c r="BF452" s="30" t="s">
        <v>605</v>
      </c>
      <c r="BG452" s="30" t="s">
        <v>611</v>
      </c>
      <c r="BL452" s="30" t="s">
        <v>624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3" spans="1:66" ht="16" customHeight="1" x14ac:dyDescent="0.2">
      <c r="A453" s="30">
        <v>2709</v>
      </c>
      <c r="B453" s="30" t="s">
        <v>561</v>
      </c>
      <c r="C453" s="30" t="s">
        <v>232</v>
      </c>
      <c r="D453" s="30" t="s">
        <v>146</v>
      </c>
      <c r="F453" s="36" t="str">
        <f>IF(ISBLANK(Table2[[#This Row],[unique_id]]), "", PROPER(SUBSTITUTE(Table2[[#This Row],[unique_id]], "_", " ")))</f>
        <v/>
      </c>
      <c r="G453" s="30" t="s">
        <v>611</v>
      </c>
      <c r="H453" s="30" t="s">
        <v>619</v>
      </c>
      <c r="I453" s="30" t="s">
        <v>207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C453" s="37"/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2710</v>
      </c>
      <c r="B454" s="30" t="s">
        <v>26</v>
      </c>
      <c r="C454" s="30" t="s">
        <v>132</v>
      </c>
      <c r="D454" s="30" t="s">
        <v>147</v>
      </c>
      <c r="E454" s="30" t="s">
        <v>581</v>
      </c>
      <c r="F454" s="36" t="str">
        <f>IF(ISBLANK(Table2[[#This Row],[unique_id]]), "", PROPER(SUBSTITUTE(Table2[[#This Row],[unique_id]], "_", " ")))</f>
        <v>Ada Fan Occupancy</v>
      </c>
      <c r="G454" s="30" t="s">
        <v>129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2711</v>
      </c>
      <c r="B455" s="30" t="s">
        <v>26</v>
      </c>
      <c r="C455" s="30" t="s">
        <v>132</v>
      </c>
      <c r="D455" s="30" t="s">
        <v>147</v>
      </c>
      <c r="E455" s="30" t="s">
        <v>580</v>
      </c>
      <c r="F455" s="36" t="str">
        <f>IF(ISBLANK(Table2[[#This Row],[unique_id]]), "", PROPER(SUBSTITUTE(Table2[[#This Row],[unique_id]], "_", " ")))</f>
        <v>Edwin Fan Occupancy</v>
      </c>
      <c r="G455" s="30" t="s">
        <v>126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2712</v>
      </c>
      <c r="B456" s="30" t="s">
        <v>26</v>
      </c>
      <c r="C456" s="30" t="s">
        <v>132</v>
      </c>
      <c r="D456" s="30" t="s">
        <v>147</v>
      </c>
      <c r="E456" s="30" t="s">
        <v>582</v>
      </c>
      <c r="F456" s="36" t="str">
        <f>IF(ISBLANK(Table2[[#This Row],[unique_id]]), "", PROPER(SUBSTITUTE(Table2[[#This Row],[unique_id]], "_", " ")))</f>
        <v>Parents Fan Occupancy</v>
      </c>
      <c r="G456" s="30" t="s">
        <v>190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2713</v>
      </c>
      <c r="B457" s="30" t="s">
        <v>26</v>
      </c>
      <c r="C457" s="30" t="s">
        <v>132</v>
      </c>
      <c r="D457" s="30" t="s">
        <v>147</v>
      </c>
      <c r="E457" s="30" t="s">
        <v>583</v>
      </c>
      <c r="F457" s="36" t="str">
        <f>IF(ISBLANK(Table2[[#This Row],[unique_id]]), "", PROPER(SUBSTITUTE(Table2[[#This Row],[unique_id]], "_", " ")))</f>
        <v>Lounge Fan Occupancy</v>
      </c>
      <c r="G457" s="30" t="s">
        <v>192</v>
      </c>
      <c r="H457" s="30" t="s">
        <v>617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2714</v>
      </c>
      <c r="B458" s="30" t="s">
        <v>26</v>
      </c>
      <c r="C458" s="30" t="s">
        <v>132</v>
      </c>
      <c r="D458" s="30" t="s">
        <v>147</v>
      </c>
      <c r="E458" s="30" t="s">
        <v>584</v>
      </c>
      <c r="F458" s="36" t="str">
        <f>IF(ISBLANK(Table2[[#This Row],[unique_id]]), "", PROPER(SUBSTITUTE(Table2[[#This Row],[unique_id]], "_", " ")))</f>
        <v>Deck East Fan Occupancy</v>
      </c>
      <c r="G458" s="30" t="s">
        <v>213</v>
      </c>
      <c r="H458" s="30" t="s">
        <v>617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2715</v>
      </c>
      <c r="B459" s="30" t="s">
        <v>26</v>
      </c>
      <c r="C459" s="30" t="s">
        <v>132</v>
      </c>
      <c r="D459" s="30" t="s">
        <v>147</v>
      </c>
      <c r="E459" s="30" t="s">
        <v>585</v>
      </c>
      <c r="F459" s="36" t="str">
        <f>IF(ISBLANK(Table2[[#This Row],[unique_id]]), "", PROPER(SUBSTITUTE(Table2[[#This Row],[unique_id]], "_", " ")))</f>
        <v>Deck West Fan Occupancy</v>
      </c>
      <c r="G459" s="30" t="s">
        <v>212</v>
      </c>
      <c r="H459" s="30" t="s">
        <v>617</v>
      </c>
      <c r="I459" s="30" t="s">
        <v>207</v>
      </c>
      <c r="M459" s="30" t="s">
        <v>135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2716</v>
      </c>
      <c r="B460" s="30" t="s">
        <v>26</v>
      </c>
      <c r="C460" s="30" t="s">
        <v>422</v>
      </c>
      <c r="D460" s="30" t="s">
        <v>315</v>
      </c>
      <c r="E460" s="30" t="s">
        <v>314</v>
      </c>
      <c r="F460" s="36" t="str">
        <f>IF(ISBLANK(Table2[[#This Row],[unique_id]]), "", PROPER(SUBSTITUTE(Table2[[#This Row],[unique_id]], "_", " ")))</f>
        <v>Column Break</v>
      </c>
      <c r="G460" s="30" t="s">
        <v>311</v>
      </c>
      <c r="H460" s="30" t="s">
        <v>614</v>
      </c>
      <c r="I460" s="30" t="s">
        <v>207</v>
      </c>
      <c r="M460" s="30" t="s">
        <v>312</v>
      </c>
      <c r="N460" s="30" t="s">
        <v>313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2717</v>
      </c>
      <c r="B461" s="30" t="s">
        <v>26</v>
      </c>
      <c r="C461" s="30" t="s">
        <v>232</v>
      </c>
      <c r="D461" s="30" t="s">
        <v>147</v>
      </c>
      <c r="E461" s="30" t="s">
        <v>148</v>
      </c>
      <c r="F461" s="36" t="str">
        <f>IF(ISBLANK(Table2[[#This Row],[unique_id]]), "", PROPER(SUBSTITUTE(Table2[[#This Row],[unique_id]], "_", " ")))</f>
        <v>Uvc Ada Motion</v>
      </c>
      <c r="G461" s="30" t="s">
        <v>610</v>
      </c>
      <c r="H461" s="30" t="s">
        <v>614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2718</v>
      </c>
      <c r="B462" s="30" t="s">
        <v>26</v>
      </c>
      <c r="C462" s="30" t="s">
        <v>232</v>
      </c>
      <c r="D462" s="30" t="s">
        <v>146</v>
      </c>
      <c r="E462" s="30" t="s">
        <v>1283</v>
      </c>
      <c r="F462" s="36" t="str">
        <f>IF(ISBLANK(Table2[[#This Row],[unique_id]]), "", PROPER(SUBSTITUTE(Table2[[#This Row],[unique_id]], "_", " ")))</f>
        <v>Uvc Ada Medium Resolution Channel</v>
      </c>
      <c r="G462" s="30" t="s">
        <v>129</v>
      </c>
      <c r="H462" s="30" t="s">
        <v>616</v>
      </c>
      <c r="I462" s="30" t="s">
        <v>207</v>
      </c>
      <c r="M462" s="30" t="s">
        <v>135</v>
      </c>
      <c r="N462" s="30" t="s">
        <v>269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U462" s="3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2" s="30" t="s">
        <v>1383</v>
      </c>
      <c r="BA462" s="30" t="str">
        <f>IF(ISBLANK(Table2[[#This Row],[device_model]]), "", Table2[[#This Row],[device_suggested_area]])</f>
        <v>Ada</v>
      </c>
      <c r="BB462" s="30" t="str">
        <f>Table2[[#This Row],[device_suggested_area]]</f>
        <v>Ada</v>
      </c>
      <c r="BC462" s="30" t="s">
        <v>367</v>
      </c>
      <c r="BD462" s="30" t="s">
        <v>232</v>
      </c>
      <c r="BF462" s="30" t="s">
        <v>368</v>
      </c>
      <c r="BG462" s="30" t="s">
        <v>129</v>
      </c>
      <c r="BK462" s="30" t="s">
        <v>1212</v>
      </c>
      <c r="BL462" s="30" t="s">
        <v>365</v>
      </c>
      <c r="BM462" s="30" t="s">
        <v>1267</v>
      </c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3" spans="1:66" ht="16" customHeight="1" x14ac:dyDescent="0.2">
      <c r="A463" s="30">
        <v>2719</v>
      </c>
      <c r="B463" s="30" t="s">
        <v>26</v>
      </c>
      <c r="C463" s="30" t="s">
        <v>232</v>
      </c>
      <c r="D463" s="30" t="s">
        <v>147</v>
      </c>
      <c r="E463" s="30" t="s">
        <v>206</v>
      </c>
      <c r="F463" s="36" t="str">
        <f>IF(ISBLANK(Table2[[#This Row],[unique_id]]), "", PROPER(SUBSTITUTE(Table2[[#This Row],[unique_id]], "_", " ")))</f>
        <v>Uvc Edwin Motion</v>
      </c>
      <c r="G463" s="30" t="s">
        <v>610</v>
      </c>
      <c r="H463" s="30" t="s">
        <v>613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2720</v>
      </c>
      <c r="B464" s="30" t="s">
        <v>26</v>
      </c>
      <c r="C464" s="30" t="s">
        <v>232</v>
      </c>
      <c r="D464" s="30" t="s">
        <v>146</v>
      </c>
      <c r="E464" s="30" t="s">
        <v>1284</v>
      </c>
      <c r="F464" s="36" t="str">
        <f>IF(ISBLANK(Table2[[#This Row],[unique_id]]), "", PROPER(SUBSTITUTE(Table2[[#This Row],[unique_id]], "_", " ")))</f>
        <v>Uvc Edwin Medium Resolution Channel</v>
      </c>
      <c r="G464" s="30" t="s">
        <v>126</v>
      </c>
      <c r="H464" s="30" t="s">
        <v>615</v>
      </c>
      <c r="I464" s="30" t="s">
        <v>207</v>
      </c>
      <c r="M464" s="30" t="s">
        <v>135</v>
      </c>
      <c r="N464" s="30" t="s">
        <v>269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1383</v>
      </c>
      <c r="BA464" s="30" t="str">
        <f>IF(ISBLANK(Table2[[#This Row],[device_model]]), "", Table2[[#This Row],[device_suggested_area]])</f>
        <v>Edwin</v>
      </c>
      <c r="BB464" s="30" t="str">
        <f>Table2[[#This Row],[device_suggested_area]]</f>
        <v>Edwin</v>
      </c>
      <c r="BC464" s="30" t="s">
        <v>367</v>
      </c>
      <c r="BD464" s="30" t="s">
        <v>232</v>
      </c>
      <c r="BF464" s="30" t="s">
        <v>368</v>
      </c>
      <c r="BG464" s="30" t="s">
        <v>126</v>
      </c>
      <c r="BK464" s="30" t="s">
        <v>1212</v>
      </c>
      <c r="BL464" s="30" t="s">
        <v>366</v>
      </c>
      <c r="BM464" s="30" t="s">
        <v>1268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5" spans="1:66" ht="16" customHeight="1" x14ac:dyDescent="0.2">
      <c r="A465" s="30">
        <v>2721</v>
      </c>
      <c r="B465" s="30" t="s">
        <v>26</v>
      </c>
      <c r="C465" s="30" t="s">
        <v>422</v>
      </c>
      <c r="D465" s="30" t="s">
        <v>315</v>
      </c>
      <c r="E465" s="30" t="s">
        <v>314</v>
      </c>
      <c r="F465" s="36" t="str">
        <f>IF(ISBLANK(Table2[[#This Row],[unique_id]]), "", PROPER(SUBSTITUTE(Table2[[#This Row],[unique_id]], "_", " ")))</f>
        <v>Column Break</v>
      </c>
      <c r="G465" s="30" t="s">
        <v>311</v>
      </c>
      <c r="H465" s="30" t="s">
        <v>615</v>
      </c>
      <c r="I465" s="30" t="s">
        <v>207</v>
      </c>
      <c r="M465" s="30" t="s">
        <v>312</v>
      </c>
      <c r="N465" s="30" t="s">
        <v>313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5000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1384</v>
      </c>
      <c r="BA466" s="30" t="str">
        <f>IF(ISBLANK(Table2[[#This Row],[device_model]]), "", Table2[[#This Row],[device_suggested_area]])</f>
        <v>Rack</v>
      </c>
      <c r="BC466" s="30" t="s">
        <v>993</v>
      </c>
      <c r="BD466" s="30" t="s">
        <v>232</v>
      </c>
      <c r="BF466" s="30" t="s">
        <v>384</v>
      </c>
      <c r="BG466" s="30" t="s">
        <v>28</v>
      </c>
      <c r="BK466" s="30" t="s">
        <v>1205</v>
      </c>
      <c r="BL466" s="30" t="s">
        <v>387</v>
      </c>
      <c r="BM466" s="30" t="s">
        <v>1206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7" spans="1:66" ht="16" customHeight="1" x14ac:dyDescent="0.2">
      <c r="A467" s="30">
        <v>5001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1385</v>
      </c>
      <c r="BA467" s="30" t="str">
        <f>IF(ISBLANK(Table2[[#This Row],[device_model]]), "", Table2[[#This Row],[device_suggested_area]])</f>
        <v>Rack</v>
      </c>
      <c r="BB467" s="30" t="str">
        <f>Table2[[#This Row],[device_suggested_area]]</f>
        <v>Rack</v>
      </c>
      <c r="BC467" s="30" t="s">
        <v>990</v>
      </c>
      <c r="BD467" s="30" t="s">
        <v>232</v>
      </c>
      <c r="BF467" s="30" t="s">
        <v>591</v>
      </c>
      <c r="BG467" s="30" t="s">
        <v>28</v>
      </c>
      <c r="BK467" s="30" t="s">
        <v>1205</v>
      </c>
      <c r="BL467" s="30" t="s">
        <v>592</v>
      </c>
      <c r="BM467" s="30" t="s">
        <v>1207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8" spans="1:66" ht="16" customHeight="1" x14ac:dyDescent="0.2">
      <c r="A468" s="30">
        <v>5002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1385</v>
      </c>
      <c r="BA468" s="30" t="str">
        <f>IF(ISBLANK(Table2[[#This Row],[device_model]]), "", Table2[[#This Row],[device_suggested_area]])</f>
        <v>Office</v>
      </c>
      <c r="BB468" s="30" t="str">
        <f>Table2[[#This Row],[device_suggested_area]]</f>
        <v>Office</v>
      </c>
      <c r="BC468" s="30" t="s">
        <v>991</v>
      </c>
      <c r="BD468" s="30" t="s">
        <v>232</v>
      </c>
      <c r="BF468" s="30" t="s">
        <v>1031</v>
      </c>
      <c r="BG468" s="30" t="s">
        <v>210</v>
      </c>
      <c r="BK468" s="30" t="s">
        <v>1205</v>
      </c>
      <c r="BL468" s="30" t="s">
        <v>388</v>
      </c>
      <c r="BM468" s="30" t="s">
        <v>1421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9" spans="1:66" ht="16" customHeight="1" x14ac:dyDescent="0.2">
      <c r="A469" s="30">
        <v>5003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1385</v>
      </c>
      <c r="BA469" s="30" t="str">
        <f>IF(ISBLANK(Table2[[#This Row],[device_model]]), "", Table2[[#This Row],[device_suggested_area]])</f>
        <v>Ceiling</v>
      </c>
      <c r="BB469" s="30" t="str">
        <f>Table2[[#This Row],[device_suggested_area]]</f>
        <v>Ceiling</v>
      </c>
      <c r="BC469" s="30" t="s">
        <v>1420</v>
      </c>
      <c r="BD469" s="30" t="s">
        <v>232</v>
      </c>
      <c r="BF469" s="30" t="s">
        <v>1031</v>
      </c>
      <c r="BG469" s="30" t="s">
        <v>385</v>
      </c>
      <c r="BK469" s="30" t="s">
        <v>1205</v>
      </c>
      <c r="BL469" s="30" t="s">
        <v>1422</v>
      </c>
      <c r="BM469" s="30" t="s">
        <v>1208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0" spans="1:66" ht="16" customHeight="1" x14ac:dyDescent="0.2">
      <c r="A470" s="30">
        <v>5004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1386</v>
      </c>
      <c r="BA470" s="30" t="str">
        <f>IF(ISBLANK(Table2[[#This Row],[device_model]]), "", Table2[[#This Row],[device_suggested_area]])</f>
        <v>Hallway</v>
      </c>
      <c r="BB470" s="30" t="str">
        <f>Table2[[#This Row],[device_suggested_area]]</f>
        <v>Hallway</v>
      </c>
      <c r="BC470" s="30" t="s">
        <v>1328</v>
      </c>
      <c r="BD470" s="30" t="s">
        <v>232</v>
      </c>
      <c r="BF470" s="30" t="s">
        <v>1030</v>
      </c>
      <c r="BG470" s="30" t="s">
        <v>386</v>
      </c>
      <c r="BK470" s="30" t="s">
        <v>1205</v>
      </c>
      <c r="BL470" s="30" t="s">
        <v>1327</v>
      </c>
      <c r="BM470" s="30" t="s">
        <v>1209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1" spans="1:66" ht="16" customHeight="1" x14ac:dyDescent="0.2">
      <c r="A471" s="30">
        <v>5005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1386</v>
      </c>
      <c r="BA471" s="30" t="str">
        <f>IF(ISBLANK(Table2[[#This Row],[device_model]]), "", Table2[[#This Row],[device_suggested_area]])</f>
        <v>Deck North</v>
      </c>
      <c r="BB471" s="30" t="str">
        <f>Table2[[#This Row],[device_suggested_area]]</f>
        <v>Deck North</v>
      </c>
      <c r="BC471" s="30" t="s">
        <v>992</v>
      </c>
      <c r="BD471" s="30" t="s">
        <v>232</v>
      </c>
      <c r="BF471" s="30" t="s">
        <v>1030</v>
      </c>
      <c r="BG471" s="30" t="s">
        <v>1379</v>
      </c>
      <c r="BK471" s="30" t="s">
        <v>1205</v>
      </c>
      <c r="BL471" s="30" t="s">
        <v>1381</v>
      </c>
      <c r="BM471" s="30" t="s">
        <v>1210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2" spans="1:66" ht="16" customHeight="1" x14ac:dyDescent="0.2">
      <c r="A472" s="30">
        <v>5006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1386</v>
      </c>
      <c r="BA472" s="30" t="str">
        <f>IF(ISBLANK(Table2[[#This Row],[device_model]]), "", Table2[[#This Row],[device_suggested_area]])</f>
        <v>Deck South</v>
      </c>
      <c r="BB472" s="30" t="str">
        <f>Table2[[#This Row],[device_suggested_area]]</f>
        <v>Deck South</v>
      </c>
      <c r="BC472" s="30" t="s">
        <v>992</v>
      </c>
      <c r="BD472" s="30" t="s">
        <v>232</v>
      </c>
      <c r="BF472" s="30" t="s">
        <v>1030</v>
      </c>
      <c r="BG472" s="30" t="s">
        <v>1378</v>
      </c>
      <c r="BK472" s="30" t="s">
        <v>1205</v>
      </c>
      <c r="BL472" s="30" t="s">
        <v>389</v>
      </c>
      <c r="BM472" s="30" t="s">
        <v>1380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3" spans="1:66" ht="16" customHeight="1" x14ac:dyDescent="0.2">
      <c r="A473" s="30">
        <v>5007</v>
      </c>
      <c r="B473" s="39" t="s">
        <v>561</v>
      </c>
      <c r="C473" s="39" t="s">
        <v>232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1313</v>
      </c>
      <c r="BA473" s="30" t="str">
        <f>IF(ISBLANK(Table2[[#This Row],[device_model]]), "", Table2[[#This Row],[device_suggested_area]])</f>
        <v>Rack</v>
      </c>
      <c r="BB473" s="30" t="s">
        <v>1324</v>
      </c>
      <c r="BC473" s="30" t="s">
        <v>1315</v>
      </c>
      <c r="BD473" s="30" t="s">
        <v>1313</v>
      </c>
      <c r="BF473" s="30" t="s">
        <v>1321</v>
      </c>
      <c r="BG473" s="30" t="s">
        <v>28</v>
      </c>
      <c r="BL473" s="41"/>
      <c r="BM473" s="30" t="s">
        <v>1323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4" spans="1:66" ht="16" customHeight="1" x14ac:dyDescent="0.2">
      <c r="A474" s="30">
        <v>5008</v>
      </c>
      <c r="B474" s="39" t="s">
        <v>561</v>
      </c>
      <c r="C474" s="39" t="s">
        <v>1313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1314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1313</v>
      </c>
      <c r="BA474" s="30" t="str">
        <f>IF(ISBLANK(Table2[[#This Row],[device_model]]), "", Table2[[#This Row],[device_suggested_area]])</f>
        <v>Rack</v>
      </c>
      <c r="BB474" s="30" t="s">
        <v>989</v>
      </c>
      <c r="BC474" s="30" t="s">
        <v>1315</v>
      </c>
      <c r="BD474" s="30" t="s">
        <v>1313</v>
      </c>
      <c r="BF474" s="30" t="s">
        <v>1321</v>
      </c>
      <c r="BG474" s="30" t="s">
        <v>28</v>
      </c>
      <c r="BL474" s="41"/>
      <c r="BM474" s="30" t="s">
        <v>1316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5" spans="1:66" ht="16" customHeight="1" x14ac:dyDescent="0.2">
      <c r="A475" s="30">
        <v>5009</v>
      </c>
      <c r="B475" s="39" t="s">
        <v>561</v>
      </c>
      <c r="C475" s="39" t="s">
        <v>1317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">
        <v>1318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1317</v>
      </c>
      <c r="BA475" s="30" t="str">
        <f>IF(ISBLANK(Table2[[#This Row],[device_model]]), "", Table2[[#This Row],[device_suggested_area]])</f>
        <v>Rack</v>
      </c>
      <c r="BB475" s="30" t="s">
        <v>1319</v>
      </c>
      <c r="BC475" s="30" t="s">
        <v>1320</v>
      </c>
      <c r="BD475" s="30" t="s">
        <v>1317</v>
      </c>
      <c r="BF475" s="30" t="s">
        <v>1321</v>
      </c>
      <c r="BG475" s="30" t="s">
        <v>28</v>
      </c>
      <c r="BL475" s="41"/>
      <c r="BM475" s="30" t="s">
        <v>1322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6" spans="1:66" ht="16" customHeight="1" x14ac:dyDescent="0.2">
      <c r="A476" s="30">
        <v>5010</v>
      </c>
      <c r="B476" s="39" t="s">
        <v>561</v>
      </c>
      <c r="C476" s="39" t="s">
        <v>369</v>
      </c>
      <c r="D476" s="39"/>
      <c r="E476" s="39"/>
      <c r="F476" s="36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L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994</v>
      </c>
      <c r="BA476" s="30" t="str">
        <f>IF(ISBLANK(Table2[[#This Row],[device_model]]), "", Table2[[#This Row],[device_suggested_area]])</f>
        <v>Rack</v>
      </c>
      <c r="BB476" s="30" t="s">
        <v>369</v>
      </c>
      <c r="BC476" s="30" t="s">
        <v>370</v>
      </c>
      <c r="BD476" s="30" t="s">
        <v>372</v>
      </c>
      <c r="BF476" s="30" t="s">
        <v>371</v>
      </c>
      <c r="BG476" s="30" t="s">
        <v>28</v>
      </c>
      <c r="BK476" s="30" t="s">
        <v>1211</v>
      </c>
      <c r="BL476" s="41" t="s">
        <v>414</v>
      </c>
      <c r="BM476" s="30" t="s">
        <v>1229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7" spans="1:66" ht="16" customHeight="1" x14ac:dyDescent="0.2">
      <c r="A477" s="30">
        <v>5011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ref="AJ477:AJ482" si="1">IF(ISBLANK(AI477),  "", _xlfn.CONCAT("haas/entity/sensor/", LOWER(C477), "/", E477, "/config"))</f>
        <v/>
      </c>
      <c r="AK477" s="30" t="str">
        <f t="shared" ref="AK477:AK482" si="2"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1021</v>
      </c>
      <c r="BA477" s="30" t="str">
        <f>IF(ISBLANK(Table2[[#This Row],[device_model]]), "", Table2[[#This Row],[device_suggested_area]])</f>
        <v>Wardrobe</v>
      </c>
      <c r="BB477" s="30" t="s">
        <v>1404</v>
      </c>
      <c r="BC477" s="30" t="s">
        <v>1000</v>
      </c>
      <c r="BD477" s="30" t="s">
        <v>536</v>
      </c>
      <c r="BF477" s="62" t="s">
        <v>1408</v>
      </c>
      <c r="BG477" s="30" t="s">
        <v>477</v>
      </c>
      <c r="BK477" s="30" t="s">
        <v>383</v>
      </c>
      <c r="BL477" s="30" t="s">
        <v>535</v>
      </c>
      <c r="BM477" s="30" t="s">
        <v>1204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8" spans="1:66" ht="16" customHeight="1" x14ac:dyDescent="0.2">
      <c r="A478" s="30">
        <v>5012</v>
      </c>
      <c r="B478" s="39" t="s">
        <v>561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1021</v>
      </c>
      <c r="BA478" s="30" t="str">
        <f>IF(ISBLANK(Table2[[#This Row],[device_model]]), "", Table2[[#This Row],[device_suggested_area]])</f>
        <v>Guildford</v>
      </c>
      <c r="BB478" s="30" t="s">
        <v>1406</v>
      </c>
      <c r="BC478" s="30" t="s">
        <v>1407</v>
      </c>
      <c r="BD478" s="30" t="s">
        <v>536</v>
      </c>
      <c r="BF478" s="62" t="s">
        <v>1408</v>
      </c>
      <c r="BG478" s="30" t="s">
        <v>1405</v>
      </c>
      <c r="BL478" s="30" t="s">
        <v>1412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9" spans="1:66" ht="16" customHeight="1" x14ac:dyDescent="0.2">
      <c r="A479" s="30">
        <v>5013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1409</v>
      </c>
      <c r="BC479" s="30" t="s">
        <v>1410</v>
      </c>
      <c r="BD479" s="30" t="s">
        <v>262</v>
      </c>
      <c r="BF479" s="62" t="s">
        <v>1414</v>
      </c>
      <c r="BG479" s="30" t="s">
        <v>28</v>
      </c>
      <c r="BK479" s="30" t="s">
        <v>383</v>
      </c>
      <c r="BL479" s="41" t="s">
        <v>1413</v>
      </c>
      <c r="BM479" s="30" t="s">
        <v>1200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0" spans="1:66" ht="16" customHeight="1" x14ac:dyDescent="0.2">
      <c r="A480" s="30">
        <v>5014</v>
      </c>
      <c r="B480" s="39" t="s">
        <v>26</v>
      </c>
      <c r="C480" s="39" t="s">
        <v>360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 t="shared" si="1"/>
        <v/>
      </c>
      <c r="AK480" s="30" t="str">
        <f t="shared" si="2"/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1020</v>
      </c>
      <c r="BA480" s="30" t="str">
        <f>IF(ISBLANK(Table2[[#This Row],[device_model]]), "", Table2[[#This Row],[device_suggested_area]])</f>
        <v>Rack</v>
      </c>
      <c r="BB480" s="30" t="s">
        <v>1411</v>
      </c>
      <c r="BC480" s="30" t="s">
        <v>998</v>
      </c>
      <c r="BD480" s="30" t="s">
        <v>262</v>
      </c>
      <c r="BF480" s="62" t="s">
        <v>1418</v>
      </c>
      <c r="BG480" s="30" t="s">
        <v>28</v>
      </c>
      <c r="BK480" s="30" t="s">
        <v>383</v>
      </c>
      <c r="BL480" s="46" t="s">
        <v>1419</v>
      </c>
      <c r="BM480" s="30" t="s">
        <v>1201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1" spans="1:66" ht="16" customHeight="1" x14ac:dyDescent="0.2">
      <c r="A481" s="30">
        <v>5015</v>
      </c>
      <c r="B481" s="39" t="s">
        <v>26</v>
      </c>
      <c r="C481" s="39" t="s">
        <v>360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 t="shared" si="1"/>
        <v/>
      </c>
      <c r="AK481" s="30" t="str">
        <f t="shared" si="2"/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1020</v>
      </c>
      <c r="BA481" s="30" t="str">
        <f>IF(ISBLANK(Table2[[#This Row],[device_model]]), "", Table2[[#This Row],[device_suggested_area]])</f>
        <v>Rack</v>
      </c>
      <c r="BB481" s="30" t="s">
        <v>1393</v>
      </c>
      <c r="BC481" s="30" t="s">
        <v>998</v>
      </c>
      <c r="BD481" s="30" t="s">
        <v>262</v>
      </c>
      <c r="BF481" s="62" t="s">
        <v>1408</v>
      </c>
      <c r="BG481" s="30" t="s">
        <v>28</v>
      </c>
      <c r="BK481" s="30" t="s">
        <v>383</v>
      </c>
      <c r="BL481" s="46" t="s">
        <v>1279</v>
      </c>
      <c r="BM481" s="30" t="s">
        <v>1202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2" spans="1:66" ht="16" customHeight="1" x14ac:dyDescent="0.2">
      <c r="A482" s="30">
        <v>5016</v>
      </c>
      <c r="B482" s="39" t="s">
        <v>26</v>
      </c>
      <c r="C482" s="39" t="s">
        <v>360</v>
      </c>
      <c r="D482" s="39"/>
      <c r="E482" s="39"/>
      <c r="F482" s="30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J482" s="30" t="str">
        <f t="shared" si="1"/>
        <v/>
      </c>
      <c r="AK482" s="30" t="str">
        <f t="shared" si="2"/>
        <v/>
      </c>
      <c r="AT482" s="40"/>
      <c r="AU482" s="4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1020</v>
      </c>
      <c r="BA482" s="30" t="str">
        <f>IF(ISBLANK(Table2[[#This Row],[device_model]]), "", Table2[[#This Row],[device_suggested_area]])</f>
        <v>Rack</v>
      </c>
      <c r="BB482" s="30" t="s">
        <v>999</v>
      </c>
      <c r="BC482" s="30" t="s">
        <v>998</v>
      </c>
      <c r="BD482" s="30" t="s">
        <v>262</v>
      </c>
      <c r="BF482" s="62" t="s">
        <v>1408</v>
      </c>
      <c r="BG482" s="30" t="s">
        <v>28</v>
      </c>
      <c r="BK482" s="30" t="s">
        <v>383</v>
      </c>
      <c r="BL482" s="30" t="s">
        <v>569</v>
      </c>
      <c r="BM482" s="30" t="s">
        <v>1203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3" spans="1:66" ht="16" customHeight="1" x14ac:dyDescent="0.2">
      <c r="A483" s="30">
        <v>5017</v>
      </c>
      <c r="B483" s="30" t="s">
        <v>26</v>
      </c>
      <c r="C483" s="30" t="s">
        <v>364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T483" s="40"/>
      <c r="AU483" s="3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362</v>
      </c>
      <c r="BA483" s="30" t="str">
        <f>IF(ISBLANK(Table2[[#This Row],[device_model]]), "", Table2[[#This Row],[device_suggested_area]])</f>
        <v>Rack</v>
      </c>
      <c r="BB483" s="30" t="s">
        <v>364</v>
      </c>
      <c r="BC483" s="30" t="s">
        <v>363</v>
      </c>
      <c r="BD483" s="30" t="s">
        <v>362</v>
      </c>
      <c r="BF483" s="30" t="s">
        <v>742</v>
      </c>
      <c r="BG483" s="30" t="s">
        <v>28</v>
      </c>
      <c r="BK483" s="30" t="s">
        <v>1212</v>
      </c>
      <c r="BL483" s="30" t="s">
        <v>361</v>
      </c>
      <c r="BM483" s="30" t="s">
        <v>1269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4" spans="1:66" ht="16" customHeight="1" x14ac:dyDescent="0.2">
      <c r="A484" s="30">
        <v>5018</v>
      </c>
      <c r="B484" s="30" t="s">
        <v>26</v>
      </c>
      <c r="C484" s="30" t="s">
        <v>439</v>
      </c>
      <c r="E484" s="39"/>
      <c r="F484" s="36" t="str">
        <f>IF(ISBLANK(Table2[[#This Row],[unique_id]]), "", PROPER(SUBSTITUTE(Table2[[#This Row],[unique_id]], "_", " ")))</f>
        <v/>
      </c>
      <c r="I484" s="39"/>
      <c r="O484" s="31"/>
      <c r="P484" s="30"/>
      <c r="T484" s="37"/>
      <c r="U484" s="30"/>
      <c r="V484" s="31"/>
      <c r="W484" s="31" t="s">
        <v>471</v>
      </c>
      <c r="X484" s="31"/>
      <c r="Y484" s="42" t="s">
        <v>722</v>
      </c>
      <c r="Z484" s="42"/>
      <c r="AA484" s="42"/>
      <c r="AB484" s="30"/>
      <c r="AC484" s="30"/>
      <c r="AG484" s="31"/>
      <c r="AH484" s="31"/>
      <c r="AT4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4" s="37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7" t="str">
        <f>Table2[[#This Row],[device_suggested_area]]</f>
        <v>Home</v>
      </c>
      <c r="BA484" s="30" t="str">
        <f>IF(ISBLANK(Table2[[#This Row],[device_model]]), "", Table2[[#This Row],[device_suggested_area]])</f>
        <v>Home</v>
      </c>
      <c r="BB484" s="37" t="s">
        <v>996</v>
      </c>
      <c r="BC484" s="37" t="s">
        <v>463</v>
      </c>
      <c r="BD484" s="30" t="s">
        <v>439</v>
      </c>
      <c r="BF484" s="37" t="s">
        <v>464</v>
      </c>
      <c r="BG484" s="30" t="s">
        <v>164</v>
      </c>
      <c r="BL484" s="30" t="s">
        <v>462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2026-08-21T01:11:18Z</dcterms:modified>
</cp:coreProperties>
</file>