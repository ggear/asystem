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E8918D7F-592B-2846-B402-901E509F7DFF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O289" i="1" l="1"/>
  <c r="AN289" i="1"/>
  <c r="BQ289" i="1"/>
  <c r="BD289" i="1"/>
  <c r="AZ289" i="1"/>
  <c r="AY289" i="1"/>
  <c r="AM289" i="1"/>
  <c r="F289" i="1"/>
  <c r="BQ294" i="1"/>
  <c r="BD294" i="1"/>
  <c r="AZ294" i="1"/>
  <c r="AY294" i="1" s="1"/>
  <c r="AP294" i="1"/>
  <c r="AO294" i="1"/>
  <c r="AN294" i="1"/>
  <c r="AM294" i="1"/>
  <c r="F294" i="1"/>
  <c r="G294" i="1" s="1"/>
  <c r="BQ293" i="1"/>
  <c r="BD293" i="1"/>
  <c r="AZ293" i="1"/>
  <c r="AY293" i="1" s="1"/>
  <c r="AP293" i="1"/>
  <c r="AO293" i="1"/>
  <c r="AN293" i="1"/>
  <c r="AM293" i="1"/>
  <c r="F293" i="1"/>
  <c r="G293" i="1" s="1"/>
  <c r="BQ292" i="1"/>
  <c r="BD292" i="1"/>
  <c r="AZ292" i="1" s="1"/>
  <c r="AY292" i="1" s="1"/>
  <c r="AP292" i="1"/>
  <c r="AO292" i="1"/>
  <c r="AN292" i="1"/>
  <c r="AM292" i="1"/>
  <c r="F292" i="1"/>
  <c r="G292" i="1" s="1"/>
  <c r="BQ291" i="1"/>
  <c r="BD291" i="1"/>
  <c r="AZ291" i="1" s="1"/>
  <c r="AY291" i="1" s="1"/>
  <c r="AP291" i="1"/>
  <c r="AO291" i="1"/>
  <c r="AN291" i="1"/>
  <c r="AM291" i="1"/>
  <c r="F291" i="1"/>
  <c r="G291" i="1" s="1"/>
  <c r="AN290" i="1"/>
  <c r="BQ290" i="1"/>
  <c r="BD290" i="1"/>
  <c r="AZ290" i="1" s="1"/>
  <c r="AY290" i="1" s="1"/>
  <c r="AP290" i="1"/>
  <c r="AO290" i="1"/>
  <c r="AM290" i="1"/>
  <c r="F290" i="1"/>
  <c r="G290" i="1" s="1"/>
  <c r="AN333" i="1"/>
  <c r="AN329" i="1"/>
  <c r="AN327" i="1"/>
  <c r="AN325" i="1"/>
  <c r="AN323" i="1"/>
  <c r="AN401" i="1"/>
  <c r="AN400" i="1"/>
  <c r="AN399" i="1"/>
  <c r="AN397" i="1"/>
  <c r="AN396" i="1"/>
  <c r="AN395" i="1"/>
  <c r="AN355" i="1"/>
  <c r="AN354" i="1"/>
  <c r="AN353" i="1"/>
  <c r="AN352" i="1"/>
  <c r="AN233" i="1"/>
  <c r="AN232" i="1"/>
  <c r="AN231" i="1"/>
  <c r="AN230" i="1"/>
  <c r="AN228" i="1"/>
  <c r="AN227" i="1"/>
  <c r="AN226" i="1"/>
  <c r="AN208" i="1"/>
  <c r="AN204" i="1"/>
  <c r="AN203" i="1"/>
  <c r="AN180" i="1"/>
  <c r="AN116" i="1"/>
  <c r="AN115" i="1"/>
  <c r="AN114" i="1"/>
  <c r="AN28" i="1"/>
  <c r="BQ313" i="1"/>
  <c r="BD313" i="1"/>
  <c r="AZ313" i="1" s="1"/>
  <c r="AY313" i="1" s="1"/>
  <c r="AP313" i="1"/>
  <c r="AO313" i="1"/>
  <c r="AN313" i="1"/>
  <c r="AM313" i="1"/>
  <c r="F313" i="1"/>
  <c r="BQ302" i="1"/>
  <c r="BD302" i="1"/>
  <c r="AZ302" i="1" s="1"/>
  <c r="AY302" i="1" s="1"/>
  <c r="AP302" i="1"/>
  <c r="AO302" i="1"/>
  <c r="AN302" i="1"/>
  <c r="AM302" i="1"/>
  <c r="F302" i="1"/>
  <c r="BQ343" i="1"/>
  <c r="BD343" i="1"/>
  <c r="AZ343" i="1" s="1"/>
  <c r="AY343" i="1" s="1"/>
  <c r="AN343" i="1"/>
  <c r="AM343" i="1"/>
  <c r="F343" i="1"/>
  <c r="BD288" i="1"/>
  <c r="AZ288" i="1" s="1"/>
  <c r="BQ288" i="1"/>
  <c r="AP288" i="1"/>
  <c r="AO288" i="1"/>
  <c r="AN288" i="1"/>
  <c r="AM288" i="1"/>
  <c r="AI288" i="1"/>
  <c r="F288" i="1"/>
  <c r="G288" i="1" s="1"/>
  <c r="BQ287" i="1"/>
  <c r="BD287" i="1"/>
  <c r="AZ287" i="1" s="1"/>
  <c r="AY287" i="1" s="1"/>
  <c r="AP287" i="1"/>
  <c r="AO287" i="1"/>
  <c r="AN287" i="1"/>
  <c r="AM287" i="1"/>
  <c r="AI287" i="1"/>
  <c r="F287" i="1"/>
  <c r="BQ285" i="1"/>
  <c r="BD285" i="1"/>
  <c r="AZ285" i="1" s="1"/>
  <c r="AY285" i="1" s="1"/>
  <c r="AP285" i="1"/>
  <c r="AO285" i="1"/>
  <c r="AN285" i="1"/>
  <c r="AM285" i="1"/>
  <c r="AI285" i="1"/>
  <c r="F285" i="1"/>
  <c r="BQ286" i="1"/>
  <c r="BD286" i="1"/>
  <c r="AZ286" i="1" s="1"/>
  <c r="AY286" i="1" s="1"/>
  <c r="AP286" i="1"/>
  <c r="AO286" i="1"/>
  <c r="AN286" i="1"/>
  <c r="AM286" i="1"/>
  <c r="AI286" i="1"/>
  <c r="F286" i="1"/>
  <c r="G286" i="1" s="1"/>
  <c r="BQ284" i="1"/>
  <c r="BD284" i="1"/>
  <c r="AZ284" i="1" s="1"/>
  <c r="AY284" i="1" s="1"/>
  <c r="AP284" i="1"/>
  <c r="AO284" i="1"/>
  <c r="AN284" i="1"/>
  <c r="AM284" i="1"/>
  <c r="AI284" i="1"/>
  <c r="F284" i="1"/>
  <c r="G284" i="1" s="1"/>
  <c r="BQ283" i="1"/>
  <c r="BD283" i="1"/>
  <c r="AZ283" i="1" s="1"/>
  <c r="AY283" i="1" s="1"/>
  <c r="AP283" i="1"/>
  <c r="AO283" i="1"/>
  <c r="AN283" i="1"/>
  <c r="AM283" i="1"/>
  <c r="AI283" i="1"/>
  <c r="F283" i="1"/>
  <c r="AN282" i="1"/>
  <c r="AO282" i="1"/>
  <c r="AP282" i="1"/>
  <c r="AM282" i="1"/>
  <c r="AI282" i="1"/>
  <c r="BQ430" i="1"/>
  <c r="BD430" i="1"/>
  <c r="AZ430" i="1"/>
  <c r="BA430" i="1" s="1"/>
  <c r="AY430" i="1"/>
  <c r="F430" i="1"/>
  <c r="BQ282" i="1"/>
  <c r="BD282" i="1"/>
  <c r="AZ282" i="1" s="1"/>
  <c r="AY282" i="1" s="1"/>
  <c r="F282" i="1"/>
  <c r="AP321" i="1"/>
  <c r="AP319" i="1"/>
  <c r="AP26" i="1"/>
  <c r="AN26" i="1"/>
  <c r="AN319" i="1"/>
  <c r="AN321" i="1"/>
  <c r="AO321" i="1"/>
  <c r="AO319" i="1"/>
  <c r="AO26" i="1"/>
  <c r="AU321" i="1"/>
  <c r="AU319" i="1"/>
  <c r="AU26" i="1"/>
  <c r="AP333" i="1"/>
  <c r="AP329" i="1"/>
  <c r="AP327" i="1"/>
  <c r="AP325" i="1"/>
  <c r="AP323" i="1"/>
  <c r="AM333" i="1"/>
  <c r="AM329" i="1"/>
  <c r="AM327" i="1"/>
  <c r="AM325" i="1"/>
  <c r="AM323" i="1"/>
  <c r="AM316" i="1"/>
  <c r="AM315" i="1"/>
  <c r="AM314" i="1"/>
  <c r="AM298" i="1"/>
  <c r="AM312" i="1"/>
  <c r="AM311" i="1"/>
  <c r="AM296" i="1"/>
  <c r="AM310" i="1"/>
  <c r="AM300" i="1"/>
  <c r="AM308" i="1"/>
  <c r="AM303" i="1"/>
  <c r="AM301" i="1"/>
  <c r="AM309" i="1"/>
  <c r="AM304" i="1"/>
  <c r="AM307" i="1"/>
  <c r="AM306" i="1"/>
  <c r="AM305" i="1"/>
  <c r="AM299" i="1"/>
  <c r="AM297" i="1"/>
  <c r="AO316" i="1"/>
  <c r="AO315" i="1"/>
  <c r="AO314" i="1"/>
  <c r="AO298" i="1"/>
  <c r="AO312" i="1"/>
  <c r="AO311" i="1"/>
  <c r="AO296" i="1"/>
  <c r="AO310" i="1"/>
  <c r="AO300" i="1"/>
  <c r="AO308" i="1"/>
  <c r="AO303" i="1"/>
  <c r="AO301" i="1"/>
  <c r="AO309" i="1"/>
  <c r="AO304" i="1"/>
  <c r="AO307" i="1"/>
  <c r="AO306" i="1"/>
  <c r="AO305" i="1"/>
  <c r="AO299" i="1"/>
  <c r="AO297" i="1"/>
  <c r="BQ335" i="1"/>
  <c r="BD335" i="1"/>
  <c r="AZ335" i="1"/>
  <c r="BA335" i="1" s="1"/>
  <c r="AY335" i="1"/>
  <c r="F335" i="1"/>
  <c r="BQ295" i="1"/>
  <c r="BD295" i="1"/>
  <c r="AZ295" i="1"/>
  <c r="AY295" i="1"/>
  <c r="F295" i="1"/>
  <c r="BQ317" i="1"/>
  <c r="BD317" i="1"/>
  <c r="AZ317" i="1"/>
  <c r="BA317" i="1" s="1"/>
  <c r="AY317" i="1"/>
  <c r="F317" i="1"/>
  <c r="BQ316" i="1"/>
  <c r="BD316" i="1"/>
  <c r="AZ316" i="1" s="1"/>
  <c r="AP316" i="1"/>
  <c r="AN316" i="1"/>
  <c r="F316" i="1"/>
  <c r="BQ315" i="1"/>
  <c r="BD315" i="1"/>
  <c r="AZ315" i="1" s="1"/>
  <c r="AP315" i="1"/>
  <c r="AN315" i="1"/>
  <c r="F315" i="1"/>
  <c r="BQ314" i="1"/>
  <c r="BD314" i="1"/>
  <c r="AZ314" i="1" s="1"/>
  <c r="AP314" i="1"/>
  <c r="AN314" i="1"/>
  <c r="F314" i="1"/>
  <c r="BQ298" i="1"/>
  <c r="BD298" i="1"/>
  <c r="AZ298" i="1" s="1"/>
  <c r="AP298" i="1"/>
  <c r="AN298" i="1"/>
  <c r="F298" i="1"/>
  <c r="BQ312" i="1"/>
  <c r="BD312" i="1"/>
  <c r="AZ312" i="1" s="1"/>
  <c r="AP312" i="1"/>
  <c r="AN312" i="1"/>
  <c r="F312" i="1"/>
  <c r="BQ311" i="1"/>
  <c r="BD311" i="1"/>
  <c r="AZ311" i="1" s="1"/>
  <c r="AP311" i="1"/>
  <c r="AN311" i="1"/>
  <c r="F311" i="1"/>
  <c r="BQ296" i="1"/>
  <c r="BD296" i="1"/>
  <c r="AZ296" i="1" s="1"/>
  <c r="AP296" i="1"/>
  <c r="AN296" i="1"/>
  <c r="F296" i="1"/>
  <c r="BQ310" i="1"/>
  <c r="BD310" i="1"/>
  <c r="AZ310" i="1" s="1"/>
  <c r="AP310" i="1"/>
  <c r="AN310" i="1"/>
  <c r="F310" i="1"/>
  <c r="BQ300" i="1"/>
  <c r="BD300" i="1"/>
  <c r="AZ300" i="1" s="1"/>
  <c r="AP300" i="1"/>
  <c r="AN300" i="1"/>
  <c r="F300" i="1"/>
  <c r="BQ308" i="1"/>
  <c r="BD308" i="1"/>
  <c r="AZ308" i="1" s="1"/>
  <c r="AP308" i="1"/>
  <c r="AN308" i="1"/>
  <c r="F308" i="1"/>
  <c r="BQ303" i="1"/>
  <c r="BD303" i="1"/>
  <c r="AZ303" i="1" s="1"/>
  <c r="AP303" i="1"/>
  <c r="AN303" i="1"/>
  <c r="F303" i="1"/>
  <c r="BQ301" i="1"/>
  <c r="BD301" i="1"/>
  <c r="AZ301" i="1" s="1"/>
  <c r="AP301" i="1"/>
  <c r="AN301" i="1"/>
  <c r="F301" i="1"/>
  <c r="BQ309" i="1"/>
  <c r="BD309" i="1"/>
  <c r="AZ309" i="1" s="1"/>
  <c r="AP309" i="1"/>
  <c r="AN309" i="1"/>
  <c r="F309" i="1"/>
  <c r="BQ304" i="1"/>
  <c r="BD304" i="1"/>
  <c r="AZ304" i="1" s="1"/>
  <c r="AP304" i="1"/>
  <c r="AN304" i="1"/>
  <c r="F304" i="1"/>
  <c r="BQ307" i="1"/>
  <c r="BD307" i="1"/>
  <c r="AZ307" i="1" s="1"/>
  <c r="AY307" i="1" s="1"/>
  <c r="AP307" i="1"/>
  <c r="AN307" i="1"/>
  <c r="F307" i="1"/>
  <c r="BQ306" i="1"/>
  <c r="BD306" i="1"/>
  <c r="AZ306" i="1" s="1"/>
  <c r="AP306" i="1"/>
  <c r="AN306" i="1"/>
  <c r="F306" i="1"/>
  <c r="BQ305" i="1"/>
  <c r="BD305" i="1"/>
  <c r="AZ305" i="1" s="1"/>
  <c r="AY305" i="1" s="1"/>
  <c r="AP305" i="1"/>
  <c r="AN305" i="1"/>
  <c r="F305" i="1"/>
  <c r="BQ299" i="1"/>
  <c r="BD299" i="1"/>
  <c r="AZ299" i="1" s="1"/>
  <c r="AY299" i="1" s="1"/>
  <c r="AP299" i="1"/>
  <c r="AN299" i="1"/>
  <c r="F299" i="1"/>
  <c r="AN297" i="1"/>
  <c r="BD297" i="1"/>
  <c r="AZ297" i="1" s="1"/>
  <c r="AY297" i="1" s="1"/>
  <c r="AP297" i="1"/>
  <c r="G161" i="1"/>
  <c r="BQ386" i="1"/>
  <c r="BD386" i="1"/>
  <c r="BC386" i="1"/>
  <c r="AZ386" i="1" s="1"/>
  <c r="BA386" i="1" s="1"/>
  <c r="AW386" i="1"/>
  <c r="F386" i="1"/>
  <c r="BQ415" i="1"/>
  <c r="BD415" i="1"/>
  <c r="AZ415" i="1"/>
  <c r="BA415" i="1" s="1"/>
  <c r="AY415" i="1"/>
  <c r="F415" i="1"/>
  <c r="BQ162" i="1"/>
  <c r="BD162" i="1"/>
  <c r="BC162" i="1"/>
  <c r="AZ162" i="1" s="1"/>
  <c r="AW162" i="1"/>
  <c r="R162" i="1"/>
  <c r="S162" i="1" s="1"/>
  <c r="F162" i="1"/>
  <c r="BQ161" i="1"/>
  <c r="BD161" i="1"/>
  <c r="BC161" i="1"/>
  <c r="AZ161" i="1" s="1"/>
  <c r="BA161" i="1" s="1"/>
  <c r="AW161" i="1"/>
  <c r="F161" i="1"/>
  <c r="BQ377" i="1"/>
  <c r="AZ377" i="1"/>
  <c r="AY377" i="1" s="1"/>
  <c r="T377" i="1"/>
  <c r="S377" i="1"/>
  <c r="F377" i="1"/>
  <c r="BQ376" i="1"/>
  <c r="AZ376" i="1"/>
  <c r="BA376" i="1" s="1"/>
  <c r="T376" i="1"/>
  <c r="S376" i="1"/>
  <c r="F376" i="1"/>
  <c r="BQ403" i="1"/>
  <c r="BD403" i="1"/>
  <c r="AZ403" i="1" s="1"/>
  <c r="BA403" i="1" s="1"/>
  <c r="T403" i="1"/>
  <c r="S403" i="1"/>
  <c r="F403" i="1"/>
  <c r="BQ402" i="1"/>
  <c r="BD402" i="1"/>
  <c r="AZ402" i="1" s="1"/>
  <c r="BA402" i="1" s="1"/>
  <c r="S402" i="1"/>
  <c r="F402" i="1"/>
  <c r="BQ401" i="1"/>
  <c r="BD401" i="1"/>
  <c r="AZ401" i="1" s="1"/>
  <c r="AP401" i="1"/>
  <c r="AM401" i="1"/>
  <c r="F401" i="1"/>
  <c r="BQ400" i="1"/>
  <c r="BD400" i="1"/>
  <c r="AZ400" i="1" s="1"/>
  <c r="AP400" i="1"/>
  <c r="AM400" i="1"/>
  <c r="F400" i="1"/>
  <c r="BQ399" i="1"/>
  <c r="BD399" i="1"/>
  <c r="AZ399" i="1" s="1"/>
  <c r="AW399" i="1"/>
  <c r="AP399" i="1"/>
  <c r="AO399" i="1"/>
  <c r="AM399" i="1"/>
  <c r="T399" i="1"/>
  <c r="S399" i="1"/>
  <c r="F399" i="1"/>
  <c r="BQ398" i="1"/>
  <c r="BD398" i="1"/>
  <c r="AZ398" i="1" s="1"/>
  <c r="S398" i="1"/>
  <c r="F398" i="1"/>
  <c r="BQ397" i="1"/>
  <c r="BD397" i="1"/>
  <c r="AZ397" i="1" s="1"/>
  <c r="AP397" i="1"/>
  <c r="AM397" i="1"/>
  <c r="F397" i="1"/>
  <c r="BQ396" i="1"/>
  <c r="BD396" i="1"/>
  <c r="AZ396" i="1" s="1"/>
  <c r="AP396" i="1"/>
  <c r="AM396" i="1"/>
  <c r="F396" i="1"/>
  <c r="BQ395" i="1"/>
  <c r="BD395" i="1"/>
  <c r="AZ395" i="1" s="1"/>
  <c r="AW395" i="1"/>
  <c r="AP395" i="1"/>
  <c r="AO395" i="1"/>
  <c r="AM395" i="1"/>
  <c r="T395" i="1"/>
  <c r="S395" i="1"/>
  <c r="F395" i="1"/>
  <c r="BQ394" i="1"/>
  <c r="BD394" i="1"/>
  <c r="AZ394" i="1" s="1"/>
  <c r="S394" i="1"/>
  <c r="F394" i="1"/>
  <c r="BQ393" i="1"/>
  <c r="AZ393" i="1"/>
  <c r="BA393" i="1" s="1"/>
  <c r="T393" i="1"/>
  <c r="S393" i="1"/>
  <c r="F393" i="1"/>
  <c r="BQ392" i="1"/>
  <c r="AZ392" i="1"/>
  <c r="BA392" i="1" s="1"/>
  <c r="T392" i="1"/>
  <c r="S392" i="1"/>
  <c r="F392" i="1"/>
  <c r="BQ391" i="1"/>
  <c r="BD391" i="1"/>
  <c r="AZ391" i="1" s="1"/>
  <c r="T391" i="1"/>
  <c r="S391" i="1"/>
  <c r="F391" i="1"/>
  <c r="BQ390" i="1"/>
  <c r="BD390" i="1"/>
  <c r="AZ390" i="1" s="1"/>
  <c r="S390" i="1"/>
  <c r="F390" i="1"/>
  <c r="BQ389" i="1"/>
  <c r="BD389" i="1"/>
  <c r="AZ389" i="1" s="1"/>
  <c r="T389" i="1"/>
  <c r="S389" i="1"/>
  <c r="F389" i="1"/>
  <c r="BQ388" i="1"/>
  <c r="BD388" i="1"/>
  <c r="AZ388" i="1" s="1"/>
  <c r="BA388" i="1" s="1"/>
  <c r="S388" i="1"/>
  <c r="F388" i="1"/>
  <c r="BQ355" i="1"/>
  <c r="BD355" i="1"/>
  <c r="AZ355" i="1" s="1"/>
  <c r="AY355" i="1" s="1"/>
  <c r="AW355" i="1"/>
  <c r="AP355" i="1"/>
  <c r="AO355" i="1"/>
  <c r="AM355" i="1"/>
  <c r="F355" i="1"/>
  <c r="BQ354" i="1"/>
  <c r="BD354" i="1"/>
  <c r="AZ354" i="1" s="1"/>
  <c r="AY354" i="1" s="1"/>
  <c r="AW354" i="1"/>
  <c r="AP354" i="1"/>
  <c r="AO354" i="1"/>
  <c r="AM354" i="1"/>
  <c r="F354" i="1"/>
  <c r="BQ353" i="1"/>
  <c r="BD353" i="1"/>
  <c r="AZ353" i="1" s="1"/>
  <c r="AW353" i="1"/>
  <c r="AP353" i="1"/>
  <c r="AO353" i="1"/>
  <c r="AM353" i="1"/>
  <c r="F353" i="1"/>
  <c r="BQ352" i="1"/>
  <c r="BD352" i="1"/>
  <c r="AZ352" i="1" s="1"/>
  <c r="AW352" i="1"/>
  <c r="AP352" i="1"/>
  <c r="AO352" i="1"/>
  <c r="AM352" i="1"/>
  <c r="F352" i="1"/>
  <c r="BQ326" i="1"/>
  <c r="BD326" i="1"/>
  <c r="BA326" i="1"/>
  <c r="AN326" i="1"/>
  <c r="AM326" i="1"/>
  <c r="F326" i="1"/>
  <c r="BB326" i="1" s="1"/>
  <c r="BQ325" i="1"/>
  <c r="BD325" i="1"/>
  <c r="AZ325" i="1" s="1"/>
  <c r="AY325" i="1" s="1"/>
  <c r="F325" i="1"/>
  <c r="BQ324" i="1"/>
  <c r="BD324" i="1"/>
  <c r="BA324" i="1"/>
  <c r="AN324" i="1"/>
  <c r="AM324" i="1"/>
  <c r="F324" i="1"/>
  <c r="BB324" i="1" s="1"/>
  <c r="BQ323" i="1"/>
  <c r="BD323" i="1"/>
  <c r="AZ323" i="1" s="1"/>
  <c r="AY323" i="1" s="1"/>
  <c r="F323" i="1"/>
  <c r="BD474" i="1"/>
  <c r="BQ475" i="1"/>
  <c r="BE475" i="1"/>
  <c r="AZ475" i="1" s="1"/>
  <c r="BD475" i="1"/>
  <c r="F475" i="1"/>
  <c r="BQ476" i="1"/>
  <c r="BE476" i="1"/>
  <c r="AZ476" i="1" s="1"/>
  <c r="BD476" i="1"/>
  <c r="F476" i="1"/>
  <c r="BQ488" i="1"/>
  <c r="BD488" i="1"/>
  <c r="AZ488" i="1"/>
  <c r="BA488" i="1" s="1"/>
  <c r="AN488" i="1"/>
  <c r="AM488" i="1"/>
  <c r="F488" i="1"/>
  <c r="BQ487" i="1"/>
  <c r="BD487" i="1"/>
  <c r="AZ487" i="1"/>
  <c r="BA487" i="1" s="1"/>
  <c r="AN487" i="1"/>
  <c r="AM487" i="1"/>
  <c r="F487" i="1"/>
  <c r="BD485" i="1"/>
  <c r="BD484" i="1"/>
  <c r="BQ484" i="1"/>
  <c r="AZ484" i="1"/>
  <c r="BA484" i="1" s="1"/>
  <c r="AN484" i="1"/>
  <c r="AM484" i="1"/>
  <c r="F484" i="1"/>
  <c r="BQ483" i="1"/>
  <c r="BD483" i="1"/>
  <c r="AZ483" i="1"/>
  <c r="BA483" i="1" s="1"/>
  <c r="AN483" i="1"/>
  <c r="AM483" i="1"/>
  <c r="F483" i="1"/>
  <c r="AY469" i="1"/>
  <c r="AY454" i="1"/>
  <c r="AY459" i="1"/>
  <c r="AY467" i="1"/>
  <c r="BE477" i="1"/>
  <c r="AZ477" i="1" s="1"/>
  <c r="AY477" i="1" s="1"/>
  <c r="BQ477" i="1"/>
  <c r="BD477" i="1"/>
  <c r="F477" i="1"/>
  <c r="BQ128" i="1"/>
  <c r="BD128" i="1"/>
  <c r="BC128" i="1"/>
  <c r="AZ128" i="1" s="1"/>
  <c r="BA128" i="1" s="1"/>
  <c r="AW128" i="1"/>
  <c r="F128" i="1"/>
  <c r="BQ127" i="1"/>
  <c r="BD127" i="1"/>
  <c r="BC127" i="1"/>
  <c r="AZ127" i="1" s="1"/>
  <c r="BA127" i="1" s="1"/>
  <c r="S127" i="1"/>
  <c r="F127" i="1"/>
  <c r="BQ42" i="1"/>
  <c r="BD42" i="1"/>
  <c r="AZ42" i="1"/>
  <c r="BA42" i="1" s="1"/>
  <c r="AY42" i="1"/>
  <c r="F42" i="1"/>
  <c r="BD109" i="1"/>
  <c r="AZ109" i="1" s="1"/>
  <c r="BA109" i="1" s="1"/>
  <c r="BD108" i="1"/>
  <c r="AZ108" i="1" s="1"/>
  <c r="S109" i="1"/>
  <c r="S108" i="1"/>
  <c r="BQ109" i="1"/>
  <c r="T109" i="1"/>
  <c r="F109" i="1"/>
  <c r="BQ108" i="1"/>
  <c r="T108" i="1"/>
  <c r="F108" i="1"/>
  <c r="BD366" i="1"/>
  <c r="AZ366" i="1" s="1"/>
  <c r="BD367" i="1"/>
  <c r="AZ367" i="1" s="1"/>
  <c r="S367" i="1"/>
  <c r="S366" i="1"/>
  <c r="BQ367" i="1"/>
  <c r="T367" i="1"/>
  <c r="F367" i="1"/>
  <c r="BQ366" i="1"/>
  <c r="T366" i="1"/>
  <c r="F366" i="1"/>
  <c r="F105" i="1"/>
  <c r="BB105" i="1" s="1"/>
  <c r="F104" i="1"/>
  <c r="BB104" i="1" s="1"/>
  <c r="F103" i="1"/>
  <c r="BB103" i="1" s="1"/>
  <c r="F94" i="1"/>
  <c r="BB94" i="1" s="1"/>
  <c r="BQ94" i="1"/>
  <c r="BD94" i="1"/>
  <c r="BA94" i="1"/>
  <c r="AN94" i="1"/>
  <c r="AM94" i="1"/>
  <c r="AM103" i="1"/>
  <c r="AN103" i="1"/>
  <c r="BA103" i="1"/>
  <c r="BD103" i="1"/>
  <c r="BQ103" i="1"/>
  <c r="AM104" i="1"/>
  <c r="AN104" i="1"/>
  <c r="BA104" i="1"/>
  <c r="BD104" i="1"/>
  <c r="BQ104" i="1"/>
  <c r="AM105" i="1"/>
  <c r="AN105" i="1"/>
  <c r="BA105" i="1"/>
  <c r="BD105" i="1"/>
  <c r="BQ105" i="1"/>
  <c r="BQ479" i="1"/>
  <c r="BD479" i="1"/>
  <c r="AZ479" i="1"/>
  <c r="BA479" i="1" s="1"/>
  <c r="F479" i="1"/>
  <c r="BQ481" i="1"/>
  <c r="BD481" i="1"/>
  <c r="AZ481" i="1"/>
  <c r="BA481" i="1" s="1"/>
  <c r="F481" i="1"/>
  <c r="AZ480" i="1"/>
  <c r="BA480" i="1" s="1"/>
  <c r="BQ480" i="1"/>
  <c r="BD480" i="1"/>
  <c r="F480" i="1"/>
  <c r="BQ107" i="1"/>
  <c r="BD107" i="1"/>
  <c r="AZ107" i="1" s="1"/>
  <c r="T107" i="1"/>
  <c r="S107" i="1"/>
  <c r="F107" i="1"/>
  <c r="BQ106" i="1"/>
  <c r="BD106" i="1"/>
  <c r="AZ106" i="1" s="1"/>
  <c r="S106" i="1"/>
  <c r="F106" i="1"/>
  <c r="BQ56" i="1"/>
  <c r="BD56" i="1"/>
  <c r="AZ56" i="1"/>
  <c r="BA56" i="1" s="1"/>
  <c r="AY56" i="1"/>
  <c r="F56" i="1"/>
  <c r="BQ465" i="1"/>
  <c r="BD465" i="1"/>
  <c r="AZ465" i="1"/>
  <c r="BA465" i="1" s="1"/>
  <c r="AY465" i="1"/>
  <c r="F465" i="1"/>
  <c r="BQ464" i="1"/>
  <c r="BD464" i="1"/>
  <c r="AZ464" i="1"/>
  <c r="BA464" i="1" s="1"/>
  <c r="AY464" i="1"/>
  <c r="F464" i="1"/>
  <c r="BQ463" i="1"/>
  <c r="BD463" i="1"/>
  <c r="AZ463" i="1"/>
  <c r="BA463" i="1" s="1"/>
  <c r="AY463" i="1"/>
  <c r="F463" i="1"/>
  <c r="BQ462" i="1"/>
  <c r="BD462" i="1"/>
  <c r="AZ462" i="1"/>
  <c r="BA462" i="1" s="1"/>
  <c r="AY462" i="1"/>
  <c r="F462" i="1"/>
  <c r="BQ461" i="1"/>
  <c r="BD461" i="1"/>
  <c r="AZ461" i="1"/>
  <c r="BA461" i="1" s="1"/>
  <c r="AY461" i="1"/>
  <c r="F461" i="1"/>
  <c r="BQ460" i="1"/>
  <c r="BD460" i="1"/>
  <c r="AZ460" i="1"/>
  <c r="BA460" i="1" s="1"/>
  <c r="AY460" i="1"/>
  <c r="F460" i="1"/>
  <c r="BQ438" i="1"/>
  <c r="BD438" i="1"/>
  <c r="AZ438" i="1" s="1"/>
  <c r="BA438" i="1" s="1"/>
  <c r="F438" i="1"/>
  <c r="F132" i="1"/>
  <c r="AY132" i="1"/>
  <c r="AZ132" i="1"/>
  <c r="BA132" i="1" s="1"/>
  <c r="BD132" i="1"/>
  <c r="BQ132" i="1"/>
  <c r="BQ131" i="1"/>
  <c r="BD131" i="1"/>
  <c r="AZ131" i="1"/>
  <c r="BA131" i="1" s="1"/>
  <c r="AN131" i="1"/>
  <c r="AM131" i="1"/>
  <c r="F131" i="1"/>
  <c r="BQ130" i="1"/>
  <c r="BD130" i="1"/>
  <c r="BC130" i="1"/>
  <c r="AZ130" i="1" s="1"/>
  <c r="AW130" i="1"/>
  <c r="F130" i="1"/>
  <c r="BQ129" i="1"/>
  <c r="BD129" i="1"/>
  <c r="BC129" i="1"/>
  <c r="AZ129" i="1" s="1"/>
  <c r="S129" i="1"/>
  <c r="F129" i="1"/>
  <c r="BQ126" i="1"/>
  <c r="BD126" i="1"/>
  <c r="BC126" i="1"/>
  <c r="AZ126" i="1" s="1"/>
  <c r="BA126" i="1" s="1"/>
  <c r="AW126" i="1"/>
  <c r="F126" i="1"/>
  <c r="BQ125" i="1"/>
  <c r="BD125" i="1"/>
  <c r="BC125" i="1"/>
  <c r="AZ125" i="1" s="1"/>
  <c r="BA125" i="1" s="1"/>
  <c r="S125" i="1"/>
  <c r="F125" i="1"/>
  <c r="BQ124" i="1"/>
  <c r="BD124" i="1"/>
  <c r="BC124" i="1"/>
  <c r="AZ124" i="1" s="1"/>
  <c r="AW124" i="1"/>
  <c r="F124" i="1"/>
  <c r="BQ123" i="1"/>
  <c r="BD123" i="1"/>
  <c r="BC123" i="1"/>
  <c r="AZ123" i="1" s="1"/>
  <c r="BA123" i="1" s="1"/>
  <c r="S123" i="1"/>
  <c r="F123" i="1"/>
  <c r="BQ122" i="1"/>
  <c r="BD122" i="1"/>
  <c r="BC122" i="1"/>
  <c r="AZ122" i="1" s="1"/>
  <c r="BA122" i="1" s="1"/>
  <c r="AW122" i="1"/>
  <c r="F122" i="1"/>
  <c r="BQ121" i="1"/>
  <c r="BD121" i="1"/>
  <c r="BC121" i="1"/>
  <c r="AZ121" i="1" s="1"/>
  <c r="BA121" i="1" s="1"/>
  <c r="S121" i="1"/>
  <c r="F121" i="1"/>
  <c r="BQ222" i="1"/>
  <c r="BD222" i="1"/>
  <c r="AZ222" i="1"/>
  <c r="BA222" i="1" s="1"/>
  <c r="AY222" i="1"/>
  <c r="F222" i="1"/>
  <c r="AU92" i="1"/>
  <c r="AU91" i="1"/>
  <c r="AU90" i="1"/>
  <c r="AU89" i="1"/>
  <c r="AU87" i="1"/>
  <c r="AU86" i="1"/>
  <c r="AU83" i="1"/>
  <c r="AU84" i="1"/>
  <c r="BQ328" i="1"/>
  <c r="BD328" i="1"/>
  <c r="BA328" i="1"/>
  <c r="AN328" i="1"/>
  <c r="AM328" i="1"/>
  <c r="F328" i="1"/>
  <c r="BB328" i="1" s="1"/>
  <c r="BQ327" i="1"/>
  <c r="BD327" i="1"/>
  <c r="AZ327" i="1" s="1"/>
  <c r="AY327" i="1" s="1"/>
  <c r="F327" i="1"/>
  <c r="BD486" i="1"/>
  <c r="AZ485" i="1"/>
  <c r="BA485" i="1" s="1"/>
  <c r="AZ486" i="1"/>
  <c r="BA486" i="1" s="1"/>
  <c r="F485" i="1"/>
  <c r="AM485" i="1"/>
  <c r="AN485" i="1"/>
  <c r="BQ485" i="1"/>
  <c r="F486" i="1"/>
  <c r="AM486" i="1"/>
  <c r="AN486" i="1"/>
  <c r="BQ486" i="1"/>
  <c r="F17" i="1"/>
  <c r="BQ41" i="1"/>
  <c r="BD41" i="1"/>
  <c r="AZ41" i="1"/>
  <c r="BA41" i="1" s="1"/>
  <c r="AY41" i="1"/>
  <c r="F41" i="1"/>
  <c r="BQ43" i="1"/>
  <c r="BD43" i="1"/>
  <c r="AZ43" i="1"/>
  <c r="BA43" i="1" s="1"/>
  <c r="AY43" i="1"/>
  <c r="F43" i="1"/>
  <c r="BA5" i="1"/>
  <c r="BA7" i="1"/>
  <c r="BA9" i="1"/>
  <c r="BA11" i="1"/>
  <c r="BA13" i="1"/>
  <c r="BA15" i="1"/>
  <c r="BA17" i="1"/>
  <c r="BA19" i="1"/>
  <c r="BA21" i="1"/>
  <c r="BA23" i="1"/>
  <c r="BA25" i="1"/>
  <c r="BA27" i="1"/>
  <c r="BA29" i="1"/>
  <c r="BA31" i="1"/>
  <c r="BA234" i="1"/>
  <c r="BA318" i="1"/>
  <c r="BA320" i="1"/>
  <c r="BA322" i="1"/>
  <c r="BA330" i="1"/>
  <c r="BA331" i="1"/>
  <c r="BA332" i="1"/>
  <c r="BA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BB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BB330" i="1" s="1"/>
  <c r="F331" i="1"/>
  <c r="BB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M342" i="1"/>
  <c r="AM54" i="1"/>
  <c r="AM36" i="1"/>
  <c r="AM24" i="1"/>
  <c r="AM92" i="1"/>
  <c r="AM91" i="1"/>
  <c r="AM90" i="1"/>
  <c r="AM89" i="1"/>
  <c r="AM87" i="1"/>
  <c r="AM86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44" i="1"/>
  <c r="AM37" i="1"/>
  <c r="AM35" i="1"/>
  <c r="AM34" i="1"/>
  <c r="AM33" i="1"/>
  <c r="AM32" i="1"/>
  <c r="AM4" i="1"/>
  <c r="AM321" i="1"/>
  <c r="AM319" i="1"/>
  <c r="AM26" i="1"/>
  <c r="AM208" i="1"/>
  <c r="AM233" i="1"/>
  <c r="AM116" i="1"/>
  <c r="AM115" i="1"/>
  <c r="AM114" i="1"/>
  <c r="AM180" i="1"/>
  <c r="AM232" i="1"/>
  <c r="AM231" i="1"/>
  <c r="AM230" i="1"/>
  <c r="AM204" i="1"/>
  <c r="AM203" i="1"/>
  <c r="AM28" i="1"/>
  <c r="AM228" i="1"/>
  <c r="AM227" i="1"/>
  <c r="AM226" i="1"/>
  <c r="BD36" i="1"/>
  <c r="BD26" i="1"/>
  <c r="BQ331" i="1"/>
  <c r="BD331" i="1"/>
  <c r="AN331" i="1"/>
  <c r="AM331" i="1"/>
  <c r="AM332" i="1"/>
  <c r="AN332" i="1"/>
  <c r="BD332" i="1"/>
  <c r="BQ332" i="1"/>
  <c r="AM318" i="1"/>
  <c r="AN318" i="1"/>
  <c r="BD318" i="1"/>
  <c r="BQ318" i="1"/>
  <c r="BQ322" i="1"/>
  <c r="BD322" i="1"/>
  <c r="AN322" i="1"/>
  <c r="AM322" i="1"/>
  <c r="BQ321" i="1"/>
  <c r="BD321" i="1"/>
  <c r="AZ321" i="1" s="1"/>
  <c r="AY321" i="1" s="1"/>
  <c r="BQ320" i="1"/>
  <c r="BD320" i="1"/>
  <c r="AN320" i="1"/>
  <c r="AM320" i="1"/>
  <c r="BQ319" i="1"/>
  <c r="BD319" i="1"/>
  <c r="AZ319" i="1" s="1"/>
  <c r="AY319" i="1" s="1"/>
  <c r="AM330" i="1"/>
  <c r="AN330" i="1"/>
  <c r="BD330" i="1"/>
  <c r="BQ330" i="1"/>
  <c r="AM334" i="1"/>
  <c r="AN334" i="1"/>
  <c r="BD334" i="1"/>
  <c r="BQ334" i="1"/>
  <c r="AU54" i="1"/>
  <c r="AU44" i="1"/>
  <c r="BQ329" i="1"/>
  <c r="BD329" i="1"/>
  <c r="AZ329" i="1" s="1"/>
  <c r="AY329" i="1" s="1"/>
  <c r="BD333" i="1"/>
  <c r="AZ333" i="1" s="1"/>
  <c r="AY333" i="1" s="1"/>
  <c r="BQ333" i="1"/>
  <c r="BQ297" i="1"/>
  <c r="AU77" i="1"/>
  <c r="AU76" i="1"/>
  <c r="AU75" i="1"/>
  <c r="AU74" i="1"/>
  <c r="AU73" i="1"/>
  <c r="AU72" i="1"/>
  <c r="BA289" i="1" l="1"/>
  <c r="BB289" i="1"/>
  <c r="G289" i="1"/>
  <c r="BB293" i="1"/>
  <c r="BB294" i="1"/>
  <c r="BB290" i="1"/>
  <c r="BB291" i="1"/>
  <c r="BB292" i="1"/>
  <c r="BA291" i="1"/>
  <c r="BA293" i="1"/>
  <c r="BA292" i="1"/>
  <c r="BA294" i="1"/>
  <c r="BA290" i="1"/>
  <c r="BB313" i="1"/>
  <c r="BA313" i="1"/>
  <c r="BB302" i="1"/>
  <c r="BA302" i="1"/>
  <c r="BA343" i="1"/>
  <c r="BB343" i="1"/>
  <c r="AY288" i="1"/>
  <c r="BA288" i="1"/>
  <c r="BB288" i="1"/>
  <c r="BB283" i="1"/>
  <c r="BA284" i="1"/>
  <c r="BB287" i="1"/>
  <c r="BA287" i="1"/>
  <c r="BA285" i="1"/>
  <c r="BB285" i="1"/>
  <c r="BA286" i="1"/>
  <c r="BA283" i="1"/>
  <c r="BB286" i="1"/>
  <c r="BB284" i="1"/>
  <c r="G283" i="1"/>
  <c r="BB430" i="1"/>
  <c r="BB282" i="1"/>
  <c r="G282" i="1"/>
  <c r="BA282" i="1"/>
  <c r="BA325" i="1"/>
  <c r="BA323" i="1"/>
  <c r="BB335" i="1"/>
  <c r="BB317" i="1"/>
  <c r="BB295" i="1"/>
  <c r="BA295" i="1"/>
  <c r="BA300" i="1"/>
  <c r="BA311" i="1"/>
  <c r="BA304" i="1"/>
  <c r="BA303" i="1"/>
  <c r="BA315" i="1"/>
  <c r="BA306" i="1"/>
  <c r="BA296" i="1"/>
  <c r="BB304" i="1"/>
  <c r="BB296" i="1"/>
  <c r="BB306" i="1"/>
  <c r="BB309" i="1"/>
  <c r="BB312" i="1"/>
  <c r="BA301" i="1"/>
  <c r="BB303" i="1"/>
  <c r="BA298" i="1"/>
  <c r="BB315" i="1"/>
  <c r="BB305" i="1"/>
  <c r="BB300" i="1"/>
  <c r="AY306" i="1"/>
  <c r="BA305" i="1"/>
  <c r="BB301" i="1"/>
  <c r="BB298" i="1"/>
  <c r="BB307" i="1"/>
  <c r="BB308" i="1"/>
  <c r="BA314" i="1"/>
  <c r="BB316" i="1"/>
  <c r="BA299" i="1"/>
  <c r="BB310" i="1"/>
  <c r="BA308" i="1"/>
  <c r="BA316" i="1"/>
  <c r="BA307" i="1"/>
  <c r="BA310" i="1"/>
  <c r="BB311" i="1"/>
  <c r="BB299" i="1"/>
  <c r="BA309" i="1"/>
  <c r="BA312" i="1"/>
  <c r="BB314" i="1"/>
  <c r="AY304" i="1"/>
  <c r="AY309" i="1"/>
  <c r="AY301" i="1"/>
  <c r="AY303" i="1"/>
  <c r="AY308" i="1"/>
  <c r="AY300" i="1"/>
  <c r="AY310" i="1"/>
  <c r="AY296" i="1"/>
  <c r="AY311" i="1"/>
  <c r="AY312" i="1"/>
  <c r="AY298" i="1"/>
  <c r="AY314" i="1"/>
  <c r="AY315" i="1"/>
  <c r="AY316" i="1"/>
  <c r="BB386" i="1"/>
  <c r="AY386" i="1"/>
  <c r="BB162" i="1"/>
  <c r="BB415" i="1"/>
  <c r="AY161" i="1"/>
  <c r="BB377" i="1"/>
  <c r="BB161" i="1"/>
  <c r="AY162" i="1"/>
  <c r="BA162" i="1"/>
  <c r="AY376" i="1"/>
  <c r="BB376" i="1"/>
  <c r="BB394" i="1"/>
  <c r="BA377" i="1"/>
  <c r="BB398" i="1"/>
  <c r="AY402" i="1"/>
  <c r="BB392" i="1"/>
  <c r="BB402" i="1"/>
  <c r="BA397" i="1"/>
  <c r="AY397" i="1"/>
  <c r="BA396" i="1"/>
  <c r="AY396" i="1"/>
  <c r="BA398" i="1"/>
  <c r="AY398" i="1"/>
  <c r="BA395" i="1"/>
  <c r="AY395" i="1"/>
  <c r="BB393" i="1"/>
  <c r="BB395" i="1"/>
  <c r="BB397" i="1"/>
  <c r="BB396" i="1"/>
  <c r="BB401" i="1"/>
  <c r="BB403" i="1"/>
  <c r="AY392" i="1"/>
  <c r="BA400" i="1"/>
  <c r="AY400" i="1"/>
  <c r="BA391" i="1"/>
  <c r="AY391" i="1"/>
  <c r="BB391" i="1"/>
  <c r="BB389" i="1"/>
  <c r="BA389" i="1"/>
  <c r="AY389" i="1"/>
  <c r="BA399" i="1"/>
  <c r="AY399" i="1"/>
  <c r="BB399" i="1"/>
  <c r="BB390" i="1"/>
  <c r="BB400" i="1"/>
  <c r="BA401" i="1"/>
  <c r="AY401" i="1"/>
  <c r="AY390" i="1"/>
  <c r="BA390" i="1"/>
  <c r="BA394" i="1"/>
  <c r="AY388" i="1"/>
  <c r="AY394" i="1"/>
  <c r="BB388" i="1"/>
  <c r="AY393" i="1"/>
  <c r="AY403" i="1"/>
  <c r="BB352" i="1"/>
  <c r="BA354" i="1"/>
  <c r="BB355" i="1"/>
  <c r="BA352" i="1"/>
  <c r="BB353" i="1"/>
  <c r="BA353" i="1"/>
  <c r="AY353" i="1"/>
  <c r="BB354" i="1"/>
  <c r="BA355" i="1"/>
  <c r="AY352" i="1"/>
  <c r="BB325" i="1"/>
  <c r="BB323" i="1"/>
  <c r="BB475" i="1"/>
  <c r="AY475" i="1"/>
  <c r="BA475" i="1"/>
  <c r="BA476" i="1"/>
  <c r="AY476" i="1"/>
  <c r="BB476" i="1"/>
  <c r="BB488" i="1"/>
  <c r="AY488" i="1"/>
  <c r="BB483" i="1"/>
  <c r="AY483" i="1"/>
  <c r="BB487" i="1"/>
  <c r="AY487" i="1"/>
  <c r="BB484" i="1"/>
  <c r="AY484" i="1"/>
  <c r="AY479" i="1"/>
  <c r="BB127" i="1"/>
  <c r="BB477" i="1"/>
  <c r="BA477" i="1"/>
  <c r="AY127" i="1"/>
  <c r="BB128" i="1"/>
  <c r="AY128" i="1"/>
  <c r="BB42" i="1"/>
  <c r="BB109" i="1"/>
  <c r="BB108" i="1"/>
  <c r="AY108" i="1"/>
  <c r="BA108" i="1"/>
  <c r="AY109" i="1"/>
  <c r="BB366" i="1"/>
  <c r="BA367" i="1"/>
  <c r="AY367" i="1"/>
  <c r="BB367" i="1"/>
  <c r="BA366" i="1"/>
  <c r="AY366" i="1"/>
  <c r="BB479" i="1"/>
  <c r="BB481" i="1"/>
  <c r="BB480" i="1"/>
  <c r="BB465" i="1"/>
  <c r="BA107" i="1"/>
  <c r="AY107" i="1"/>
  <c r="BB107" i="1"/>
  <c r="BA106" i="1"/>
  <c r="AY106" i="1"/>
  <c r="BB106" i="1"/>
  <c r="BB56" i="1"/>
  <c r="BB463" i="1"/>
  <c r="BB462" i="1"/>
  <c r="BB460" i="1"/>
  <c r="BB461" i="1"/>
  <c r="BB464" i="1"/>
  <c r="BB438" i="1"/>
  <c r="AY438" i="1"/>
  <c r="AY126" i="1"/>
  <c r="BB132" i="1"/>
  <c r="BB121" i="1"/>
  <c r="AY131" i="1"/>
  <c r="BB125" i="1"/>
  <c r="BB129" i="1"/>
  <c r="AY121" i="1"/>
  <c r="AY123" i="1"/>
  <c r="AY125" i="1"/>
  <c r="AY129" i="1"/>
  <c r="BB122" i="1"/>
  <c r="AY122" i="1"/>
  <c r="BB126" i="1"/>
  <c r="BA130" i="1"/>
  <c r="BB130" i="1"/>
  <c r="BA124" i="1"/>
  <c r="BB124" i="1"/>
  <c r="BB123" i="1"/>
  <c r="BA129" i="1"/>
  <c r="AY130" i="1"/>
  <c r="AY124" i="1"/>
  <c r="BB222" i="1"/>
  <c r="BA327" i="1"/>
  <c r="BB327" i="1"/>
  <c r="BB486" i="1"/>
  <c r="AY486" i="1"/>
  <c r="AY485" i="1"/>
  <c r="BB485" i="1"/>
  <c r="BB41" i="1"/>
  <c r="BB43" i="1"/>
  <c r="BA333" i="1"/>
  <c r="BA329" i="1"/>
  <c r="BA319" i="1"/>
  <c r="BA297" i="1"/>
  <c r="BA321" i="1"/>
  <c r="BB15" i="1"/>
  <c r="BB329" i="1"/>
  <c r="BB333" i="1"/>
  <c r="BB319" i="1"/>
  <c r="BB17" i="1"/>
  <c r="BB5" i="1"/>
  <c r="BB25" i="1"/>
  <c r="BB13" i="1"/>
  <c r="BB27" i="1"/>
  <c r="BB31" i="1"/>
  <c r="BB19" i="1"/>
  <c r="BB7" i="1"/>
  <c r="BB322" i="1"/>
  <c r="BB321" i="1"/>
  <c r="BB297" i="1"/>
  <c r="BB234" i="1"/>
  <c r="BB23" i="1"/>
  <c r="BB11" i="1"/>
  <c r="BB320" i="1"/>
  <c r="BB21" i="1"/>
  <c r="BB9" i="1"/>
  <c r="BB334" i="1"/>
  <c r="BB318" i="1"/>
  <c r="BB332" i="1"/>
  <c r="BQ30" i="1"/>
  <c r="BD30" i="1"/>
  <c r="AZ30" i="1" s="1"/>
  <c r="BA30" i="1" s="1"/>
  <c r="BQ27" i="1"/>
  <c r="BD27" i="1"/>
  <c r="AN27" i="1"/>
  <c r="AM27" i="1"/>
  <c r="BQ26" i="1"/>
  <c r="AZ26" i="1"/>
  <c r="BA26" i="1" s="1"/>
  <c r="BQ24" i="1"/>
  <c r="BD24" i="1"/>
  <c r="AZ24" i="1" s="1"/>
  <c r="BA24" i="1" s="1"/>
  <c r="AN24" i="1"/>
  <c r="BQ29" i="1"/>
  <c r="BD29" i="1"/>
  <c r="AN29" i="1"/>
  <c r="AM29" i="1"/>
  <c r="BQ28" i="1"/>
  <c r="BD28" i="1"/>
  <c r="AZ28" i="1" s="1"/>
  <c r="BA28" i="1" s="1"/>
  <c r="AP28" i="1"/>
  <c r="BQ93" i="1"/>
  <c r="BD93" i="1"/>
  <c r="AZ93" i="1"/>
  <c r="BA93" i="1" s="1"/>
  <c r="AY93" i="1"/>
  <c r="BQ234" i="1"/>
  <c r="BD234" i="1"/>
  <c r="AN234" i="1"/>
  <c r="AM234" i="1"/>
  <c r="BQ233" i="1"/>
  <c r="BD233" i="1"/>
  <c r="AZ233" i="1" s="1"/>
  <c r="BA233" i="1" s="1"/>
  <c r="AP233" i="1"/>
  <c r="BQ22" i="1"/>
  <c r="BQ16" i="1"/>
  <c r="BQ14" i="1"/>
  <c r="BQ12" i="1"/>
  <c r="BQ8" i="1"/>
  <c r="BQ6" i="1"/>
  <c r="BQ4" i="1"/>
  <c r="BD4" i="1"/>
  <c r="AZ4" i="1" s="1"/>
  <c r="BA4" i="1" s="1"/>
  <c r="AN4" i="1"/>
  <c r="AP114" i="1"/>
  <c r="AN342" i="1"/>
  <c r="AN92" i="1"/>
  <c r="AN91" i="1"/>
  <c r="AN90" i="1"/>
  <c r="AN89" i="1"/>
  <c r="AN87" i="1"/>
  <c r="AN86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54" i="1"/>
  <c r="AN44" i="1"/>
  <c r="AN37" i="1"/>
  <c r="AN36" i="1"/>
  <c r="AN35" i="1"/>
  <c r="AN34" i="1"/>
  <c r="AN33" i="1"/>
  <c r="AN32" i="1"/>
  <c r="AP232" i="1"/>
  <c r="AP231" i="1"/>
  <c r="AP230" i="1"/>
  <c r="AP228" i="1"/>
  <c r="AP227" i="1"/>
  <c r="AP226" i="1"/>
  <c r="AP208" i="1"/>
  <c r="AP204" i="1"/>
  <c r="AP203" i="1"/>
  <c r="AP180" i="1"/>
  <c r="AP116" i="1"/>
  <c r="AP115" i="1"/>
  <c r="AZ471" i="1"/>
  <c r="BA471" i="1" s="1"/>
  <c r="AZ469" i="1"/>
  <c r="BA469" i="1" s="1"/>
  <c r="AZ467" i="1"/>
  <c r="BA467" i="1" s="1"/>
  <c r="AZ466" i="1"/>
  <c r="BA466" i="1" s="1"/>
  <c r="AY466" i="1"/>
  <c r="AZ459" i="1"/>
  <c r="BA459" i="1" s="1"/>
  <c r="AZ456" i="1"/>
  <c r="BA456" i="1" s="1"/>
  <c r="AY456" i="1"/>
  <c r="AZ455" i="1"/>
  <c r="BA455" i="1" s="1"/>
  <c r="AY455" i="1"/>
  <c r="AZ454" i="1"/>
  <c r="BA454" i="1" s="1"/>
  <c r="AZ451" i="1"/>
  <c r="BA451" i="1" s="1"/>
  <c r="AY451" i="1"/>
  <c r="AZ450" i="1"/>
  <c r="BA450" i="1" s="1"/>
  <c r="AY450" i="1"/>
  <c r="AZ442" i="1"/>
  <c r="BA442" i="1" s="1"/>
  <c r="AY442" i="1"/>
  <c r="AZ429" i="1"/>
  <c r="BA429" i="1" s="1"/>
  <c r="AY429" i="1"/>
  <c r="AZ428" i="1"/>
  <c r="BA428" i="1" s="1"/>
  <c r="AY428" i="1"/>
  <c r="AZ427" i="1"/>
  <c r="BA427" i="1" s="1"/>
  <c r="AY427" i="1"/>
  <c r="AZ426" i="1"/>
  <c r="BA426" i="1" s="1"/>
  <c r="AY426" i="1"/>
  <c r="AZ425" i="1"/>
  <c r="BA425" i="1" s="1"/>
  <c r="AY425" i="1"/>
  <c r="AZ424" i="1"/>
  <c r="BA424" i="1" s="1"/>
  <c r="AY424" i="1"/>
  <c r="AZ423" i="1"/>
  <c r="BA423" i="1" s="1"/>
  <c r="AY423" i="1"/>
  <c r="AZ422" i="1"/>
  <c r="BA422" i="1" s="1"/>
  <c r="AY422" i="1"/>
  <c r="AZ421" i="1"/>
  <c r="BA421" i="1" s="1"/>
  <c r="AY421" i="1"/>
  <c r="AZ420" i="1"/>
  <c r="BA420" i="1" s="1"/>
  <c r="AY420" i="1"/>
  <c r="AZ419" i="1"/>
  <c r="BA419" i="1" s="1"/>
  <c r="AY419" i="1"/>
  <c r="AZ418" i="1"/>
  <c r="BA418" i="1" s="1"/>
  <c r="AY418" i="1"/>
  <c r="AZ417" i="1"/>
  <c r="BA417" i="1" s="1"/>
  <c r="AY417" i="1"/>
  <c r="AZ416" i="1"/>
  <c r="BA416" i="1" s="1"/>
  <c r="AY416" i="1"/>
  <c r="AZ414" i="1"/>
  <c r="BA414" i="1" s="1"/>
  <c r="AY414" i="1"/>
  <c r="AZ413" i="1"/>
  <c r="BA413" i="1" s="1"/>
  <c r="AY413" i="1"/>
  <c r="AZ412" i="1"/>
  <c r="BA412" i="1" s="1"/>
  <c r="AY412" i="1"/>
  <c r="AZ411" i="1"/>
  <c r="BA411" i="1" s="1"/>
  <c r="AY411" i="1"/>
  <c r="AZ410" i="1"/>
  <c r="BA410" i="1" s="1"/>
  <c r="AY410" i="1"/>
  <c r="AZ409" i="1"/>
  <c r="BA409" i="1" s="1"/>
  <c r="AY409" i="1"/>
  <c r="AZ408" i="1"/>
  <c r="BA408" i="1" s="1"/>
  <c r="AY408" i="1"/>
  <c r="AZ407" i="1"/>
  <c r="BA407" i="1" s="1"/>
  <c r="AY407" i="1"/>
  <c r="AZ351" i="1"/>
  <c r="BA351" i="1" s="1"/>
  <c r="AY351" i="1"/>
  <c r="AZ350" i="1"/>
  <c r="BA350" i="1" s="1"/>
  <c r="AY350" i="1"/>
  <c r="AZ349" i="1"/>
  <c r="BA349" i="1" s="1"/>
  <c r="AY349" i="1"/>
  <c r="AZ348" i="1"/>
  <c r="BA348" i="1" s="1"/>
  <c r="AY348" i="1"/>
  <c r="AZ341" i="1"/>
  <c r="BA341" i="1" s="1"/>
  <c r="AY341" i="1"/>
  <c r="AZ340" i="1"/>
  <c r="BA340" i="1" s="1"/>
  <c r="AY340" i="1"/>
  <c r="AZ339" i="1"/>
  <c r="BA339" i="1" s="1"/>
  <c r="AY339" i="1"/>
  <c r="AZ338" i="1"/>
  <c r="BA338" i="1" s="1"/>
  <c r="AY338" i="1"/>
  <c r="AZ337" i="1"/>
  <c r="BA337" i="1" s="1"/>
  <c r="AY337" i="1"/>
  <c r="AZ336" i="1"/>
  <c r="BA336" i="1" s="1"/>
  <c r="AY336" i="1"/>
  <c r="AZ280" i="1"/>
  <c r="BA280" i="1" s="1"/>
  <c r="AY280" i="1"/>
  <c r="AZ279" i="1"/>
  <c r="BA279" i="1" s="1"/>
  <c r="AY279" i="1"/>
  <c r="AZ278" i="1"/>
  <c r="BA278" i="1" s="1"/>
  <c r="AY278" i="1"/>
  <c r="AZ277" i="1"/>
  <c r="BA277" i="1" s="1"/>
  <c r="AY277" i="1"/>
  <c r="AZ276" i="1"/>
  <c r="BA276" i="1" s="1"/>
  <c r="AY276" i="1"/>
  <c r="AZ275" i="1"/>
  <c r="BA275" i="1" s="1"/>
  <c r="AY275" i="1"/>
  <c r="AZ274" i="1"/>
  <c r="BA274" i="1" s="1"/>
  <c r="AY274" i="1"/>
  <c r="AZ273" i="1"/>
  <c r="BA273" i="1" s="1"/>
  <c r="AY273" i="1"/>
  <c r="AZ272" i="1"/>
  <c r="BA272" i="1" s="1"/>
  <c r="AY272" i="1"/>
  <c r="AZ271" i="1"/>
  <c r="BA271" i="1" s="1"/>
  <c r="AY271" i="1"/>
  <c r="AZ270" i="1"/>
  <c r="BA270" i="1" s="1"/>
  <c r="AY270" i="1"/>
  <c r="AZ269" i="1"/>
  <c r="BA269" i="1" s="1"/>
  <c r="AY269" i="1"/>
  <c r="AZ268" i="1"/>
  <c r="BA268" i="1" s="1"/>
  <c r="AY268" i="1"/>
  <c r="AZ267" i="1"/>
  <c r="BA267" i="1" s="1"/>
  <c r="AY267" i="1"/>
  <c r="AZ266" i="1"/>
  <c r="BA266" i="1" s="1"/>
  <c r="AY266" i="1"/>
  <c r="AZ265" i="1"/>
  <c r="BA265" i="1" s="1"/>
  <c r="AY265" i="1"/>
  <c r="AZ264" i="1"/>
  <c r="BA264" i="1" s="1"/>
  <c r="AY264" i="1"/>
  <c r="AZ263" i="1"/>
  <c r="BA263" i="1" s="1"/>
  <c r="AY263" i="1"/>
  <c r="AZ262" i="1"/>
  <c r="BA262" i="1" s="1"/>
  <c r="AY262" i="1"/>
  <c r="AZ261" i="1"/>
  <c r="BA261" i="1" s="1"/>
  <c r="AY261" i="1"/>
  <c r="AZ260" i="1"/>
  <c r="BA260" i="1" s="1"/>
  <c r="AY260" i="1"/>
  <c r="AZ259" i="1"/>
  <c r="BA259" i="1" s="1"/>
  <c r="AY259" i="1"/>
  <c r="AZ258" i="1"/>
  <c r="BA258" i="1" s="1"/>
  <c r="AY258" i="1"/>
  <c r="AZ257" i="1"/>
  <c r="BA257" i="1" s="1"/>
  <c r="AY257" i="1"/>
  <c r="AZ256" i="1"/>
  <c r="BA256" i="1" s="1"/>
  <c r="AY256" i="1"/>
  <c r="AZ255" i="1"/>
  <c r="BA255" i="1" s="1"/>
  <c r="AY255" i="1"/>
  <c r="AZ254" i="1"/>
  <c r="BA254" i="1" s="1"/>
  <c r="AY254" i="1"/>
  <c r="AZ253" i="1"/>
  <c r="BA253" i="1" s="1"/>
  <c r="AY253" i="1"/>
  <c r="AZ252" i="1"/>
  <c r="BA252" i="1" s="1"/>
  <c r="AY252" i="1"/>
  <c r="AZ251" i="1"/>
  <c r="BA251" i="1" s="1"/>
  <c r="AY251" i="1"/>
  <c r="AZ250" i="1"/>
  <c r="BA250" i="1" s="1"/>
  <c r="AY250" i="1"/>
  <c r="AZ249" i="1"/>
  <c r="BA249" i="1" s="1"/>
  <c r="AY249" i="1"/>
  <c r="AZ248" i="1"/>
  <c r="BA248" i="1" s="1"/>
  <c r="AY248" i="1"/>
  <c r="AZ247" i="1"/>
  <c r="BA247" i="1" s="1"/>
  <c r="AY247" i="1"/>
  <c r="AZ246" i="1"/>
  <c r="BA246" i="1" s="1"/>
  <c r="AY246" i="1"/>
  <c r="AZ245" i="1"/>
  <c r="BA245" i="1" s="1"/>
  <c r="AY245" i="1"/>
  <c r="AZ244" i="1"/>
  <c r="BA244" i="1" s="1"/>
  <c r="AY244" i="1"/>
  <c r="AZ243" i="1"/>
  <c r="BA243" i="1" s="1"/>
  <c r="AY243" i="1"/>
  <c r="AZ242" i="1"/>
  <c r="BA242" i="1" s="1"/>
  <c r="AY242" i="1"/>
  <c r="AZ241" i="1"/>
  <c r="BA241" i="1" s="1"/>
  <c r="AY241" i="1"/>
  <c r="AZ240" i="1"/>
  <c r="BA240" i="1" s="1"/>
  <c r="AY240" i="1"/>
  <c r="AZ239" i="1"/>
  <c r="BA239" i="1" s="1"/>
  <c r="AY239" i="1"/>
  <c r="AZ238" i="1"/>
  <c r="BA238" i="1" s="1"/>
  <c r="AY238" i="1"/>
  <c r="AZ237" i="1"/>
  <c r="BA237" i="1" s="1"/>
  <c r="AY237" i="1"/>
  <c r="AZ236" i="1"/>
  <c r="BA236" i="1" s="1"/>
  <c r="AY236" i="1"/>
  <c r="AZ235" i="1"/>
  <c r="BA235" i="1" s="1"/>
  <c r="AY235" i="1"/>
  <c r="AZ160" i="1"/>
  <c r="BA160" i="1" s="1"/>
  <c r="AY160" i="1"/>
  <c r="AZ138" i="1"/>
  <c r="BA138" i="1" s="1"/>
  <c r="AY138" i="1"/>
  <c r="AZ133" i="1"/>
  <c r="BA133" i="1" s="1"/>
  <c r="AY133" i="1"/>
  <c r="AZ118" i="1"/>
  <c r="BA118" i="1" s="1"/>
  <c r="AY118" i="1"/>
  <c r="AZ102" i="1"/>
  <c r="BA102" i="1" s="1"/>
  <c r="AY102" i="1"/>
  <c r="AZ101" i="1"/>
  <c r="BA101" i="1" s="1"/>
  <c r="AY101" i="1"/>
  <c r="AZ100" i="1"/>
  <c r="BA100" i="1" s="1"/>
  <c r="AY100" i="1"/>
  <c r="AZ99" i="1"/>
  <c r="BA99" i="1" s="1"/>
  <c r="AY99" i="1"/>
  <c r="AZ98" i="1"/>
  <c r="BA98" i="1" s="1"/>
  <c r="AY98" i="1"/>
  <c r="AZ97" i="1"/>
  <c r="BA97" i="1" s="1"/>
  <c r="AY97" i="1"/>
  <c r="AZ96" i="1"/>
  <c r="BA96" i="1" s="1"/>
  <c r="AY96" i="1"/>
  <c r="AZ95" i="1"/>
  <c r="BA95" i="1" s="1"/>
  <c r="AY95" i="1"/>
  <c r="AZ88" i="1"/>
  <c r="BA88" i="1" s="1"/>
  <c r="AY88" i="1"/>
  <c r="AZ85" i="1"/>
  <c r="BA85" i="1" s="1"/>
  <c r="AY85" i="1"/>
  <c r="AZ39" i="1"/>
  <c r="BA39" i="1" s="1"/>
  <c r="AY39" i="1"/>
  <c r="AZ40" i="1"/>
  <c r="BA40" i="1" s="1"/>
  <c r="AY40" i="1"/>
  <c r="AZ38" i="1"/>
  <c r="BA38" i="1" s="1"/>
  <c r="AY38" i="1"/>
  <c r="AZ472" i="1"/>
  <c r="AY472" i="1" s="1"/>
  <c r="AZ482" i="1"/>
  <c r="AZ489" i="1"/>
  <c r="BA489" i="1" s="1"/>
  <c r="BD471" i="1"/>
  <c r="BD469" i="1"/>
  <c r="BD467" i="1"/>
  <c r="BD466" i="1"/>
  <c r="BD459" i="1"/>
  <c r="BD456" i="1"/>
  <c r="BD455" i="1"/>
  <c r="BD454" i="1"/>
  <c r="BD451" i="1"/>
  <c r="BD450" i="1"/>
  <c r="BD442" i="1"/>
  <c r="BD429" i="1"/>
  <c r="BD428" i="1"/>
  <c r="BD427" i="1"/>
  <c r="BD426" i="1"/>
  <c r="BD425" i="1"/>
  <c r="BD424" i="1"/>
  <c r="BD423" i="1"/>
  <c r="BD422" i="1"/>
  <c r="BD421" i="1"/>
  <c r="BD420" i="1"/>
  <c r="BD419" i="1"/>
  <c r="BD418" i="1"/>
  <c r="BD417" i="1"/>
  <c r="BD416" i="1"/>
  <c r="BD414" i="1"/>
  <c r="BD413" i="1"/>
  <c r="BD412" i="1"/>
  <c r="BD411" i="1"/>
  <c r="BD410" i="1"/>
  <c r="BD409" i="1"/>
  <c r="BD408" i="1"/>
  <c r="BD407" i="1"/>
  <c r="BD351" i="1"/>
  <c r="BD350" i="1"/>
  <c r="BD349" i="1"/>
  <c r="BD348" i="1"/>
  <c r="BD341" i="1"/>
  <c r="BD340" i="1"/>
  <c r="BD339" i="1"/>
  <c r="BD338" i="1"/>
  <c r="BD337" i="1"/>
  <c r="BD336" i="1"/>
  <c r="BD280" i="1"/>
  <c r="BD279" i="1"/>
  <c r="BD278" i="1"/>
  <c r="BD277" i="1"/>
  <c r="BD276" i="1"/>
  <c r="BD275" i="1"/>
  <c r="BD274" i="1"/>
  <c r="BD273" i="1"/>
  <c r="BD272" i="1"/>
  <c r="BD271" i="1"/>
  <c r="BD270" i="1"/>
  <c r="BD269" i="1"/>
  <c r="BD268" i="1"/>
  <c r="BD267" i="1"/>
  <c r="BD266" i="1"/>
  <c r="BD265" i="1"/>
  <c r="BD264" i="1"/>
  <c r="BD263" i="1"/>
  <c r="BD262" i="1"/>
  <c r="BD261" i="1"/>
  <c r="BD260" i="1"/>
  <c r="BD259" i="1"/>
  <c r="BD258" i="1"/>
  <c r="BD257" i="1"/>
  <c r="BD256" i="1"/>
  <c r="BD255" i="1"/>
  <c r="BD254" i="1"/>
  <c r="BD253" i="1"/>
  <c r="BD252" i="1"/>
  <c r="BD251" i="1"/>
  <c r="BD250" i="1"/>
  <c r="BD249" i="1"/>
  <c r="BD248" i="1"/>
  <c r="BD247" i="1"/>
  <c r="BD246" i="1"/>
  <c r="BD245" i="1"/>
  <c r="BD244" i="1"/>
  <c r="BD243" i="1"/>
  <c r="BD242" i="1"/>
  <c r="BD241" i="1"/>
  <c r="BD240" i="1"/>
  <c r="BD239" i="1"/>
  <c r="BD238" i="1"/>
  <c r="BD237" i="1"/>
  <c r="BD236" i="1"/>
  <c r="BD235" i="1"/>
  <c r="BD160" i="1"/>
  <c r="BD138" i="1"/>
  <c r="BD133" i="1"/>
  <c r="BD118" i="1"/>
  <c r="BD102" i="1"/>
  <c r="BD101" i="1"/>
  <c r="BD100" i="1"/>
  <c r="BD99" i="1"/>
  <c r="BD98" i="1"/>
  <c r="BD97" i="1"/>
  <c r="BD96" i="1"/>
  <c r="BD95" i="1"/>
  <c r="BD88" i="1"/>
  <c r="BD85" i="1"/>
  <c r="BD39" i="1"/>
  <c r="BD40" i="1"/>
  <c r="BD38" i="1"/>
  <c r="BD457" i="1"/>
  <c r="BD452" i="1"/>
  <c r="BD490" i="1"/>
  <c r="BD281" i="1"/>
  <c r="AZ281" i="1" s="1"/>
  <c r="BA281" i="1" s="1"/>
  <c r="BD478" i="1"/>
  <c r="BD473" i="1"/>
  <c r="BD472" i="1"/>
  <c r="BD470" i="1"/>
  <c r="BD468" i="1"/>
  <c r="BD383" i="1"/>
  <c r="AZ383" i="1" s="1"/>
  <c r="BA383" i="1" s="1"/>
  <c r="BD382" i="1"/>
  <c r="AZ382" i="1" s="1"/>
  <c r="BA382" i="1" s="1"/>
  <c r="BD381" i="1"/>
  <c r="AZ381" i="1" s="1"/>
  <c r="BA381" i="1" s="1"/>
  <c r="BD380" i="1"/>
  <c r="AZ380" i="1" s="1"/>
  <c r="BA380" i="1" s="1"/>
  <c r="BD379" i="1"/>
  <c r="AZ379" i="1" s="1"/>
  <c r="BA379" i="1" s="1"/>
  <c r="BD378" i="1"/>
  <c r="AZ378" i="1" s="1"/>
  <c r="BA378" i="1" s="1"/>
  <c r="BD375" i="1"/>
  <c r="AZ375" i="1" s="1"/>
  <c r="BA375" i="1" s="1"/>
  <c r="BD374" i="1"/>
  <c r="AZ374" i="1" s="1"/>
  <c r="BA374" i="1" s="1"/>
  <c r="BD373" i="1"/>
  <c r="AZ373" i="1" s="1"/>
  <c r="BA373" i="1" s="1"/>
  <c r="BD372" i="1"/>
  <c r="AZ372" i="1" s="1"/>
  <c r="BA372" i="1" s="1"/>
  <c r="BD371" i="1"/>
  <c r="AZ371" i="1" s="1"/>
  <c r="BA371" i="1" s="1"/>
  <c r="BD370" i="1"/>
  <c r="AZ370" i="1" s="1"/>
  <c r="BA370" i="1" s="1"/>
  <c r="BD369" i="1"/>
  <c r="AZ369" i="1" s="1"/>
  <c r="BA369" i="1" s="1"/>
  <c r="BD368" i="1"/>
  <c r="AZ368" i="1" s="1"/>
  <c r="BA368" i="1" s="1"/>
  <c r="BD365" i="1"/>
  <c r="AZ365" i="1" s="1"/>
  <c r="BA365" i="1" s="1"/>
  <c r="BD364" i="1"/>
  <c r="AZ364" i="1" s="1"/>
  <c r="BA364" i="1" s="1"/>
  <c r="BD363" i="1"/>
  <c r="AZ363" i="1" s="1"/>
  <c r="BA363" i="1" s="1"/>
  <c r="BD362" i="1"/>
  <c r="AZ362" i="1" s="1"/>
  <c r="BA362" i="1" s="1"/>
  <c r="BD361" i="1"/>
  <c r="AZ361" i="1" s="1"/>
  <c r="BA361" i="1" s="1"/>
  <c r="BD360" i="1"/>
  <c r="AZ360" i="1" s="1"/>
  <c r="BA360" i="1" s="1"/>
  <c r="BD359" i="1"/>
  <c r="AZ359" i="1" s="1"/>
  <c r="BA359" i="1" s="1"/>
  <c r="BD358" i="1"/>
  <c r="AZ358" i="1" s="1"/>
  <c r="BA358" i="1" s="1"/>
  <c r="BD357" i="1"/>
  <c r="AZ357" i="1" s="1"/>
  <c r="BA357" i="1" s="1"/>
  <c r="BD356" i="1"/>
  <c r="AZ356" i="1" s="1"/>
  <c r="BA356" i="1" s="1"/>
  <c r="BD224" i="1"/>
  <c r="AZ224" i="1" s="1"/>
  <c r="BA224" i="1" s="1"/>
  <c r="BD223" i="1"/>
  <c r="AZ223" i="1" s="1"/>
  <c r="BA223" i="1" s="1"/>
  <c r="BD206" i="1"/>
  <c r="AZ206" i="1" s="1"/>
  <c r="BA206" i="1" s="1"/>
  <c r="BD205" i="1"/>
  <c r="AZ205" i="1" s="1"/>
  <c r="BA205" i="1" s="1"/>
  <c r="BD201" i="1"/>
  <c r="AZ201" i="1" s="1"/>
  <c r="BA201" i="1" s="1"/>
  <c r="BD200" i="1"/>
  <c r="AZ200" i="1" s="1"/>
  <c r="BA200" i="1" s="1"/>
  <c r="BD448" i="1"/>
  <c r="AZ448" i="1" s="1"/>
  <c r="BA448" i="1" s="1"/>
  <c r="BD447" i="1"/>
  <c r="AZ447" i="1" s="1"/>
  <c r="BA447" i="1" s="1"/>
  <c r="BD446" i="1"/>
  <c r="AZ446" i="1" s="1"/>
  <c r="BA446" i="1" s="1"/>
  <c r="BD445" i="1"/>
  <c r="AZ445" i="1" s="1"/>
  <c r="BA445" i="1" s="1"/>
  <c r="BD444" i="1"/>
  <c r="AZ444" i="1" s="1"/>
  <c r="BA444" i="1" s="1"/>
  <c r="BD443" i="1"/>
  <c r="AZ443" i="1" s="1"/>
  <c r="BA443" i="1" s="1"/>
  <c r="BD458" i="1"/>
  <c r="BD453" i="1"/>
  <c r="BD232" i="1"/>
  <c r="AZ232" i="1" s="1"/>
  <c r="BA232" i="1" s="1"/>
  <c r="BD231" i="1"/>
  <c r="AZ231" i="1" s="1"/>
  <c r="BA231" i="1" s="1"/>
  <c r="BD230" i="1"/>
  <c r="AZ230" i="1" s="1"/>
  <c r="BA230" i="1" s="1"/>
  <c r="BD229" i="1"/>
  <c r="AZ229" i="1" s="1"/>
  <c r="BA229" i="1" s="1"/>
  <c r="BD228" i="1"/>
  <c r="AZ228" i="1" s="1"/>
  <c r="BA228" i="1" s="1"/>
  <c r="BD227" i="1"/>
  <c r="AZ227" i="1" s="1"/>
  <c r="BA227" i="1" s="1"/>
  <c r="BD226" i="1"/>
  <c r="AZ226" i="1" s="1"/>
  <c r="BA226" i="1" s="1"/>
  <c r="BD225" i="1"/>
  <c r="AZ225" i="1" s="1"/>
  <c r="BA225" i="1" s="1"/>
  <c r="BD208" i="1"/>
  <c r="AZ208" i="1" s="1"/>
  <c r="BA208" i="1" s="1"/>
  <c r="BD207" i="1"/>
  <c r="AZ207" i="1" s="1"/>
  <c r="BA207" i="1" s="1"/>
  <c r="BD204" i="1"/>
  <c r="AZ204" i="1" s="1"/>
  <c r="BA204" i="1" s="1"/>
  <c r="BD203" i="1"/>
  <c r="AZ203" i="1" s="1"/>
  <c r="BA203" i="1" s="1"/>
  <c r="BD202" i="1"/>
  <c r="AZ202" i="1" s="1"/>
  <c r="BA202" i="1" s="1"/>
  <c r="BD180" i="1"/>
  <c r="BD116" i="1"/>
  <c r="AZ116" i="1" s="1"/>
  <c r="BA116" i="1" s="1"/>
  <c r="BD115" i="1"/>
  <c r="AZ115" i="1" s="1"/>
  <c r="BA115" i="1" s="1"/>
  <c r="BD114" i="1"/>
  <c r="AZ114" i="1" s="1"/>
  <c r="BA114" i="1" s="1"/>
  <c r="BD113" i="1"/>
  <c r="AZ113" i="1" s="1"/>
  <c r="BA113" i="1" s="1"/>
  <c r="BD120" i="1"/>
  <c r="AZ120" i="1" s="1"/>
  <c r="BA120" i="1" s="1"/>
  <c r="BD119" i="1"/>
  <c r="AZ119" i="1" s="1"/>
  <c r="BA119" i="1" s="1"/>
  <c r="BD117" i="1"/>
  <c r="AZ117" i="1" s="1"/>
  <c r="BA117" i="1" s="1"/>
  <c r="BD112" i="1"/>
  <c r="AZ112" i="1" s="1"/>
  <c r="BA112" i="1" s="1"/>
  <c r="BD111" i="1"/>
  <c r="AZ111" i="1" s="1"/>
  <c r="BA111" i="1" s="1"/>
  <c r="BD110" i="1"/>
  <c r="AZ110" i="1" s="1"/>
  <c r="BA110" i="1" s="1"/>
  <c r="BD387" i="1"/>
  <c r="BD385" i="1"/>
  <c r="BD384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199" i="1"/>
  <c r="BD198" i="1"/>
  <c r="BD193" i="1"/>
  <c r="BD192" i="1"/>
  <c r="BD188" i="1"/>
  <c r="BD187" i="1"/>
  <c r="BD186" i="1"/>
  <c r="BD185" i="1"/>
  <c r="BD184" i="1"/>
  <c r="BD183" i="1"/>
  <c r="BD182" i="1"/>
  <c r="BD181" i="1"/>
  <c r="BD179" i="1"/>
  <c r="BD178" i="1"/>
  <c r="BD177" i="1"/>
  <c r="BD176" i="1"/>
  <c r="BD175" i="1"/>
  <c r="BD174" i="1"/>
  <c r="BD173" i="1"/>
  <c r="BD168" i="1"/>
  <c r="BD167" i="1"/>
  <c r="BD166" i="1"/>
  <c r="BD165" i="1"/>
  <c r="BD164" i="1"/>
  <c r="BD163" i="1"/>
  <c r="BD159" i="1"/>
  <c r="BD158" i="1"/>
  <c r="BD157" i="1"/>
  <c r="BD156" i="1"/>
  <c r="BD155" i="1"/>
  <c r="BD154" i="1"/>
  <c r="BD153" i="1"/>
  <c r="BD152" i="1"/>
  <c r="BD151" i="1"/>
  <c r="BD150" i="1"/>
  <c r="BD149" i="1"/>
  <c r="BD145" i="1"/>
  <c r="BD144" i="1"/>
  <c r="BD143" i="1"/>
  <c r="BD142" i="1"/>
  <c r="BD141" i="1"/>
  <c r="BD140" i="1"/>
  <c r="BD139" i="1"/>
  <c r="BD137" i="1"/>
  <c r="BD136" i="1"/>
  <c r="BD135" i="1"/>
  <c r="BD134" i="1"/>
  <c r="BD482" i="1"/>
  <c r="BD347" i="1"/>
  <c r="AZ347" i="1" s="1"/>
  <c r="BA347" i="1" s="1"/>
  <c r="BD346" i="1"/>
  <c r="AZ346" i="1" s="1"/>
  <c r="BA346" i="1" s="1"/>
  <c r="BD345" i="1"/>
  <c r="AZ345" i="1" s="1"/>
  <c r="BA345" i="1" s="1"/>
  <c r="BD344" i="1"/>
  <c r="AZ344" i="1" s="1"/>
  <c r="BA344" i="1" s="1"/>
  <c r="BD71" i="1"/>
  <c r="AZ71" i="1" s="1"/>
  <c r="BA71" i="1" s="1"/>
  <c r="BD70" i="1"/>
  <c r="AZ70" i="1" s="1"/>
  <c r="BA70" i="1" s="1"/>
  <c r="BD69" i="1"/>
  <c r="AZ69" i="1" s="1"/>
  <c r="BA69" i="1" s="1"/>
  <c r="BD68" i="1"/>
  <c r="AZ68" i="1" s="1"/>
  <c r="BA68" i="1" s="1"/>
  <c r="BD67" i="1"/>
  <c r="AZ67" i="1" s="1"/>
  <c r="BA67" i="1" s="1"/>
  <c r="BD66" i="1"/>
  <c r="AZ66" i="1" s="1"/>
  <c r="BA66" i="1" s="1"/>
  <c r="BD65" i="1"/>
  <c r="AZ65" i="1" s="1"/>
  <c r="BA65" i="1" s="1"/>
  <c r="BD64" i="1"/>
  <c r="AZ64" i="1" s="1"/>
  <c r="BA64" i="1" s="1"/>
  <c r="BD63" i="1"/>
  <c r="AZ63" i="1" s="1"/>
  <c r="BA63" i="1" s="1"/>
  <c r="BD62" i="1"/>
  <c r="AZ62" i="1" s="1"/>
  <c r="BA62" i="1" s="1"/>
  <c r="BD61" i="1"/>
  <c r="AZ61" i="1" s="1"/>
  <c r="BA61" i="1" s="1"/>
  <c r="BD60" i="1"/>
  <c r="AZ60" i="1" s="1"/>
  <c r="BA60" i="1" s="1"/>
  <c r="BD59" i="1"/>
  <c r="AZ59" i="1" s="1"/>
  <c r="BA59" i="1" s="1"/>
  <c r="BD58" i="1"/>
  <c r="AZ58" i="1" s="1"/>
  <c r="BA58" i="1" s="1"/>
  <c r="BD57" i="1"/>
  <c r="AZ57" i="1" s="1"/>
  <c r="BA57" i="1" s="1"/>
  <c r="BD55" i="1"/>
  <c r="AZ55" i="1" s="1"/>
  <c r="BA55" i="1" s="1"/>
  <c r="BD53" i="1"/>
  <c r="AZ53" i="1" s="1"/>
  <c r="BA53" i="1" s="1"/>
  <c r="BD52" i="1"/>
  <c r="AZ52" i="1" s="1"/>
  <c r="BA52" i="1" s="1"/>
  <c r="BD51" i="1"/>
  <c r="AZ51" i="1" s="1"/>
  <c r="BA51" i="1" s="1"/>
  <c r="BD50" i="1"/>
  <c r="AZ50" i="1" s="1"/>
  <c r="BA50" i="1" s="1"/>
  <c r="BD49" i="1"/>
  <c r="AZ49" i="1" s="1"/>
  <c r="BA49" i="1" s="1"/>
  <c r="BD48" i="1"/>
  <c r="AZ48" i="1" s="1"/>
  <c r="BA48" i="1" s="1"/>
  <c r="BD47" i="1"/>
  <c r="AZ47" i="1" s="1"/>
  <c r="BA47" i="1" s="1"/>
  <c r="BD46" i="1"/>
  <c r="AZ46" i="1" s="1"/>
  <c r="BA46" i="1" s="1"/>
  <c r="BD45" i="1"/>
  <c r="AZ45" i="1" s="1"/>
  <c r="BA45" i="1" s="1"/>
  <c r="BD22" i="1"/>
  <c r="AZ22" i="1" s="1"/>
  <c r="BA22" i="1" s="1"/>
  <c r="BD20" i="1"/>
  <c r="AZ20" i="1" s="1"/>
  <c r="BA20" i="1" s="1"/>
  <c r="BD18" i="1"/>
  <c r="AZ18" i="1" s="1"/>
  <c r="BA18" i="1" s="1"/>
  <c r="BD16" i="1"/>
  <c r="AZ16" i="1" s="1"/>
  <c r="BA16" i="1" s="1"/>
  <c r="BD14" i="1"/>
  <c r="AZ14" i="1" s="1"/>
  <c r="BA14" i="1" s="1"/>
  <c r="BD12" i="1"/>
  <c r="AZ12" i="1" s="1"/>
  <c r="BA12" i="1" s="1"/>
  <c r="BD10" i="1"/>
  <c r="AZ10" i="1" s="1"/>
  <c r="BA10" i="1" s="1"/>
  <c r="BD8" i="1"/>
  <c r="AZ8" i="1" s="1"/>
  <c r="BA8" i="1" s="1"/>
  <c r="BD6" i="1"/>
  <c r="AZ6" i="1" s="1"/>
  <c r="BA6" i="1" s="1"/>
  <c r="BD439" i="1"/>
  <c r="AZ439" i="1" s="1"/>
  <c r="BA439" i="1" s="1"/>
  <c r="BD406" i="1"/>
  <c r="BD405" i="1"/>
  <c r="BD404" i="1"/>
  <c r="BD197" i="1"/>
  <c r="BD196" i="1"/>
  <c r="BD195" i="1"/>
  <c r="BD194" i="1"/>
  <c r="BD191" i="1"/>
  <c r="BD190" i="1"/>
  <c r="BD189" i="1"/>
  <c r="BD172" i="1"/>
  <c r="BD171" i="1"/>
  <c r="BD170" i="1"/>
  <c r="BD169" i="1"/>
  <c r="BD148" i="1"/>
  <c r="BD147" i="1"/>
  <c r="BD146" i="1"/>
  <c r="BD441" i="1"/>
  <c r="AZ441" i="1" s="1"/>
  <c r="BA441" i="1" s="1"/>
  <c r="BD437" i="1"/>
  <c r="AZ437" i="1" s="1"/>
  <c r="BA437" i="1" s="1"/>
  <c r="BD436" i="1"/>
  <c r="AZ436" i="1" s="1"/>
  <c r="BA436" i="1" s="1"/>
  <c r="BD435" i="1"/>
  <c r="AZ435" i="1" s="1"/>
  <c r="BA435" i="1" s="1"/>
  <c r="BD434" i="1"/>
  <c r="AZ434" i="1" s="1"/>
  <c r="BA434" i="1" s="1"/>
  <c r="BD433" i="1"/>
  <c r="AZ433" i="1" s="1"/>
  <c r="BA433" i="1" s="1"/>
  <c r="BD432" i="1"/>
  <c r="AZ432" i="1" s="1"/>
  <c r="BA432" i="1" s="1"/>
  <c r="BD431" i="1"/>
  <c r="AZ431" i="1" s="1"/>
  <c r="BA431" i="1" s="1"/>
  <c r="BD342" i="1"/>
  <c r="AZ342" i="1" s="1"/>
  <c r="BA342" i="1" s="1"/>
  <c r="BD92" i="1"/>
  <c r="AZ92" i="1" s="1"/>
  <c r="BA92" i="1" s="1"/>
  <c r="BD91" i="1"/>
  <c r="AZ91" i="1" s="1"/>
  <c r="BA91" i="1" s="1"/>
  <c r="BD90" i="1"/>
  <c r="AZ90" i="1" s="1"/>
  <c r="BA90" i="1" s="1"/>
  <c r="BD89" i="1"/>
  <c r="AZ89" i="1" s="1"/>
  <c r="BA89" i="1" s="1"/>
  <c r="BD87" i="1"/>
  <c r="AZ87" i="1" s="1"/>
  <c r="BA87" i="1" s="1"/>
  <c r="BD86" i="1"/>
  <c r="AZ86" i="1" s="1"/>
  <c r="BA86" i="1" s="1"/>
  <c r="BD84" i="1"/>
  <c r="AZ84" i="1" s="1"/>
  <c r="BA84" i="1" s="1"/>
  <c r="BD83" i="1"/>
  <c r="AZ83" i="1" s="1"/>
  <c r="BA83" i="1" s="1"/>
  <c r="BD82" i="1"/>
  <c r="AZ82" i="1" s="1"/>
  <c r="BA82" i="1" s="1"/>
  <c r="BD81" i="1"/>
  <c r="AZ81" i="1" s="1"/>
  <c r="BA81" i="1" s="1"/>
  <c r="BD80" i="1"/>
  <c r="AZ80" i="1" s="1"/>
  <c r="BA80" i="1" s="1"/>
  <c r="BD79" i="1"/>
  <c r="AZ79" i="1" s="1"/>
  <c r="BA79" i="1" s="1"/>
  <c r="BD78" i="1"/>
  <c r="AZ78" i="1" s="1"/>
  <c r="BA78" i="1" s="1"/>
  <c r="BD77" i="1"/>
  <c r="AZ77" i="1" s="1"/>
  <c r="BA77" i="1" s="1"/>
  <c r="BD76" i="1"/>
  <c r="AZ76" i="1" s="1"/>
  <c r="BA76" i="1" s="1"/>
  <c r="BD75" i="1"/>
  <c r="AZ75" i="1" s="1"/>
  <c r="BA75" i="1" s="1"/>
  <c r="BD74" i="1"/>
  <c r="AZ74" i="1" s="1"/>
  <c r="BA74" i="1" s="1"/>
  <c r="BD73" i="1"/>
  <c r="AZ73" i="1" s="1"/>
  <c r="BA73" i="1" s="1"/>
  <c r="BD72" i="1"/>
  <c r="AZ72" i="1" s="1"/>
  <c r="BA72" i="1" s="1"/>
  <c r="BD54" i="1"/>
  <c r="AZ54" i="1" s="1"/>
  <c r="BA54" i="1" s="1"/>
  <c r="BD44" i="1"/>
  <c r="AZ44" i="1" s="1"/>
  <c r="BA44" i="1" s="1"/>
  <c r="BD37" i="1"/>
  <c r="AZ37" i="1" s="1"/>
  <c r="BA37" i="1" s="1"/>
  <c r="AZ36" i="1"/>
  <c r="BA36" i="1" s="1"/>
  <c r="BD35" i="1"/>
  <c r="AZ35" i="1" s="1"/>
  <c r="BA35" i="1" s="1"/>
  <c r="BD34" i="1"/>
  <c r="AZ34" i="1" s="1"/>
  <c r="BA34" i="1" s="1"/>
  <c r="BD33" i="1"/>
  <c r="AZ33" i="1" s="1"/>
  <c r="BA33" i="1" s="1"/>
  <c r="BD32" i="1"/>
  <c r="AZ32" i="1" s="1"/>
  <c r="BA32" i="1" s="1"/>
  <c r="BD489" i="1"/>
  <c r="BD449" i="1"/>
  <c r="BD440" i="1"/>
  <c r="AZ440" i="1" s="1"/>
  <c r="BA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E478" i="1"/>
  <c r="AZ478" i="1" s="1"/>
  <c r="BE474" i="1"/>
  <c r="AZ474" i="1" s="1"/>
  <c r="BE473" i="1"/>
  <c r="AZ473" i="1" s="1"/>
  <c r="BE470" i="1"/>
  <c r="AZ470" i="1" s="1"/>
  <c r="BE468" i="1"/>
  <c r="AZ468" i="1" s="1"/>
  <c r="BC490" i="1"/>
  <c r="AZ490" i="1" s="1"/>
  <c r="BA490" i="1" s="1"/>
  <c r="BC457" i="1"/>
  <c r="AZ457" i="1" s="1"/>
  <c r="BA457" i="1" s="1"/>
  <c r="BC452" i="1"/>
  <c r="AZ452" i="1" s="1"/>
  <c r="BA452" i="1" s="1"/>
  <c r="BC458" i="1"/>
  <c r="AZ458" i="1" s="1"/>
  <c r="BA458" i="1" s="1"/>
  <c r="BC453" i="1"/>
  <c r="AZ453" i="1" s="1"/>
  <c r="BA453" i="1" s="1"/>
  <c r="BC387" i="1"/>
  <c r="AZ387" i="1" s="1"/>
  <c r="BA387" i="1" s="1"/>
  <c r="BC385" i="1"/>
  <c r="AZ385" i="1" s="1"/>
  <c r="BA385" i="1" s="1"/>
  <c r="BC384" i="1"/>
  <c r="AZ384" i="1" s="1"/>
  <c r="BA384" i="1" s="1"/>
  <c r="BC221" i="1"/>
  <c r="AZ221" i="1" s="1"/>
  <c r="BA221" i="1" s="1"/>
  <c r="BC220" i="1"/>
  <c r="AZ220" i="1" s="1"/>
  <c r="BA220" i="1" s="1"/>
  <c r="BC219" i="1"/>
  <c r="AZ219" i="1" s="1"/>
  <c r="BA219" i="1" s="1"/>
  <c r="BC218" i="1"/>
  <c r="AZ218" i="1" s="1"/>
  <c r="BA218" i="1" s="1"/>
  <c r="BC217" i="1"/>
  <c r="AZ217" i="1" s="1"/>
  <c r="BA217" i="1" s="1"/>
  <c r="BC216" i="1"/>
  <c r="AZ216" i="1" s="1"/>
  <c r="BA216" i="1" s="1"/>
  <c r="BC215" i="1"/>
  <c r="AZ215" i="1" s="1"/>
  <c r="BA215" i="1" s="1"/>
  <c r="BC214" i="1"/>
  <c r="AZ214" i="1" s="1"/>
  <c r="BA214" i="1" s="1"/>
  <c r="BC213" i="1"/>
  <c r="AZ213" i="1" s="1"/>
  <c r="BA213" i="1" s="1"/>
  <c r="BC212" i="1"/>
  <c r="AZ212" i="1" s="1"/>
  <c r="BA212" i="1" s="1"/>
  <c r="BC211" i="1"/>
  <c r="AZ211" i="1" s="1"/>
  <c r="BA211" i="1" s="1"/>
  <c r="BC210" i="1"/>
  <c r="AZ210" i="1" s="1"/>
  <c r="BA210" i="1" s="1"/>
  <c r="BC209" i="1"/>
  <c r="AZ209" i="1" s="1"/>
  <c r="BA209" i="1" s="1"/>
  <c r="BC199" i="1"/>
  <c r="AZ199" i="1" s="1"/>
  <c r="BA199" i="1" s="1"/>
  <c r="BC198" i="1"/>
  <c r="AZ198" i="1" s="1"/>
  <c r="BA198" i="1" s="1"/>
  <c r="BC193" i="1"/>
  <c r="AZ193" i="1" s="1"/>
  <c r="BA193" i="1" s="1"/>
  <c r="BC192" i="1"/>
  <c r="AZ192" i="1" s="1"/>
  <c r="BA192" i="1" s="1"/>
  <c r="BC188" i="1"/>
  <c r="AZ188" i="1" s="1"/>
  <c r="BA188" i="1" s="1"/>
  <c r="BC187" i="1"/>
  <c r="BC186" i="1"/>
  <c r="AZ186" i="1" s="1"/>
  <c r="BA186" i="1" s="1"/>
  <c r="BC185" i="1"/>
  <c r="AZ185" i="1" s="1"/>
  <c r="BA185" i="1" s="1"/>
  <c r="BC184" i="1"/>
  <c r="AZ184" i="1" s="1"/>
  <c r="BA184" i="1" s="1"/>
  <c r="BC183" i="1"/>
  <c r="AZ183" i="1" s="1"/>
  <c r="BA183" i="1" s="1"/>
  <c r="BC182" i="1"/>
  <c r="AZ182" i="1" s="1"/>
  <c r="BA182" i="1" s="1"/>
  <c r="BC181" i="1"/>
  <c r="AZ181" i="1" s="1"/>
  <c r="BA181" i="1" s="1"/>
  <c r="BC179" i="1"/>
  <c r="AZ179" i="1" s="1"/>
  <c r="BA179" i="1" s="1"/>
  <c r="BC178" i="1"/>
  <c r="AZ178" i="1" s="1"/>
  <c r="BA178" i="1" s="1"/>
  <c r="BC177" i="1"/>
  <c r="AZ177" i="1" s="1"/>
  <c r="BA177" i="1" s="1"/>
  <c r="BC176" i="1"/>
  <c r="AZ176" i="1" s="1"/>
  <c r="BA176" i="1" s="1"/>
  <c r="BC175" i="1"/>
  <c r="AZ175" i="1" s="1"/>
  <c r="BA175" i="1" s="1"/>
  <c r="BC174" i="1"/>
  <c r="AZ174" i="1" s="1"/>
  <c r="BA174" i="1" s="1"/>
  <c r="BC173" i="1"/>
  <c r="AZ173" i="1" s="1"/>
  <c r="BA173" i="1" s="1"/>
  <c r="BC168" i="1"/>
  <c r="AZ168" i="1" s="1"/>
  <c r="BA168" i="1" s="1"/>
  <c r="BC167" i="1"/>
  <c r="AZ167" i="1" s="1"/>
  <c r="BA167" i="1" s="1"/>
  <c r="BC166" i="1"/>
  <c r="AZ166" i="1" s="1"/>
  <c r="BA166" i="1" s="1"/>
  <c r="BC165" i="1"/>
  <c r="AZ165" i="1" s="1"/>
  <c r="BA165" i="1" s="1"/>
  <c r="BC164" i="1"/>
  <c r="AZ164" i="1" s="1"/>
  <c r="BA164" i="1" s="1"/>
  <c r="BC163" i="1"/>
  <c r="AZ163" i="1" s="1"/>
  <c r="BA163" i="1" s="1"/>
  <c r="BC159" i="1"/>
  <c r="AZ159" i="1" s="1"/>
  <c r="BA159" i="1" s="1"/>
  <c r="BC158" i="1"/>
  <c r="AZ158" i="1" s="1"/>
  <c r="BA158" i="1" s="1"/>
  <c r="BC157" i="1"/>
  <c r="AZ157" i="1" s="1"/>
  <c r="BA157" i="1" s="1"/>
  <c r="BC156" i="1"/>
  <c r="AZ156" i="1" s="1"/>
  <c r="BA156" i="1" s="1"/>
  <c r="BC155" i="1"/>
  <c r="AZ155" i="1" s="1"/>
  <c r="BA155" i="1" s="1"/>
  <c r="BC154" i="1"/>
  <c r="AZ154" i="1" s="1"/>
  <c r="BA154" i="1" s="1"/>
  <c r="BC153" i="1"/>
  <c r="AZ153" i="1" s="1"/>
  <c r="BA153" i="1" s="1"/>
  <c r="BC152" i="1"/>
  <c r="AZ152" i="1" s="1"/>
  <c r="BA152" i="1" s="1"/>
  <c r="BC151" i="1"/>
  <c r="AZ151" i="1" s="1"/>
  <c r="BA151" i="1" s="1"/>
  <c r="BC150" i="1"/>
  <c r="AZ150" i="1" s="1"/>
  <c r="BA150" i="1" s="1"/>
  <c r="BC149" i="1"/>
  <c r="AZ149" i="1" s="1"/>
  <c r="BA149" i="1" s="1"/>
  <c r="BC145" i="1"/>
  <c r="AZ145" i="1" s="1"/>
  <c r="BA145" i="1" s="1"/>
  <c r="BC144" i="1"/>
  <c r="AZ144" i="1" s="1"/>
  <c r="BA144" i="1" s="1"/>
  <c r="BC143" i="1"/>
  <c r="AZ143" i="1" s="1"/>
  <c r="BA143" i="1" s="1"/>
  <c r="BC142" i="1"/>
  <c r="AZ142" i="1" s="1"/>
  <c r="BA142" i="1" s="1"/>
  <c r="BC141" i="1"/>
  <c r="AZ141" i="1" s="1"/>
  <c r="BA141" i="1" s="1"/>
  <c r="BC140" i="1"/>
  <c r="AZ140" i="1" s="1"/>
  <c r="BA140" i="1" s="1"/>
  <c r="BC139" i="1"/>
  <c r="AZ139" i="1" s="1"/>
  <c r="BA139" i="1" s="1"/>
  <c r="BC137" i="1"/>
  <c r="AZ137" i="1" s="1"/>
  <c r="BA137" i="1" s="1"/>
  <c r="BC136" i="1"/>
  <c r="AZ136" i="1" s="1"/>
  <c r="BA136" i="1" s="1"/>
  <c r="BC135" i="1"/>
  <c r="AZ135" i="1" s="1"/>
  <c r="BA135" i="1" s="1"/>
  <c r="BC134" i="1"/>
  <c r="AZ134" i="1" s="1"/>
  <c r="BA134" i="1" s="1"/>
  <c r="BC406" i="1"/>
  <c r="AZ406" i="1" s="1"/>
  <c r="BA406" i="1" s="1"/>
  <c r="BC405" i="1"/>
  <c r="AZ405" i="1" s="1"/>
  <c r="BA405" i="1" s="1"/>
  <c r="BC404" i="1"/>
  <c r="AZ404" i="1" s="1"/>
  <c r="BA404" i="1" s="1"/>
  <c r="BC197" i="1"/>
  <c r="AZ197" i="1" s="1"/>
  <c r="BA197" i="1" s="1"/>
  <c r="BC196" i="1"/>
  <c r="AZ196" i="1" s="1"/>
  <c r="BA196" i="1" s="1"/>
  <c r="BC195" i="1"/>
  <c r="AZ195" i="1" s="1"/>
  <c r="BA195" i="1" s="1"/>
  <c r="BC194" i="1"/>
  <c r="AZ194" i="1" s="1"/>
  <c r="BA194" i="1" s="1"/>
  <c r="BC191" i="1"/>
  <c r="AZ191" i="1" s="1"/>
  <c r="BA191" i="1" s="1"/>
  <c r="BC190" i="1"/>
  <c r="AZ190" i="1" s="1"/>
  <c r="BA190" i="1" s="1"/>
  <c r="BC189" i="1"/>
  <c r="AZ189" i="1" s="1"/>
  <c r="BA189" i="1" s="1"/>
  <c r="BC172" i="1"/>
  <c r="AZ172" i="1" s="1"/>
  <c r="BA172" i="1" s="1"/>
  <c r="BC171" i="1"/>
  <c r="AZ171" i="1" s="1"/>
  <c r="BA171" i="1" s="1"/>
  <c r="BC170" i="1"/>
  <c r="AZ170" i="1" s="1"/>
  <c r="BA170" i="1" s="1"/>
  <c r="BC169" i="1"/>
  <c r="AZ169" i="1" s="1"/>
  <c r="BA169" i="1" s="1"/>
  <c r="BC148" i="1"/>
  <c r="AZ148" i="1" s="1"/>
  <c r="BA148" i="1" s="1"/>
  <c r="BC147" i="1"/>
  <c r="AZ147" i="1" s="1"/>
  <c r="BA147" i="1" s="1"/>
  <c r="BC146" i="1"/>
  <c r="AZ146" i="1" s="1"/>
  <c r="BA146" i="1" s="1"/>
  <c r="R202" i="1"/>
  <c r="S202" i="1" s="1"/>
  <c r="BQ208" i="1"/>
  <c r="AW208" i="1"/>
  <c r="AO208" i="1"/>
  <c r="R208" i="1"/>
  <c r="S208" i="1" s="1"/>
  <c r="BQ207" i="1"/>
  <c r="R207" i="1"/>
  <c r="S207" i="1" s="1"/>
  <c r="BQ204" i="1"/>
  <c r="BQ203" i="1"/>
  <c r="AW203" i="1"/>
  <c r="AO203" i="1"/>
  <c r="R203" i="1"/>
  <c r="S203" i="1" s="1"/>
  <c r="BQ202" i="1"/>
  <c r="BQ232" i="1"/>
  <c r="BQ231" i="1"/>
  <c r="BQ230" i="1"/>
  <c r="AW230" i="1"/>
  <c r="AO230" i="1"/>
  <c r="R230" i="1"/>
  <c r="J230" i="1"/>
  <c r="BQ229" i="1"/>
  <c r="R229" i="1"/>
  <c r="S374" i="1"/>
  <c r="S372" i="1"/>
  <c r="R180" i="1"/>
  <c r="S180" i="1" s="1"/>
  <c r="BQ10" i="1"/>
  <c r="BQ18" i="1"/>
  <c r="BQ20" i="1"/>
  <c r="BQ32" i="1"/>
  <c r="BQ33" i="1"/>
  <c r="BQ34" i="1"/>
  <c r="BQ35" i="1"/>
  <c r="BQ36" i="1"/>
  <c r="BQ37" i="1"/>
  <c r="BQ38" i="1"/>
  <c r="BQ40" i="1"/>
  <c r="BQ39" i="1"/>
  <c r="BQ44" i="1"/>
  <c r="BQ45" i="1"/>
  <c r="BQ46" i="1"/>
  <c r="BQ47" i="1"/>
  <c r="BQ48" i="1"/>
  <c r="BQ49" i="1"/>
  <c r="BQ50" i="1"/>
  <c r="BQ51" i="1"/>
  <c r="BQ52" i="1"/>
  <c r="BQ53" i="1"/>
  <c r="BQ55" i="1"/>
  <c r="BQ54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5" i="1"/>
  <c r="BQ96" i="1"/>
  <c r="BQ97" i="1"/>
  <c r="BQ98" i="1"/>
  <c r="BQ99" i="1"/>
  <c r="BQ100" i="1"/>
  <c r="BQ101" i="1"/>
  <c r="BQ102" i="1"/>
  <c r="BQ110" i="1"/>
  <c r="BQ111" i="1"/>
  <c r="BQ112" i="1"/>
  <c r="BQ113" i="1"/>
  <c r="BQ114" i="1"/>
  <c r="BQ115" i="1"/>
  <c r="BQ116" i="1"/>
  <c r="BQ117" i="1"/>
  <c r="BQ118" i="1"/>
  <c r="BQ119" i="1"/>
  <c r="BQ120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5" i="1"/>
  <c r="BQ206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3" i="1"/>
  <c r="BQ224" i="1"/>
  <c r="BQ225" i="1"/>
  <c r="BQ226" i="1"/>
  <c r="BQ227" i="1"/>
  <c r="BQ228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336" i="1"/>
  <c r="BQ337" i="1"/>
  <c r="BQ338" i="1"/>
  <c r="BQ339" i="1"/>
  <c r="BQ340" i="1"/>
  <c r="BQ341" i="1"/>
  <c r="BQ342" i="1"/>
  <c r="BQ344" i="1"/>
  <c r="BQ345" i="1"/>
  <c r="BQ346" i="1"/>
  <c r="BQ347" i="1"/>
  <c r="BQ348" i="1"/>
  <c r="BQ349" i="1"/>
  <c r="BQ350" i="1"/>
  <c r="BQ351" i="1"/>
  <c r="BQ356" i="1"/>
  <c r="BQ357" i="1"/>
  <c r="BQ358" i="1"/>
  <c r="BQ359" i="1"/>
  <c r="BQ360" i="1"/>
  <c r="BQ361" i="1"/>
  <c r="BQ362" i="1"/>
  <c r="BQ363" i="1"/>
  <c r="BQ364" i="1"/>
  <c r="BQ365" i="1"/>
  <c r="BQ368" i="1"/>
  <c r="BQ369" i="1"/>
  <c r="BQ370" i="1"/>
  <c r="BQ371" i="1"/>
  <c r="BQ372" i="1"/>
  <c r="BQ373" i="1"/>
  <c r="BQ374" i="1"/>
  <c r="BQ375" i="1"/>
  <c r="BQ378" i="1"/>
  <c r="BQ379" i="1"/>
  <c r="BQ380" i="1"/>
  <c r="BQ381" i="1"/>
  <c r="BQ382" i="1"/>
  <c r="BQ383" i="1"/>
  <c r="BQ384" i="1"/>
  <c r="BQ385" i="1"/>
  <c r="BQ387" i="1"/>
  <c r="BQ404" i="1"/>
  <c r="BQ405" i="1"/>
  <c r="BQ406" i="1"/>
  <c r="BQ407" i="1"/>
  <c r="BQ408" i="1"/>
  <c r="BQ409" i="1"/>
  <c r="BQ410" i="1"/>
  <c r="BQ411" i="1"/>
  <c r="BQ412" i="1"/>
  <c r="BQ413" i="1"/>
  <c r="BQ414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1" i="1"/>
  <c r="BQ432" i="1"/>
  <c r="BQ433" i="1"/>
  <c r="BQ434" i="1"/>
  <c r="BQ435" i="1"/>
  <c r="BQ436" i="1"/>
  <c r="BQ437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6" i="1"/>
  <c r="BQ467" i="1"/>
  <c r="BQ468" i="1"/>
  <c r="BQ469" i="1"/>
  <c r="BQ470" i="1"/>
  <c r="BQ471" i="1"/>
  <c r="BQ472" i="1"/>
  <c r="BQ473" i="1"/>
  <c r="BQ474" i="1"/>
  <c r="BQ478" i="1"/>
  <c r="BQ482" i="1"/>
  <c r="BQ489" i="1"/>
  <c r="BQ490" i="1"/>
  <c r="R114" i="1"/>
  <c r="S114" i="1" s="1"/>
  <c r="R113" i="1"/>
  <c r="S113" i="1" s="1"/>
  <c r="AW114" i="1"/>
  <c r="AO114" i="1"/>
  <c r="AW180" i="1"/>
  <c r="AO180" i="1"/>
  <c r="AO226" i="1"/>
  <c r="AW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W174" i="1"/>
  <c r="AW173" i="1"/>
  <c r="AW406" i="1"/>
  <c r="AW405" i="1"/>
  <c r="AW490" i="1"/>
  <c r="AW404" i="1"/>
  <c r="AW387" i="1"/>
  <c r="AW385" i="1"/>
  <c r="AW384" i="1"/>
  <c r="AW221" i="1"/>
  <c r="AW220" i="1"/>
  <c r="AW219" i="1"/>
  <c r="AW218" i="1"/>
  <c r="AW217" i="1"/>
  <c r="AW216" i="1"/>
  <c r="AW215" i="1"/>
  <c r="AW214" i="1"/>
  <c r="AW213" i="1"/>
  <c r="AW212" i="1"/>
  <c r="AW211" i="1"/>
  <c r="AW210" i="1"/>
  <c r="AW209" i="1"/>
  <c r="AW199" i="1"/>
  <c r="AW198" i="1"/>
  <c r="AW193" i="1"/>
  <c r="AW192" i="1"/>
  <c r="AW188" i="1"/>
  <c r="AW187" i="1"/>
  <c r="AW186" i="1"/>
  <c r="AW185" i="1"/>
  <c r="AW184" i="1"/>
  <c r="AW183" i="1"/>
  <c r="AW182" i="1"/>
  <c r="AW181" i="1"/>
  <c r="AW179" i="1"/>
  <c r="AW178" i="1"/>
  <c r="AW177" i="1"/>
  <c r="AW176" i="1"/>
  <c r="AW175" i="1"/>
  <c r="AW168" i="1"/>
  <c r="AW167" i="1"/>
  <c r="AW166" i="1"/>
  <c r="AW165" i="1"/>
  <c r="AW164" i="1"/>
  <c r="AW163" i="1"/>
  <c r="AW159" i="1"/>
  <c r="AW158" i="1"/>
  <c r="AW157" i="1"/>
  <c r="AW156" i="1"/>
  <c r="AW155" i="1"/>
  <c r="AW154" i="1"/>
  <c r="AW153" i="1"/>
  <c r="AW152" i="1"/>
  <c r="AW151" i="1"/>
  <c r="AW150" i="1"/>
  <c r="AW149" i="1"/>
  <c r="AW145" i="1"/>
  <c r="AW144" i="1"/>
  <c r="AW143" i="1"/>
  <c r="AW142" i="1"/>
  <c r="AW141" i="1"/>
  <c r="AW140" i="1"/>
  <c r="AW139" i="1"/>
  <c r="AW137" i="1"/>
  <c r="AW136" i="1"/>
  <c r="AW135" i="1"/>
  <c r="AW134" i="1"/>
  <c r="BA473" i="1" l="1"/>
  <c r="AY473" i="1"/>
  <c r="BA474" i="1"/>
  <c r="AY474" i="1"/>
  <c r="BA482" i="1"/>
  <c r="AY482" i="1"/>
  <c r="BA468" i="1"/>
  <c r="AY468" i="1"/>
  <c r="BA478" i="1"/>
  <c r="AY478" i="1"/>
  <c r="BA470" i="1"/>
  <c r="AY470" i="1"/>
  <c r="BA472" i="1"/>
  <c r="AZ449" i="1"/>
  <c r="BA449" i="1" s="1"/>
  <c r="BB342" i="1"/>
  <c r="BB226" i="1"/>
  <c r="AY387" i="1"/>
  <c r="AY168" i="1"/>
  <c r="BB47" i="1"/>
  <c r="AY120" i="1"/>
  <c r="BB337" i="1"/>
  <c r="BB215" i="1"/>
  <c r="BB216" i="1"/>
  <c r="BB95" i="1"/>
  <c r="BB101" i="1"/>
  <c r="BB338" i="1"/>
  <c r="BB350" i="1"/>
  <c r="AY81" i="1"/>
  <c r="BB8" i="1"/>
  <c r="BB360" i="1"/>
  <c r="AY142" i="1"/>
  <c r="AY192" i="1"/>
  <c r="BB230" i="1"/>
  <c r="BB200" i="1"/>
  <c r="BB233" i="1"/>
  <c r="BB152" i="1"/>
  <c r="AY448" i="1"/>
  <c r="BB451" i="1"/>
  <c r="BB140" i="1"/>
  <c r="BB73" i="1"/>
  <c r="AY435" i="1"/>
  <c r="BB435" i="1"/>
  <c r="BB231" i="1"/>
  <c r="BB489" i="1"/>
  <c r="BB96" i="1"/>
  <c r="BB351" i="1"/>
  <c r="BB411" i="1"/>
  <c r="BB424" i="1"/>
  <c r="BB4" i="1"/>
  <c r="BB28" i="1"/>
  <c r="BB26" i="1"/>
  <c r="AY167" i="1"/>
  <c r="BB167" i="1"/>
  <c r="BB371" i="1"/>
  <c r="BB468" i="1"/>
  <c r="BB86" i="1"/>
  <c r="BB178" i="1"/>
  <c r="BB219" i="1"/>
  <c r="BB74" i="1"/>
  <c r="BB87" i="1"/>
  <c r="AY436" i="1"/>
  <c r="BB436" i="1"/>
  <c r="AY202" i="1"/>
  <c r="BB202" i="1"/>
  <c r="BB205" i="1"/>
  <c r="BB357" i="1"/>
  <c r="BB427" i="1"/>
  <c r="BB457" i="1"/>
  <c r="BB89" i="1"/>
  <c r="AY437" i="1"/>
  <c r="BB437" i="1"/>
  <c r="BB68" i="1"/>
  <c r="AY203" i="1"/>
  <c r="BB203" i="1"/>
  <c r="BB206" i="1"/>
  <c r="BB365" i="1"/>
  <c r="AY379" i="1"/>
  <c r="BB240" i="1"/>
  <c r="BB246" i="1"/>
  <c r="BB252" i="1"/>
  <c r="BB264" i="1"/>
  <c r="BB276" i="1"/>
  <c r="BB340" i="1"/>
  <c r="BB412" i="1"/>
  <c r="BB425" i="1"/>
  <c r="AY458" i="1"/>
  <c r="BB372" i="1"/>
  <c r="BB188" i="1"/>
  <c r="AY190" i="1"/>
  <c r="BB190" i="1"/>
  <c r="BB474" i="1"/>
  <c r="BB440" i="1"/>
  <c r="AY32" i="1"/>
  <c r="AY69" i="1"/>
  <c r="BB69" i="1"/>
  <c r="BB204" i="1"/>
  <c r="BB368" i="1"/>
  <c r="BB380" i="1"/>
  <c r="AY154" i="1"/>
  <c r="AY191" i="1"/>
  <c r="BB191" i="1"/>
  <c r="BB150" i="1"/>
  <c r="AY384" i="1"/>
  <c r="BB384" i="1"/>
  <c r="BB70" i="1"/>
  <c r="AY112" i="1"/>
  <c r="BB112" i="1"/>
  <c r="BB207" i="1"/>
  <c r="BB241" i="1"/>
  <c r="BB253" i="1"/>
  <c r="BB265" i="1"/>
  <c r="BB277" i="1"/>
  <c r="BB426" i="1"/>
  <c r="BB466" i="1"/>
  <c r="BB383" i="1"/>
  <c r="AY169" i="1"/>
  <c r="BB169" i="1"/>
  <c r="BB75" i="1"/>
  <c r="BB166" i="1"/>
  <c r="AY92" i="1"/>
  <c r="BB92" i="1"/>
  <c r="BB71" i="1"/>
  <c r="BB117" i="1"/>
  <c r="BB208" i="1"/>
  <c r="AY447" i="1"/>
  <c r="BB447" i="1"/>
  <c r="BB370" i="1"/>
  <c r="BB382" i="1"/>
  <c r="BB62" i="1"/>
  <c r="BB404" i="1"/>
  <c r="BB470" i="1"/>
  <c r="BB482" i="1"/>
  <c r="BB405" i="1"/>
  <c r="AY145" i="1"/>
  <c r="BB199" i="1"/>
  <c r="BB18" i="1"/>
  <c r="BB55" i="1"/>
  <c r="AY110" i="1"/>
  <c r="BB346" i="1"/>
  <c r="AY181" i="1"/>
  <c r="BB441" i="1"/>
  <c r="BB85" i="1"/>
  <c r="BB183" i="1"/>
  <c r="BB195" i="1"/>
  <c r="BB453" i="1"/>
  <c r="BB133" i="1"/>
  <c r="BB237" i="1"/>
  <c r="BB273" i="1"/>
  <c r="BB416" i="1"/>
  <c r="BB454" i="1"/>
  <c r="BB49" i="1"/>
  <c r="BB63" i="1"/>
  <c r="AY347" i="1"/>
  <c r="BB48" i="1"/>
  <c r="BB249" i="1"/>
  <c r="AY156" i="1"/>
  <c r="BB50" i="1"/>
  <c r="BB361" i="1"/>
  <c r="BB373" i="1"/>
  <c r="BB238" i="1"/>
  <c r="BB417" i="1"/>
  <c r="BB429" i="1"/>
  <c r="BB6" i="1"/>
  <c r="BB428" i="1"/>
  <c r="BB170" i="1"/>
  <c r="AY157" i="1"/>
  <c r="BB12" i="1"/>
  <c r="BB362" i="1"/>
  <c r="AY171" i="1"/>
  <c r="AY193" i="1"/>
  <c r="BB471" i="1"/>
  <c r="BB239" i="1"/>
  <c r="BB251" i="1"/>
  <c r="BB263" i="1"/>
  <c r="BB159" i="1"/>
  <c r="AY111" i="1"/>
  <c r="BB223" i="1"/>
  <c r="BB51" i="1"/>
  <c r="BB135" i="1"/>
  <c r="BB211" i="1"/>
  <c r="AY364" i="1"/>
  <c r="BB348" i="1"/>
  <c r="BB30" i="1"/>
  <c r="BB275" i="1"/>
  <c r="AY378" i="1"/>
  <c r="BB147" i="1"/>
  <c r="BB173" i="1"/>
  <c r="BB37" i="1"/>
  <c r="BB44" i="1"/>
  <c r="BB54" i="1"/>
  <c r="BB83" i="1"/>
  <c r="BB84" i="1"/>
  <c r="BB35" i="1"/>
  <c r="BB36" i="1"/>
  <c r="BB115" i="1"/>
  <c r="AZ180" i="1"/>
  <c r="BA180" i="1" s="1"/>
  <c r="BB90" i="1"/>
  <c r="BB33" i="1"/>
  <c r="BB78" i="1"/>
  <c r="BB227" i="1"/>
  <c r="BB385" i="1"/>
  <c r="BB259" i="1"/>
  <c r="BB235" i="1"/>
  <c r="BB452" i="1"/>
  <c r="BB212" i="1"/>
  <c r="BB61" i="1"/>
  <c r="BB469" i="1"/>
  <c r="BB143" i="1"/>
  <c r="BB409" i="1"/>
  <c r="BB20" i="1"/>
  <c r="BB250" i="1"/>
  <c r="BB369" i="1"/>
  <c r="AY176" i="1"/>
  <c r="AY434" i="1"/>
  <c r="AY158" i="1"/>
  <c r="BB158" i="1"/>
  <c r="AY177" i="1"/>
  <c r="AY218" i="1"/>
  <c r="BB218" i="1"/>
  <c r="BB14" i="1"/>
  <c r="BB52" i="1"/>
  <c r="AY66" i="1"/>
  <c r="AY281" i="1"/>
  <c r="BB160" i="1"/>
  <c r="BB418" i="1"/>
  <c r="AY4" i="1"/>
  <c r="AY28" i="1"/>
  <c r="BB67" i="1"/>
  <c r="BB224" i="1"/>
  <c r="BB374" i="1"/>
  <c r="BB32" i="1"/>
  <c r="BB155" i="1"/>
  <c r="BB111" i="1"/>
  <c r="BB262" i="1"/>
  <c r="BB413" i="1"/>
  <c r="BB72" i="1"/>
  <c r="BB229" i="1"/>
  <c r="BB381" i="1"/>
  <c r="BB138" i="1"/>
  <c r="BB99" i="1"/>
  <c r="BB80" i="1"/>
  <c r="BB410" i="1"/>
  <c r="BB65" i="1"/>
  <c r="AY172" i="1"/>
  <c r="BB172" i="1"/>
  <c r="AY198" i="1"/>
  <c r="AY16" i="1"/>
  <c r="BB53" i="1"/>
  <c r="BB232" i="1"/>
  <c r="BB443" i="1"/>
  <c r="BB79" i="1"/>
  <c r="BB46" i="1"/>
  <c r="BB467" i="1"/>
  <c r="BB274" i="1"/>
  <c r="BB478" i="1"/>
  <c r="BB363" i="1"/>
  <c r="BB444" i="1"/>
  <c r="BB459" i="1"/>
  <c r="BB186" i="1"/>
  <c r="BB179" i="1"/>
  <c r="BB375" i="1"/>
  <c r="BB163" i="1"/>
  <c r="AY199" i="1"/>
  <c r="BB220" i="1"/>
  <c r="AY55" i="1"/>
  <c r="BB97" i="1"/>
  <c r="BB419" i="1"/>
  <c r="BB442" i="1"/>
  <c r="BB58" i="1"/>
  <c r="BB214" i="1"/>
  <c r="BB364" i="1"/>
  <c r="BB472" i="1"/>
  <c r="BB144" i="1"/>
  <c r="BB439" i="1"/>
  <c r="BB387" i="1"/>
  <c r="BB339" i="1"/>
  <c r="BB490" i="1"/>
  <c r="BB281" i="1"/>
  <c r="BB201" i="1"/>
  <c r="BB66" i="1"/>
  <c r="BB91" i="1"/>
  <c r="BB406" i="1"/>
  <c r="BB149" i="1"/>
  <c r="BB209" i="1"/>
  <c r="BB221" i="1"/>
  <c r="BB76" i="1"/>
  <c r="AY445" i="1"/>
  <c r="AY223" i="1"/>
  <c r="BB258" i="1"/>
  <c r="BB378" i="1"/>
  <c r="BB336" i="1"/>
  <c r="BB156" i="1"/>
  <c r="BB450" i="1"/>
  <c r="BB414" i="1"/>
  <c r="BB356" i="1"/>
  <c r="BB213" i="1"/>
  <c r="BB153" i="1"/>
  <c r="BB244" i="1"/>
  <c r="BB164" i="1"/>
  <c r="AY134" i="1"/>
  <c r="BB134" i="1"/>
  <c r="AY150" i="1"/>
  <c r="AY165" i="1"/>
  <c r="AY182" i="1"/>
  <c r="BB182" i="1"/>
  <c r="AY210" i="1"/>
  <c r="BB38" i="1"/>
  <c r="BB98" i="1"/>
  <c r="BB341" i="1"/>
  <c r="BB270" i="1"/>
  <c r="BB422" i="1"/>
  <c r="BB81" i="1"/>
  <c r="BB236" i="1"/>
  <c r="BB349" i="1"/>
  <c r="BB10" i="1"/>
  <c r="BB268" i="1"/>
  <c r="BB176" i="1"/>
  <c r="BB245" i="1"/>
  <c r="BB102" i="1"/>
  <c r="AY116" i="1"/>
  <c r="AY194" i="1"/>
  <c r="BB194" i="1"/>
  <c r="AY151" i="1"/>
  <c r="AY211" i="1"/>
  <c r="AY78" i="1"/>
  <c r="BB248" i="1"/>
  <c r="BB59" i="1"/>
  <c r="BB22" i="1"/>
  <c r="BB473" i="1"/>
  <c r="BB145" i="1"/>
  <c r="BB445" i="1"/>
  <c r="BB271" i="1"/>
  <c r="BB247" i="1"/>
  <c r="BB16" i="1"/>
  <c r="BB198" i="1"/>
  <c r="BB100" i="1"/>
  <c r="BB257" i="1"/>
  <c r="BB136" i="1"/>
  <c r="BB184" i="1"/>
  <c r="AY344" i="1"/>
  <c r="BB40" i="1"/>
  <c r="BB88" i="1"/>
  <c r="BB242" i="1"/>
  <c r="BB254" i="1"/>
  <c r="BB266" i="1"/>
  <c r="BB278" i="1"/>
  <c r="BB446" i="1"/>
  <c r="BB260" i="1"/>
  <c r="BB379" i="1"/>
  <c r="BB34" i="1"/>
  <c r="BB192" i="1"/>
  <c r="BB157" i="1"/>
  <c r="BB407" i="1"/>
  <c r="BB420" i="1"/>
  <c r="BB116" i="1"/>
  <c r="BB45" i="1"/>
  <c r="BB118" i="1"/>
  <c r="AY146" i="1"/>
  <c r="BB146" i="1"/>
  <c r="BB196" i="1"/>
  <c r="BB137" i="1"/>
  <c r="BB185" i="1"/>
  <c r="AY345" i="1"/>
  <c r="BB358" i="1"/>
  <c r="BB458" i="1"/>
  <c r="BB119" i="1"/>
  <c r="BB272" i="1"/>
  <c r="BB82" i="1"/>
  <c r="BB171" i="1"/>
  <c r="BB456" i="1"/>
  <c r="BB347" i="1"/>
  <c r="BB39" i="1"/>
  <c r="BB256" i="1"/>
  <c r="BB139" i="1"/>
  <c r="BB345" i="1"/>
  <c r="BB217" i="1"/>
  <c r="BB197" i="1"/>
  <c r="BB431" i="1"/>
  <c r="BB113" i="1"/>
  <c r="BB359" i="1"/>
  <c r="BB243" i="1"/>
  <c r="BB255" i="1"/>
  <c r="BB267" i="1"/>
  <c r="BB279" i="1"/>
  <c r="BB24" i="1"/>
  <c r="BB142" i="1"/>
  <c r="BB93" i="1"/>
  <c r="BB60" i="1"/>
  <c r="BB181" i="1"/>
  <c r="BB269" i="1"/>
  <c r="BB210" i="1"/>
  <c r="BB141" i="1"/>
  <c r="BB280" i="1"/>
  <c r="BB151" i="1"/>
  <c r="BB57" i="1"/>
  <c r="BB225" i="1"/>
  <c r="BB148" i="1"/>
  <c r="BB174" i="1"/>
  <c r="BB432" i="1"/>
  <c r="BB114" i="1"/>
  <c r="AY360" i="1"/>
  <c r="AY372" i="1"/>
  <c r="BB154" i="1"/>
  <c r="BB448" i="1"/>
  <c r="BB110" i="1"/>
  <c r="BB261" i="1"/>
  <c r="BB228" i="1"/>
  <c r="BB193" i="1"/>
  <c r="BB189" i="1"/>
  <c r="BB423" i="1"/>
  <c r="BB165" i="1"/>
  <c r="BB421" i="1"/>
  <c r="BB175" i="1"/>
  <c r="AY457" i="1"/>
  <c r="AY54" i="1"/>
  <c r="AY433" i="1"/>
  <c r="BB64" i="1"/>
  <c r="AY115" i="1"/>
  <c r="AY361" i="1"/>
  <c r="AY373" i="1"/>
  <c r="BB455" i="1"/>
  <c r="BB168" i="1"/>
  <c r="BB120" i="1"/>
  <c r="BB434" i="1"/>
  <c r="BB408" i="1"/>
  <c r="BB344" i="1"/>
  <c r="BB77" i="1"/>
  <c r="BB433" i="1"/>
  <c r="BB177" i="1"/>
  <c r="AY65" i="1"/>
  <c r="AY159" i="1"/>
  <c r="AY219" i="1"/>
  <c r="AY53" i="1"/>
  <c r="AY443" i="1"/>
  <c r="AY220" i="1"/>
  <c r="AY76" i="1"/>
  <c r="AY441" i="1"/>
  <c r="AY135" i="1"/>
  <c r="AY183" i="1"/>
  <c r="AY195" i="1"/>
  <c r="AY136" i="1"/>
  <c r="AY184" i="1"/>
  <c r="AY137" i="1"/>
  <c r="AY185" i="1"/>
  <c r="AY147" i="1"/>
  <c r="AY173" i="1"/>
  <c r="AY50" i="1"/>
  <c r="AY84" i="1"/>
  <c r="AY52" i="1"/>
  <c r="AY232" i="1"/>
  <c r="AY406" i="1"/>
  <c r="AY204" i="1"/>
  <c r="AY217" i="1"/>
  <c r="AY12" i="1"/>
  <c r="AY205" i="1"/>
  <c r="AY75" i="1"/>
  <c r="AY33" i="1"/>
  <c r="AY22" i="1"/>
  <c r="AY207" i="1"/>
  <c r="AY369" i="1"/>
  <c r="AY381" i="1"/>
  <c r="AY216" i="1"/>
  <c r="AY64" i="1"/>
  <c r="AY34" i="1"/>
  <c r="AY59" i="1"/>
  <c r="AY208" i="1"/>
  <c r="AY356" i="1"/>
  <c r="AY370" i="1"/>
  <c r="AY382" i="1"/>
  <c r="AY233" i="1"/>
  <c r="AY74" i="1"/>
  <c r="AY60" i="1"/>
  <c r="AY357" i="1"/>
  <c r="AY371" i="1"/>
  <c r="AY383" i="1"/>
  <c r="AY10" i="1"/>
  <c r="AY86" i="1"/>
  <c r="AY231" i="1"/>
  <c r="AY404" i="1"/>
  <c r="AY87" i="1"/>
  <c r="AY405" i="1"/>
  <c r="AY453" i="1"/>
  <c r="AY36" i="1"/>
  <c r="AY342" i="1"/>
  <c r="AY439" i="1"/>
  <c r="AY358" i="1"/>
  <c r="AY48" i="1"/>
  <c r="AY62" i="1"/>
  <c r="AY346" i="1"/>
  <c r="AY113" i="1"/>
  <c r="AY359" i="1"/>
  <c r="AY490" i="1"/>
  <c r="AY230" i="1"/>
  <c r="AY14" i="1"/>
  <c r="AY489" i="1"/>
  <c r="AY26" i="1"/>
  <c r="AY82" i="1"/>
  <c r="AY114" i="1"/>
  <c r="AY228" i="1"/>
  <c r="AY51" i="1"/>
  <c r="AY6" i="1"/>
  <c r="AY143" i="1"/>
  <c r="AY57" i="1"/>
  <c r="AY58" i="1"/>
  <c r="AY70" i="1"/>
  <c r="AY214" i="1"/>
  <c r="AY166" i="1"/>
  <c r="AY385" i="1"/>
  <c r="AY45" i="1"/>
  <c r="AY71" i="1"/>
  <c r="AY117" i="1"/>
  <c r="AY432" i="1"/>
  <c r="AY46" i="1"/>
  <c r="AY119" i="1"/>
  <c r="AY431" i="1"/>
  <c r="AY196" i="1"/>
  <c r="AY47" i="1"/>
  <c r="AY226" i="1"/>
  <c r="AY83" i="1"/>
  <c r="AY197" i="1"/>
  <c r="AY227" i="1"/>
  <c r="AY144" i="1"/>
  <c r="AY444" i="1"/>
  <c r="AY365" i="1"/>
  <c r="AY440" i="1"/>
  <c r="AY368" i="1"/>
  <c r="AY141" i="1"/>
  <c r="AY175" i="1"/>
  <c r="AY188" i="1"/>
  <c r="AY229" i="1"/>
  <c r="AY72" i="1"/>
  <c r="AY200" i="1"/>
  <c r="AY362" i="1"/>
  <c r="AY374" i="1"/>
  <c r="AY73" i="1"/>
  <c r="AY201" i="1"/>
  <c r="AY363" i="1"/>
  <c r="AY375" i="1"/>
  <c r="AY178" i="1"/>
  <c r="AY67" i="1"/>
  <c r="AY189" i="1"/>
  <c r="AY163" i="1"/>
  <c r="AY179" i="1"/>
  <c r="AY89" i="1"/>
  <c r="AY18" i="1"/>
  <c r="AY68" i="1"/>
  <c r="AY206" i="1"/>
  <c r="AY90" i="1"/>
  <c r="AY20" i="1"/>
  <c r="AY380" i="1"/>
  <c r="AY77" i="1"/>
  <c r="AY91" i="1"/>
  <c r="AY446" i="1"/>
  <c r="AY224" i="1"/>
  <c r="AY152" i="1"/>
  <c r="AY212" i="1"/>
  <c r="AY35" i="1"/>
  <c r="AY79" i="1"/>
  <c r="AY225" i="1"/>
  <c r="AY30" i="1"/>
  <c r="AY153" i="1"/>
  <c r="AY213" i="1"/>
  <c r="AY80" i="1"/>
  <c r="AY61" i="1"/>
  <c r="AY139" i="1"/>
  <c r="AY186" i="1"/>
  <c r="AY37" i="1"/>
  <c r="AY24" i="1"/>
  <c r="AY148" i="1"/>
  <c r="AY44" i="1"/>
  <c r="AY8" i="1"/>
  <c r="AY49" i="1"/>
  <c r="AY63" i="1"/>
  <c r="AY149" i="1"/>
  <c r="AY164" i="1"/>
  <c r="AZ187" i="1"/>
  <c r="BA187" i="1" s="1"/>
  <c r="AY215" i="1"/>
  <c r="AY140" i="1"/>
  <c r="AY209" i="1"/>
  <c r="AY155" i="1"/>
  <c r="AY452" i="1"/>
  <c r="AY221" i="1"/>
  <c r="AY174" i="1"/>
  <c r="AY170" i="1"/>
  <c r="BB449" i="1" l="1"/>
  <c r="AY449" i="1"/>
  <c r="BB180" i="1"/>
  <c r="AY180" i="1"/>
  <c r="BB187" i="1"/>
  <c r="AY187" i="1"/>
</calcChain>
</file>

<file path=xl/sharedStrings.xml><?xml version="1.0" encoding="utf-8"?>
<sst xmlns="http://schemas.openxmlformats.org/spreadsheetml/2006/main" count="7914" uniqueCount="1554">
  <si>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</si>
  <si>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</si>
  <si>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</si>
  <si>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</si>
  <si>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</si>
  <si>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</si>
  <si>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</si>
  <si>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</si>
  <si>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</si>
  <si>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</si>
  <si>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</si>
  <si>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</si>
  <si>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</si>
  <si>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</si>
  <si>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</si>
  <si>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</si>
  <si>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</si>
  <si>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</si>
  <si>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</si>
  <si>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</si>
  <si>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</si>
  <si>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</si>
  <si>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</si>
  <si>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</si>
  <si>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</si>
  <si>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</si>
  <si>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</si>
  <si>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</si>
  <si>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</si>
  <si>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</si>
  <si>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</si>
  <si>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</si>
  <si>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</si>
  <si>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</si>
  <si>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</si>
  <si>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</si>
  <si>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</si>
  <si>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</si>
  <si>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</si>
  <si>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</si>
  <si>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</si>
  <si>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</si>
  <si>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</si>
  <si>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</si>
  <si>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</si>
  <si>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</si>
  <si>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</si>
  <si>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</si>
  <si>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</si>
  <si>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</si>
  <si>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</si>
  <si>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</si>
  <si>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</si>
  <si>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</si>
  <si>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</si>
  <si>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</si>
  <si>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</si>
  <si>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</si>
  <si>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Rain</t>
  </si>
  <si>
    <t>total</t>
  </si>
  <si>
    <t>cm</t>
  </si>
  <si>
    <t>dayRain</t>
  </si>
  <si>
    <t>roof_hourly_rain</t>
  </si>
  <si>
    <t>hourRain</t>
  </si>
  <si>
    <t>roof_monthly_rain</t>
  </si>
  <si>
    <t>monthRain</t>
  </si>
  <si>
    <t>rain24</t>
  </si>
  <si>
    <t>roof_rain_rate</t>
  </si>
  <si>
    <t>rainRate</t>
  </si>
  <si>
    <t>roof_rain</t>
  </si>
  <si>
    <t>total_increasing</t>
  </si>
  <si>
    <t>rain</t>
  </si>
  <si>
    <t>roof_storm_rain</t>
  </si>
  <si>
    <t>stormRain</t>
  </si>
  <si>
    <t>roof_yearly_rain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</si>
  <si>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</si>
  <si>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</si>
  <si>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</si>
  <si>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</si>
  <si>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</si>
  <si>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</si>
  <si>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</si>
  <si>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</si>
  <si>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</si>
  <si>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</si>
  <si>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</si>
  <si>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</si>
  <si>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</si>
  <si>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</si>
  <si>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</si>
  <si>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</si>
  <si>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</si>
  <si>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</si>
  <si>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</si>
  <si>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</si>
  <si>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</si>
  <si>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</si>
  <si>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</si>
  <si>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</si>
  <si>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</si>
  <si>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</si>
  <si>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</si>
  <si>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</si>
  <si>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</si>
  <si>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</si>
  <si>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</si>
  <si>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</si>
  <si>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</si>
  <si>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</si>
  <si>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</si>
  <si>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</si>
  <si>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</si>
  <si>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</si>
  <si>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</si>
  <si>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</si>
  <si>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</si>
  <si>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</si>
  <si>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</si>
  <si>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</si>
  <si>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</si>
  <si>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</si>
  <si>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</si>
  <si>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</si>
  <si>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</si>
  <si>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</si>
  <si>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</si>
  <si>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</si>
  <si>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</si>
  <si>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</si>
  <si>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</si>
  <si>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</si>
  <si>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</si>
  <si>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</si>
  <si>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</si>
  <si>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</si>
  <si>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</si>
  <si>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</si>
  <si>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</si>
  <si>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</si>
  <si>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</si>
  <si>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</si>
  <si>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</si>
  <si>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</si>
  <si>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</si>
  <si>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</si>
  <si>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</si>
  <si>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</si>
  <si>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</si>
  <si>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</si>
  <si>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</si>
  <si>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</si>
  <si>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</si>
  <si>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</si>
  <si>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</si>
  <si>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</si>
  <si>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</si>
  <si>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</si>
  <si>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</si>
  <si>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</si>
  <si>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</si>
  <si>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</si>
  <si>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</si>
  <si>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</si>
  <si>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</si>
  <si>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</si>
  <si>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</si>
  <si>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</si>
  <si>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</si>
  <si>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</si>
  <si>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</si>
  <si>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</si>
  <si>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</si>
  <si>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</si>
  <si>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</si>
  <si>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</si>
  <si>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</si>
  <si>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</si>
  <si>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</si>
  <si>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</si>
  <si>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</si>
  <si>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</si>
  <si>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</si>
  <si>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</si>
  <si>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</si>
  <si>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</si>
  <si>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</si>
  <si>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</si>
  <si>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</si>
  <si>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</si>
  <si>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</si>
  <si>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</si>
  <si>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</si>
  <si>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</si>
  <si>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</si>
  <si>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</si>
  <si>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</si>
  <si>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</si>
  <si>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</si>
  <si>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</si>
  <si>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</si>
  <si>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</si>
  <si>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</si>
  <si>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</si>
  <si>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</si>
  <si>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</si>
  <si>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</si>
  <si>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</si>
  <si>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</si>
  <si>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</si>
  <si>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</si>
  <si>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</si>
  <si>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</si>
  <si>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</si>
  <si>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</si>
  <si>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</si>
  <si>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</si>
  <si>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</si>
  <si>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</si>
  <si>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</si>
  <si>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</si>
  <si>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</si>
  <si>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</si>
  <si>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</si>
  <si>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</si>
  <si>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</si>
  <si>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</si>
  <si>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</si>
  <si>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</si>
  <si>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</si>
  <si>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</si>
  <si>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</si>
  <si>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</si>
  <si>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</si>
  <si>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</si>
  <si>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</si>
  <si>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</si>
  <si>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</si>
  <si>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</si>
  <si>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</si>
  <si>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</si>
  <si>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</si>
  <si>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</si>
  <si>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</si>
  <si>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</si>
  <si>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</si>
  <si>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</si>
  <si>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</si>
  <si>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</si>
  <si>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</si>
  <si>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</si>
  <si>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</si>
  <si>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</si>
  <si>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</si>
  <si>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</si>
  <si>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</si>
  <si>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</si>
  <si>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</si>
  <si>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</si>
  <si>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</si>
  <si>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</si>
  <si>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</si>
  <si>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</si>
  <si>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</si>
  <si>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</si>
  <si>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</si>
  <si>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</si>
  <si>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</si>
  <si>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</si>
  <si>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</si>
  <si>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</si>
  <si>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</si>
  <si>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</si>
  <si>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</si>
  <si>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</si>
  <si>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</si>
  <si>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</si>
  <si>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</si>
  <si>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</si>
  <si>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</si>
  <si>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</si>
  <si>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</si>
  <si>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</si>
  <si>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</si>
  <si>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</si>
  <si>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</si>
  <si>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</si>
  <si>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</si>
  <si>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</si>
  <si>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</si>
  <si>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</si>
  <si>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</si>
  <si>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</si>
  <si>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</si>
  <si>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</si>
  <si>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</si>
  <si>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</si>
  <si>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</si>
  <si>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</si>
  <si>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</si>
  <si>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</si>
  <si>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</si>
  <si>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</si>
  <si>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</si>
  <si>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</si>
  <si>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</si>
  <si>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</si>
  <si>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</si>
  <si>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</si>
  <si>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</si>
  <si>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</si>
  <si>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</si>
  <si>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</si>
  <si>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</si>
  <si>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</si>
  <si>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</si>
  <si>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</si>
  <si>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</si>
  <si>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</si>
  <si>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</si>
  <si>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</si>
  <si>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</si>
  <si>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</si>
  <si>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</si>
  <si>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</si>
  <si>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</si>
  <si>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</si>
  <si>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</si>
  <si>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</si>
  <si>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</si>
  <si>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</si>
  <si>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</si>
  <si>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</si>
  <si>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</si>
  <si>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</si>
  <si>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</si>
  <si>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</si>
  <si>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</si>
  <si>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</si>
  <si>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</si>
  <si>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</si>
  <si>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</si>
  <si>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</si>
  <si>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</si>
  <si>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</si>
  <si>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</si>
  <si>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</si>
  <si>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</si>
  <si>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</si>
  <si>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</si>
  <si>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</si>
  <si>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</si>
  <si>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</si>
  <si>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</si>
  <si>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</si>
  <si>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</si>
  <si>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</si>
  <si>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</si>
  <si>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</si>
  <si>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</si>
  <si>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</si>
  <si>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</si>
  <si>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</si>
  <si>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</si>
  <si>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</si>
  <si>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</si>
  <si>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</si>
  <si>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</si>
  <si>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</si>
  <si>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</si>
  <si>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</si>
  <si>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</si>
  <si>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</si>
  <si>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</si>
  <si>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</si>
  <si>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</si>
  <si>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</si>
  <si>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</si>
  <si>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</si>
  <si>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</si>
  <si>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</si>
  <si>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</si>
  <si>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</si>
  <si>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</si>
  <si>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</si>
  <si>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</si>
  <si>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</si>
  <si>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</si>
  <si>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</si>
  <si>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</si>
  <si>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</si>
  <si>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</si>
  <si>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</si>
  <si>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</si>
  <si>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</si>
  <si>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</si>
  <si>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</si>
  <si>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</si>
  <si>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</si>
  <si>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</si>
  <si>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</si>
  <si>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</si>
  <si>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</si>
  <si>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</si>
  <si>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</si>
  <si>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</si>
  <si>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</si>
  <si>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</si>
  <si>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</si>
  <si>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</si>
  <si>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</si>
  <si>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</si>
  <si>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</si>
  <si>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</si>
  <si>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</si>
  <si>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</si>
  <si>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</si>
  <si>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</si>
  <si>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</si>
  <si>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</si>
  <si>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</si>
  <si>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</si>
  <si>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</si>
  <si>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</si>
  <si>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</si>
  <si>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</si>
  <si>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</si>
  <si>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</si>
  <si>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</si>
  <si>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</si>
  <si>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</si>
  <si>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</si>
  <si>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</si>
  <si>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</si>
  <si>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</si>
  <si>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</si>
  <si>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</si>
  <si>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</si>
  <si>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</si>
  <si>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google_aliases</t>
  </si>
  <si>
    <t>Air Purifier</t>
  </si>
  <si>
    <t>Fan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</si>
  <si>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</si>
  <si>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</si>
  <si>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</si>
  <si>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</si>
  <si>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</si>
  <si>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</si>
  <si>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</si>
  <si>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</si>
  <si>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</si>
  <si>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</si>
  <si>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</si>
  <si>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</si>
  <si>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</si>
  <si>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</si>
  <si>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</si>
  <si>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</si>
  <si>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</si>
  <si>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</si>
  <si>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</si>
  <si>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</si>
  <si>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</si>
  <si>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</si>
  <si>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</si>
  <si>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</si>
  <si>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</si>
  <si>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</si>
  <si>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</si>
  <si>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</si>
  <si>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</si>
  <si>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</si>
  <si>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</si>
  <si>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</si>
  <si>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</si>
  <si>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</si>
  <si>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</si>
  <si>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</si>
  <si>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</si>
  <si>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</si>
  <si>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</si>
  <si>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</si>
  <si>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</si>
  <si>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</si>
  <si>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</si>
  <si>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</si>
  <si>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</si>
  <si>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</si>
  <si>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</si>
  <si>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</si>
  <si>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</si>
  <si>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</si>
  <si>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</si>
  <si>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</si>
  <si>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</si>
  <si>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</si>
  <si>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</si>
  <si>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</si>
  <si>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</si>
  <si>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</si>
  <si>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</si>
  <si>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</si>
  <si>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</si>
  <si>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</si>
  <si>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</si>
  <si>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</si>
  <si>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</si>
  <si>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</si>
  <si>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</si>
  <si>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</si>
  <si>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</si>
  <si>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</si>
  <si>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</si>
  <si>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</si>
  <si>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</si>
  <si>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</si>
  <si>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</si>
  <si>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</si>
  <si>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</si>
  <si>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</si>
  <si>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</si>
  <si>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</si>
  <si>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</si>
  <si>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</si>
  <si>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</si>
  <si>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</si>
  <si>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</si>
  <si>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</si>
  <si>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</si>
  <si>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</si>
  <si>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</si>
  <si>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</si>
  <si>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</si>
  <si>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</si>
  <si>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</si>
  <si>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</si>
  <si>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</si>
  <si>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</si>
  <si>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</si>
  <si>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</si>
  <si>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</si>
  <si>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</si>
  <si>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</si>
  <si>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</si>
  <si>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</si>
  <si>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</si>
  <si>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</si>
  <si>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</si>
  <si>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</si>
  <si>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</si>
  <si>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</si>
  <si>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</si>
  <si>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</si>
  <si>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</si>
  <si>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</si>
  <si>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</si>
  <si>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</si>
  <si>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</si>
  <si>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</si>
  <si>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</si>
  <si>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</si>
  <si>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</si>
  <si>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</si>
  <si>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</si>
  <si>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</si>
  <si>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</si>
  <si>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</si>
  <si>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</si>
  <si>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</si>
  <si>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</si>
  <si>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</si>
  <si>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</si>
  <si>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</si>
  <si>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</si>
  <si>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</si>
  <si>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</si>
  <si>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</si>
  <si>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</si>
  <si>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</si>
  <si>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</si>
  <si>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</si>
  <si>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</si>
  <si>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</si>
  <si>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</si>
  <si>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</si>
  <si>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</si>
  <si>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</si>
  <si>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</si>
  <si>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</si>
  <si>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</si>
  <si>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</si>
  <si>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</si>
  <si>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</si>
  <si>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</si>
  <si>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</si>
  <si>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</si>
  <si>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</si>
  <si>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</si>
  <si>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</si>
  <si>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</si>
  <si>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</si>
  <si>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</si>
  <si>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</si>
  <si>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</si>
  <si>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</si>
  <si>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</si>
  <si>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</si>
  <si>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</si>
  <si>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</si>
  <si>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</si>
  <si>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</si>
  <si>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</si>
  <si>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</si>
  <si>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</si>
  <si>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</si>
  <si>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</si>
  <si>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</si>
  <si>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</si>
  <si>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</si>
  <si>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</si>
  <si>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</si>
  <si>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</si>
  <si>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</si>
  <si>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</si>
  <si>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</si>
  <si>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</si>
  <si>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</si>
  <si>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</si>
  <si>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</si>
  <si>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</si>
  <si>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</si>
  <si>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</si>
  <si>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</si>
  <si>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</si>
  <si>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</si>
  <si>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</si>
  <si>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</si>
  <si>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</si>
  <si>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</si>
  <si>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</si>
  <si>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</si>
  <si>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</si>
  <si>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</si>
  <si>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</si>
  <si>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</si>
  <si>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</si>
  <si>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</si>
  <si>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</si>
  <si>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</si>
  <si>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</si>
  <si>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</si>
  <si>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</si>
  <si>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</si>
  <si>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</si>
  <si>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</si>
  <si>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</si>
  <si>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</si>
  <si>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</si>
  <si>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</si>
  <si>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</si>
  <si>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</si>
  <si>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</si>
  <si>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</si>
  <si>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</si>
  <si>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</si>
  <si>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</si>
  <si>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</si>
  <si>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</si>
  <si>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</si>
  <si>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</si>
  <si>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</si>
  <si>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</si>
  <si>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</si>
  <si>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</si>
  <si>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</si>
  <si>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</si>
  <si>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</si>
  <si>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</si>
  <si>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</si>
  <si>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</si>
  <si>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</si>
  <si>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</si>
  <si>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</si>
  <si>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</si>
  <si>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</si>
  <si>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</si>
  <si>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</si>
  <si>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</si>
  <si>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</si>
  <si>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</si>
  <si>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</si>
  <si>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</si>
  <si>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</si>
  <si>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</si>
  <si>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</si>
  <si>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</si>
  <si>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</si>
  <si>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</si>
  <si>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</si>
  <si>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</si>
  <si>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</si>
  <si>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</si>
  <si>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</si>
  <si>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</si>
  <si>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</si>
  <si>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</si>
  <si>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</si>
  <si>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</si>
  <si>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</si>
  <si>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</si>
  <si>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</si>
  <si>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</si>
  <si>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</si>
  <si>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</si>
  <si>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</si>
  <si>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</si>
  <si>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</si>
  <si>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</si>
  <si>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</si>
  <si>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</si>
  <si>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</si>
  <si>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</si>
  <si>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</si>
  <si>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</si>
  <si>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</si>
  <si>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</si>
  <si>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</si>
  <si>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</si>
  <si>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</si>
  <si>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</si>
  <si>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</si>
  <si>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</si>
  <si>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</si>
  <si>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</si>
  <si>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</si>
  <si>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</si>
  <si>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</si>
  <si>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</si>
  <si>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</si>
  <si>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</si>
  <si>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</si>
  <si>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</si>
  <si>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</si>
  <si>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</si>
  <si>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</si>
  <si>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</si>
  <si>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</si>
  <si>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</si>
  <si>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</si>
  <si>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</si>
  <si>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</si>
  <si>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</si>
  <si>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</si>
  <si>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</si>
  <si>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</si>
  <si>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</si>
  <si>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</si>
  <si>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</si>
  <si>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</si>
  <si>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</si>
  <si>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</si>
  <si>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</si>
  <si>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</si>
  <si>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</si>
  <si>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</si>
  <si>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</si>
  <si>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</si>
  <si>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</si>
  <si>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</si>
  <si>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</si>
  <si>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</si>
  <si>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</si>
  <si>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</si>
  <si>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</si>
  <si>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</si>
  <si>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</si>
  <si>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</si>
  <si>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</si>
  <si>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</si>
  <si>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</si>
  <si>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</si>
  <si>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</si>
  <si>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</si>
  <si>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</si>
  <si>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</si>
  <si>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</si>
  <si>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</si>
  <si>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</si>
  <si>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</si>
  <si>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</si>
  <si>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</si>
  <si>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</si>
  <si>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</si>
  <si>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</si>
  <si>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</si>
  <si>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</si>
  <si>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</si>
  <si>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</si>
  <si>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</si>
  <si>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</si>
  <si>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</si>
  <si>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</si>
  <si>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</si>
  <si>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</si>
  <si>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</si>
  <si>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</si>
  <si>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</si>
  <si>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</si>
  <si>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</si>
  <si>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</si>
  <si>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</si>
  <si>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</si>
  <si>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</si>
  <si>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</si>
  <si>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</si>
  <si>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</si>
  <si>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</si>
  <si>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</si>
  <si>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</si>
  <si>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</si>
  <si>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</si>
  <si>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</si>
  <si>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</si>
  <si>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</si>
  <si>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</si>
  <si>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</si>
  <si>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</si>
  <si>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</si>
  <si>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</si>
  <si>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</si>
  <si>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</si>
  <si>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</si>
  <si>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</si>
  <si>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</si>
  <si>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</si>
  <si>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</si>
  <si>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</si>
  <si>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</si>
  <si>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</si>
  <si>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</si>
  <si>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</si>
  <si>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</si>
  <si>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</si>
  <si>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</si>
  <si>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</si>
  <si>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</si>
  <si>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</si>
  <si>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</si>
  <si>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</si>
  <si>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</si>
  <si>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</si>
  <si>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</si>
  <si>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</si>
  <si>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</si>
  <si>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</si>
  <si>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</si>
  <si>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</si>
  <si>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</si>
  <si>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</si>
  <si>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</si>
  <si>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</si>
  <si>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</si>
  <si>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</si>
  <si>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</si>
  <si>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</si>
  <si>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</si>
  <si>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</si>
  <si>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</si>
  <si>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</si>
  <si>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</si>
  <si>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</si>
  <si>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</si>
  <si>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</si>
  <si>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</si>
  <si>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</si>
  <si>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</si>
  <si>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</si>
  <si>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</si>
  <si>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</si>
  <si>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</si>
  <si>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</si>
  <si>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</si>
  <si>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</si>
  <si>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</si>
  <si>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</si>
  <si>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</si>
  <si>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</si>
  <si>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</si>
  <si>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</si>
  <si>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</si>
  <si>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</si>
  <si>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</si>
  <si>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</si>
  <si>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</si>
  <si>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</si>
  <si>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</si>
  <si>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</si>
  <si>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</si>
  <si>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</si>
  <si>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</si>
  <si>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</si>
  <si>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</si>
  <si>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</si>
  <si>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</si>
  <si>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</si>
  <si>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</si>
  <si>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</si>
  <si>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</si>
  <si>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</si>
  <si>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</si>
  <si>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</si>
  <si>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</si>
  <si>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</si>
  <si>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</si>
  <si>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</si>
  <si>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</si>
  <si>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</si>
  <si>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</si>
  <si>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</si>
  <si>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</si>
  <si>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</si>
  <si>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</si>
  <si>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</si>
  <si>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</si>
  <si>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</si>
  <si>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</si>
  <si>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</si>
  <si>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</si>
  <si>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</si>
  <si>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</si>
  <si>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</si>
  <si>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</si>
  <si>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</si>
  <si>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</si>
  <si>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</si>
  <si>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</si>
  <si>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</si>
  <si>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</si>
  <si>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</si>
  <si>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</si>
  <si>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</si>
  <si>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</si>
  <si>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</si>
  <si>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</si>
  <si>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</si>
  <si>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</si>
  <si>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</si>
  <si>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</si>
  <si>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</si>
  <si>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</si>
  <si>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</si>
  <si>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</si>
  <si>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</si>
  <si>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</si>
  <si>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</si>
  <si>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</si>
  <si>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</si>
  <si>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</si>
  <si>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</si>
  <si>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</si>
  <si>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</si>
  <si>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</si>
  <si>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</si>
  <si>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</si>
  <si>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</si>
  <si>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</si>
  <si>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</si>
  <si>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</si>
  <si>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</si>
  <si>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</si>
  <si>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</si>
  <si>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</si>
  <si>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</si>
  <si>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</si>
  <si>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</si>
  <si>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</si>
  <si>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</si>
  <si>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</si>
  <si>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</si>
  <si>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</si>
  <si>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</si>
  <si>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</si>
  <si>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</si>
  <si>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</si>
  <si>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</si>
  <si>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</si>
  <si>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</si>
  <si>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</si>
  <si>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</si>
  <si>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</si>
  <si>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</si>
  <si>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</si>
  <si>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</si>
  <si>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</si>
  <si>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</si>
  <si>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</si>
  <si>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</si>
  <si>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</si>
  <si>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</si>
  <si>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</si>
  <si>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</si>
  <si>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</si>
  <si>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</si>
  <si>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</si>
  <si>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</si>
  <si>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</si>
  <si>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</si>
  <si>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</si>
  <si>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</si>
  <si>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</si>
  <si>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</si>
  <si>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</si>
  <si>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</si>
  <si>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</si>
  <si>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</si>
  <si>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</si>
  <si>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</si>
  <si>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</si>
  <si>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</si>
  <si>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</si>
  <si>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</si>
  <si>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</si>
  <si>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</si>
  <si>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</si>
  <si>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</si>
  <si>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</si>
  <si>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</si>
  <si>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</si>
  <si>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</si>
  <si>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</si>
  <si>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</si>
  <si>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</si>
  <si>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</si>
  <si>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</si>
  <si>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</si>
  <si>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</si>
  <si>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</si>
  <si>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</si>
  <si>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</si>
  <si>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</si>
  <si>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</si>
  <si>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</si>
  <si>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</si>
  <si>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</si>
  <si>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</si>
  <si>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</si>
  <si>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</si>
  <si>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</si>
  <si>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</si>
  <si>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</si>
  <si>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</si>
  <si>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</si>
  <si>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</si>
  <si>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</si>
  <si>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</si>
  <si>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</si>
  <si>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</si>
  <si>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</si>
  <si>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</si>
  <si>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</si>
  <si>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</si>
  <si>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</si>
  <si>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</si>
  <si>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</si>
  <si>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</si>
  <si>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</si>
  <si>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</si>
  <si>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</si>
  <si>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</si>
  <si>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</si>
  <si>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</si>
  <si>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</si>
  <si>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</si>
  <si>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</si>
  <si>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</si>
  <si>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</si>
  <si>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</si>
  <si>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</si>
  <si>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</si>
  <si>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</si>
  <si>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</si>
  <si>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</si>
  <si>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</si>
  <si>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</si>
  <si>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</si>
  <si>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</si>
  <si>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</si>
  <si>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</si>
  <si>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</si>
  <si>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</si>
  <si>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</si>
  <si>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</si>
  <si>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</si>
  <si>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</si>
  <si>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</si>
  <si>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</si>
  <si>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</si>
  <si>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</si>
  <si>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</si>
  <si>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</si>
  <si>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</si>
  <si>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</si>
  <si>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</si>
  <si>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</si>
  <si>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</si>
  <si>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</si>
  <si>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</si>
  <si>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</si>
  <si>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</si>
  <si>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</si>
  <si>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</si>
  <si>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</si>
  <si>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</si>
  <si>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</si>
  <si>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</si>
  <si>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</si>
  <si>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</si>
  <si>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</si>
  <si>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</si>
  <si>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</si>
  <si>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</si>
  <si>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</si>
  <si>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</si>
  <si>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</si>
  <si>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</si>
  <si>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</si>
  <si>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</si>
  <si>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</si>
  <si>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</si>
  <si>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</si>
  <si>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</si>
  <si>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</si>
  <si>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</si>
  <si>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</si>
  <si>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</si>
  <si>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</si>
  <si>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</si>
  <si>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</si>
  <si>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</si>
  <si>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</si>
  <si>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</si>
  <si>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</si>
  <si>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</si>
  <si>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</si>
  <si>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</si>
  <si>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</si>
  <si>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</si>
  <si>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</si>
  <si>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</si>
  <si>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</si>
  <si>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</si>
  <si>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</si>
  <si>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</si>
  <si>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</si>
  <si>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</si>
  <si>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</si>
  <si>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</si>
  <si>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</si>
  <si>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</si>
  <si>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</si>
  <si>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</si>
  <si>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</si>
  <si>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</si>
  <si>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</si>
  <si>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</si>
  <si>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</si>
  <si>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</si>
  <si>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</si>
  <si>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</si>
  <si>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</si>
  <si>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</si>
  <si>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</si>
  <si>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</si>
  <si>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</si>
  <si>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</si>
  <si>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</si>
  <si>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</si>
  <si>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</si>
  <si>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</si>
  <si>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</si>
  <si>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</si>
  <si>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</si>
  <si>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</si>
  <si>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</si>
  <si>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</si>
  <si>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</si>
  <si>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</si>
  <si>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</si>
  <si>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</si>
  <si>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</si>
  <si>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</si>
  <si>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</si>
  <si>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</si>
  <si>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</si>
  <si>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</si>
  <si>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</si>
  <si>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</si>
  <si>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</si>
  <si>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</si>
  <si>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</si>
  <si>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</si>
  <si>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</si>
  <si>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</si>
  <si>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</si>
  <si>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</si>
  <si>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</si>
  <si>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</si>
  <si>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</si>
  <si>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</si>
  <si>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</si>
  <si>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</si>
  <si>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</si>
  <si>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</si>
  <si>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</si>
  <si>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</si>
  <si>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</si>
  <si>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</si>
  <si>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</si>
  <si>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</si>
  <si>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</si>
  <si>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</si>
  <si>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</si>
  <si>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</si>
  <si>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</si>
  <si>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</si>
  <si>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</si>
  <si>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</si>
  <si>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</si>
  <si>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</si>
  <si>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</si>
  <si>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</si>
  <si>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</si>
  <si>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</si>
  <si>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</si>
  <si>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</si>
  <si>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</si>
  <si>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</si>
  <si>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</si>
  <si>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</si>
  <si>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</si>
  <si>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</si>
  <si>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</si>
  <si>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</si>
  <si>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</si>
  <si>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</si>
  <si>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</si>
  <si>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</si>
  <si>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</si>
  <si>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</si>
  <si>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</si>
  <si>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</si>
  <si>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</si>
  <si>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</si>
  <si>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</si>
  <si>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</si>
  <si>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</si>
  <si>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</si>
  <si>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</si>
  <si>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</si>
  <si>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</si>
  <si>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</si>
  <si>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</si>
  <si>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</si>
  <si>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</si>
  <si>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</si>
  <si>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</si>
  <si>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</si>
  <si>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</si>
  <si>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</si>
  <si>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</si>
  <si>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</si>
  <si>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</si>
  <si>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</si>
  <si>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</si>
  <si>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</si>
  <si>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</si>
  <si>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</si>
  <si>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</si>
  <si>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</si>
  <si>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</si>
  <si>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</si>
  <si>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</si>
  <si>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</si>
  <si>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</si>
  <si>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</si>
  <si>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</si>
  <si>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</si>
  <si>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</si>
  <si>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</si>
  <si>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</si>
  <si>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</si>
  <si>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</si>
  <si>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</si>
  <si>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</si>
  <si>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</si>
  <si>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</si>
  <si>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</si>
  <si>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</si>
  <si>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</si>
  <si>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</si>
  <si>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</si>
  <si>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</si>
  <si>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</si>
  <si>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</si>
  <si>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</si>
  <si>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</si>
  <si>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</si>
  <si>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</si>
  <si>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</si>
  <si>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</si>
  <si>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</si>
  <si>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</si>
  <si>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</si>
  <si>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</si>
  <si>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</si>
  <si>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</si>
  <si>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</si>
  <si>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</si>
  <si>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</si>
  <si>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</si>
  <si>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</si>
  <si>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</si>
  <si>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</si>
  <si>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</si>
  <si>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</si>
  <si>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</si>
  <si>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</si>
  <si>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</si>
  <si>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</si>
  <si>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</si>
  <si>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</si>
  <si>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</si>
  <si>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</si>
  <si>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</si>
  <si>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</si>
  <si>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</si>
  <si>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</si>
  <si>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</si>
  <si>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</si>
  <si>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</si>
  <si>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</si>
  <si>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</si>
  <si>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</si>
  <si>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</si>
  <si>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</si>
  <si>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</si>
  <si>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</si>
  <si>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</si>
  <si>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</si>
  <si>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</si>
  <si>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</si>
  <si>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</si>
  <si>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</si>
  <si>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</si>
  <si>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</si>
  <si>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</si>
  <si>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</si>
  <si>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</si>
  <si>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</si>
  <si>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</si>
  <si>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</si>
  <si>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</si>
  <si>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</si>
  <si>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</si>
  <si>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</si>
  <si>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</si>
  <si>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</si>
  <si>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</si>
  <si>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</si>
  <si>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</si>
  <si>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</si>
  <si>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</si>
  <si>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</si>
  <si>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</si>
  <si>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</si>
  <si>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</si>
  <si>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</si>
  <si>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</si>
  <si>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</si>
  <si>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</si>
  <si>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</si>
  <si>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</si>
  <si>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</si>
  <si>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</si>
  <si>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</si>
  <si>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</si>
  <si>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</si>
  <si>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</si>
  <si>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</si>
  <si>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</si>
  <si>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</si>
  <si>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</si>
  <si>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</si>
  <si>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</si>
  <si>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</si>
  <si>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</si>
  <si>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</si>
  <si>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</si>
  <si>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</si>
  <si>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</si>
  <si>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</si>
  <si>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</si>
  <si>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</si>
  <si>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</si>
  <si>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</si>
  <si>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</si>
  <si>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</si>
  <si>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</si>
  <si>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</si>
  <si>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</si>
  <si>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</si>
  <si>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</si>
  <si>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</si>
  <si>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</si>
  <si>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</si>
  <si>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</si>
  <si>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</si>
  <si>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</si>
  <si>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</si>
  <si>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</si>
  <si>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</si>
  <si>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</si>
  <si>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</si>
  <si>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</si>
  <si>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</si>
  <si>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</si>
  <si>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</si>
  <si>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</si>
  <si>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</si>
  <si>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</si>
  <si>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</si>
  <si>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</si>
  <si>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</si>
  <si>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</si>
  <si>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</si>
  <si>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</si>
  <si>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</si>
  <si>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</si>
  <si>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</si>
  <si>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</si>
  <si>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</si>
  <si>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</si>
  <si>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</si>
  <si>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</si>
  <si>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</si>
  <si>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</si>
  <si>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</si>
  <si>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</si>
  <si>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</si>
  <si>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</si>
  <si>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</si>
  <si>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</si>
  <si>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</si>
  <si>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</si>
  <si>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</si>
  <si>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</si>
  <si>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</si>
  <si>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</si>
  <si>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</si>
  <si>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</si>
  <si>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</si>
  <si>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</si>
  <si>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</si>
  <si>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</si>
  <si>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</si>
  <si>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</si>
  <si>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</si>
  <si>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</si>
  <si>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</si>
  <si>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</si>
  <si>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</si>
  <si>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</si>
  <si>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</si>
  <si>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</si>
  <si>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</si>
  <si>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</si>
  <si>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</si>
  <si>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</si>
  <si>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</si>
  <si>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</si>
  <si>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</si>
  <si>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</si>
  <si>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</si>
  <si>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</si>
  <si>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</si>
  <si>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</si>
  <si>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</si>
  <si>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</si>
  <si>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</si>
  <si>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</si>
  <si>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</si>
  <si>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</si>
  <si>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</si>
  <si>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</si>
  <si>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</si>
  <si>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</si>
  <si>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</si>
  <si>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</si>
  <si>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</si>
  <si>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</si>
  <si>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</si>
  <si>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</si>
  <si>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</si>
  <si>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</si>
  <si>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</si>
  <si>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</si>
  <si>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</si>
  <si>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</si>
  <si>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</si>
  <si>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</si>
  <si>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</si>
  <si>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</si>
  <si>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</si>
  <si>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</si>
  <si>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supervisor/all/status</t>
  </si>
  <si>
    <t>all</t>
  </si>
  <si>
    <t>host_all</t>
  </si>
  <si>
    <t>grafana_kpi</t>
  </si>
  <si>
    <t>OPTIONAL for Grafana (Empty ⇒ Auto)</t>
  </si>
  <si>
    <t>max</t>
  </si>
  <si>
    <t>template_dining_air_purifier_pm25</t>
  </si>
  <si>
    <t>template_lounge_air_purifier_pm25</t>
  </si>
  <si>
    <t>template_parents_air_purifier_pm25</t>
  </si>
  <si>
    <t>template_kitchen_air_purifier_pm25</t>
  </si>
  <si>
    <t>grafana_group</t>
  </si>
  <si>
    <t>Weather</t>
  </si>
  <si>
    <t>Conditions,Weather</t>
  </si>
  <si>
    <t>Grafana graph type, can be [Lines, Steps, Points]</t>
  </si>
  <si>
    <t>Lines</t>
  </si>
  <si>
    <t>Steps</t>
  </si>
  <si>
    <t>Entity status, can be [Enabled, Disabled, Todo]</t>
  </si>
  <si>
    <t>HASS entity namespace prefix, such as [sensor, fan]</t>
  </si>
  <si>
    <t>Google Home aliases, as [CSV]</t>
  </si>
  <si>
    <t>HASS display type, can be [Graph, Table, Table_NoToggle], the last two display a graph as well as a table</t>
  </si>
  <si>
    <t>Grafana groups overriding entity_group, as [CSV]</t>
  </si>
  <si>
    <t>Grafana KPI reducer, can be [last, mean, max, min], marked rows lead, unmarked fill to 6 with each panel's first entity then the rest</t>
  </si>
  <si>
    <t>The compensation points "[uncompensated_value, compensated_value], []..." to claibrate the values using linear best fit regression</t>
  </si>
  <si>
    <t>The Zigbee type, can be [Device, Group]</t>
  </si>
  <si>
    <t>Update entity even if value has not changed, can be [true, false]</t>
  </si>
  <si>
    <t>Put device in optimistic mode, can be [true, false]</t>
  </si>
  <si>
    <t>Clouds</t>
  </si>
  <si>
    <t>Bars</t>
  </si>
  <si>
    <t>last</t>
  </si>
  <si>
    <t>Yearly Rain</t>
  </si>
  <si>
    <t>24 Hour Rain</t>
  </si>
  <si>
    <t>Weekly Rain</t>
  </si>
  <si>
    <t>Monthly Rain</t>
  </si>
  <si>
    <t>Total Rain</t>
  </si>
  <si>
    <t>Storm Rain</t>
  </si>
  <si>
    <t>Daily Rain</t>
  </si>
  <si>
    <t>Rain Rate</t>
  </si>
  <si>
    <t>Hourly Rain</t>
  </si>
  <si>
    <t>grafana_index</t>
  </si>
  <si>
    <t>Grafana groups overriding index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</si>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</sst>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72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Q490" totalsRowShown="0" headerRowDxfId="71" dataDxfId="69" headerRowBorderDxfId="70">
  <autoFilter ref="A3:BQ490" xr:uid="{00000000-000C-0000-FFFF-FFFF00000000}"/>
  <sortState xmlns:xlrd2="http://schemas.microsoft.com/office/spreadsheetml/2017/richdata2" ref="A4:BQ490">
    <sortCondition ref="A3:A490"/>
  </sortState>
  <tableColumns count="69">
    <tableColumn id="1" xr3:uid="{00000000-0010-0000-0000-000001000000}" name="index" dataDxfId="68"/>
    <tableColumn id="2" xr3:uid="{00000000-0010-0000-0000-000002000000}" name="entity_status" dataDxfId="67"/>
    <tableColumn id="30" xr3:uid="{9A7EFF98-BFE6-E446-8CFB-C6A8F1F4C72D}" name="device_via_device" dataDxfId="66"/>
    <tableColumn id="3" xr3:uid="{00000000-0010-0000-0000-000003000000}" name="entity_namespace" dataDxfId="65"/>
    <tableColumn id="4" xr3:uid="{00000000-0010-0000-0000-000004000000}" name="unique_id" dataDxfId="64"/>
    <tableColumn id="29" xr3:uid="{C9099E62-9C90-774C-B487-C1E8FC10D09D}" name="name" dataDxfId="63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62"/>
    <tableColumn id="6" xr3:uid="{00000000-0010-0000-0000-000006000000}" name="entity_domain" dataDxfId="61"/>
    <tableColumn id="7" xr3:uid="{00000000-0010-0000-0000-000007000000}" name="entity_group" dataDxfId="60"/>
    <tableColumn id="27" xr3:uid="{60418A65-0C60-7646-A0ED-ABB0E1A36C63}" name="google_aliases" dataDxfId="59"/>
    <tableColumn id="13" xr3:uid="{B4C4A2D6-C804-F043-B392-3D0AB90153D7}" name="linked_entity" dataDxfId="58"/>
    <tableColumn id="39" xr3:uid="{4CB6C6ED-220F-EA47-A177-F3CF94B4FCB8}" name="linked_service" dataDxfId="57"/>
    <tableColumn id="32" xr3:uid="{9FB83457-10AD-D34A-B0A0-C03B121132D6}" name="hass_display_mode" dataDxfId="56"/>
    <tableColumn id="28" xr3:uid="{0EA9866E-7EBB-1F4E-864B-B4B41A0868C7}" name="hass_display_type" dataDxfId="55"/>
    <tableColumn id="51" xr3:uid="{8DBDF391-07AE-4A4F-903B-5BBD64761C59}" name="powercalc_enable" dataDxfId="54"/>
    <tableColumn id="50" xr3:uid="{07C23DD5-25CE-2A4A-8455-1C159ED44B79}" name="powercalc_group_1" dataDxfId="53"/>
    <tableColumn id="49" xr3:uid="{674D5879-982E-C54E-BB3C-3856904C3F08}" name="powercalc_group_2" dataDxfId="52"/>
    <tableColumn id="48" xr3:uid="{58F1B851-B412-434F-90C1-FC461B06CD87}" name="powercalc_group_3" dataDxfId="51"/>
    <tableColumn id="47" xr3:uid="{B8549644-CEBE-B04C-A925-E1930F8FB34D}" name="powercalc_group_4" dataDxfId="50"/>
    <tableColumn id="46" xr3:uid="{D0327CDA-BCAE-2F44-B16C-849736CDE7F5}" name="powercalc_config" dataDxfId="49"/>
    <tableColumn id="66" xr3:uid="{5A1D4CD7-5D58-6B40-9272-05CE88ABD89C}" name="grafana_index" dataDxfId="48"/>
    <tableColumn id="62" xr3:uid="{82F7120C-0CC1-D142-84D2-CFB14A50B851}" name="grafana_group" dataDxfId="47"/>
    <tableColumn id="31" xr3:uid="{0D8A1BBE-51B4-E147-A44E-9683CA8C518F}" name="grafana_display_type" dataDxfId="46"/>
    <tableColumn id="61" xr3:uid="{3348AA09-DF2A-2140-9625-F1845D938761}" name="grafana_kpi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IF(ISBLANK(AL4),  "", _xlfn.CONCAT("haas/entity/sensor/", LOWER(C4), "/", E4, "/config"))</calculatedColumnFormula>
    </tableColumn>
    <tableColumn id="18" xr3:uid="{00000000-0010-0000-0000-000012000000}" name="state_topic" dataDxfId="29">
      <calculatedColumnFormula>IF(ISBLANK(AL4),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90"/>
  <sheetViews>
    <sheetView tabSelected="1" topLeftCell="N298" zoomScale="121" zoomScaleNormal="120" workbookViewId="0">
      <selection activeCell="V322" sqref="V322"/>
    </sheetView>
  </sheetViews>
  <sheetFormatPr baseColWidth="10" defaultRowHeight="16" customHeight="1" x14ac:dyDescent="0.2"/>
  <cols>
    <col min="1" max="1" width="14.33203125" style="28" bestFit="1" customWidth="1"/>
    <col min="2" max="2" width="17.83203125" style="28" bestFit="1" customWidth="1"/>
    <col min="3" max="3" width="21.5" style="28" customWidth="1"/>
    <col min="4" max="4" width="20.6640625" style="28" customWidth="1"/>
    <col min="5" max="5" width="51.5" style="28" bestFit="1" customWidth="1"/>
    <col min="6" max="6" width="55.33203125" style="28" bestFit="1" customWidth="1"/>
    <col min="7" max="7" width="24.5" style="28" bestFit="1" customWidth="1"/>
    <col min="8" max="8" width="25.1640625" style="28" bestFit="1" customWidth="1"/>
    <col min="9" max="9" width="21.83203125" style="28" bestFit="1" customWidth="1"/>
    <col min="10" max="10" width="36.6640625" style="28" customWidth="1"/>
    <col min="11" max="11" width="51.5" style="28" customWidth="1"/>
    <col min="12" max="12" width="25.1640625" style="28" customWidth="1"/>
    <col min="13" max="13" width="34.83203125" style="28" customWidth="1"/>
    <col min="14" max="14" width="29.1640625" style="28" customWidth="1"/>
    <col min="15" max="15" width="26" style="28" customWidth="1"/>
    <col min="16" max="16" width="21.83203125" style="29" customWidth="1"/>
    <col min="17" max="17" width="21.83203125" style="28" customWidth="1"/>
    <col min="18" max="18" width="22.5" style="28" customWidth="1"/>
    <col min="19" max="19" width="21.83203125" style="28" customWidth="1"/>
    <col min="20" max="21" width="26" style="28" customWidth="1"/>
    <col min="22" max="22" width="34.33203125" style="31" bestFit="1" customWidth="1"/>
    <col min="23" max="23" width="41.6640625" style="31" bestFit="1" customWidth="1"/>
    <col min="24" max="24" width="41.1640625" style="28" bestFit="1" customWidth="1"/>
    <col min="25" max="25" width="44" style="28" bestFit="1" customWidth="1"/>
    <col min="26" max="26" width="20.6640625" style="28" bestFit="1" customWidth="1"/>
    <col min="27" max="27" width="22.83203125" style="28" bestFit="1" customWidth="1"/>
    <col min="28" max="28" width="25.1640625" style="28" bestFit="1" customWidth="1"/>
    <col min="29" max="29" width="114.5" style="29" bestFit="1" customWidth="1"/>
    <col min="30" max="30" width="77.1640625" style="29" bestFit="1" customWidth="1"/>
    <col min="31" max="31" width="18.83203125" style="28" bestFit="1" customWidth="1"/>
    <col min="32" max="32" width="33.33203125" style="28" bestFit="1" customWidth="1"/>
    <col min="33" max="33" width="46.1640625" style="28" bestFit="1" customWidth="1"/>
    <col min="34" max="34" width="23.5" style="28" bestFit="1" customWidth="1"/>
    <col min="35" max="35" width="18.33203125" style="28" bestFit="1" customWidth="1"/>
    <col min="36" max="36" width="20.1640625" style="28" bestFit="1" customWidth="1"/>
    <col min="37" max="37" width="42.83203125" style="28" bestFit="1" customWidth="1"/>
    <col min="38" max="38" width="42.1640625" style="28" bestFit="1" customWidth="1"/>
    <col min="39" max="39" width="72.1640625" style="28" bestFit="1" customWidth="1"/>
    <col min="40" max="40" width="59.1640625" style="28" bestFit="1" customWidth="1"/>
    <col min="41" max="41" width="52.5" style="28" bestFit="1" customWidth="1"/>
    <col min="42" max="42" width="48.33203125" style="28" bestFit="1" customWidth="1"/>
    <col min="43" max="44" width="20.33203125" style="28" bestFit="1" customWidth="1"/>
    <col min="45" max="45" width="20.5" style="28" bestFit="1" customWidth="1"/>
    <col min="46" max="46" width="22.6640625" style="28" bestFit="1" customWidth="1"/>
    <col min="47" max="47" width="252.83203125" style="28" bestFit="1" customWidth="1"/>
    <col min="48" max="48" width="21.1640625" style="29" bestFit="1" customWidth="1"/>
    <col min="49" max="49" width="65.33203125" style="28" bestFit="1" customWidth="1"/>
    <col min="50" max="50" width="31.5" style="28" bestFit="1" customWidth="1"/>
    <col min="51" max="51" width="35.6640625" style="29" bestFit="1" customWidth="1"/>
    <col min="52" max="52" width="33.33203125" style="28" bestFit="1" customWidth="1"/>
    <col min="53" max="53" width="65.33203125" style="28" bestFit="1" customWidth="1"/>
    <col min="54" max="54" width="28.83203125" style="28" customWidth="1"/>
    <col min="55" max="55" width="29" style="28" bestFit="1" customWidth="1"/>
    <col min="56" max="56" width="31.1640625" style="28" bestFit="1" customWidth="1"/>
    <col min="57" max="57" width="25.33203125" style="28" bestFit="1" customWidth="1"/>
    <col min="58" max="58" width="31.33203125" style="28" bestFit="1" customWidth="1"/>
    <col min="59" max="59" width="21.33203125" style="28" bestFit="1" customWidth="1"/>
    <col min="60" max="60" width="21.6640625" style="28" bestFit="1" customWidth="1"/>
    <col min="61" max="61" width="20.33203125" style="28" bestFit="1" customWidth="1"/>
    <col min="62" max="62" width="29" style="28" bestFit="1" customWidth="1"/>
    <col min="63" max="63" width="30.6640625" style="28" bestFit="1" customWidth="1"/>
    <col min="64" max="64" width="24.83203125" style="28" bestFit="1" customWidth="1"/>
    <col min="65" max="65" width="27" style="28" bestFit="1" customWidth="1"/>
    <col min="66" max="66" width="29.6640625" style="28" bestFit="1" customWidth="1"/>
    <col min="67" max="67" width="33" style="29" bestFit="1" customWidth="1"/>
    <col min="68" max="68" width="23.5" style="28" bestFit="1" customWidth="1"/>
    <col min="69" max="69" width="45.6640625" style="28" bestFit="1" customWidth="1"/>
    <col min="70" max="16384" width="10.83203125" style="28"/>
  </cols>
  <sheetData>
    <row r="1" spans="1:69" s="8" customFormat="1" ht="16" customHeight="1" x14ac:dyDescent="0.2">
      <c r="A1" s="1" t="s">
        <v>254</v>
      </c>
      <c r="B1" s="2" t="s">
        <v>254</v>
      </c>
      <c r="C1" s="2" t="s">
        <v>254</v>
      </c>
      <c r="D1" s="2" t="s">
        <v>254</v>
      </c>
      <c r="E1" s="2" t="s">
        <v>254</v>
      </c>
      <c r="F1" s="2" t="s">
        <v>306</v>
      </c>
      <c r="G1" s="2" t="s">
        <v>254</v>
      </c>
      <c r="H1" s="2" t="s">
        <v>254</v>
      </c>
      <c r="I1" s="2" t="s">
        <v>254</v>
      </c>
      <c r="J1" s="2" t="s">
        <v>437</v>
      </c>
      <c r="K1" s="2" t="s">
        <v>1079</v>
      </c>
      <c r="L1" s="2" t="s">
        <v>1079</v>
      </c>
      <c r="M1" s="2" t="s">
        <v>255</v>
      </c>
      <c r="N1" s="2" t="s">
        <v>256</v>
      </c>
      <c r="O1" s="3" t="s">
        <v>694</v>
      </c>
      <c r="P1" s="4" t="s">
        <v>694</v>
      </c>
      <c r="Q1" s="4" t="s">
        <v>694</v>
      </c>
      <c r="R1" s="4" t="s">
        <v>694</v>
      </c>
      <c r="S1" s="4" t="s">
        <v>694</v>
      </c>
      <c r="T1" s="5" t="s">
        <v>695</v>
      </c>
      <c r="U1" s="5"/>
      <c r="V1" s="3" t="s">
        <v>1517</v>
      </c>
      <c r="W1" s="4" t="s">
        <v>1517</v>
      </c>
      <c r="X1" s="4" t="s">
        <v>1517</v>
      </c>
      <c r="Y1" s="3" t="s">
        <v>255</v>
      </c>
      <c r="Z1" s="6" t="s">
        <v>449</v>
      </c>
      <c r="AA1" s="6" t="s">
        <v>449</v>
      </c>
      <c r="AB1" s="6" t="s">
        <v>449</v>
      </c>
      <c r="AC1" s="6" t="s">
        <v>513</v>
      </c>
      <c r="AD1" s="6" t="s">
        <v>839</v>
      </c>
      <c r="AE1" s="6" t="s">
        <v>175</v>
      </c>
      <c r="AF1" s="6" t="s">
        <v>176</v>
      </c>
      <c r="AG1" s="7" t="s">
        <v>177</v>
      </c>
      <c r="AH1" s="7" t="s">
        <v>1063</v>
      </c>
      <c r="AI1" s="6" t="s">
        <v>175</v>
      </c>
      <c r="AJ1" s="6" t="s">
        <v>175</v>
      </c>
      <c r="AK1" s="6" t="s">
        <v>840</v>
      </c>
      <c r="AL1" s="6" t="s">
        <v>175</v>
      </c>
      <c r="AM1" s="6" t="s">
        <v>175</v>
      </c>
      <c r="AN1" s="6" t="s">
        <v>175</v>
      </c>
      <c r="AO1" s="6" t="s">
        <v>840</v>
      </c>
      <c r="AP1" s="6" t="s">
        <v>840</v>
      </c>
      <c r="AQ1" s="6" t="s">
        <v>840</v>
      </c>
      <c r="AR1" s="6" t="s">
        <v>840</v>
      </c>
      <c r="AS1" s="6" t="s">
        <v>840</v>
      </c>
      <c r="AT1" s="6" t="s">
        <v>840</v>
      </c>
      <c r="AU1" s="6" t="s">
        <v>175</v>
      </c>
      <c r="AV1" s="6" t="s">
        <v>175</v>
      </c>
      <c r="AW1" s="6" t="s">
        <v>175</v>
      </c>
      <c r="AX1" s="6" t="s">
        <v>746</v>
      </c>
      <c r="AY1" s="6" t="s">
        <v>418</v>
      </c>
      <c r="AZ1" s="6" t="s">
        <v>418</v>
      </c>
      <c r="BA1" s="6" t="s">
        <v>1151</v>
      </c>
      <c r="BB1" s="6" t="s">
        <v>1151</v>
      </c>
      <c r="BC1" s="6" t="s">
        <v>746</v>
      </c>
      <c r="BD1" s="6" t="s">
        <v>418</v>
      </c>
      <c r="BE1" s="6" t="s">
        <v>418</v>
      </c>
      <c r="BF1" s="6" t="s">
        <v>418</v>
      </c>
      <c r="BG1" s="6" t="s">
        <v>418</v>
      </c>
      <c r="BH1" s="6" t="s">
        <v>695</v>
      </c>
      <c r="BI1" s="6" t="s">
        <v>418</v>
      </c>
      <c r="BJ1" s="6" t="s">
        <v>418</v>
      </c>
      <c r="BK1" s="6" t="s">
        <v>656</v>
      </c>
      <c r="BL1" s="6" t="s">
        <v>656</v>
      </c>
      <c r="BM1" s="6" t="s">
        <v>746</v>
      </c>
      <c r="BN1" s="6" t="s">
        <v>418</v>
      </c>
      <c r="BO1" s="6" t="s">
        <v>652</v>
      </c>
      <c r="BP1" s="6" t="s">
        <v>418</v>
      </c>
      <c r="BQ1" s="6" t="s">
        <v>653</v>
      </c>
    </row>
    <row r="2" spans="1:69" s="18" customFormat="1" ht="52" customHeight="1" x14ac:dyDescent="0.2">
      <c r="A2" s="9" t="s">
        <v>156</v>
      </c>
      <c r="B2" s="10" t="s">
        <v>1529</v>
      </c>
      <c r="C2" s="10" t="s">
        <v>154</v>
      </c>
      <c r="D2" s="10" t="s">
        <v>1530</v>
      </c>
      <c r="E2" s="10" t="s">
        <v>1064</v>
      </c>
      <c r="F2" s="10" t="s">
        <v>1065</v>
      </c>
      <c r="G2" s="10" t="s">
        <v>172</v>
      </c>
      <c r="H2" s="10" t="s">
        <v>142</v>
      </c>
      <c r="I2" s="10" t="s">
        <v>143</v>
      </c>
      <c r="J2" s="11" t="s">
        <v>1531</v>
      </c>
      <c r="K2" s="10" t="s">
        <v>1066</v>
      </c>
      <c r="L2" s="10" t="s">
        <v>1067</v>
      </c>
      <c r="M2" s="10" t="s">
        <v>1532</v>
      </c>
      <c r="N2" s="10" t="s">
        <v>1068</v>
      </c>
      <c r="O2" s="12" t="s">
        <v>735</v>
      </c>
      <c r="P2" s="11" t="s">
        <v>739</v>
      </c>
      <c r="Q2" s="11" t="s">
        <v>696</v>
      </c>
      <c r="R2" s="11" t="s">
        <v>696</v>
      </c>
      <c r="S2" s="11" t="s">
        <v>697</v>
      </c>
      <c r="T2" s="11" t="s">
        <v>698</v>
      </c>
      <c r="U2" s="11" t="s">
        <v>1533</v>
      </c>
      <c r="V2" s="11" t="s">
        <v>1552</v>
      </c>
      <c r="W2" s="11" t="s">
        <v>1526</v>
      </c>
      <c r="X2" s="11" t="s">
        <v>1534</v>
      </c>
      <c r="Y2" s="13" t="s">
        <v>1535</v>
      </c>
      <c r="Z2" s="13" t="s">
        <v>1536</v>
      </c>
      <c r="AA2" s="13" t="s">
        <v>457</v>
      </c>
      <c r="AB2" s="14" t="s">
        <v>450</v>
      </c>
      <c r="AC2" s="13" t="s">
        <v>514</v>
      </c>
      <c r="AD2" s="13" t="s">
        <v>838</v>
      </c>
      <c r="AE2" s="14" t="s">
        <v>144</v>
      </c>
      <c r="AF2" s="14" t="s">
        <v>145</v>
      </c>
      <c r="AG2" s="14" t="s">
        <v>166</v>
      </c>
      <c r="AH2" s="15" t="s">
        <v>1069</v>
      </c>
      <c r="AI2" s="15" t="s">
        <v>146</v>
      </c>
      <c r="AJ2" s="15" t="s">
        <v>1537</v>
      </c>
      <c r="AK2" s="15" t="s">
        <v>1538</v>
      </c>
      <c r="AL2" s="15" t="s">
        <v>147</v>
      </c>
      <c r="AM2" s="16" t="s">
        <v>1070</v>
      </c>
      <c r="AN2" s="15" t="s">
        <v>1071</v>
      </c>
      <c r="AO2" s="15" t="s">
        <v>841</v>
      </c>
      <c r="AP2" s="15" t="s">
        <v>850</v>
      </c>
      <c r="AQ2" s="15" t="s">
        <v>859</v>
      </c>
      <c r="AR2" s="15" t="s">
        <v>860</v>
      </c>
      <c r="AS2" s="15" t="s">
        <v>855</v>
      </c>
      <c r="AT2" s="15" t="s">
        <v>856</v>
      </c>
      <c r="AU2" s="14" t="s">
        <v>148</v>
      </c>
      <c r="AV2" s="15" t="s">
        <v>487</v>
      </c>
      <c r="AW2" s="17" t="s">
        <v>153</v>
      </c>
      <c r="AX2" s="17" t="s">
        <v>929</v>
      </c>
      <c r="AY2" s="15" t="s">
        <v>310</v>
      </c>
      <c r="AZ2" s="15" t="s">
        <v>150</v>
      </c>
      <c r="BA2" s="15" t="s">
        <v>1152</v>
      </c>
      <c r="BB2" s="15" t="s">
        <v>1148</v>
      </c>
      <c r="BC2" s="15" t="s">
        <v>1007</v>
      </c>
      <c r="BD2" s="15" t="s">
        <v>1008</v>
      </c>
      <c r="BE2" s="15" t="s">
        <v>1009</v>
      </c>
      <c r="BF2" s="15" t="s">
        <v>151</v>
      </c>
      <c r="BG2" s="15" t="s">
        <v>152</v>
      </c>
      <c r="BH2" s="15" t="s">
        <v>152</v>
      </c>
      <c r="BI2" s="17" t="s">
        <v>149</v>
      </c>
      <c r="BJ2" s="15" t="s">
        <v>1072</v>
      </c>
      <c r="BK2" s="15" t="s">
        <v>1098</v>
      </c>
      <c r="BL2" s="15" t="s">
        <v>1097</v>
      </c>
      <c r="BM2" s="15" t="s">
        <v>747</v>
      </c>
      <c r="BN2" s="15" t="s">
        <v>654</v>
      </c>
      <c r="BO2" s="15" t="s">
        <v>651</v>
      </c>
      <c r="BP2" s="15" t="s">
        <v>309</v>
      </c>
      <c r="BQ2" s="17" t="s">
        <v>655</v>
      </c>
    </row>
    <row r="3" spans="1:69" s="27" customFormat="1" ht="16" customHeight="1" x14ac:dyDescent="0.2">
      <c r="A3" s="19" t="s">
        <v>0</v>
      </c>
      <c r="B3" s="19" t="s">
        <v>1</v>
      </c>
      <c r="C3" s="19" t="s">
        <v>25</v>
      </c>
      <c r="D3" s="19" t="s">
        <v>2</v>
      </c>
      <c r="E3" s="19" t="s">
        <v>3</v>
      </c>
      <c r="F3" s="19" t="s">
        <v>4</v>
      </c>
      <c r="G3" s="19" t="s">
        <v>173</v>
      </c>
      <c r="H3" s="19" t="s">
        <v>5</v>
      </c>
      <c r="I3" s="19" t="s">
        <v>6</v>
      </c>
      <c r="J3" s="20" t="s">
        <v>438</v>
      </c>
      <c r="K3" s="19" t="s">
        <v>636</v>
      </c>
      <c r="L3" s="19" t="s">
        <v>637</v>
      </c>
      <c r="M3" s="19" t="s">
        <v>1073</v>
      </c>
      <c r="N3" s="19" t="s">
        <v>1074</v>
      </c>
      <c r="O3" s="21" t="s">
        <v>734</v>
      </c>
      <c r="P3" s="20" t="s">
        <v>699</v>
      </c>
      <c r="Q3" s="20" t="s">
        <v>700</v>
      </c>
      <c r="R3" s="22" t="s">
        <v>701</v>
      </c>
      <c r="S3" s="22" t="s">
        <v>702</v>
      </c>
      <c r="T3" s="23" t="s">
        <v>692</v>
      </c>
      <c r="U3" s="23" t="s">
        <v>1551</v>
      </c>
      <c r="V3" s="23" t="s">
        <v>1523</v>
      </c>
      <c r="W3" s="20" t="s">
        <v>436</v>
      </c>
      <c r="X3" s="63" t="s">
        <v>1516</v>
      </c>
      <c r="Y3" s="24" t="s">
        <v>284</v>
      </c>
      <c r="Z3" s="24" t="s">
        <v>509</v>
      </c>
      <c r="AA3" s="24" t="s">
        <v>510</v>
      </c>
      <c r="AB3" s="24" t="s">
        <v>511</v>
      </c>
      <c r="AC3" s="24" t="s">
        <v>512</v>
      </c>
      <c r="AD3" s="24" t="s">
        <v>837</v>
      </c>
      <c r="AE3" s="25" t="s">
        <v>7</v>
      </c>
      <c r="AF3" s="25" t="s">
        <v>8</v>
      </c>
      <c r="AG3" s="25" t="s">
        <v>9</v>
      </c>
      <c r="AH3" s="25" t="s">
        <v>10</v>
      </c>
      <c r="AI3" s="25" t="s">
        <v>11</v>
      </c>
      <c r="AJ3" s="26" t="s">
        <v>12</v>
      </c>
      <c r="AK3" s="26" t="s">
        <v>843</v>
      </c>
      <c r="AL3" s="25" t="s">
        <v>13</v>
      </c>
      <c r="AM3" s="25" t="s">
        <v>14</v>
      </c>
      <c r="AN3" s="25" t="s">
        <v>15</v>
      </c>
      <c r="AO3" s="25" t="s">
        <v>842</v>
      </c>
      <c r="AP3" s="25" t="s">
        <v>849</v>
      </c>
      <c r="AQ3" s="25" t="s">
        <v>857</v>
      </c>
      <c r="AR3" s="25" t="s">
        <v>858</v>
      </c>
      <c r="AS3" s="25" t="s">
        <v>851</v>
      </c>
      <c r="AT3" s="25" t="s">
        <v>852</v>
      </c>
      <c r="AU3" s="25" t="s">
        <v>16</v>
      </c>
      <c r="AV3" s="25" t="s">
        <v>17</v>
      </c>
      <c r="AW3" s="26" t="s">
        <v>24</v>
      </c>
      <c r="AX3" s="26" t="s">
        <v>928</v>
      </c>
      <c r="AY3" s="25" t="s">
        <v>20</v>
      </c>
      <c r="AZ3" s="25" t="s">
        <v>18</v>
      </c>
      <c r="BA3" s="25" t="s">
        <v>1149</v>
      </c>
      <c r="BB3" s="25" t="s">
        <v>1150</v>
      </c>
      <c r="BC3" s="25" t="s">
        <v>1003</v>
      </c>
      <c r="BD3" s="25" t="s">
        <v>1004</v>
      </c>
      <c r="BE3" s="25" t="s">
        <v>1005</v>
      </c>
      <c r="BF3" s="25" t="s">
        <v>21</v>
      </c>
      <c r="BG3" s="25" t="s">
        <v>22</v>
      </c>
      <c r="BH3" s="25" t="s">
        <v>1344</v>
      </c>
      <c r="BI3" s="26" t="s">
        <v>19</v>
      </c>
      <c r="BJ3" s="25" t="s">
        <v>23</v>
      </c>
      <c r="BK3" s="25" t="s">
        <v>1099</v>
      </c>
      <c r="BL3" s="25" t="s">
        <v>1096</v>
      </c>
      <c r="BM3" s="25" t="s">
        <v>745</v>
      </c>
      <c r="BN3" s="25" t="s">
        <v>369</v>
      </c>
      <c r="BO3" s="25" t="s">
        <v>307</v>
      </c>
      <c r="BP3" s="25" t="s">
        <v>308</v>
      </c>
      <c r="BQ3" s="26" t="s">
        <v>335</v>
      </c>
    </row>
    <row r="4" spans="1:69" s="34" customFormat="1" ht="16" customHeight="1" x14ac:dyDescent="0.2">
      <c r="A4" s="33">
        <v>1000</v>
      </c>
      <c r="B4" s="28" t="s">
        <v>26</v>
      </c>
      <c r="C4" s="28" t="s">
        <v>39</v>
      </c>
      <c r="D4" s="28" t="s">
        <v>27</v>
      </c>
      <c r="E4" s="34" t="s">
        <v>444</v>
      </c>
      <c r="F4" s="34" t="str">
        <f>IF(ISBLANK(Table2[[#This Row],[unique_id]]), "", PROPER(SUBSTITUTE(Table2[[#This Row],[unique_id]], "_", " ")))</f>
        <v>Roof Temperature</v>
      </c>
      <c r="G4" s="28" t="s">
        <v>38</v>
      </c>
      <c r="H4" s="28" t="s">
        <v>78</v>
      </c>
      <c r="I4" s="28" t="s">
        <v>30</v>
      </c>
      <c r="J4" s="28"/>
      <c r="K4" s="34" t="s">
        <v>285</v>
      </c>
      <c r="L4" s="28"/>
      <c r="M4" s="28"/>
      <c r="N4" s="28"/>
      <c r="O4" s="29"/>
      <c r="P4" s="28"/>
      <c r="Q4" s="28"/>
      <c r="R4" s="28"/>
      <c r="S4" s="28"/>
      <c r="T4" s="35"/>
      <c r="U4" s="35"/>
      <c r="V4" s="35"/>
      <c r="W4" s="28"/>
      <c r="X4" s="28"/>
      <c r="Y4" s="29" t="s">
        <v>286</v>
      </c>
      <c r="Z4" s="29"/>
      <c r="AA4" s="29"/>
      <c r="AB4" s="29"/>
      <c r="AC4" s="29"/>
      <c r="AD4" s="29"/>
      <c r="AE4" s="28" t="s">
        <v>31</v>
      </c>
      <c r="AF4" s="28" t="s">
        <v>79</v>
      </c>
      <c r="AG4" s="28" t="s">
        <v>80</v>
      </c>
      <c r="AH4" s="28" t="s">
        <v>287</v>
      </c>
      <c r="AI4" s="28">
        <v>300</v>
      </c>
      <c r="AJ4" s="29" t="s">
        <v>34</v>
      </c>
      <c r="AK4" s="29"/>
      <c r="AL4" s="28" t="s">
        <v>82</v>
      </c>
      <c r="AM4" s="28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N4" s="28" t="str">
        <f>IF(ISBLANK(Table2[[#This Row],[index]]),  "", _xlfn.CONCAT(LOWER(Table2[[#This Row],[device_via_device]]), "/", Table2[[#This Row],[unique_id]]))</f>
        <v>weewx/roof_temperature</v>
      </c>
      <c r="AO4" s="28"/>
      <c r="AP4" s="28"/>
      <c r="AQ4" s="28"/>
      <c r="AR4" s="28"/>
      <c r="AS4" s="28"/>
      <c r="AT4" s="28"/>
      <c r="AU4" s="28" t="s">
        <v>1123</v>
      </c>
      <c r="AV4" s="28">
        <v>1</v>
      </c>
      <c r="AW4" s="30"/>
      <c r="AX4" s="28"/>
      <c r="AY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BB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" s="28"/>
      <c r="BD4" s="28" t="str">
        <f>IF(ISBLANK(Table2[[#This Row],[device_model]]), "", Table2[[#This Row],[device_suggested_area]])</f>
        <v>Roof</v>
      </c>
      <c r="BE4" s="28" t="s">
        <v>393</v>
      </c>
      <c r="BF4" s="28" t="s">
        <v>36</v>
      </c>
      <c r="BG4" s="28" t="s">
        <v>37</v>
      </c>
      <c r="BH4" s="28"/>
      <c r="BI4" s="28" t="s">
        <v>1010</v>
      </c>
      <c r="BJ4" s="28" t="s">
        <v>38</v>
      </c>
      <c r="BK4" s="28"/>
      <c r="BL4" s="28"/>
      <c r="BM4" s="28"/>
      <c r="BN4" s="28"/>
      <c r="BO4" s="28"/>
      <c r="BP4" s="28"/>
      <c r="BQ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9" ht="16" customHeight="1" x14ac:dyDescent="0.2">
      <c r="A5" s="28">
        <v>1001</v>
      </c>
      <c r="B5" s="28" t="s">
        <v>26</v>
      </c>
      <c r="C5" s="28" t="s">
        <v>39</v>
      </c>
      <c r="D5" s="28" t="s">
        <v>27</v>
      </c>
      <c r="E5" s="34" t="s">
        <v>285</v>
      </c>
      <c r="F5" s="34" t="str">
        <f>IF(ISBLANK(Table2[[#This Row],[unique_id]]), "", PROPER(SUBSTITUTE(Table2[[#This Row],[unique_id]], "_", " ")))</f>
        <v>Compensation Sensor Roof Temperature</v>
      </c>
      <c r="G5" s="28" t="s">
        <v>38</v>
      </c>
      <c r="H5" s="28" t="s">
        <v>78</v>
      </c>
      <c r="I5" s="28" t="s">
        <v>30</v>
      </c>
      <c r="J5" s="28" t="s">
        <v>78</v>
      </c>
      <c r="K5" s="34"/>
      <c r="M5" s="28" t="s">
        <v>81</v>
      </c>
      <c r="O5" s="29"/>
      <c r="P5" s="28"/>
      <c r="T5" s="35"/>
      <c r="U5" s="35"/>
      <c r="V5" s="35" t="s">
        <v>1525</v>
      </c>
      <c r="W5" s="28" t="s">
        <v>1527</v>
      </c>
      <c r="X5" s="28" t="s">
        <v>1518</v>
      </c>
      <c r="Y5" s="29"/>
      <c r="Z5" s="29"/>
      <c r="AA5" s="29"/>
      <c r="AB5" s="29"/>
      <c r="AE5" s="28" t="s">
        <v>31</v>
      </c>
      <c r="AF5" s="28" t="s">
        <v>79</v>
      </c>
      <c r="AG5" s="28" t="s">
        <v>80</v>
      </c>
      <c r="AH5" s="28" t="s">
        <v>287</v>
      </c>
      <c r="AJ5" s="29"/>
      <c r="AK5" s="29"/>
      <c r="AV5" s="28"/>
      <c r="AW5" s="30"/>
      <c r="AY5" s="28"/>
      <c r="BA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5" s="28" t="s">
        <v>38</v>
      </c>
      <c r="BO5" s="28"/>
    </row>
    <row r="6" spans="1:69" ht="16" customHeight="1" x14ac:dyDescent="0.2">
      <c r="A6" s="33">
        <v>1002</v>
      </c>
      <c r="B6" s="28" t="s">
        <v>26</v>
      </c>
      <c r="C6" s="28" t="s">
        <v>119</v>
      </c>
      <c r="D6" s="28" t="s">
        <v>27</v>
      </c>
      <c r="E6" s="28" t="s">
        <v>556</v>
      </c>
      <c r="F6" s="34" t="str">
        <f>IF(ISBLANK(Table2[[#This Row],[unique_id]]), "", PROPER(SUBSTITUTE(Table2[[#This Row],[unique_id]], "_", " ")))</f>
        <v>Ada Temperature</v>
      </c>
      <c r="G6" s="28" t="s">
        <v>121</v>
      </c>
      <c r="H6" s="28" t="s">
        <v>78</v>
      </c>
      <c r="I6" s="28" t="s">
        <v>30</v>
      </c>
      <c r="K6" s="28" t="s">
        <v>557</v>
      </c>
      <c r="O6" s="29"/>
      <c r="P6" s="28"/>
      <c r="T6" s="35"/>
      <c r="U6" s="35"/>
      <c r="V6" s="35"/>
      <c r="W6" s="28"/>
      <c r="Y6" s="29" t="s">
        <v>1111</v>
      </c>
      <c r="Z6" s="29"/>
      <c r="AA6" s="29"/>
      <c r="AB6" s="29"/>
      <c r="AH6" s="28" t="s">
        <v>287</v>
      </c>
      <c r="AJ6" s="29"/>
      <c r="AK6" s="29"/>
      <c r="AV6" s="28"/>
      <c r="AW6" s="30"/>
      <c r="AY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" s="28" t="str">
        <f>IF(ISBLANK(Table2[[#This Row],[device_model]]), "", Table2[[#This Row],[device_suggested_area]])</f>
        <v>Ada</v>
      </c>
      <c r="BE6" s="28" t="s">
        <v>939</v>
      </c>
      <c r="BF6" s="28" t="s">
        <v>937</v>
      </c>
      <c r="BG6" s="28" t="s">
        <v>119</v>
      </c>
      <c r="BI6" s="28" t="s">
        <v>394</v>
      </c>
      <c r="BJ6" s="28" t="s">
        <v>121</v>
      </c>
      <c r="BN6" s="36" t="s">
        <v>1185</v>
      </c>
      <c r="BO6" s="35" t="s">
        <v>401</v>
      </c>
      <c r="BQ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9" ht="16" customHeight="1" x14ac:dyDescent="0.2">
      <c r="A7" s="33">
        <v>1003</v>
      </c>
      <c r="B7" s="28" t="s">
        <v>26</v>
      </c>
      <c r="C7" s="28" t="s">
        <v>119</v>
      </c>
      <c r="D7" s="28" t="s">
        <v>27</v>
      </c>
      <c r="E7" s="28" t="s">
        <v>557</v>
      </c>
      <c r="F7" s="34" t="str">
        <f>IF(ISBLANK(Table2[[#This Row],[unique_id]]), "", PROPER(SUBSTITUTE(Table2[[#This Row],[unique_id]], "_", " ")))</f>
        <v>Compensation Sensor Ada Temperature</v>
      </c>
      <c r="G7" s="28" t="s">
        <v>121</v>
      </c>
      <c r="H7" s="28" t="s">
        <v>78</v>
      </c>
      <c r="I7" s="28" t="s">
        <v>30</v>
      </c>
      <c r="J7" s="28" t="s">
        <v>677</v>
      </c>
      <c r="M7" s="28" t="s">
        <v>81</v>
      </c>
      <c r="O7" s="29"/>
      <c r="P7" s="28"/>
      <c r="T7" s="35"/>
      <c r="U7" s="35"/>
      <c r="V7" s="35"/>
      <c r="W7" s="28" t="s">
        <v>1527</v>
      </c>
      <c r="X7" s="28" t="s">
        <v>1518</v>
      </c>
      <c r="Y7" s="29"/>
      <c r="Z7" s="29"/>
      <c r="AA7" s="29"/>
      <c r="AB7" s="29"/>
      <c r="AH7" s="28" t="s">
        <v>287</v>
      </c>
      <c r="AJ7" s="29"/>
      <c r="AK7" s="29"/>
      <c r="AV7" s="28"/>
      <c r="AW7" s="30"/>
      <c r="AY7" s="28"/>
      <c r="BA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7" s="28" t="s">
        <v>121</v>
      </c>
      <c r="BO7" s="35"/>
    </row>
    <row r="8" spans="1:69" ht="16" customHeight="1" x14ac:dyDescent="0.2">
      <c r="A8" s="28">
        <v>1004</v>
      </c>
      <c r="B8" s="28" t="s">
        <v>26</v>
      </c>
      <c r="C8" s="28" t="s">
        <v>119</v>
      </c>
      <c r="D8" s="28" t="s">
        <v>27</v>
      </c>
      <c r="E8" s="28" t="s">
        <v>558</v>
      </c>
      <c r="F8" s="34" t="str">
        <f>IF(ISBLANK(Table2[[#This Row],[unique_id]]), "", PROPER(SUBSTITUTE(Table2[[#This Row],[unique_id]], "_", " ")))</f>
        <v>Edwin Temperature</v>
      </c>
      <c r="G8" s="28" t="s">
        <v>118</v>
      </c>
      <c r="H8" s="28" t="s">
        <v>78</v>
      </c>
      <c r="I8" s="28" t="s">
        <v>30</v>
      </c>
      <c r="K8" s="28" t="s">
        <v>559</v>
      </c>
      <c r="O8" s="29"/>
      <c r="P8" s="28"/>
      <c r="T8" s="35"/>
      <c r="U8" s="35"/>
      <c r="V8" s="35"/>
      <c r="W8" s="28"/>
      <c r="Y8" s="29" t="s">
        <v>1117</v>
      </c>
      <c r="Z8" s="29"/>
      <c r="AA8" s="29"/>
      <c r="AB8" s="29"/>
      <c r="AH8" s="28" t="s">
        <v>287</v>
      </c>
      <c r="AJ8" s="29"/>
      <c r="AK8" s="29"/>
      <c r="AV8" s="28"/>
      <c r="AW8" s="30"/>
      <c r="AY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" s="28" t="str">
        <f>IF(ISBLANK(Table2[[#This Row],[device_model]]), "", Table2[[#This Row],[device_suggested_area]])</f>
        <v>Edwin</v>
      </c>
      <c r="BE8" s="28" t="s">
        <v>939</v>
      </c>
      <c r="BF8" s="28" t="s">
        <v>937</v>
      </c>
      <c r="BG8" s="28" t="s">
        <v>119</v>
      </c>
      <c r="BI8" s="28" t="s">
        <v>394</v>
      </c>
      <c r="BJ8" s="28" t="s">
        <v>118</v>
      </c>
      <c r="BN8" s="36" t="s">
        <v>1185</v>
      </c>
      <c r="BO8" s="28" t="s">
        <v>400</v>
      </c>
      <c r="BQ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9" ht="16" customHeight="1" x14ac:dyDescent="0.2">
      <c r="A9" s="33">
        <v>1005</v>
      </c>
      <c r="B9" s="28" t="s">
        <v>26</v>
      </c>
      <c r="C9" s="28" t="s">
        <v>119</v>
      </c>
      <c r="D9" s="28" t="s">
        <v>27</v>
      </c>
      <c r="E9" s="28" t="s">
        <v>559</v>
      </c>
      <c r="F9" s="34" t="str">
        <f>IF(ISBLANK(Table2[[#This Row],[unique_id]]), "", PROPER(SUBSTITUTE(Table2[[#This Row],[unique_id]], "_", " ")))</f>
        <v>Compensation Sensor Edwin Temperature</v>
      </c>
      <c r="G9" s="28" t="s">
        <v>118</v>
      </c>
      <c r="H9" s="28" t="s">
        <v>78</v>
      </c>
      <c r="I9" s="28" t="s">
        <v>30</v>
      </c>
      <c r="J9" s="28" t="s">
        <v>677</v>
      </c>
      <c r="M9" s="28" t="s">
        <v>81</v>
      </c>
      <c r="O9" s="29"/>
      <c r="P9" s="28"/>
      <c r="T9" s="35"/>
      <c r="U9" s="35"/>
      <c r="V9" s="35"/>
      <c r="W9" s="28" t="s">
        <v>1527</v>
      </c>
      <c r="X9" s="28" t="s">
        <v>1518</v>
      </c>
      <c r="Y9" s="29"/>
      <c r="Z9" s="29"/>
      <c r="AA9" s="29"/>
      <c r="AB9" s="29"/>
      <c r="AH9" s="28" t="s">
        <v>287</v>
      </c>
      <c r="AJ9" s="29"/>
      <c r="AK9" s="29"/>
      <c r="AV9" s="28"/>
      <c r="AW9" s="30"/>
      <c r="AY9" s="28"/>
      <c r="BA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9" s="28" t="s">
        <v>118</v>
      </c>
      <c r="BO9" s="28"/>
    </row>
    <row r="10" spans="1:69" ht="16" customHeight="1" x14ac:dyDescent="0.2">
      <c r="A10" s="33">
        <v>1006</v>
      </c>
      <c r="B10" s="28" t="s">
        <v>26</v>
      </c>
      <c r="C10" s="28" t="s">
        <v>119</v>
      </c>
      <c r="D10" s="28" t="s">
        <v>27</v>
      </c>
      <c r="E10" s="28" t="s">
        <v>1259</v>
      </c>
      <c r="F10" s="34" t="str">
        <f>IF(ISBLANK(Table2[[#This Row],[unique_id]]), "", PROPER(SUBSTITUTE(Table2[[#This Row],[unique_id]], "_", " ")))</f>
        <v>Office Lounge Temperature</v>
      </c>
      <c r="G10" s="28" t="s">
        <v>183</v>
      </c>
      <c r="H10" s="28" t="s">
        <v>78</v>
      </c>
      <c r="I10" s="28" t="s">
        <v>30</v>
      </c>
      <c r="K10" s="28" t="s">
        <v>1260</v>
      </c>
      <c r="O10" s="29"/>
      <c r="P10" s="28"/>
      <c r="T10" s="35"/>
      <c r="U10" s="35"/>
      <c r="V10" s="35"/>
      <c r="W10" s="28"/>
      <c r="Y10" s="29" t="s">
        <v>1113</v>
      </c>
      <c r="Z10" s="29"/>
      <c r="AA10" s="29"/>
      <c r="AB10" s="29"/>
      <c r="AH10" s="28" t="s">
        <v>287</v>
      </c>
      <c r="AJ10" s="29"/>
      <c r="AK10" s="29"/>
      <c r="AV10" s="28"/>
      <c r="AW10" s="30"/>
      <c r="AY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" s="28" t="str">
        <f>IF(ISBLANK(Table2[[#This Row],[device_model]]), "", Table2[[#This Row],[device_suggested_area]])</f>
        <v>Lounge</v>
      </c>
      <c r="BE10" s="28" t="s">
        <v>938</v>
      </c>
      <c r="BF10" s="28" t="s">
        <v>940</v>
      </c>
      <c r="BG10" s="28" t="s">
        <v>119</v>
      </c>
      <c r="BI10" s="28" t="s">
        <v>395</v>
      </c>
      <c r="BJ10" s="28" t="s">
        <v>183</v>
      </c>
      <c r="BO10" s="28"/>
      <c r="BQ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9" ht="16" customHeight="1" x14ac:dyDescent="0.2">
      <c r="A11" s="33">
        <v>1007</v>
      </c>
      <c r="B11" s="28" t="s">
        <v>26</v>
      </c>
      <c r="C11" s="28" t="s">
        <v>119</v>
      </c>
      <c r="D11" s="28" t="s">
        <v>27</v>
      </c>
      <c r="E11" s="28" t="s">
        <v>1260</v>
      </c>
      <c r="F11" s="34" t="str">
        <f>IF(ISBLANK(Table2[[#This Row],[unique_id]]), "", PROPER(SUBSTITUTE(Table2[[#This Row],[unique_id]], "_", " ")))</f>
        <v>Compensation Sensor Office Lounge Temperature</v>
      </c>
      <c r="G11" s="28" t="s">
        <v>183</v>
      </c>
      <c r="H11" s="28" t="s">
        <v>78</v>
      </c>
      <c r="I11" s="28" t="s">
        <v>30</v>
      </c>
      <c r="J11" s="28" t="s">
        <v>78</v>
      </c>
      <c r="M11" s="28" t="s">
        <v>81</v>
      </c>
      <c r="O11" s="29"/>
      <c r="P11" s="28"/>
      <c r="T11" s="35"/>
      <c r="U11" s="35"/>
      <c r="V11" s="35"/>
      <c r="W11" s="28" t="s">
        <v>1527</v>
      </c>
      <c r="X11" s="28" t="s">
        <v>1518</v>
      </c>
      <c r="Y11" s="29"/>
      <c r="Z11" s="29"/>
      <c r="AA11" s="29"/>
      <c r="AB11" s="29"/>
      <c r="AH11" s="28" t="s">
        <v>287</v>
      </c>
      <c r="AJ11" s="29"/>
      <c r="AK11" s="29"/>
      <c r="AV11" s="28"/>
      <c r="AW11" s="30"/>
      <c r="AY11" s="28"/>
      <c r="BA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1" s="28" t="s">
        <v>183</v>
      </c>
      <c r="BO11" s="28"/>
    </row>
    <row r="12" spans="1:69" ht="16" customHeight="1" x14ac:dyDescent="0.2">
      <c r="A12" s="33">
        <v>1008</v>
      </c>
      <c r="B12" s="28" t="s">
        <v>26</v>
      </c>
      <c r="C12" s="28" t="s">
        <v>119</v>
      </c>
      <c r="D12" s="28" t="s">
        <v>27</v>
      </c>
      <c r="E12" s="28" t="s">
        <v>560</v>
      </c>
      <c r="F12" s="34" t="str">
        <f>IF(ISBLANK(Table2[[#This Row],[unique_id]]), "", PROPER(SUBSTITUTE(Table2[[#This Row],[unique_id]], "_", " ")))</f>
        <v>Parents Temperature</v>
      </c>
      <c r="G12" s="28" t="s">
        <v>181</v>
      </c>
      <c r="H12" s="28" t="s">
        <v>78</v>
      </c>
      <c r="I12" s="28" t="s">
        <v>30</v>
      </c>
      <c r="K12" s="28" t="s">
        <v>561</v>
      </c>
      <c r="O12" s="29"/>
      <c r="P12" s="28"/>
      <c r="T12" s="35"/>
      <c r="U12" s="35"/>
      <c r="V12" s="35"/>
      <c r="W12" s="28"/>
      <c r="Y12" s="29" t="s">
        <v>1120</v>
      </c>
      <c r="Z12" s="29"/>
      <c r="AA12" s="29"/>
      <c r="AB12" s="29"/>
      <c r="AH12" s="28" t="s">
        <v>287</v>
      </c>
      <c r="AJ12" s="29"/>
      <c r="AK12" s="29"/>
      <c r="AV12" s="28"/>
      <c r="AW12" s="30"/>
      <c r="AY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2" s="28" t="str">
        <f>IF(ISBLANK(Table2[[#This Row],[device_model]]), "", Table2[[#This Row],[device_suggested_area]])</f>
        <v>Parents</v>
      </c>
      <c r="BE12" s="28" t="s">
        <v>939</v>
      </c>
      <c r="BF12" s="28" t="s">
        <v>937</v>
      </c>
      <c r="BG12" s="28" t="s">
        <v>119</v>
      </c>
      <c r="BI12" s="28" t="s">
        <v>394</v>
      </c>
      <c r="BJ12" s="28" t="s">
        <v>181</v>
      </c>
      <c r="BN12" s="36" t="s">
        <v>1185</v>
      </c>
      <c r="BO12" s="28" t="s">
        <v>396</v>
      </c>
      <c r="BQ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9" ht="16" customHeight="1" x14ac:dyDescent="0.2">
      <c r="A13" s="33">
        <v>1009</v>
      </c>
      <c r="B13" s="28" t="s">
        <v>26</v>
      </c>
      <c r="C13" s="28" t="s">
        <v>119</v>
      </c>
      <c r="D13" s="28" t="s">
        <v>27</v>
      </c>
      <c r="E13" s="28" t="s">
        <v>561</v>
      </c>
      <c r="F13" s="34" t="str">
        <f>IF(ISBLANK(Table2[[#This Row],[unique_id]]), "", PROPER(SUBSTITUTE(Table2[[#This Row],[unique_id]], "_", " ")))</f>
        <v>Compensation Sensor Parents Temperature</v>
      </c>
      <c r="G13" s="28" t="s">
        <v>181</v>
      </c>
      <c r="H13" s="28" t="s">
        <v>78</v>
      </c>
      <c r="I13" s="28" t="s">
        <v>30</v>
      </c>
      <c r="J13" s="28" t="s">
        <v>78</v>
      </c>
      <c r="M13" s="28" t="s">
        <v>127</v>
      </c>
      <c r="O13" s="29"/>
      <c r="P13" s="28"/>
      <c r="T13" s="35"/>
      <c r="U13" s="35"/>
      <c r="V13" s="35"/>
      <c r="W13" s="28" t="s">
        <v>1527</v>
      </c>
      <c r="X13" s="28" t="s">
        <v>1518</v>
      </c>
      <c r="Y13" s="29"/>
      <c r="Z13" s="29"/>
      <c r="AA13" s="29"/>
      <c r="AB13" s="29"/>
      <c r="AH13" s="28" t="s">
        <v>287</v>
      </c>
      <c r="AJ13" s="29"/>
      <c r="AK13" s="29"/>
      <c r="AV13" s="28"/>
      <c r="AW13" s="30"/>
      <c r="AY13" s="28"/>
      <c r="BA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3" s="28" t="s">
        <v>181</v>
      </c>
      <c r="BO13" s="28"/>
    </row>
    <row r="14" spans="1:69" ht="16" customHeight="1" x14ac:dyDescent="0.2">
      <c r="A14" s="28">
        <v>1010</v>
      </c>
      <c r="B14" s="28" t="s">
        <v>26</v>
      </c>
      <c r="C14" s="28" t="s">
        <v>119</v>
      </c>
      <c r="D14" s="28" t="s">
        <v>27</v>
      </c>
      <c r="E14" s="28" t="s">
        <v>1170</v>
      </c>
      <c r="F14" s="34" t="str">
        <f>IF(ISBLANK(Table2[[#This Row],[unique_id]]), "", PROPER(SUBSTITUTE(Table2[[#This Row],[unique_id]], "_", " ")))</f>
        <v>Office Temperature</v>
      </c>
      <c r="G14" s="28" t="s">
        <v>201</v>
      </c>
      <c r="H14" s="28" t="s">
        <v>78</v>
      </c>
      <c r="I14" s="28" t="s">
        <v>30</v>
      </c>
      <c r="K14" s="28" t="s">
        <v>1171</v>
      </c>
      <c r="O14" s="29"/>
      <c r="P14" s="28"/>
      <c r="T14" s="35"/>
      <c r="U14" s="35"/>
      <c r="V14" s="35"/>
      <c r="W14" s="28"/>
      <c r="Y14" s="29" t="s">
        <v>1115</v>
      </c>
      <c r="Z14" s="29"/>
      <c r="AA14" s="29"/>
      <c r="AB14" s="29"/>
      <c r="AH14" s="28" t="s">
        <v>287</v>
      </c>
      <c r="AJ14" s="29"/>
      <c r="AK14" s="29"/>
      <c r="AV14" s="28"/>
      <c r="AW14" s="30"/>
      <c r="AY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Z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BA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4" s="28" t="str">
        <f>IF(ISBLANK(Table2[[#This Row],[device_model]]), "", Table2[[#This Row],[device_suggested_area]])</f>
        <v>Office</v>
      </c>
      <c r="BE14" s="28" t="s">
        <v>939</v>
      </c>
      <c r="BF14" s="28" t="s">
        <v>940</v>
      </c>
      <c r="BG14" s="28" t="s">
        <v>119</v>
      </c>
      <c r="BI14" s="28" t="s">
        <v>395</v>
      </c>
      <c r="BJ14" s="28" t="s">
        <v>201</v>
      </c>
      <c r="BN14" s="36" t="s">
        <v>1185</v>
      </c>
      <c r="BO14" s="28" t="s">
        <v>397</v>
      </c>
      <c r="BQ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9" ht="16" customHeight="1" x14ac:dyDescent="0.2">
      <c r="A15" s="33">
        <v>1011</v>
      </c>
      <c r="B15" s="28" t="s">
        <v>26</v>
      </c>
      <c r="C15" s="28" t="s">
        <v>119</v>
      </c>
      <c r="D15" s="28" t="s">
        <v>27</v>
      </c>
      <c r="E15" s="28" t="s">
        <v>1171</v>
      </c>
      <c r="F15" s="34" t="str">
        <f>IF(ISBLANK(Table2[[#This Row],[unique_id]]), "", PROPER(SUBSTITUTE(Table2[[#This Row],[unique_id]], "_", " ")))</f>
        <v>Compensation Sensor Office Temperature</v>
      </c>
      <c r="G15" s="28" t="s">
        <v>201</v>
      </c>
      <c r="H15" s="28" t="s">
        <v>78</v>
      </c>
      <c r="I15" s="28" t="s">
        <v>30</v>
      </c>
      <c r="J15" s="28" t="s">
        <v>78</v>
      </c>
      <c r="M15" s="28" t="s">
        <v>127</v>
      </c>
      <c r="O15" s="29"/>
      <c r="P15" s="28"/>
      <c r="T15" s="35"/>
      <c r="U15" s="35"/>
      <c r="V15" s="35"/>
      <c r="W15" s="28" t="s">
        <v>1527</v>
      </c>
      <c r="Y15" s="29"/>
      <c r="Z15" s="29"/>
      <c r="AA15" s="29"/>
      <c r="AB15" s="29"/>
      <c r="AH15" s="28" t="s">
        <v>287</v>
      </c>
      <c r="AJ15" s="29"/>
      <c r="AK15" s="29"/>
      <c r="AV15" s="28"/>
      <c r="AW15" s="30"/>
      <c r="AY15" s="28"/>
      <c r="BA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5" s="28" t="s">
        <v>201</v>
      </c>
      <c r="BO15" s="28"/>
    </row>
    <row r="16" spans="1:69" ht="16" customHeight="1" x14ac:dyDescent="0.2">
      <c r="A16" s="33">
        <v>1012</v>
      </c>
      <c r="B16" s="28" t="s">
        <v>26</v>
      </c>
      <c r="C16" s="28" t="s">
        <v>119</v>
      </c>
      <c r="D16" s="28" t="s">
        <v>27</v>
      </c>
      <c r="E16" s="28" t="s">
        <v>1172</v>
      </c>
      <c r="F16" s="34" t="str">
        <f>IF(ISBLANK(Table2[[#This Row],[unique_id]]), "", PROPER(SUBSTITUTE(Table2[[#This Row],[unique_id]], "_", " ")))</f>
        <v>Kitchen Temperature</v>
      </c>
      <c r="G16" s="28" t="s">
        <v>195</v>
      </c>
      <c r="H16" s="28" t="s">
        <v>78</v>
      </c>
      <c r="I16" s="28" t="s">
        <v>30</v>
      </c>
      <c r="K16" s="28" t="s">
        <v>1173</v>
      </c>
      <c r="O16" s="29"/>
      <c r="P16" s="28"/>
      <c r="T16" s="35"/>
      <c r="U16" s="35"/>
      <c r="V16" s="35"/>
      <c r="W16" s="28"/>
      <c r="Y16" s="29" t="s">
        <v>1112</v>
      </c>
      <c r="Z16" s="29"/>
      <c r="AA16" s="29"/>
      <c r="AB16" s="29"/>
      <c r="AH16" s="28" t="s">
        <v>287</v>
      </c>
      <c r="AJ16" s="29"/>
      <c r="AK16" s="29"/>
      <c r="AV16" s="28"/>
      <c r="AW16" s="30"/>
      <c r="AY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Z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BA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6" s="28" t="str">
        <f>IF(ISBLANK(Table2[[#This Row],[device_model]]), "", Table2[[#This Row],[device_suggested_area]])</f>
        <v>Kitchen</v>
      </c>
      <c r="BE16" s="28" t="s">
        <v>939</v>
      </c>
      <c r="BF16" s="28" t="s">
        <v>940</v>
      </c>
      <c r="BG16" s="28" t="s">
        <v>119</v>
      </c>
      <c r="BI16" s="28" t="s">
        <v>395</v>
      </c>
      <c r="BJ16" s="28" t="s">
        <v>195</v>
      </c>
      <c r="BN16" s="28" t="s">
        <v>1185</v>
      </c>
      <c r="BO16" s="28" t="s">
        <v>399</v>
      </c>
      <c r="BQ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9" ht="16" customHeight="1" x14ac:dyDescent="0.2">
      <c r="A17" s="28">
        <v>1013</v>
      </c>
      <c r="B17" s="28" t="s">
        <v>26</v>
      </c>
      <c r="C17" s="28" t="s">
        <v>119</v>
      </c>
      <c r="D17" s="28" t="s">
        <v>27</v>
      </c>
      <c r="E17" s="28" t="s">
        <v>1173</v>
      </c>
      <c r="F17" s="34" t="str">
        <f>IF(ISBLANK(Table2[[#This Row],[unique_id]]), "", PROPER(SUBSTITUTE(Table2[[#This Row],[unique_id]], "_", " ")))</f>
        <v>Compensation Sensor Kitchen Temperature</v>
      </c>
      <c r="G17" s="28" t="s">
        <v>195</v>
      </c>
      <c r="H17" s="28" t="s">
        <v>78</v>
      </c>
      <c r="I17" s="28" t="s">
        <v>30</v>
      </c>
      <c r="J17" s="28" t="s">
        <v>78</v>
      </c>
      <c r="M17" s="28" t="s">
        <v>127</v>
      </c>
      <c r="O17" s="29"/>
      <c r="P17" s="28"/>
      <c r="T17" s="35"/>
      <c r="U17" s="35"/>
      <c r="V17" s="35"/>
      <c r="W17" s="28" t="s">
        <v>1527</v>
      </c>
      <c r="X17" s="28" t="s">
        <v>1518</v>
      </c>
      <c r="Y17" s="29"/>
      <c r="Z17" s="29"/>
      <c r="AA17" s="29"/>
      <c r="AB17" s="29"/>
      <c r="AH17" s="28" t="s">
        <v>287</v>
      </c>
      <c r="AJ17" s="29"/>
      <c r="AK17" s="29"/>
      <c r="AV17" s="28"/>
      <c r="AW17" s="30"/>
      <c r="AY17" s="28"/>
      <c r="BA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7" s="28" t="s">
        <v>195</v>
      </c>
      <c r="BO17" s="28"/>
    </row>
    <row r="18" spans="1:69" ht="16" customHeight="1" x14ac:dyDescent="0.2">
      <c r="A18" s="33">
        <v>1014</v>
      </c>
      <c r="B18" s="28" t="s">
        <v>26</v>
      </c>
      <c r="C18" s="28" t="s">
        <v>119</v>
      </c>
      <c r="D18" s="28" t="s">
        <v>27</v>
      </c>
      <c r="E18" s="37" t="s">
        <v>1261</v>
      </c>
      <c r="F18" s="34" t="str">
        <f>IF(ISBLANK(Table2[[#This Row],[unique_id]]), "", PROPER(SUBSTITUTE(Table2[[#This Row],[unique_id]], "_", " ")))</f>
        <v>Office Pantry Temperature</v>
      </c>
      <c r="G18" s="28" t="s">
        <v>200</v>
      </c>
      <c r="H18" s="28" t="s">
        <v>78</v>
      </c>
      <c r="I18" s="28" t="s">
        <v>30</v>
      </c>
      <c r="K18" s="37" t="s">
        <v>1262</v>
      </c>
      <c r="O18" s="29"/>
      <c r="P18" s="28"/>
      <c r="T18" s="35"/>
      <c r="U18" s="35"/>
      <c r="V18" s="35"/>
      <c r="W18" s="28"/>
      <c r="Y18" s="29" t="s">
        <v>1114</v>
      </c>
      <c r="Z18" s="29"/>
      <c r="AA18" s="29"/>
      <c r="AB18" s="29"/>
      <c r="AH18" s="28" t="s">
        <v>287</v>
      </c>
      <c r="AJ18" s="29"/>
      <c r="AK18" s="29"/>
      <c r="AV18" s="28"/>
      <c r="AW18" s="30"/>
      <c r="AY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8" s="28" t="str">
        <f>IF(ISBLANK(Table2[[#This Row],[device_model]]), "", Table2[[#This Row],[device_suggested_area]])</f>
        <v>Pantry</v>
      </c>
      <c r="BE18" s="28" t="s">
        <v>938</v>
      </c>
      <c r="BF18" s="28" t="s">
        <v>940</v>
      </c>
      <c r="BG18" s="28" t="s">
        <v>119</v>
      </c>
      <c r="BI18" s="28" t="s">
        <v>395</v>
      </c>
      <c r="BJ18" s="28" t="s">
        <v>200</v>
      </c>
      <c r="BO18" s="28"/>
      <c r="BQ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9" ht="16" customHeight="1" x14ac:dyDescent="0.2">
      <c r="A19" s="33">
        <v>1015</v>
      </c>
      <c r="B19" s="28" t="s">
        <v>26</v>
      </c>
      <c r="C19" s="28" t="s">
        <v>119</v>
      </c>
      <c r="D19" s="28" t="s">
        <v>27</v>
      </c>
      <c r="E19" s="37" t="s">
        <v>1262</v>
      </c>
      <c r="F19" s="34" t="str">
        <f>IF(ISBLANK(Table2[[#This Row],[unique_id]]), "", PROPER(SUBSTITUTE(Table2[[#This Row],[unique_id]], "_", " ")))</f>
        <v>Compensation Sensor Office Pantry Temperature</v>
      </c>
      <c r="G19" s="28" t="s">
        <v>200</v>
      </c>
      <c r="H19" s="28" t="s">
        <v>78</v>
      </c>
      <c r="I19" s="28" t="s">
        <v>30</v>
      </c>
      <c r="J19" s="28" t="s">
        <v>78</v>
      </c>
      <c r="M19" s="28" t="s">
        <v>127</v>
      </c>
      <c r="O19" s="29"/>
      <c r="P19" s="28"/>
      <c r="T19" s="35"/>
      <c r="U19" s="35"/>
      <c r="V19" s="35"/>
      <c r="W19" s="28" t="s">
        <v>1527</v>
      </c>
      <c r="Y19" s="29"/>
      <c r="Z19" s="29"/>
      <c r="AA19" s="29"/>
      <c r="AB19" s="29"/>
      <c r="AH19" s="28" t="s">
        <v>287</v>
      </c>
      <c r="AJ19" s="29"/>
      <c r="AK19" s="29"/>
      <c r="AV19" s="28"/>
      <c r="AW19" s="30"/>
      <c r="AY19" s="28"/>
      <c r="BA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9" s="28" t="s">
        <v>200</v>
      </c>
      <c r="BO19" s="28"/>
    </row>
    <row r="20" spans="1:69" ht="16" customHeight="1" x14ac:dyDescent="0.2">
      <c r="A20" s="28">
        <v>1016</v>
      </c>
      <c r="B20" s="28" t="s">
        <v>26</v>
      </c>
      <c r="C20" s="28" t="s">
        <v>119</v>
      </c>
      <c r="D20" s="28" t="s">
        <v>27</v>
      </c>
      <c r="E20" s="37" t="s">
        <v>1263</v>
      </c>
      <c r="F20" s="34" t="str">
        <f>IF(ISBLANK(Table2[[#This Row],[unique_id]]), "", PROPER(SUBSTITUTE(Table2[[#This Row],[unique_id]], "_", " ")))</f>
        <v>Office Dining Temperature</v>
      </c>
      <c r="G20" s="28" t="s">
        <v>182</v>
      </c>
      <c r="H20" s="28" t="s">
        <v>78</v>
      </c>
      <c r="I20" s="28" t="s">
        <v>30</v>
      </c>
      <c r="K20" s="37" t="s">
        <v>1264</v>
      </c>
      <c r="O20" s="29"/>
      <c r="P20" s="28"/>
      <c r="T20" s="35"/>
      <c r="U20" s="35"/>
      <c r="V20" s="35"/>
      <c r="W20" s="28"/>
      <c r="Y20" s="29" t="s">
        <v>1113</v>
      </c>
      <c r="Z20" s="29"/>
      <c r="AA20" s="29"/>
      <c r="AB20" s="29"/>
      <c r="AH20" s="28" t="s">
        <v>287</v>
      </c>
      <c r="AJ20" s="29"/>
      <c r="AK20" s="29"/>
      <c r="AV20" s="28"/>
      <c r="AW20" s="30"/>
      <c r="AY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" s="28" t="str">
        <f>IF(ISBLANK(Table2[[#This Row],[device_model]]), "", Table2[[#This Row],[device_suggested_area]])</f>
        <v>Dining</v>
      </c>
      <c r="BE20" s="28" t="s">
        <v>938</v>
      </c>
      <c r="BF20" s="28" t="s">
        <v>940</v>
      </c>
      <c r="BG20" s="28" t="s">
        <v>119</v>
      </c>
      <c r="BI20" s="28" t="s">
        <v>395</v>
      </c>
      <c r="BJ20" s="28" t="s">
        <v>182</v>
      </c>
      <c r="BO20" s="28"/>
      <c r="BQ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9" ht="16" customHeight="1" x14ac:dyDescent="0.2">
      <c r="A21" s="33">
        <v>1017</v>
      </c>
      <c r="B21" s="28" t="s">
        <v>26</v>
      </c>
      <c r="C21" s="28" t="s">
        <v>119</v>
      </c>
      <c r="D21" s="28" t="s">
        <v>27</v>
      </c>
      <c r="E21" s="37" t="s">
        <v>1264</v>
      </c>
      <c r="F21" s="34" t="str">
        <f>IF(ISBLANK(Table2[[#This Row],[unique_id]]), "", PROPER(SUBSTITUTE(Table2[[#This Row],[unique_id]], "_", " ")))</f>
        <v>Compensation Sensor Office Dining Temperature</v>
      </c>
      <c r="G21" s="28" t="s">
        <v>182</v>
      </c>
      <c r="H21" s="28" t="s">
        <v>78</v>
      </c>
      <c r="I21" s="28" t="s">
        <v>30</v>
      </c>
      <c r="J21" s="28" t="s">
        <v>78</v>
      </c>
      <c r="M21" s="28" t="s">
        <v>127</v>
      </c>
      <c r="O21" s="29"/>
      <c r="P21" s="28"/>
      <c r="T21" s="35"/>
      <c r="U21" s="35"/>
      <c r="V21" s="35"/>
      <c r="W21" s="28" t="s">
        <v>1527</v>
      </c>
      <c r="Y21" s="29"/>
      <c r="Z21" s="29"/>
      <c r="AA21" s="29"/>
      <c r="AB21" s="29"/>
      <c r="AH21" s="28" t="s">
        <v>287</v>
      </c>
      <c r="AJ21" s="29"/>
      <c r="AK21" s="29"/>
      <c r="AV21" s="28"/>
      <c r="AW21" s="30"/>
      <c r="AY21" s="28"/>
      <c r="BA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1" s="28" t="s">
        <v>182</v>
      </c>
      <c r="BO21" s="28"/>
    </row>
    <row r="22" spans="1:69" ht="16" customHeight="1" x14ac:dyDescent="0.2">
      <c r="A22" s="33">
        <v>1018</v>
      </c>
      <c r="B22" s="28" t="s">
        <v>26</v>
      </c>
      <c r="C22" s="28" t="s">
        <v>119</v>
      </c>
      <c r="D22" s="28" t="s">
        <v>27</v>
      </c>
      <c r="E22" s="28" t="s">
        <v>554</v>
      </c>
      <c r="F22" s="34" t="str">
        <f>IF(ISBLANK(Table2[[#This Row],[unique_id]]), "", PROPER(SUBSTITUTE(Table2[[#This Row],[unique_id]], "_", " ")))</f>
        <v>Laundry Temperature</v>
      </c>
      <c r="G22" s="28" t="s">
        <v>202</v>
      </c>
      <c r="H22" s="28" t="s">
        <v>78</v>
      </c>
      <c r="I22" s="28" t="s">
        <v>30</v>
      </c>
      <c r="K22" s="28" t="s">
        <v>555</v>
      </c>
      <c r="O22" s="29"/>
      <c r="P22" s="28"/>
      <c r="T22" s="35"/>
      <c r="U22" s="35"/>
      <c r="V22" s="35"/>
      <c r="W22" s="28"/>
      <c r="Y22" s="29" t="s">
        <v>1119</v>
      </c>
      <c r="Z22" s="29"/>
      <c r="AA22" s="29"/>
      <c r="AB22" s="29"/>
      <c r="AH22" s="28" t="s">
        <v>287</v>
      </c>
      <c r="AJ22" s="29"/>
      <c r="AK22" s="29"/>
      <c r="AV22" s="28"/>
      <c r="AW22" s="30"/>
      <c r="AY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" s="28" t="str">
        <f>IF(ISBLANK(Table2[[#This Row],[device_model]]), "", Table2[[#This Row],[device_suggested_area]])</f>
        <v>Laundry</v>
      </c>
      <c r="BE22" s="28" t="s">
        <v>939</v>
      </c>
      <c r="BF22" s="28" t="s">
        <v>937</v>
      </c>
      <c r="BG22" s="28" t="s">
        <v>119</v>
      </c>
      <c r="BI22" s="28" t="s">
        <v>394</v>
      </c>
      <c r="BJ22" s="28" t="s">
        <v>202</v>
      </c>
      <c r="BN22" s="28" t="s">
        <v>1185</v>
      </c>
      <c r="BO22" s="35" t="s">
        <v>398</v>
      </c>
      <c r="BQ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9" ht="16" customHeight="1" x14ac:dyDescent="0.2">
      <c r="A23" s="28">
        <v>1019</v>
      </c>
      <c r="B23" s="28" t="s">
        <v>26</v>
      </c>
      <c r="C23" s="28" t="s">
        <v>119</v>
      </c>
      <c r="D23" s="28" t="s">
        <v>27</v>
      </c>
      <c r="E23" s="28" t="s">
        <v>555</v>
      </c>
      <c r="F23" s="34" t="str">
        <f>IF(ISBLANK(Table2[[#This Row],[unique_id]]), "", PROPER(SUBSTITUTE(Table2[[#This Row],[unique_id]], "_", " ")))</f>
        <v>Compensation Sensor Laundry Temperature</v>
      </c>
      <c r="G23" s="28" t="s">
        <v>202</v>
      </c>
      <c r="H23" s="28" t="s">
        <v>78</v>
      </c>
      <c r="I23" s="28" t="s">
        <v>30</v>
      </c>
      <c r="J23" s="28" t="s">
        <v>78</v>
      </c>
      <c r="M23" s="28" t="s">
        <v>127</v>
      </c>
      <c r="O23" s="29"/>
      <c r="P23" s="28"/>
      <c r="T23" s="35"/>
      <c r="U23" s="35"/>
      <c r="V23" s="35"/>
      <c r="W23" s="28" t="s">
        <v>1527</v>
      </c>
      <c r="Y23" s="29"/>
      <c r="Z23" s="29"/>
      <c r="AA23" s="29"/>
      <c r="AB23" s="29"/>
      <c r="AH23" s="28" t="s">
        <v>287</v>
      </c>
      <c r="AJ23" s="29"/>
      <c r="AK23" s="29"/>
      <c r="AV23" s="28"/>
      <c r="AW23" s="30"/>
      <c r="AY23" s="28"/>
      <c r="BA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3" s="28" t="s">
        <v>202</v>
      </c>
      <c r="BO23" s="35"/>
    </row>
    <row r="24" spans="1:69" ht="16" customHeight="1" x14ac:dyDescent="0.2">
      <c r="A24" s="33">
        <v>1020</v>
      </c>
      <c r="B24" s="28" t="s">
        <v>26</v>
      </c>
      <c r="C24" s="28" t="s">
        <v>39</v>
      </c>
      <c r="D24" s="28" t="s">
        <v>27</v>
      </c>
      <c r="E24" s="28" t="s">
        <v>1105</v>
      </c>
      <c r="F24" s="34" t="str">
        <f>IF(ISBLANK(Table2[[#This Row],[unique_id]]), "", PROPER(SUBSTITUTE(Table2[[#This Row],[unique_id]], "_", " ")))</f>
        <v>Wardrobe Temperature</v>
      </c>
      <c r="G24" s="28" t="s">
        <v>460</v>
      </c>
      <c r="H24" s="28" t="s">
        <v>78</v>
      </c>
      <c r="I24" s="28" t="s">
        <v>30</v>
      </c>
      <c r="K24" s="28" t="s">
        <v>1106</v>
      </c>
      <c r="O24" s="29"/>
      <c r="P24" s="28"/>
      <c r="T24" s="35"/>
      <c r="U24" s="35"/>
      <c r="V24" s="35"/>
      <c r="W24" s="28"/>
      <c r="Y24" s="29" t="s">
        <v>1122</v>
      </c>
      <c r="Z24" s="29"/>
      <c r="AA24" s="29"/>
      <c r="AB24" s="29"/>
      <c r="AE24" s="28" t="s">
        <v>31</v>
      </c>
      <c r="AF24" s="28" t="s">
        <v>79</v>
      </c>
      <c r="AG24" s="28" t="s">
        <v>80</v>
      </c>
      <c r="AH24" s="28" t="s">
        <v>287</v>
      </c>
      <c r="AI24" s="28">
        <v>300</v>
      </c>
      <c r="AJ24" s="29" t="s">
        <v>34</v>
      </c>
      <c r="AK24" s="29"/>
      <c r="AL24" s="28" t="s">
        <v>159</v>
      </c>
      <c r="AM24" s="28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N24" s="28" t="str">
        <f>IF(ISBLANK(Table2[[#This Row],[index]]),  "", _xlfn.CONCAT(LOWER(Table2[[#This Row],[device_via_device]]), "/", Table2[[#This Row],[unique_id]]))</f>
        <v>weewx/wardrobe_temperature</v>
      </c>
      <c r="AU24" s="28" t="s">
        <v>1123</v>
      </c>
      <c r="AV24" s="28">
        <v>1</v>
      </c>
      <c r="AW24" s="30"/>
      <c r="AY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BB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" s="28" t="str">
        <f>IF(ISBLANK(Table2[[#This Row],[device_model]]), "", Table2[[#This Row],[device_suggested_area]])</f>
        <v>Wardrobe</v>
      </c>
      <c r="BE24" s="28" t="s">
        <v>1153</v>
      </c>
      <c r="BF24" s="28" t="s">
        <v>36</v>
      </c>
      <c r="BG24" s="28" t="s">
        <v>37</v>
      </c>
      <c r="BI24" s="28" t="s">
        <v>1010</v>
      </c>
      <c r="BJ24" s="28" t="s">
        <v>460</v>
      </c>
      <c r="BO24" s="28"/>
      <c r="BQ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9" ht="16" customHeight="1" x14ac:dyDescent="0.2">
      <c r="A25" s="33">
        <v>1021</v>
      </c>
      <c r="B25" s="28" t="s">
        <v>26</v>
      </c>
      <c r="C25" s="28" t="s">
        <v>39</v>
      </c>
      <c r="D25" s="28" t="s">
        <v>27</v>
      </c>
      <c r="E25" s="28" t="s">
        <v>1106</v>
      </c>
      <c r="F25" s="34" t="str">
        <f>IF(ISBLANK(Table2[[#This Row],[unique_id]]), "", PROPER(SUBSTITUTE(Table2[[#This Row],[unique_id]], "_", " ")))</f>
        <v>Compensation Sensor Wardrobe Temperature</v>
      </c>
      <c r="G25" s="28" t="s">
        <v>460</v>
      </c>
      <c r="H25" s="28" t="s">
        <v>78</v>
      </c>
      <c r="I25" s="28" t="s">
        <v>30</v>
      </c>
      <c r="J25" s="28" t="s">
        <v>78</v>
      </c>
      <c r="M25" s="28" t="s">
        <v>127</v>
      </c>
      <c r="O25" s="29"/>
      <c r="P25" s="28"/>
      <c r="T25" s="35"/>
      <c r="U25" s="35"/>
      <c r="V25" s="35"/>
      <c r="W25" s="28" t="s">
        <v>1527</v>
      </c>
      <c r="Y25" s="29"/>
      <c r="Z25" s="29"/>
      <c r="AA25" s="29"/>
      <c r="AB25" s="29"/>
      <c r="AE25" s="28" t="s">
        <v>31</v>
      </c>
      <c r="AF25" s="28" t="s">
        <v>79</v>
      </c>
      <c r="AG25" s="28" t="s">
        <v>80</v>
      </c>
      <c r="AH25" s="28" t="s">
        <v>287</v>
      </c>
      <c r="AJ25" s="29"/>
      <c r="AK25" s="29"/>
      <c r="AV25" s="28"/>
      <c r="AW25" s="30"/>
      <c r="AY25" s="28"/>
      <c r="BA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5" s="28" t="s">
        <v>460</v>
      </c>
      <c r="BO25" s="28"/>
    </row>
    <row r="26" spans="1:69" ht="16" customHeight="1" x14ac:dyDescent="0.2">
      <c r="A26" s="28">
        <v>1022</v>
      </c>
      <c r="B26" s="28" t="s">
        <v>26</v>
      </c>
      <c r="C26" s="28" t="s">
        <v>1467</v>
      </c>
      <c r="D26" s="28" t="s">
        <v>27</v>
      </c>
      <c r="E26" s="28" t="s">
        <v>1108</v>
      </c>
      <c r="F26" s="34" t="str">
        <f>IF(ISBLANK(Table2[[#This Row],[unique_id]]), "", PROPER(SUBSTITUTE(Table2[[#This Row],[unique_id]], "_", " ")))</f>
        <v>Utility Temperature</v>
      </c>
      <c r="G26" s="28" t="s">
        <v>1107</v>
      </c>
      <c r="H26" s="28" t="s">
        <v>78</v>
      </c>
      <c r="I26" s="28" t="s">
        <v>30</v>
      </c>
      <c r="K26" s="28" t="s">
        <v>1109</v>
      </c>
      <c r="O26" s="29"/>
      <c r="P26" s="28"/>
      <c r="T26" s="35"/>
      <c r="U26" s="35"/>
      <c r="V26" s="35"/>
      <c r="W26" s="28"/>
      <c r="Y26" s="29" t="s">
        <v>1121</v>
      </c>
      <c r="Z26" s="29"/>
      <c r="AA26" s="29"/>
      <c r="AB26" s="29"/>
      <c r="AE26" s="28" t="s">
        <v>31</v>
      </c>
      <c r="AF26" s="28" t="s">
        <v>79</v>
      </c>
      <c r="AG26" s="28" t="s">
        <v>80</v>
      </c>
      <c r="AH26" s="28" t="s">
        <v>287</v>
      </c>
      <c r="AI26" s="28">
        <v>300</v>
      </c>
      <c r="AJ26" s="29" t="s">
        <v>34</v>
      </c>
      <c r="AK26" s="29"/>
      <c r="AL26" s="28" t="s">
        <v>1367</v>
      </c>
      <c r="AM2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N26" s="28" t="str">
        <f>IF(ISBLANK(Table2[[#This Row],[index]]),  "", _xlfn.CONCAT(LOWER(Table2[[#This Row],[device_via_device]]), "/data"))</f>
        <v>tempstat/data</v>
      </c>
      <c r="AO26" s="28" t="str">
        <f>IF(ISBLANK(Table2[[#This Row],[index]]), "", _xlfn.CONCAT(LOWER(Table2[[#This Row],[device_via_device]]), "/command"))</f>
        <v>tempstat/command</v>
      </c>
      <c r="AP26" s="28" t="str">
        <f>IF(ISBLANK(Table2[[#This Row],[index]]), "", _xlfn.CONCAT(LOWER(Table2[[#This Row],[device_via_device]]), "/status"))</f>
        <v>tempstat/status</v>
      </c>
      <c r="AU26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V26" s="28">
        <v>1</v>
      </c>
      <c r="AW26" s="30"/>
      <c r="AY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BB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" s="28" t="str">
        <f>IF(ISBLANK(Table2[[#This Row],[device_model]]), "", Table2[[#This Row],[device_suggested_area]])</f>
        <v>Rack</v>
      </c>
      <c r="BE26" s="28" t="s">
        <v>78</v>
      </c>
      <c r="BF26" s="28" t="s">
        <v>1469</v>
      </c>
      <c r="BG26" s="28" t="s">
        <v>1470</v>
      </c>
      <c r="BI26" s="28" t="s">
        <v>936</v>
      </c>
      <c r="BJ26" s="28" t="s">
        <v>28</v>
      </c>
      <c r="BO26" s="28" t="s">
        <v>1075</v>
      </c>
      <c r="BQ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9" ht="16" customHeight="1" x14ac:dyDescent="0.2">
      <c r="A27" s="33">
        <v>1023</v>
      </c>
      <c r="B27" s="28" t="s">
        <v>26</v>
      </c>
      <c r="C27" s="28" t="s">
        <v>1467</v>
      </c>
      <c r="D27" s="28" t="s">
        <v>27</v>
      </c>
      <c r="E27" s="28" t="s">
        <v>1109</v>
      </c>
      <c r="F27" s="28" t="str">
        <f>IF(ISBLANK(Table2[[#This Row],[unique_id]]), "", PROPER(SUBSTITUTE(Table2[[#This Row],[unique_id]], "_", " ")))</f>
        <v>Compensation Sensor Utility Temperature</v>
      </c>
      <c r="G27" s="28" t="s">
        <v>1107</v>
      </c>
      <c r="H27" s="28" t="s">
        <v>78</v>
      </c>
      <c r="I27" s="28" t="s">
        <v>30</v>
      </c>
      <c r="J27" s="28" t="s">
        <v>78</v>
      </c>
      <c r="O27" s="29"/>
      <c r="P27" s="28"/>
      <c r="T27" s="35"/>
      <c r="U27" s="35"/>
      <c r="V27" s="35"/>
      <c r="W27" s="28" t="s">
        <v>1527</v>
      </c>
      <c r="Y27" s="29"/>
      <c r="Z27" s="29"/>
      <c r="AA27" s="29"/>
      <c r="AB27" s="29"/>
      <c r="AE27" s="28" t="s">
        <v>31</v>
      </c>
      <c r="AF27" s="28" t="s">
        <v>79</v>
      </c>
      <c r="AG27" s="28" t="s">
        <v>80</v>
      </c>
      <c r="AH27" s="28" t="s">
        <v>287</v>
      </c>
      <c r="AJ27" s="29"/>
      <c r="AK27" s="29"/>
      <c r="AM27" s="28" t="str">
        <f>IF(ISBLANK(AL27),  "", _xlfn.CONCAT("haas/entity/sensor/", LOWER(C27), "/", E27, "/config"))</f>
        <v/>
      </c>
      <c r="AN27" s="28" t="str">
        <f>IF(ISBLANK(AL27),  "", _xlfn.CONCAT(LOWER(C27), "/", E27))</f>
        <v/>
      </c>
      <c r="AV27" s="28"/>
      <c r="AW27" s="30"/>
      <c r="AX27" s="38"/>
      <c r="AY27" s="28"/>
      <c r="BA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" s="28" t="str">
        <f>IF(ISBLANK(Table2[[#This Row],[device_model]]), "", Table2[[#This Row],[device_suggested_area]])</f>
        <v/>
      </c>
      <c r="BI27" s="29"/>
      <c r="BJ27" s="28" t="s">
        <v>28</v>
      </c>
      <c r="BO27" s="28"/>
      <c r="BQ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9" ht="16" customHeight="1" x14ac:dyDescent="0.2">
      <c r="A28" s="33">
        <v>1024</v>
      </c>
      <c r="B28" s="28" t="s">
        <v>26</v>
      </c>
      <c r="C28" s="28" t="s">
        <v>658</v>
      </c>
      <c r="D28" s="28" t="s">
        <v>27</v>
      </c>
      <c r="E28" s="28" t="s">
        <v>993</v>
      </c>
      <c r="F28" s="34" t="str">
        <f>IF(ISBLANK(Table2[[#This Row],[unique_id]]), "", PROPER(SUBSTITUTE(Table2[[#This Row],[unique_id]], "_", " ")))</f>
        <v>Deck Festoons Plug Temperature</v>
      </c>
      <c r="G28" s="28" t="s">
        <v>374</v>
      </c>
      <c r="H28" s="28" t="s">
        <v>78</v>
      </c>
      <c r="I28" s="28" t="s">
        <v>30</v>
      </c>
      <c r="K28" s="28" t="s">
        <v>1100</v>
      </c>
      <c r="O28" s="29"/>
      <c r="P28" s="28"/>
      <c r="T28" s="35"/>
      <c r="U28" s="35"/>
      <c r="V28" s="35"/>
      <c r="W28" s="28"/>
      <c r="Y28" s="29" t="s">
        <v>1116</v>
      </c>
      <c r="Z28" s="29"/>
      <c r="AA28" s="29"/>
      <c r="AB28" s="29"/>
      <c r="AE28" s="28" t="s">
        <v>31</v>
      </c>
      <c r="AF28" s="28" t="s">
        <v>79</v>
      </c>
      <c r="AG28" s="28" t="s">
        <v>80</v>
      </c>
      <c r="AH28" s="28" t="s">
        <v>287</v>
      </c>
      <c r="AI28" s="28">
        <v>10</v>
      </c>
      <c r="AJ28" s="29" t="s">
        <v>34</v>
      </c>
      <c r="AK28" s="29" t="s">
        <v>844</v>
      </c>
      <c r="AL28" s="28" t="s">
        <v>780</v>
      </c>
      <c r="AM28" s="28" t="str">
        <f>_xlfn.CONCAT("homeassistant/", Table2[[#This Row],[entity_namespace]], "/tasmota/",Table2[[#This Row],[unique_id]], "/config")</f>
        <v>homeassistant/sensor/tasmota/deck_festoons_plug_temperature/config</v>
      </c>
      <c r="AN28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P28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8" s="28" t="s">
        <v>863</v>
      </c>
      <c r="AR28" s="28" t="s">
        <v>864</v>
      </c>
      <c r="AS28" s="28" t="s">
        <v>853</v>
      </c>
      <c r="AT28" s="28" t="s">
        <v>854</v>
      </c>
      <c r="AU28" s="28" t="s">
        <v>1057</v>
      </c>
      <c r="AV28" s="28">
        <v>1</v>
      </c>
      <c r="AW28" s="32"/>
      <c r="AY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BB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" s="28" t="str">
        <f>IF(ISBLANK(Table2[[#This Row],[device_model]]), "", Table2[[#This Row],[device_suggested_area]])</f>
        <v>Deck</v>
      </c>
      <c r="BE28" s="28" t="s">
        <v>675</v>
      </c>
      <c r="BF28" s="28" t="s">
        <v>1054</v>
      </c>
      <c r="BG28" s="28" t="s">
        <v>1053</v>
      </c>
      <c r="BI28" s="28" t="s">
        <v>835</v>
      </c>
      <c r="BJ28" s="28" t="s">
        <v>328</v>
      </c>
      <c r="BK28" s="28" t="s">
        <v>374</v>
      </c>
      <c r="BL28" s="28" t="s">
        <v>374</v>
      </c>
      <c r="BO28" s="28"/>
      <c r="BQ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9" ht="16" customHeight="1" x14ac:dyDescent="0.2">
      <c r="A29" s="28">
        <v>1025</v>
      </c>
      <c r="B29" s="28" t="s">
        <v>26</v>
      </c>
      <c r="C29" s="28" t="s">
        <v>658</v>
      </c>
      <c r="D29" s="28" t="s">
        <v>27</v>
      </c>
      <c r="E29" s="28" t="s">
        <v>1100</v>
      </c>
      <c r="F29" s="28" t="str">
        <f>IF(ISBLANK(Table2[[#This Row],[unique_id]]), "", PROPER(SUBSTITUTE(Table2[[#This Row],[unique_id]], "_", " ")))</f>
        <v>Compensation Sensor Deck Festoons Plug Temperature</v>
      </c>
      <c r="G29" s="28" t="s">
        <v>374</v>
      </c>
      <c r="H29" s="28" t="s">
        <v>78</v>
      </c>
      <c r="I29" s="28" t="s">
        <v>30</v>
      </c>
      <c r="J29" s="28" t="s">
        <v>78</v>
      </c>
      <c r="M29" s="28" t="s">
        <v>127</v>
      </c>
      <c r="O29" s="29"/>
      <c r="P29" s="28"/>
      <c r="T29" s="35"/>
      <c r="U29" s="35"/>
      <c r="V29" s="35"/>
      <c r="W29" s="28"/>
      <c r="Y29" s="29"/>
      <c r="Z29" s="29"/>
      <c r="AA29" s="29"/>
      <c r="AB29" s="29"/>
      <c r="AE29" s="28" t="s">
        <v>31</v>
      </c>
      <c r="AF29" s="28" t="s">
        <v>79</v>
      </c>
      <c r="AG29" s="28" t="s">
        <v>80</v>
      </c>
      <c r="AH29" s="28" t="s">
        <v>287</v>
      </c>
      <c r="AJ29" s="29"/>
      <c r="AK29" s="29"/>
      <c r="AM29" s="28" t="str">
        <f>IF(ISBLANK(AL29),  "", _xlfn.CONCAT("haas/entity/sensor/", LOWER(C29), "/", E29, "/config"))</f>
        <v/>
      </c>
      <c r="AN29" s="28" t="str">
        <f>IF(ISBLANK(AL29),  "", _xlfn.CONCAT(LOWER(C29), "/", E29))</f>
        <v/>
      </c>
      <c r="AV29" s="28"/>
      <c r="AW29" s="30"/>
      <c r="AX29" s="38"/>
      <c r="AY29" s="28"/>
      <c r="BA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" s="28" t="str">
        <f>IF(ISBLANK(Table2[[#This Row],[device_model]]), "", Table2[[#This Row],[device_suggested_area]])</f>
        <v/>
      </c>
      <c r="BI29" s="29"/>
      <c r="BJ29" s="28" t="s">
        <v>328</v>
      </c>
      <c r="BK29" s="28" t="s">
        <v>374</v>
      </c>
      <c r="BL29" s="28" t="s">
        <v>374</v>
      </c>
      <c r="BO29" s="28"/>
      <c r="BQ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9" ht="16" customHeight="1" x14ac:dyDescent="0.2">
      <c r="A30" s="33">
        <v>1026</v>
      </c>
      <c r="B30" s="28" t="s">
        <v>26</v>
      </c>
      <c r="C30" s="28" t="s">
        <v>119</v>
      </c>
      <c r="D30" s="28" t="s">
        <v>27</v>
      </c>
      <c r="E30" s="28" t="s">
        <v>1265</v>
      </c>
      <c r="F30" s="34" t="str">
        <f>IF(ISBLANK(Table2[[#This Row],[unique_id]]), "", PROPER(SUBSTITUTE(Table2[[#This Row],[unique_id]], "_", " ")))</f>
        <v>Office Basement Temperature</v>
      </c>
      <c r="G30" s="28" t="s">
        <v>199</v>
      </c>
      <c r="H30" s="28" t="s">
        <v>78</v>
      </c>
      <c r="I30" s="28" t="s">
        <v>30</v>
      </c>
      <c r="K30" s="28" t="s">
        <v>1266</v>
      </c>
      <c r="O30" s="29"/>
      <c r="P30" s="28"/>
      <c r="T30" s="35"/>
      <c r="U30" s="35"/>
      <c r="V30" s="35"/>
      <c r="W30" s="28"/>
      <c r="Y30" s="29" t="s">
        <v>1113</v>
      </c>
      <c r="Z30" s="29"/>
      <c r="AA30" s="29"/>
      <c r="AB30" s="29"/>
      <c r="AH30" s="28" t="s">
        <v>287</v>
      </c>
      <c r="AJ30" s="29"/>
      <c r="AK30" s="29"/>
      <c r="AV30" s="28"/>
      <c r="AW30" s="30"/>
      <c r="AY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" s="28" t="str">
        <f>IF(ISBLANK(Table2[[#This Row],[device_model]]), "", Table2[[#This Row],[device_suggested_area]])</f>
        <v>Basement</v>
      </c>
      <c r="BE30" s="28" t="s">
        <v>938</v>
      </c>
      <c r="BF30" s="28" t="s">
        <v>940</v>
      </c>
      <c r="BG30" s="28" t="s">
        <v>119</v>
      </c>
      <c r="BI30" s="28" t="s">
        <v>395</v>
      </c>
      <c r="BJ30" s="28" t="s">
        <v>199</v>
      </c>
      <c r="BO30" s="28"/>
      <c r="BQ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9" ht="16" customHeight="1" x14ac:dyDescent="0.2">
      <c r="A31" s="33">
        <v>1027</v>
      </c>
      <c r="B31" s="28" t="s">
        <v>26</v>
      </c>
      <c r="C31" s="28" t="s">
        <v>119</v>
      </c>
      <c r="D31" s="28" t="s">
        <v>27</v>
      </c>
      <c r="E31" s="28" t="s">
        <v>1266</v>
      </c>
      <c r="F31" s="34" t="str">
        <f>IF(ISBLANK(Table2[[#This Row],[unique_id]]), "", PROPER(SUBSTITUTE(Table2[[#This Row],[unique_id]], "_", " ")))</f>
        <v>Compensation Sensor Office Basement Temperature</v>
      </c>
      <c r="G31" s="28" t="s">
        <v>199</v>
      </c>
      <c r="H31" s="28" t="s">
        <v>78</v>
      </c>
      <c r="I31" s="28" t="s">
        <v>30</v>
      </c>
      <c r="J31" s="28" t="s">
        <v>78</v>
      </c>
      <c r="M31" s="28" t="s">
        <v>127</v>
      </c>
      <c r="O31" s="29"/>
      <c r="P31" s="28"/>
      <c r="T31" s="35"/>
      <c r="U31" s="35"/>
      <c r="V31" s="35"/>
      <c r="W31" s="28" t="s">
        <v>1527</v>
      </c>
      <c r="Y31" s="29"/>
      <c r="Z31" s="29"/>
      <c r="AA31" s="29"/>
      <c r="AB31" s="29"/>
      <c r="AH31" s="28" t="s">
        <v>287</v>
      </c>
      <c r="AJ31" s="29"/>
      <c r="AK31" s="29"/>
      <c r="AV31" s="28"/>
      <c r="AW31" s="30"/>
      <c r="AY31" s="28"/>
      <c r="BA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31" s="28" t="s">
        <v>199</v>
      </c>
      <c r="BO31" s="28"/>
    </row>
    <row r="32" spans="1:69" ht="16" customHeight="1" x14ac:dyDescent="0.2">
      <c r="A32" s="28">
        <v>1028</v>
      </c>
      <c r="B32" s="28" t="s">
        <v>26</v>
      </c>
      <c r="C32" s="28" t="s">
        <v>39</v>
      </c>
      <c r="D32" s="28" t="s">
        <v>27</v>
      </c>
      <c r="E32" s="28" t="s">
        <v>1080</v>
      </c>
      <c r="F32" s="34" t="str">
        <f>IF(ISBLANK(Table2[[#This Row],[unique_id]]), "", PROPER(SUBSTITUTE(Table2[[#This Row],[unique_id]], "_", " ")))</f>
        <v>Roof Apparent Temperature</v>
      </c>
      <c r="G32" s="28" t="s">
        <v>83</v>
      </c>
      <c r="H32" s="28" t="s">
        <v>78</v>
      </c>
      <c r="I32" s="28" t="s">
        <v>30</v>
      </c>
      <c r="O32" s="29"/>
      <c r="P32" s="28"/>
      <c r="T32" s="35"/>
      <c r="U32" s="35"/>
      <c r="V32" s="35" t="s">
        <v>1524</v>
      </c>
      <c r="W32" s="28" t="s">
        <v>1527</v>
      </c>
      <c r="Y32" s="29"/>
      <c r="Z32" s="29"/>
      <c r="AA32" s="29"/>
      <c r="AB32" s="29"/>
      <c r="AE32" s="28" t="s">
        <v>31</v>
      </c>
      <c r="AF32" s="28" t="s">
        <v>79</v>
      </c>
      <c r="AG32" s="28" t="s">
        <v>80</v>
      </c>
      <c r="AH32" s="28" t="s">
        <v>287</v>
      </c>
      <c r="AI32" s="28">
        <v>300</v>
      </c>
      <c r="AJ32" s="29" t="s">
        <v>34</v>
      </c>
      <c r="AK32" s="29"/>
      <c r="AL32" s="28" t="s">
        <v>84</v>
      </c>
      <c r="AM32" s="28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N32" s="28" t="str">
        <f>IF(ISBLANK(Table2[[#This Row],[index]]),  "", _xlfn.CONCAT(LOWER(Table2[[#This Row],[device_via_device]]), "/", Table2[[#This Row],[unique_id]]))</f>
        <v>weewx/roof_apparent_temperature</v>
      </c>
      <c r="AU32" s="28" t="s">
        <v>1123</v>
      </c>
      <c r="AV32" s="28">
        <v>1</v>
      </c>
      <c r="AW32" s="30"/>
      <c r="AY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BB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" s="28" t="str">
        <f>IF(ISBLANK(Table2[[#This Row],[device_model]]), "", Table2[[#This Row],[device_suggested_area]])</f>
        <v>Roof</v>
      </c>
      <c r="BE32" s="28" t="s">
        <v>393</v>
      </c>
      <c r="BF32" s="28" t="s">
        <v>36</v>
      </c>
      <c r="BG32" s="28" t="s">
        <v>37</v>
      </c>
      <c r="BI32" s="28" t="s">
        <v>1010</v>
      </c>
      <c r="BJ32" s="28" t="s">
        <v>38</v>
      </c>
      <c r="BO32" s="28"/>
      <c r="BQ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9" ht="16" customHeight="1" x14ac:dyDescent="0.2">
      <c r="A33" s="33">
        <v>1029</v>
      </c>
      <c r="B33" s="28" t="s">
        <v>26</v>
      </c>
      <c r="C33" s="28" t="s">
        <v>39</v>
      </c>
      <c r="D33" s="28" t="s">
        <v>27</v>
      </c>
      <c r="E33" s="28" t="s">
        <v>1081</v>
      </c>
      <c r="F33" s="34" t="str">
        <f>IF(ISBLANK(Table2[[#This Row],[unique_id]]), "", PROPER(SUBSTITUTE(Table2[[#This Row],[unique_id]], "_", " ")))</f>
        <v>Roof Dew Point</v>
      </c>
      <c r="G33" s="28" t="s">
        <v>85</v>
      </c>
      <c r="H33" s="28" t="s">
        <v>78</v>
      </c>
      <c r="I33" s="28" t="s">
        <v>30</v>
      </c>
      <c r="O33" s="29"/>
      <c r="P33" s="28"/>
      <c r="T33" s="35"/>
      <c r="U33" s="35"/>
      <c r="V33" s="35" t="s">
        <v>1524</v>
      </c>
      <c r="W33" s="28" t="s">
        <v>1527</v>
      </c>
      <c r="Y33" s="29"/>
      <c r="Z33" s="29"/>
      <c r="AA33" s="29"/>
      <c r="AB33" s="29"/>
      <c r="AE33" s="28" t="s">
        <v>31</v>
      </c>
      <c r="AF33" s="28" t="s">
        <v>79</v>
      </c>
      <c r="AG33" s="28" t="s">
        <v>80</v>
      </c>
      <c r="AH33" s="28" t="s">
        <v>287</v>
      </c>
      <c r="AI33" s="28">
        <v>300</v>
      </c>
      <c r="AJ33" s="29" t="s">
        <v>34</v>
      </c>
      <c r="AK33" s="29"/>
      <c r="AL33" s="28" t="s">
        <v>86</v>
      </c>
      <c r="AM33" s="28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N33" s="28" t="str">
        <f>IF(ISBLANK(Table2[[#This Row],[index]]),  "", _xlfn.CONCAT(LOWER(Table2[[#This Row],[device_via_device]]), "/", Table2[[#This Row],[unique_id]]))</f>
        <v>weewx/roof_dew_point</v>
      </c>
      <c r="AU33" s="28" t="s">
        <v>1123</v>
      </c>
      <c r="AV33" s="28">
        <v>1</v>
      </c>
      <c r="AW33" s="30"/>
      <c r="AY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BB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" s="28" t="str">
        <f>IF(ISBLANK(Table2[[#This Row],[device_model]]), "", Table2[[#This Row],[device_suggested_area]])</f>
        <v>Roof</v>
      </c>
      <c r="BE33" s="28" t="s">
        <v>393</v>
      </c>
      <c r="BF33" s="28" t="s">
        <v>36</v>
      </c>
      <c r="BG33" s="28" t="s">
        <v>37</v>
      </c>
      <c r="BI33" s="28" t="s">
        <v>1010</v>
      </c>
      <c r="BJ33" s="28" t="s">
        <v>38</v>
      </c>
      <c r="BO33" s="28"/>
      <c r="BQ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9" ht="16" customHeight="1" x14ac:dyDescent="0.2">
      <c r="A34" s="33">
        <v>1030</v>
      </c>
      <c r="B34" s="28" t="s">
        <v>26</v>
      </c>
      <c r="C34" s="28" t="s">
        <v>39</v>
      </c>
      <c r="D34" s="28" t="s">
        <v>27</v>
      </c>
      <c r="E34" s="28" t="s">
        <v>1082</v>
      </c>
      <c r="F34" s="34" t="str">
        <f>IF(ISBLANK(Table2[[#This Row],[unique_id]]), "", PROPER(SUBSTITUTE(Table2[[#This Row],[unique_id]], "_", " ")))</f>
        <v>Roof Heat Index</v>
      </c>
      <c r="G34" s="28" t="s">
        <v>87</v>
      </c>
      <c r="H34" s="28" t="s">
        <v>78</v>
      </c>
      <c r="I34" s="28" t="s">
        <v>30</v>
      </c>
      <c r="O34" s="29"/>
      <c r="P34" s="28"/>
      <c r="T34" s="35"/>
      <c r="U34" s="35"/>
      <c r="V34" s="35" t="s">
        <v>1524</v>
      </c>
      <c r="W34" s="28" t="s">
        <v>1527</v>
      </c>
      <c r="Y34" s="29"/>
      <c r="Z34" s="29"/>
      <c r="AA34" s="29"/>
      <c r="AB34" s="29"/>
      <c r="AE34" s="28" t="s">
        <v>31</v>
      </c>
      <c r="AF34" s="28" t="s">
        <v>79</v>
      </c>
      <c r="AG34" s="28" t="s">
        <v>80</v>
      </c>
      <c r="AH34" s="28" t="s">
        <v>287</v>
      </c>
      <c r="AI34" s="28">
        <v>300</v>
      </c>
      <c r="AJ34" s="29" t="s">
        <v>34</v>
      </c>
      <c r="AK34" s="29"/>
      <c r="AL34" s="28" t="s">
        <v>88</v>
      </c>
      <c r="AM34" s="28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N34" s="28" t="str">
        <f>IF(ISBLANK(Table2[[#This Row],[index]]),  "", _xlfn.CONCAT(LOWER(Table2[[#This Row],[device_via_device]]), "/", Table2[[#This Row],[unique_id]]))</f>
        <v>weewx/roof_heat_index</v>
      </c>
      <c r="AU34" s="28" t="s">
        <v>1123</v>
      </c>
      <c r="AV34" s="28">
        <v>1</v>
      </c>
      <c r="AW34" s="30"/>
      <c r="AY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BB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" s="28" t="str">
        <f>IF(ISBLANK(Table2[[#This Row],[device_model]]), "", Table2[[#This Row],[device_suggested_area]])</f>
        <v>Roof</v>
      </c>
      <c r="BE34" s="28" t="s">
        <v>393</v>
      </c>
      <c r="BF34" s="28" t="s">
        <v>36</v>
      </c>
      <c r="BG34" s="28" t="s">
        <v>37</v>
      </c>
      <c r="BI34" s="28" t="s">
        <v>1010</v>
      </c>
      <c r="BJ34" s="28" t="s">
        <v>38</v>
      </c>
      <c r="BO34" s="28"/>
      <c r="BQ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9" ht="16" customHeight="1" x14ac:dyDescent="0.2">
      <c r="A35" s="28">
        <v>1031</v>
      </c>
      <c r="B35" s="28" t="s">
        <v>26</v>
      </c>
      <c r="C35" s="28" t="s">
        <v>39</v>
      </c>
      <c r="D35" s="28" t="s">
        <v>27</v>
      </c>
      <c r="E35" s="28" t="s">
        <v>1083</v>
      </c>
      <c r="F35" s="34" t="str">
        <f>IF(ISBLANK(Table2[[#This Row],[unique_id]]), "", PROPER(SUBSTITUTE(Table2[[#This Row],[unique_id]], "_", " ")))</f>
        <v>Roof Humidity Index</v>
      </c>
      <c r="G35" s="28" t="s">
        <v>89</v>
      </c>
      <c r="H35" s="28" t="s">
        <v>78</v>
      </c>
      <c r="I35" s="28" t="s">
        <v>30</v>
      </c>
      <c r="O35" s="29"/>
      <c r="P35" s="28"/>
      <c r="T35" s="35"/>
      <c r="U35" s="35"/>
      <c r="V35" s="35" t="s">
        <v>1524</v>
      </c>
      <c r="W35" s="28" t="s">
        <v>1527</v>
      </c>
      <c r="Y35" s="29"/>
      <c r="Z35" s="29"/>
      <c r="AA35" s="29"/>
      <c r="AB35" s="29"/>
      <c r="AE35" s="28" t="s">
        <v>31</v>
      </c>
      <c r="AF35" s="28" t="s">
        <v>79</v>
      </c>
      <c r="AG35" s="28" t="s">
        <v>80</v>
      </c>
      <c r="AH35" s="28" t="s">
        <v>287</v>
      </c>
      <c r="AI35" s="28">
        <v>300</v>
      </c>
      <c r="AJ35" s="29" t="s">
        <v>34</v>
      </c>
      <c r="AK35" s="29"/>
      <c r="AL35" s="28" t="s">
        <v>90</v>
      </c>
      <c r="AM35" s="28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N35" s="28" t="str">
        <f>IF(ISBLANK(Table2[[#This Row],[index]]),  "", _xlfn.CONCAT(LOWER(Table2[[#This Row],[device_via_device]]), "/", Table2[[#This Row],[unique_id]]))</f>
        <v>weewx/roof_humidity_index</v>
      </c>
      <c r="AU35" s="28" t="s">
        <v>1123</v>
      </c>
      <c r="AV35" s="28">
        <v>1</v>
      </c>
      <c r="AW35" s="30"/>
      <c r="AY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BB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" s="28" t="str">
        <f>IF(ISBLANK(Table2[[#This Row],[device_model]]), "", Table2[[#This Row],[device_suggested_area]])</f>
        <v>Roof</v>
      </c>
      <c r="BE35" s="28" t="s">
        <v>393</v>
      </c>
      <c r="BF35" s="28" t="s">
        <v>36</v>
      </c>
      <c r="BG35" s="28" t="s">
        <v>37</v>
      </c>
      <c r="BI35" s="28" t="s">
        <v>1010</v>
      </c>
      <c r="BJ35" s="28" t="s">
        <v>38</v>
      </c>
      <c r="BO35" s="28"/>
      <c r="BQ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9" ht="16" customHeight="1" x14ac:dyDescent="0.2">
      <c r="A36" s="33">
        <v>1032</v>
      </c>
      <c r="B36" s="28" t="s">
        <v>26</v>
      </c>
      <c r="C36" s="28" t="s">
        <v>39</v>
      </c>
      <c r="D36" s="28" t="s">
        <v>27</v>
      </c>
      <c r="E36" s="28" t="s">
        <v>1084</v>
      </c>
      <c r="F36" s="34" t="str">
        <f>IF(ISBLANK(Table2[[#This Row],[unique_id]]), "", PROPER(SUBSTITUTE(Table2[[#This Row],[unique_id]], "_", " ")))</f>
        <v>Rack Dew Point</v>
      </c>
      <c r="G36" s="28" t="s">
        <v>91</v>
      </c>
      <c r="H36" s="28" t="s">
        <v>78</v>
      </c>
      <c r="I36" s="28" t="s">
        <v>30</v>
      </c>
      <c r="O36" s="29"/>
      <c r="P36" s="28"/>
      <c r="T36" s="35"/>
      <c r="U36" s="35"/>
      <c r="V36" s="35"/>
      <c r="W36" s="28"/>
      <c r="Y36" s="29"/>
      <c r="Z36" s="29"/>
      <c r="AA36" s="29"/>
      <c r="AB36" s="29"/>
      <c r="AE36" s="28" t="s">
        <v>31</v>
      </c>
      <c r="AF36" s="28" t="s">
        <v>79</v>
      </c>
      <c r="AG36" s="28" t="s">
        <v>80</v>
      </c>
      <c r="AH36" s="28" t="s">
        <v>287</v>
      </c>
      <c r="AI36" s="28">
        <v>300</v>
      </c>
      <c r="AJ36" s="29" t="s">
        <v>34</v>
      </c>
      <c r="AK36" s="29"/>
      <c r="AL36" s="28" t="s">
        <v>92</v>
      </c>
      <c r="AM36" s="28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N36" s="28" t="str">
        <f>IF(ISBLANK(Table2[[#This Row],[index]]),  "", _xlfn.CONCAT(LOWER(Table2[[#This Row],[device_via_device]]), "/", Table2[[#This Row],[unique_id]]))</f>
        <v>weewx/rack_dew_point</v>
      </c>
      <c r="AU36" s="28" t="s">
        <v>1123</v>
      </c>
      <c r="AV36" s="28">
        <v>1</v>
      </c>
      <c r="AW36" s="30"/>
      <c r="AY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BB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" s="28" t="str">
        <f>IF(ISBLANK(Table2[[#This Row],[device_model]]), "", Table2[[#This Row],[device_suggested_area]])</f>
        <v>Wardrobe</v>
      </c>
      <c r="BE36" s="28" t="s">
        <v>1153</v>
      </c>
      <c r="BF36" s="28" t="s">
        <v>36</v>
      </c>
      <c r="BG36" s="28" t="s">
        <v>37</v>
      </c>
      <c r="BI36" s="28" t="s">
        <v>1010</v>
      </c>
      <c r="BJ36" s="28" t="s">
        <v>460</v>
      </c>
      <c r="BO36" s="28"/>
      <c r="BQ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9" ht="16" customHeight="1" x14ac:dyDescent="0.2">
      <c r="A37" s="33">
        <v>1033</v>
      </c>
      <c r="B37" s="28" t="s">
        <v>26</v>
      </c>
      <c r="C37" s="28" t="s">
        <v>39</v>
      </c>
      <c r="D37" s="28" t="s">
        <v>27</v>
      </c>
      <c r="E37" s="28" t="s">
        <v>1085</v>
      </c>
      <c r="F37" s="34" t="str">
        <f>IF(ISBLANK(Table2[[#This Row],[unique_id]]), "", PROPER(SUBSTITUTE(Table2[[#This Row],[unique_id]], "_", " ")))</f>
        <v>Roof Wind Chill Temperature</v>
      </c>
      <c r="G37" s="28" t="s">
        <v>93</v>
      </c>
      <c r="H37" s="28" t="s">
        <v>78</v>
      </c>
      <c r="I37" s="28" t="s">
        <v>30</v>
      </c>
      <c r="O37" s="29"/>
      <c r="P37" s="28"/>
      <c r="T37" s="35"/>
      <c r="U37" s="35"/>
      <c r="V37" s="35" t="s">
        <v>1524</v>
      </c>
      <c r="W37" s="28" t="s">
        <v>1527</v>
      </c>
      <c r="Y37" s="29"/>
      <c r="Z37" s="29"/>
      <c r="AA37" s="29"/>
      <c r="AB37" s="29"/>
      <c r="AE37" s="28" t="s">
        <v>31</v>
      </c>
      <c r="AF37" s="28" t="s">
        <v>79</v>
      </c>
      <c r="AG37" s="28" t="s">
        <v>80</v>
      </c>
      <c r="AH37" s="28" t="s">
        <v>287</v>
      </c>
      <c r="AI37" s="28">
        <v>300</v>
      </c>
      <c r="AJ37" s="29" t="s">
        <v>34</v>
      </c>
      <c r="AK37" s="29"/>
      <c r="AL37" s="28" t="s">
        <v>94</v>
      </c>
      <c r="AM37" s="28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N37" s="28" t="str">
        <f>IF(ISBLANK(Table2[[#This Row],[index]]),  "", _xlfn.CONCAT(LOWER(Table2[[#This Row],[device_via_device]]), "/", Table2[[#This Row],[unique_id]]))</f>
        <v>weewx/roof_wind_chill_temperature</v>
      </c>
      <c r="AU37" s="28" t="s">
        <v>1123</v>
      </c>
      <c r="AV37" s="28">
        <v>1</v>
      </c>
      <c r="AW37" s="30"/>
      <c r="AY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BB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" s="28" t="str">
        <f>IF(ISBLANK(Table2[[#This Row],[device_model]]), "", Table2[[#This Row],[device_suggested_area]])</f>
        <v>Roof</v>
      </c>
      <c r="BE37" s="28" t="s">
        <v>393</v>
      </c>
      <c r="BF37" s="28" t="s">
        <v>36</v>
      </c>
      <c r="BG37" s="28" t="s">
        <v>37</v>
      </c>
      <c r="BI37" s="28" t="s">
        <v>1010</v>
      </c>
      <c r="BJ37" s="28" t="s">
        <v>38</v>
      </c>
      <c r="BO37" s="28"/>
      <c r="BQ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9" ht="16" customHeight="1" x14ac:dyDescent="0.2">
      <c r="A38" s="28">
        <v>1034</v>
      </c>
      <c r="B38" s="28" t="s">
        <v>26</v>
      </c>
      <c r="C38" s="28" t="s">
        <v>409</v>
      </c>
      <c r="D38" s="28" t="s">
        <v>304</v>
      </c>
      <c r="E38" s="28" t="s">
        <v>303</v>
      </c>
      <c r="F38" s="34" t="str">
        <f>IF(ISBLANK(Table2[[#This Row],[unique_id]]), "", PROPER(SUBSTITUTE(Table2[[#This Row],[unique_id]], "_", " ")))</f>
        <v>Column Break</v>
      </c>
      <c r="G38" s="28" t="s">
        <v>300</v>
      </c>
      <c r="H38" s="28" t="s">
        <v>78</v>
      </c>
      <c r="I38" s="28" t="s">
        <v>30</v>
      </c>
      <c r="M38" s="28" t="s">
        <v>301</v>
      </c>
      <c r="N38" s="28" t="s">
        <v>302</v>
      </c>
      <c r="O38" s="29"/>
      <c r="P38" s="28"/>
      <c r="T38" s="35"/>
      <c r="U38" s="35"/>
      <c r="V38" s="35"/>
      <c r="W38" s="28"/>
      <c r="Y38" s="29"/>
      <c r="Z38" s="29"/>
      <c r="AA38" s="29"/>
      <c r="AB38" s="29"/>
      <c r="AJ38" s="29"/>
      <c r="AK38" s="29"/>
      <c r="AV38" s="28"/>
      <c r="AW38" s="30"/>
      <c r="AX38" s="29"/>
      <c r="AY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" s="28" t="str">
        <f>IF(ISBLANK(Table2[[#This Row],[device_model]]), "", Table2[[#This Row],[device_suggested_area]])</f>
        <v/>
      </c>
      <c r="BI38" s="29"/>
      <c r="BO38" s="28"/>
      <c r="BQ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9" ht="16" customHeight="1" x14ac:dyDescent="0.2">
      <c r="A39" s="33">
        <v>1035</v>
      </c>
      <c r="B39" s="28" t="s">
        <v>26</v>
      </c>
      <c r="C39" s="28" t="s">
        <v>419</v>
      </c>
      <c r="D39" s="28" t="s">
        <v>27</v>
      </c>
      <c r="E39" s="28" t="s">
        <v>1519</v>
      </c>
      <c r="F39" s="34" t="str">
        <f>IF(ISBLANK(Table2[[#This Row],[unique_id]]), "", PROPER(SUBSTITUTE(Table2[[#This Row],[unique_id]], "_", " ")))</f>
        <v>Template Dining Air Purifier Pm25</v>
      </c>
      <c r="G39" s="28" t="s">
        <v>182</v>
      </c>
      <c r="H39" s="28" t="s">
        <v>422</v>
      </c>
      <c r="I39" s="28" t="s">
        <v>30</v>
      </c>
      <c r="M39" s="28" t="s">
        <v>81</v>
      </c>
      <c r="O39" s="29"/>
      <c r="P39" s="28"/>
      <c r="T39" s="35"/>
      <c r="U39" s="35"/>
      <c r="V39" s="35"/>
      <c r="W39" s="28" t="s">
        <v>1527</v>
      </c>
      <c r="Y39" s="29"/>
      <c r="Z39" s="29"/>
      <c r="AA39" s="29"/>
      <c r="AB39" s="29"/>
      <c r="AH39" s="28" t="s">
        <v>424</v>
      </c>
      <c r="AV39" s="28"/>
      <c r="AW39" s="38"/>
      <c r="AX39" s="29"/>
      <c r="AY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" s="28" t="str">
        <f>IF(ISBLANK(Table2[[#This Row],[device_model]]), "", Table2[[#This Row],[device_suggested_area]])</f>
        <v/>
      </c>
      <c r="BI39" s="29"/>
      <c r="BO39" s="28"/>
      <c r="BQ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9" ht="16" customHeight="1" x14ac:dyDescent="0.2">
      <c r="A40" s="33">
        <v>1036</v>
      </c>
      <c r="B40" s="28" t="s">
        <v>26</v>
      </c>
      <c r="C40" s="28" t="s">
        <v>419</v>
      </c>
      <c r="D40" s="28" t="s">
        <v>27</v>
      </c>
      <c r="E40" s="28" t="s">
        <v>1520</v>
      </c>
      <c r="F40" s="34" t="str">
        <f>IF(ISBLANK(Table2[[#This Row],[unique_id]]), "", PROPER(SUBSTITUTE(Table2[[#This Row],[unique_id]], "_", " ")))</f>
        <v>Template Lounge Air Purifier Pm25</v>
      </c>
      <c r="G40" s="28" t="s">
        <v>183</v>
      </c>
      <c r="H40" s="28" t="s">
        <v>422</v>
      </c>
      <c r="I40" s="28" t="s">
        <v>30</v>
      </c>
      <c r="M40" s="28" t="s">
        <v>81</v>
      </c>
      <c r="O40" s="29"/>
      <c r="P40" s="28"/>
      <c r="T40" s="35"/>
      <c r="U40" s="35"/>
      <c r="V40" s="35"/>
      <c r="W40" s="28" t="s">
        <v>1527</v>
      </c>
      <c r="Y40" s="29"/>
      <c r="Z40" s="29"/>
      <c r="AA40" s="29"/>
      <c r="AB40" s="29"/>
      <c r="AH40" s="28" t="s">
        <v>424</v>
      </c>
      <c r="AV40" s="28"/>
      <c r="AW40" s="38"/>
      <c r="AX40" s="29"/>
      <c r="AY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" s="28" t="str">
        <f>IF(ISBLANK(Table2[[#This Row],[device_model]]), "", Table2[[#This Row],[device_suggested_area]])</f>
        <v/>
      </c>
      <c r="BI40" s="29"/>
      <c r="BO40" s="28"/>
      <c r="BQ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9" ht="16" customHeight="1" x14ac:dyDescent="0.2">
      <c r="A41" s="28">
        <v>1037</v>
      </c>
      <c r="B41" s="28" t="s">
        <v>26</v>
      </c>
      <c r="C41" s="28" t="s">
        <v>419</v>
      </c>
      <c r="D41" s="28" t="s">
        <v>27</v>
      </c>
      <c r="E41" s="28" t="s">
        <v>1521</v>
      </c>
      <c r="F41" s="34" t="str">
        <f>IF(ISBLANK(Table2[[#This Row],[unique_id]]), "", PROPER(SUBSTITUTE(Table2[[#This Row],[unique_id]], "_", " ")))</f>
        <v>Template Parents Air Purifier Pm25</v>
      </c>
      <c r="G41" s="28" t="s">
        <v>181</v>
      </c>
      <c r="H41" s="28" t="s">
        <v>422</v>
      </c>
      <c r="I41" s="28" t="s">
        <v>30</v>
      </c>
      <c r="M41" s="28" t="s">
        <v>81</v>
      </c>
      <c r="O41" s="29"/>
      <c r="P41" s="28"/>
      <c r="T41" s="35"/>
      <c r="U41" s="35"/>
      <c r="V41" s="35"/>
      <c r="W41" s="28" t="s">
        <v>1527</v>
      </c>
      <c r="Y41" s="29"/>
      <c r="Z41" s="29"/>
      <c r="AA41" s="29"/>
      <c r="AB41" s="29"/>
      <c r="AH41" s="28" t="s">
        <v>424</v>
      </c>
      <c r="AV41" s="28"/>
      <c r="AW41" s="38"/>
      <c r="AX41" s="29"/>
      <c r="AY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" s="28" t="str">
        <f>IF(ISBLANK(Table2[[#This Row],[device_model]]), "", Table2[[#This Row],[device_suggested_area]])</f>
        <v/>
      </c>
      <c r="BI41" s="29"/>
      <c r="BO41" s="28"/>
      <c r="BQ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9" ht="16" customHeight="1" x14ac:dyDescent="0.2">
      <c r="A42" s="33">
        <v>1038</v>
      </c>
      <c r="B42" s="28" t="s">
        <v>26</v>
      </c>
      <c r="C42" s="28" t="s">
        <v>419</v>
      </c>
      <c r="D42" s="28" t="s">
        <v>27</v>
      </c>
      <c r="E42" s="28" t="s">
        <v>1522</v>
      </c>
      <c r="F42" s="34" t="str">
        <f>IF(ISBLANK(Table2[[#This Row],[unique_id]]), "", PROPER(SUBSTITUTE(Table2[[#This Row],[unique_id]], "_", " ")))</f>
        <v>Template Kitchen Air Purifier Pm25</v>
      </c>
      <c r="G42" s="28" t="s">
        <v>195</v>
      </c>
      <c r="H42" s="28" t="s">
        <v>422</v>
      </c>
      <c r="I42" s="28" t="s">
        <v>30</v>
      </c>
      <c r="M42" s="28" t="s">
        <v>81</v>
      </c>
      <c r="O42" s="29"/>
      <c r="P42" s="28"/>
      <c r="T42" s="35"/>
      <c r="U42" s="35"/>
      <c r="V42" s="35"/>
      <c r="W42" s="28" t="s">
        <v>1527</v>
      </c>
      <c r="Y42" s="29"/>
      <c r="Z42" s="29"/>
      <c r="AA42" s="29"/>
      <c r="AB42" s="29"/>
      <c r="AH42" s="28" t="s">
        <v>424</v>
      </c>
      <c r="AV42" s="28"/>
      <c r="AW42" s="38"/>
      <c r="AX42" s="29"/>
      <c r="AY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" s="28" t="str">
        <f>IF(ISBLANK(Table2[[#This Row],[device_model]]), "", Table2[[#This Row],[device_suggested_area]])</f>
        <v/>
      </c>
      <c r="BI42" s="29"/>
      <c r="BO42" s="28"/>
      <c r="BQ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9" ht="16" customHeight="1" x14ac:dyDescent="0.2">
      <c r="A43" s="33">
        <v>1039</v>
      </c>
      <c r="B43" s="28" t="s">
        <v>543</v>
      </c>
      <c r="C43" s="28" t="s">
        <v>419</v>
      </c>
      <c r="D43" s="28" t="s">
        <v>27</v>
      </c>
      <c r="E43" s="28" t="s">
        <v>1347</v>
      </c>
      <c r="F43" s="34" t="str">
        <f>IF(ISBLANK(Table2[[#This Row],[unique_id]]), "", PROPER(SUBSTITUTE(Table2[[#This Row],[unique_id]], "_", " ")))</f>
        <v>Kitchen Air Purifier Pm25 Old</v>
      </c>
      <c r="G43" s="28" t="s">
        <v>195</v>
      </c>
      <c r="H43" s="28" t="s">
        <v>422</v>
      </c>
      <c r="I43" s="28" t="s">
        <v>30</v>
      </c>
      <c r="M43" s="28" t="s">
        <v>81</v>
      </c>
      <c r="O43" s="29"/>
      <c r="P43" s="28"/>
      <c r="T43" s="35"/>
      <c r="U43" s="35"/>
      <c r="V43" s="35"/>
      <c r="W43" s="28" t="s">
        <v>1527</v>
      </c>
      <c r="Y43" s="29"/>
      <c r="Z43" s="29"/>
      <c r="AA43" s="29"/>
      <c r="AB43" s="29"/>
      <c r="AH43" s="28" t="s">
        <v>424</v>
      </c>
      <c r="AV43" s="28"/>
      <c r="AW43" s="38"/>
      <c r="AX43" s="29"/>
      <c r="AY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" s="28" t="str">
        <f>IF(ISBLANK(Table2[[#This Row],[device_model]]), "", Table2[[#This Row],[device_suggested_area]])</f>
        <v/>
      </c>
      <c r="BI43" s="29"/>
      <c r="BO43" s="28"/>
      <c r="BQ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9" ht="16" customHeight="1" x14ac:dyDescent="0.2">
      <c r="A44" s="28">
        <v>1050</v>
      </c>
      <c r="B44" s="28" t="s">
        <v>26</v>
      </c>
      <c r="C44" s="28" t="s">
        <v>39</v>
      </c>
      <c r="D44" s="28" t="s">
        <v>27</v>
      </c>
      <c r="E44" s="28" t="s">
        <v>1086</v>
      </c>
      <c r="F44" s="34" t="str">
        <f>IF(ISBLANK(Table2[[#This Row],[unique_id]]), "", PROPER(SUBSTITUTE(Table2[[#This Row],[unique_id]], "_", " ")))</f>
        <v>Roof Humidity</v>
      </c>
      <c r="G44" s="28" t="s">
        <v>38</v>
      </c>
      <c r="H44" s="28" t="s">
        <v>29</v>
      </c>
      <c r="I44" s="28" t="s">
        <v>30</v>
      </c>
      <c r="M44" s="28" t="s">
        <v>81</v>
      </c>
      <c r="O44" s="29"/>
      <c r="P44" s="28"/>
      <c r="T44" s="35"/>
      <c r="U44" s="35"/>
      <c r="V44" s="35" t="s">
        <v>1524</v>
      </c>
      <c r="W44" s="28" t="s">
        <v>1527</v>
      </c>
      <c r="X44" s="28" t="s">
        <v>1518</v>
      </c>
      <c r="Y44" s="29"/>
      <c r="Z44" s="29"/>
      <c r="AA44" s="29"/>
      <c r="AB44" s="29"/>
      <c r="AE44" s="28" t="s">
        <v>31</v>
      </c>
      <c r="AF44" s="28" t="s">
        <v>32</v>
      </c>
      <c r="AG44" s="28" t="s">
        <v>33</v>
      </c>
      <c r="AH44" s="28" t="s">
        <v>289</v>
      </c>
      <c r="AI44" s="28">
        <v>300</v>
      </c>
      <c r="AJ44" s="29" t="s">
        <v>34</v>
      </c>
      <c r="AK44" s="29"/>
      <c r="AL44" s="28" t="s">
        <v>40</v>
      </c>
      <c r="AM44" s="28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N44" s="28" t="str">
        <f>IF(ISBLANK(Table2[[#This Row],[index]]),  "", _xlfn.CONCAT(LOWER(Table2[[#This Row],[device_via_device]]), "/", Table2[[#This Row],[unique_id]]))</f>
        <v>weewx/roof_humidity</v>
      </c>
      <c r="AU4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V44" s="28">
        <v>1</v>
      </c>
      <c r="AW44" s="30"/>
      <c r="AY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BB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" s="28" t="str">
        <f>IF(ISBLANK(Table2[[#This Row],[device_model]]), "", Table2[[#This Row],[device_suggested_area]])</f>
        <v>Roof</v>
      </c>
      <c r="BE44" s="28" t="s">
        <v>393</v>
      </c>
      <c r="BF44" s="28" t="s">
        <v>36</v>
      </c>
      <c r="BG44" s="28" t="s">
        <v>37</v>
      </c>
      <c r="BI44" s="28" t="s">
        <v>1010</v>
      </c>
      <c r="BJ44" s="28" t="s">
        <v>38</v>
      </c>
      <c r="BO44" s="28"/>
      <c r="BQ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9" ht="16" customHeight="1" x14ac:dyDescent="0.2">
      <c r="A45" s="28">
        <v>1051</v>
      </c>
      <c r="B45" s="28" t="s">
        <v>26</v>
      </c>
      <c r="C45" s="28" t="s">
        <v>119</v>
      </c>
      <c r="D45" s="28" t="s">
        <v>27</v>
      </c>
      <c r="E45" s="28" t="s">
        <v>1087</v>
      </c>
      <c r="F45" s="34" t="str">
        <f>IF(ISBLANK(Table2[[#This Row],[unique_id]]), "", PROPER(SUBSTITUTE(Table2[[#This Row],[unique_id]], "_", " ")))</f>
        <v>Ada Humidity</v>
      </c>
      <c r="G45" s="28" t="s">
        <v>121</v>
      </c>
      <c r="H45" s="28" t="s">
        <v>29</v>
      </c>
      <c r="I45" s="28" t="s">
        <v>30</v>
      </c>
      <c r="M45" s="28" t="s">
        <v>81</v>
      </c>
      <c r="O45" s="29"/>
      <c r="P45" s="28"/>
      <c r="T45" s="35"/>
      <c r="U45" s="35"/>
      <c r="V45" s="35"/>
      <c r="W45" s="28" t="s">
        <v>1527</v>
      </c>
      <c r="Y45" s="29"/>
      <c r="Z45" s="29"/>
      <c r="AA45" s="29"/>
      <c r="AB45" s="29"/>
      <c r="AH45" s="28" t="s">
        <v>289</v>
      </c>
      <c r="AJ45" s="29"/>
      <c r="AK45" s="29"/>
      <c r="AV45" s="28"/>
      <c r="AW45" s="30"/>
      <c r="AY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" s="28" t="str">
        <f>IF(ISBLANK(Table2[[#This Row],[device_model]]), "", Table2[[#This Row],[device_suggested_area]])</f>
        <v>Ada</v>
      </c>
      <c r="BE45" s="28" t="s">
        <v>939</v>
      </c>
      <c r="BF45" s="28" t="s">
        <v>937</v>
      </c>
      <c r="BG45" s="28" t="s">
        <v>119</v>
      </c>
      <c r="BI45" s="28" t="s">
        <v>394</v>
      </c>
      <c r="BJ45" s="28" t="s">
        <v>121</v>
      </c>
      <c r="BO45" s="28"/>
      <c r="BQ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9" ht="16" customHeight="1" x14ac:dyDescent="0.2">
      <c r="A46" s="28">
        <v>1052</v>
      </c>
      <c r="B46" s="28" t="s">
        <v>26</v>
      </c>
      <c r="C46" s="28" t="s">
        <v>119</v>
      </c>
      <c r="D46" s="28" t="s">
        <v>27</v>
      </c>
      <c r="E46" s="28" t="s">
        <v>1088</v>
      </c>
      <c r="F46" s="34" t="str">
        <f>IF(ISBLANK(Table2[[#This Row],[unique_id]]), "", PROPER(SUBSTITUTE(Table2[[#This Row],[unique_id]], "_", " ")))</f>
        <v>Edwin Humidity</v>
      </c>
      <c r="G46" s="28" t="s">
        <v>118</v>
      </c>
      <c r="H46" s="28" t="s">
        <v>29</v>
      </c>
      <c r="I46" s="28" t="s">
        <v>30</v>
      </c>
      <c r="M46" s="28" t="s">
        <v>81</v>
      </c>
      <c r="O46" s="29"/>
      <c r="P46" s="28"/>
      <c r="T46" s="35"/>
      <c r="U46" s="35"/>
      <c r="V46" s="35"/>
      <c r="W46" s="28" t="s">
        <v>1527</v>
      </c>
      <c r="Y46" s="29"/>
      <c r="Z46" s="29"/>
      <c r="AA46" s="29"/>
      <c r="AB46" s="29"/>
      <c r="AH46" s="28" t="s">
        <v>289</v>
      </c>
      <c r="AJ46" s="29"/>
      <c r="AK46" s="29"/>
      <c r="AV46" s="28"/>
      <c r="AW46" s="30"/>
      <c r="AY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" s="28" t="str">
        <f>IF(ISBLANK(Table2[[#This Row],[device_model]]), "", Table2[[#This Row],[device_suggested_area]])</f>
        <v>Edwin</v>
      </c>
      <c r="BE46" s="28" t="s">
        <v>939</v>
      </c>
      <c r="BF46" s="28" t="s">
        <v>937</v>
      </c>
      <c r="BG46" s="28" t="s">
        <v>119</v>
      </c>
      <c r="BI46" s="28" t="s">
        <v>394</v>
      </c>
      <c r="BJ46" s="28" t="s">
        <v>118</v>
      </c>
      <c r="BO46" s="28"/>
      <c r="BQ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9" ht="16" customHeight="1" x14ac:dyDescent="0.2">
      <c r="A47" s="28">
        <v>1053</v>
      </c>
      <c r="B47" s="28" t="s">
        <v>26</v>
      </c>
      <c r="C47" s="28" t="s">
        <v>119</v>
      </c>
      <c r="D47" s="28" t="s">
        <v>27</v>
      </c>
      <c r="E47" s="28" t="s">
        <v>1267</v>
      </c>
      <c r="F47" s="34" t="str">
        <f>IF(ISBLANK(Table2[[#This Row],[unique_id]]), "", PROPER(SUBSTITUTE(Table2[[#This Row],[unique_id]], "_", " ")))</f>
        <v>Office Lounge Humidity</v>
      </c>
      <c r="G47" s="28" t="s">
        <v>183</v>
      </c>
      <c r="H47" s="28" t="s">
        <v>29</v>
      </c>
      <c r="I47" s="28" t="s">
        <v>30</v>
      </c>
      <c r="M47" s="28" t="s">
        <v>81</v>
      </c>
      <c r="O47" s="29"/>
      <c r="P47" s="28"/>
      <c r="T47" s="35"/>
      <c r="U47" s="35"/>
      <c r="V47" s="35"/>
      <c r="W47" s="28" t="s">
        <v>1527</v>
      </c>
      <c r="Y47" s="29"/>
      <c r="Z47" s="29"/>
      <c r="AA47" s="29"/>
      <c r="AB47" s="29"/>
      <c r="AH47" s="28" t="s">
        <v>289</v>
      </c>
      <c r="AJ47" s="29"/>
      <c r="AK47" s="29"/>
      <c r="AV47" s="28"/>
      <c r="AW47" s="30"/>
      <c r="AY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7" s="28" t="str">
        <f>IF(ISBLANK(Table2[[#This Row],[device_model]]), "", Table2[[#This Row],[device_suggested_area]])</f>
        <v>Lounge</v>
      </c>
      <c r="BE47" s="28" t="s">
        <v>938</v>
      </c>
      <c r="BF47" s="28" t="s">
        <v>940</v>
      </c>
      <c r="BG47" s="28" t="s">
        <v>119</v>
      </c>
      <c r="BI47" s="28" t="s">
        <v>395</v>
      </c>
      <c r="BJ47" s="28" t="s">
        <v>183</v>
      </c>
      <c r="BO47" s="28"/>
      <c r="BQ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9" ht="16" customHeight="1" x14ac:dyDescent="0.2">
      <c r="A48" s="28">
        <v>1054</v>
      </c>
      <c r="B48" s="28" t="s">
        <v>26</v>
      </c>
      <c r="C48" s="28" t="s">
        <v>119</v>
      </c>
      <c r="D48" s="28" t="s">
        <v>27</v>
      </c>
      <c r="E48" s="28" t="s">
        <v>1089</v>
      </c>
      <c r="F48" s="34" t="str">
        <f>IF(ISBLANK(Table2[[#This Row],[unique_id]]), "", PROPER(SUBSTITUTE(Table2[[#This Row],[unique_id]], "_", " ")))</f>
        <v>Parents Humidity</v>
      </c>
      <c r="G48" s="28" t="s">
        <v>181</v>
      </c>
      <c r="H48" s="28" t="s">
        <v>29</v>
      </c>
      <c r="I48" s="28" t="s">
        <v>30</v>
      </c>
      <c r="M48" s="28" t="s">
        <v>127</v>
      </c>
      <c r="O48" s="29"/>
      <c r="P48" s="28"/>
      <c r="T48" s="35"/>
      <c r="U48" s="35"/>
      <c r="V48" s="35"/>
      <c r="W48" s="28" t="s">
        <v>1527</v>
      </c>
      <c r="Y48" s="29"/>
      <c r="Z48" s="29"/>
      <c r="AA48" s="29"/>
      <c r="AB48" s="29"/>
      <c r="AH48" s="28" t="s">
        <v>289</v>
      </c>
      <c r="AJ48" s="29"/>
      <c r="AK48" s="29"/>
      <c r="AV48" s="28"/>
      <c r="AW48" s="30"/>
      <c r="AY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8" s="28" t="str">
        <f>IF(ISBLANK(Table2[[#This Row],[device_model]]), "", Table2[[#This Row],[device_suggested_area]])</f>
        <v>Parents</v>
      </c>
      <c r="BE48" s="28" t="s">
        <v>939</v>
      </c>
      <c r="BF48" s="28" t="s">
        <v>937</v>
      </c>
      <c r="BG48" s="28" t="s">
        <v>119</v>
      </c>
      <c r="BI48" s="28" t="s">
        <v>394</v>
      </c>
      <c r="BJ48" s="28" t="s">
        <v>181</v>
      </c>
      <c r="BO48" s="28"/>
      <c r="BQ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9" ht="16" customHeight="1" x14ac:dyDescent="0.2">
      <c r="A49" s="28">
        <v>1055</v>
      </c>
      <c r="B49" s="28" t="s">
        <v>26</v>
      </c>
      <c r="C49" s="28" t="s">
        <v>119</v>
      </c>
      <c r="D49" s="28" t="s">
        <v>27</v>
      </c>
      <c r="E49" s="28" t="s">
        <v>1169</v>
      </c>
      <c r="F49" s="34" t="str">
        <f>IF(ISBLANK(Table2[[#This Row],[unique_id]]), "", PROPER(SUBSTITUTE(Table2[[#This Row],[unique_id]], "_", " ")))</f>
        <v>Office Humidity</v>
      </c>
      <c r="G49" s="28" t="s">
        <v>201</v>
      </c>
      <c r="H49" s="28" t="s">
        <v>29</v>
      </c>
      <c r="I49" s="28" t="s">
        <v>30</v>
      </c>
      <c r="M49" s="28" t="s">
        <v>127</v>
      </c>
      <c r="O49" s="29"/>
      <c r="P49" s="28"/>
      <c r="T49" s="35"/>
      <c r="U49" s="35"/>
      <c r="V49" s="35"/>
      <c r="W49" s="28" t="s">
        <v>1527</v>
      </c>
      <c r="Y49" s="29"/>
      <c r="Z49" s="29"/>
      <c r="AA49" s="29"/>
      <c r="AB49" s="29"/>
      <c r="AH49" s="28" t="s">
        <v>289</v>
      </c>
      <c r="AJ49" s="29"/>
      <c r="AK49" s="29"/>
      <c r="AV49" s="28"/>
      <c r="AW49" s="30"/>
      <c r="AY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9" s="28" t="str">
        <f>IF(ISBLANK(Table2[[#This Row],[device_model]]), "", Table2[[#This Row],[device_suggested_area]])</f>
        <v>Office</v>
      </c>
      <c r="BE49" s="28" t="s">
        <v>938</v>
      </c>
      <c r="BF49" s="28" t="s">
        <v>940</v>
      </c>
      <c r="BG49" s="28" t="s">
        <v>119</v>
      </c>
      <c r="BI49" s="28" t="s">
        <v>395</v>
      </c>
      <c r="BJ49" s="28" t="s">
        <v>201</v>
      </c>
      <c r="BO49" s="28"/>
      <c r="BQ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9" ht="16" customHeight="1" x14ac:dyDescent="0.2">
      <c r="A50" s="28">
        <v>1056</v>
      </c>
      <c r="B50" s="28" t="s">
        <v>26</v>
      </c>
      <c r="C50" s="28" t="s">
        <v>119</v>
      </c>
      <c r="D50" s="28" t="s">
        <v>27</v>
      </c>
      <c r="E50" s="28" t="s">
        <v>1168</v>
      </c>
      <c r="F50" s="34" t="str">
        <f>IF(ISBLANK(Table2[[#This Row],[unique_id]]), "", PROPER(SUBSTITUTE(Table2[[#This Row],[unique_id]], "_", " ")))</f>
        <v>Kitchen Humidity</v>
      </c>
      <c r="G50" s="28" t="s">
        <v>195</v>
      </c>
      <c r="H50" s="28" t="s">
        <v>29</v>
      </c>
      <c r="I50" s="28" t="s">
        <v>30</v>
      </c>
      <c r="M50" s="28" t="s">
        <v>127</v>
      </c>
      <c r="O50" s="29"/>
      <c r="P50" s="28"/>
      <c r="T50" s="35"/>
      <c r="U50" s="35"/>
      <c r="V50" s="35"/>
      <c r="W50" s="28" t="s">
        <v>1527</v>
      </c>
      <c r="Y50" s="29"/>
      <c r="Z50" s="29"/>
      <c r="AA50" s="29"/>
      <c r="AB50" s="29"/>
      <c r="AH50" s="28" t="s">
        <v>289</v>
      </c>
      <c r="AJ50" s="29"/>
      <c r="AK50" s="29"/>
      <c r="AV50" s="28"/>
      <c r="AW50" s="30"/>
      <c r="AY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0" s="28" t="str">
        <f>IF(ISBLANK(Table2[[#This Row],[device_model]]), "", Table2[[#This Row],[device_suggested_area]])</f>
        <v>Kitchen</v>
      </c>
      <c r="BE50" s="28" t="s">
        <v>938</v>
      </c>
      <c r="BF50" s="28" t="s">
        <v>940</v>
      </c>
      <c r="BG50" s="28" t="s">
        <v>119</v>
      </c>
      <c r="BI50" s="28" t="s">
        <v>395</v>
      </c>
      <c r="BJ50" s="28" t="s">
        <v>195</v>
      </c>
      <c r="BO50" s="28"/>
      <c r="BQ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9" ht="16" customHeight="1" x14ac:dyDescent="0.2">
      <c r="A51" s="28">
        <v>1057</v>
      </c>
      <c r="B51" s="28" t="s">
        <v>26</v>
      </c>
      <c r="C51" s="28" t="s">
        <v>119</v>
      </c>
      <c r="D51" s="28" t="s">
        <v>27</v>
      </c>
      <c r="E51" s="28" t="s">
        <v>1268</v>
      </c>
      <c r="F51" s="34" t="str">
        <f>IF(ISBLANK(Table2[[#This Row],[unique_id]]), "", PROPER(SUBSTITUTE(Table2[[#This Row],[unique_id]], "_", " ")))</f>
        <v>Office Pantry Humidity</v>
      </c>
      <c r="G51" s="28" t="s">
        <v>200</v>
      </c>
      <c r="H51" s="28" t="s">
        <v>29</v>
      </c>
      <c r="I51" s="28" t="s">
        <v>30</v>
      </c>
      <c r="M51" s="28" t="s">
        <v>127</v>
      </c>
      <c r="O51" s="29"/>
      <c r="P51" s="28"/>
      <c r="T51" s="35"/>
      <c r="U51" s="35"/>
      <c r="V51" s="35"/>
      <c r="W51" s="28" t="s">
        <v>1527</v>
      </c>
      <c r="Y51" s="29"/>
      <c r="Z51" s="29"/>
      <c r="AA51" s="29"/>
      <c r="AB51" s="29"/>
      <c r="AH51" s="28" t="s">
        <v>289</v>
      </c>
      <c r="AJ51" s="29"/>
      <c r="AK51" s="29"/>
      <c r="AV51" s="28"/>
      <c r="AW51" s="30"/>
      <c r="AY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1" s="28" t="str">
        <f>IF(ISBLANK(Table2[[#This Row],[device_model]]), "", Table2[[#This Row],[device_suggested_area]])</f>
        <v>Pantry</v>
      </c>
      <c r="BE51" s="28" t="s">
        <v>938</v>
      </c>
      <c r="BF51" s="28" t="s">
        <v>940</v>
      </c>
      <c r="BG51" s="28" t="s">
        <v>119</v>
      </c>
      <c r="BI51" s="28" t="s">
        <v>395</v>
      </c>
      <c r="BJ51" s="28" t="s">
        <v>200</v>
      </c>
      <c r="BO51" s="28"/>
      <c r="BQ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9" ht="16" customHeight="1" x14ac:dyDescent="0.2">
      <c r="A52" s="28">
        <v>1058</v>
      </c>
      <c r="B52" s="28" t="s">
        <v>26</v>
      </c>
      <c r="C52" s="28" t="s">
        <v>119</v>
      </c>
      <c r="D52" s="28" t="s">
        <v>27</v>
      </c>
      <c r="E52" s="28" t="s">
        <v>1269</v>
      </c>
      <c r="F52" s="34" t="str">
        <f>IF(ISBLANK(Table2[[#This Row],[unique_id]]), "", PROPER(SUBSTITUTE(Table2[[#This Row],[unique_id]], "_", " ")))</f>
        <v>Office Dining Humidity</v>
      </c>
      <c r="G52" s="28" t="s">
        <v>182</v>
      </c>
      <c r="H52" s="28" t="s">
        <v>29</v>
      </c>
      <c r="I52" s="28" t="s">
        <v>30</v>
      </c>
      <c r="M52" s="28" t="s">
        <v>127</v>
      </c>
      <c r="O52" s="29"/>
      <c r="P52" s="28"/>
      <c r="T52" s="35"/>
      <c r="U52" s="35"/>
      <c r="V52" s="35"/>
      <c r="W52" s="28" t="s">
        <v>1527</v>
      </c>
      <c r="Y52" s="29"/>
      <c r="Z52" s="29"/>
      <c r="AA52" s="29"/>
      <c r="AB52" s="29"/>
      <c r="AH52" s="28" t="s">
        <v>289</v>
      </c>
      <c r="AJ52" s="29"/>
      <c r="AK52" s="29"/>
      <c r="AV52" s="28"/>
      <c r="AW52" s="30"/>
      <c r="AY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2" s="28" t="str">
        <f>IF(ISBLANK(Table2[[#This Row],[device_model]]), "", Table2[[#This Row],[device_suggested_area]])</f>
        <v>Dining</v>
      </c>
      <c r="BE52" s="28" t="s">
        <v>938</v>
      </c>
      <c r="BF52" s="28" t="s">
        <v>940</v>
      </c>
      <c r="BG52" s="28" t="s">
        <v>119</v>
      </c>
      <c r="BI52" s="28" t="s">
        <v>395</v>
      </c>
      <c r="BJ52" s="28" t="s">
        <v>182</v>
      </c>
      <c r="BO52" s="28"/>
      <c r="BQ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9" ht="16" customHeight="1" x14ac:dyDescent="0.2">
      <c r="A53" s="28">
        <v>1059</v>
      </c>
      <c r="B53" s="28" t="s">
        <v>26</v>
      </c>
      <c r="C53" s="28" t="s">
        <v>119</v>
      </c>
      <c r="D53" s="28" t="s">
        <v>27</v>
      </c>
      <c r="E53" s="28" t="s">
        <v>1090</v>
      </c>
      <c r="F53" s="34" t="str">
        <f>IF(ISBLANK(Table2[[#This Row],[unique_id]]), "", PROPER(SUBSTITUTE(Table2[[#This Row],[unique_id]], "_", " ")))</f>
        <v>Laundry Humidity</v>
      </c>
      <c r="G53" s="28" t="s">
        <v>202</v>
      </c>
      <c r="H53" s="28" t="s">
        <v>29</v>
      </c>
      <c r="I53" s="28" t="s">
        <v>30</v>
      </c>
      <c r="M53" s="28" t="s">
        <v>127</v>
      </c>
      <c r="O53" s="29"/>
      <c r="P53" s="28"/>
      <c r="T53" s="35"/>
      <c r="U53" s="35"/>
      <c r="V53" s="35"/>
      <c r="W53" s="28" t="s">
        <v>1527</v>
      </c>
      <c r="Y53" s="29"/>
      <c r="Z53" s="29"/>
      <c r="AA53" s="29"/>
      <c r="AB53" s="29"/>
      <c r="AH53" s="28" t="s">
        <v>289</v>
      </c>
      <c r="AJ53" s="29"/>
      <c r="AK53" s="29"/>
      <c r="AV53" s="28"/>
      <c r="AW53" s="30"/>
      <c r="AY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3" s="28" t="str">
        <f>IF(ISBLANK(Table2[[#This Row],[device_model]]), "", Table2[[#This Row],[device_suggested_area]])</f>
        <v>Laundry</v>
      </c>
      <c r="BE53" s="28" t="s">
        <v>939</v>
      </c>
      <c r="BF53" s="28" t="s">
        <v>937</v>
      </c>
      <c r="BG53" s="28" t="s">
        <v>119</v>
      </c>
      <c r="BI53" s="28" t="s">
        <v>394</v>
      </c>
      <c r="BJ53" s="28" t="s">
        <v>202</v>
      </c>
      <c r="BO53" s="28"/>
      <c r="BQ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9" ht="16" customHeight="1" x14ac:dyDescent="0.2">
      <c r="A54" s="28">
        <v>1060</v>
      </c>
      <c r="B54" s="28" t="s">
        <v>26</v>
      </c>
      <c r="C54" s="28" t="s">
        <v>39</v>
      </c>
      <c r="D54" s="28" t="s">
        <v>27</v>
      </c>
      <c r="E54" s="28" t="s">
        <v>1110</v>
      </c>
      <c r="F54" s="34" t="str">
        <f>IF(ISBLANK(Table2[[#This Row],[unique_id]]), "", PROPER(SUBSTITUTE(Table2[[#This Row],[unique_id]], "_", " ")))</f>
        <v>Wardrobe Humidity</v>
      </c>
      <c r="G54" s="28" t="s">
        <v>460</v>
      </c>
      <c r="H54" s="28" t="s">
        <v>29</v>
      </c>
      <c r="I54" s="28" t="s">
        <v>30</v>
      </c>
      <c r="M54" s="28" t="s">
        <v>127</v>
      </c>
      <c r="O54" s="29"/>
      <c r="P54" s="28"/>
      <c r="T54" s="35"/>
      <c r="U54" s="35"/>
      <c r="V54" s="35"/>
      <c r="W54" s="28" t="s">
        <v>1527</v>
      </c>
      <c r="Y54" s="29"/>
      <c r="Z54" s="29"/>
      <c r="AA54" s="29"/>
      <c r="AB54" s="29"/>
      <c r="AE54" s="28" t="s">
        <v>31</v>
      </c>
      <c r="AF54" s="28" t="s">
        <v>32</v>
      </c>
      <c r="AG54" s="28" t="s">
        <v>33</v>
      </c>
      <c r="AH54" s="28" t="s">
        <v>289</v>
      </c>
      <c r="AI54" s="28">
        <v>300</v>
      </c>
      <c r="AJ54" s="29" t="s">
        <v>34</v>
      </c>
      <c r="AK54" s="29"/>
      <c r="AL54" s="28" t="s">
        <v>35</v>
      </c>
      <c r="AM54" s="28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N54" s="28" t="str">
        <f>IF(ISBLANK(Table2[[#This Row],[index]]),  "", _xlfn.CONCAT(LOWER(Table2[[#This Row],[device_via_device]]), "/", Table2[[#This Row],[unique_id]]))</f>
        <v>weewx/wardrobe_humidity</v>
      </c>
      <c r="AU5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V54" s="28">
        <v>1</v>
      </c>
      <c r="AW54" s="30"/>
      <c r="AY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BB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4" s="28" t="str">
        <f>IF(ISBLANK(Table2[[#This Row],[device_model]]), "", Table2[[#This Row],[device_suggested_area]])</f>
        <v>Wardrobe</v>
      </c>
      <c r="BE54" s="28" t="s">
        <v>1153</v>
      </c>
      <c r="BF54" s="28" t="s">
        <v>36</v>
      </c>
      <c r="BG54" s="28" t="s">
        <v>37</v>
      </c>
      <c r="BI54" s="28" t="s">
        <v>1010</v>
      </c>
      <c r="BJ54" s="28" t="s">
        <v>460</v>
      </c>
      <c r="BO54" s="28"/>
      <c r="BQ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9" ht="16" customHeight="1" x14ac:dyDescent="0.2">
      <c r="A55" s="28">
        <v>1061</v>
      </c>
      <c r="B55" s="28" t="s">
        <v>26</v>
      </c>
      <c r="C55" s="28" t="s">
        <v>119</v>
      </c>
      <c r="D55" s="28" t="s">
        <v>27</v>
      </c>
      <c r="E55" s="28" t="s">
        <v>1270</v>
      </c>
      <c r="F55" s="34" t="str">
        <f>IF(ISBLANK(Table2[[#This Row],[unique_id]]), "", PROPER(SUBSTITUTE(Table2[[#This Row],[unique_id]], "_", " ")))</f>
        <v>Office Basement Humidity</v>
      </c>
      <c r="G55" s="28" t="s">
        <v>199</v>
      </c>
      <c r="H55" s="28" t="s">
        <v>29</v>
      </c>
      <c r="I55" s="28" t="s">
        <v>30</v>
      </c>
      <c r="M55" s="28" t="s">
        <v>127</v>
      </c>
      <c r="O55" s="29"/>
      <c r="P55" s="28"/>
      <c r="T55" s="35"/>
      <c r="U55" s="35"/>
      <c r="V55" s="35"/>
      <c r="W55" s="28" t="s">
        <v>1527</v>
      </c>
      <c r="Y55" s="29"/>
      <c r="Z55" s="29"/>
      <c r="AA55" s="29"/>
      <c r="AB55" s="29"/>
      <c r="AH55" s="28" t="s">
        <v>289</v>
      </c>
      <c r="AJ55" s="29"/>
      <c r="AK55" s="29"/>
      <c r="AV55" s="28"/>
      <c r="AW55" s="30"/>
      <c r="AY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5" s="28" t="str">
        <f>IF(ISBLANK(Table2[[#This Row],[device_model]]), "", Table2[[#This Row],[device_suggested_area]])</f>
        <v>Basement</v>
      </c>
      <c r="BE55" s="28" t="s">
        <v>938</v>
      </c>
      <c r="BF55" s="28" t="s">
        <v>940</v>
      </c>
      <c r="BG55" s="28" t="s">
        <v>119</v>
      </c>
      <c r="BI55" s="28" t="s">
        <v>395</v>
      </c>
      <c r="BJ55" s="28" t="s">
        <v>199</v>
      </c>
      <c r="BO55" s="28"/>
      <c r="BQ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9" ht="16" customHeight="1" x14ac:dyDescent="0.2">
      <c r="A56" s="28">
        <v>1062</v>
      </c>
      <c r="B56" s="28" t="s">
        <v>26</v>
      </c>
      <c r="C56" s="28" t="s">
        <v>409</v>
      </c>
      <c r="D56" s="28" t="s">
        <v>304</v>
      </c>
      <c r="E56" s="28" t="s">
        <v>303</v>
      </c>
      <c r="F56" s="34" t="str">
        <f>IF(ISBLANK(Table2[[#This Row],[unique_id]]), "", PROPER(SUBSTITUTE(Table2[[#This Row],[unique_id]], "_", " ")))</f>
        <v>Column Break</v>
      </c>
      <c r="G56" s="28" t="s">
        <v>300</v>
      </c>
      <c r="H56" s="28" t="s">
        <v>29</v>
      </c>
      <c r="I56" s="28" t="s">
        <v>30</v>
      </c>
      <c r="M56" s="28" t="s">
        <v>301</v>
      </c>
      <c r="N56" s="28" t="s">
        <v>302</v>
      </c>
      <c r="O56" s="29"/>
      <c r="P56" s="28"/>
      <c r="T56" s="35"/>
      <c r="U56" s="35"/>
      <c r="V56" s="35"/>
      <c r="W56" s="28"/>
      <c r="Y56" s="29"/>
      <c r="Z56" s="29"/>
      <c r="AA56" s="29"/>
      <c r="AB56" s="29"/>
      <c r="AJ56" s="29"/>
      <c r="AK56" s="29"/>
      <c r="AV56" s="28"/>
      <c r="AW56" s="30"/>
      <c r="AX56" s="29"/>
      <c r="AY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6" s="28" t="str">
        <f>IF(ISBLANK(Table2[[#This Row],[device_model]]), "", Table2[[#This Row],[device_suggested_area]])</f>
        <v/>
      </c>
      <c r="BI56" s="29"/>
      <c r="BO56" s="28"/>
      <c r="BQ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9" ht="16" customHeight="1" x14ac:dyDescent="0.2">
      <c r="A57" s="28">
        <v>1100</v>
      </c>
      <c r="B57" s="28" t="s">
        <v>543</v>
      </c>
      <c r="C57" s="28" t="s">
        <v>119</v>
      </c>
      <c r="D57" s="28" t="s">
        <v>27</v>
      </c>
      <c r="E57" s="28" t="s">
        <v>1271</v>
      </c>
      <c r="F57" s="34" t="str">
        <f>IF(ISBLANK(Table2[[#This Row],[unique_id]]), "", PROPER(SUBSTITUTE(Table2[[#This Row],[unique_id]], "_", " ")))</f>
        <v>Ada Carbon Dioxide</v>
      </c>
      <c r="G57" s="28" t="s">
        <v>121</v>
      </c>
      <c r="H57" s="28" t="s">
        <v>167</v>
      </c>
      <c r="I57" s="28" t="s">
        <v>30</v>
      </c>
      <c r="O57" s="29"/>
      <c r="P57" s="28"/>
      <c r="T57" s="35"/>
      <c r="U57" s="35"/>
      <c r="V57" s="35"/>
      <c r="W57" s="28"/>
      <c r="Y57" s="29"/>
      <c r="Z57" s="29"/>
      <c r="AA57" s="29"/>
      <c r="AB57" s="29"/>
      <c r="AH57" s="28" t="s">
        <v>1299</v>
      </c>
      <c r="AJ57" s="29"/>
      <c r="AK57" s="29"/>
      <c r="AV57" s="28"/>
      <c r="AW57" s="30"/>
      <c r="AY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7" s="28" t="str">
        <f>IF(ISBLANK(Table2[[#This Row],[device_model]]), "", Table2[[#This Row],[device_suggested_area]])</f>
        <v>Ada</v>
      </c>
      <c r="BE57" s="28" t="s">
        <v>939</v>
      </c>
      <c r="BF57" s="28" t="s">
        <v>937</v>
      </c>
      <c r="BG57" s="28" t="s">
        <v>119</v>
      </c>
      <c r="BI57" s="28" t="s">
        <v>394</v>
      </c>
      <c r="BJ57" s="28" t="s">
        <v>121</v>
      </c>
      <c r="BO57" s="28"/>
      <c r="BQ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9" ht="16" customHeight="1" x14ac:dyDescent="0.2">
      <c r="A58" s="28">
        <v>1101</v>
      </c>
      <c r="B58" s="28" t="s">
        <v>26</v>
      </c>
      <c r="C58" s="28" t="s">
        <v>119</v>
      </c>
      <c r="D58" s="28" t="s">
        <v>27</v>
      </c>
      <c r="E58" s="28" t="s">
        <v>1272</v>
      </c>
      <c r="F58" s="34" t="str">
        <f>IF(ISBLANK(Table2[[#This Row],[unique_id]]), "", PROPER(SUBSTITUTE(Table2[[#This Row],[unique_id]], "_", " ")))</f>
        <v>Edwin Carbon Dioxide</v>
      </c>
      <c r="G58" s="28" t="s">
        <v>118</v>
      </c>
      <c r="H58" s="28" t="s">
        <v>167</v>
      </c>
      <c r="I58" s="28" t="s">
        <v>30</v>
      </c>
      <c r="M58" s="28" t="s">
        <v>81</v>
      </c>
      <c r="O58" s="29"/>
      <c r="P58" s="28"/>
      <c r="T58" s="35"/>
      <c r="U58" s="35"/>
      <c r="V58" s="35"/>
      <c r="W58" s="28" t="s">
        <v>1527</v>
      </c>
      <c r="Y58" s="29"/>
      <c r="Z58" s="29"/>
      <c r="AA58" s="29"/>
      <c r="AB58" s="29"/>
      <c r="AH58" s="28" t="s">
        <v>1299</v>
      </c>
      <c r="AV58" s="28"/>
      <c r="AW58" s="38"/>
      <c r="AY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8" s="28" t="str">
        <f>IF(ISBLANK(Table2[[#This Row],[device_model]]), "", Table2[[#This Row],[device_suggested_area]])</f>
        <v>Edwin</v>
      </c>
      <c r="BE58" s="28" t="s">
        <v>939</v>
      </c>
      <c r="BF58" s="28" t="s">
        <v>937</v>
      </c>
      <c r="BG58" s="28" t="s">
        <v>119</v>
      </c>
      <c r="BI58" s="28" t="s">
        <v>394</v>
      </c>
      <c r="BJ58" s="28" t="s">
        <v>118</v>
      </c>
      <c r="BO58" s="28"/>
      <c r="BQ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9" ht="16" customHeight="1" x14ac:dyDescent="0.2">
      <c r="A59" s="28">
        <v>1102</v>
      </c>
      <c r="B59" s="28" t="s">
        <v>543</v>
      </c>
      <c r="C59" s="28" t="s">
        <v>119</v>
      </c>
      <c r="D59" s="28" t="s">
        <v>27</v>
      </c>
      <c r="E59" s="28" t="s">
        <v>1273</v>
      </c>
      <c r="F59" s="34" t="str">
        <f>IF(ISBLANK(Table2[[#This Row],[unique_id]]), "", PROPER(SUBSTITUTE(Table2[[#This Row],[unique_id]], "_", " ")))</f>
        <v>Parents Carbon Dioxide</v>
      </c>
      <c r="G59" s="28" t="s">
        <v>181</v>
      </c>
      <c r="H59" s="28" t="s">
        <v>167</v>
      </c>
      <c r="I59" s="28" t="s">
        <v>30</v>
      </c>
      <c r="O59" s="29"/>
      <c r="P59" s="28"/>
      <c r="T59" s="35"/>
      <c r="U59" s="35"/>
      <c r="V59" s="35"/>
      <c r="W59" s="28"/>
      <c r="Y59" s="29"/>
      <c r="Z59" s="29"/>
      <c r="AA59" s="29"/>
      <c r="AB59" s="29"/>
      <c r="AH59" s="28" t="s">
        <v>1299</v>
      </c>
      <c r="AV59" s="28"/>
      <c r="AW59" s="38"/>
      <c r="AY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9" s="28" t="str">
        <f>IF(ISBLANK(Table2[[#This Row],[device_model]]), "", Table2[[#This Row],[device_suggested_area]])</f>
        <v>Parents</v>
      </c>
      <c r="BE59" s="28" t="s">
        <v>939</v>
      </c>
      <c r="BF59" s="28" t="s">
        <v>937</v>
      </c>
      <c r="BG59" s="28" t="s">
        <v>119</v>
      </c>
      <c r="BI59" s="28" t="s">
        <v>394</v>
      </c>
      <c r="BJ59" s="28" t="s">
        <v>181</v>
      </c>
      <c r="BO59" s="28"/>
      <c r="BQ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9" ht="16" customHeight="1" x14ac:dyDescent="0.2">
      <c r="A60" s="28">
        <v>1103</v>
      </c>
      <c r="B60" s="28" t="s">
        <v>26</v>
      </c>
      <c r="C60" s="28" t="s">
        <v>119</v>
      </c>
      <c r="D60" s="28" t="s">
        <v>27</v>
      </c>
      <c r="E60" s="28" t="s">
        <v>1274</v>
      </c>
      <c r="F60" s="34" t="str">
        <f>IF(ISBLANK(Table2[[#This Row],[unique_id]]), "", PROPER(SUBSTITUTE(Table2[[#This Row],[unique_id]], "_", " ")))</f>
        <v>Office Carbon Dioxide</v>
      </c>
      <c r="G60" s="28" t="s">
        <v>201</v>
      </c>
      <c r="H60" s="28" t="s">
        <v>167</v>
      </c>
      <c r="I60" s="28" t="s">
        <v>30</v>
      </c>
      <c r="M60" s="28" t="s">
        <v>81</v>
      </c>
      <c r="O60" s="29"/>
      <c r="P60" s="28"/>
      <c r="T60" s="35"/>
      <c r="U60" s="35"/>
      <c r="V60" s="35"/>
      <c r="W60" s="28" t="s">
        <v>1527</v>
      </c>
      <c r="Y60" s="29"/>
      <c r="Z60" s="29"/>
      <c r="AA60" s="29"/>
      <c r="AB60" s="29"/>
      <c r="AH60" s="28" t="s">
        <v>1299</v>
      </c>
      <c r="AV60" s="28"/>
      <c r="AW60" s="38"/>
      <c r="AY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0" s="28" t="str">
        <f>IF(ISBLANK(Table2[[#This Row],[device_model]]), "", Table2[[#This Row],[device_suggested_area]])</f>
        <v>Office</v>
      </c>
      <c r="BE60" s="28" t="s">
        <v>938</v>
      </c>
      <c r="BF60" s="28" t="s">
        <v>940</v>
      </c>
      <c r="BG60" s="28" t="s">
        <v>119</v>
      </c>
      <c r="BI60" s="28" t="s">
        <v>395</v>
      </c>
      <c r="BJ60" s="28" t="s">
        <v>201</v>
      </c>
      <c r="BO60" s="28"/>
      <c r="BQ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9" ht="16" customHeight="1" x14ac:dyDescent="0.2">
      <c r="A61" s="28">
        <v>1104</v>
      </c>
      <c r="B61" s="28" t="s">
        <v>26</v>
      </c>
      <c r="C61" s="28" t="s">
        <v>119</v>
      </c>
      <c r="D61" s="28" t="s">
        <v>27</v>
      </c>
      <c r="E61" s="28" t="s">
        <v>1275</v>
      </c>
      <c r="F61" s="34" t="str">
        <f>IF(ISBLANK(Table2[[#This Row],[unique_id]]), "", PROPER(SUBSTITUTE(Table2[[#This Row],[unique_id]], "_", " ")))</f>
        <v>Office Lounge Carbon Dioxide</v>
      </c>
      <c r="G61" s="28" t="s">
        <v>183</v>
      </c>
      <c r="H61" s="28" t="s">
        <v>167</v>
      </c>
      <c r="I61" s="28" t="s">
        <v>30</v>
      </c>
      <c r="M61" s="28" t="s">
        <v>81</v>
      </c>
      <c r="O61" s="29"/>
      <c r="P61" s="28"/>
      <c r="T61" s="35"/>
      <c r="U61" s="35"/>
      <c r="V61" s="35"/>
      <c r="W61" s="28" t="s">
        <v>1527</v>
      </c>
      <c r="Y61" s="29"/>
      <c r="Z61" s="29"/>
      <c r="AA61" s="29"/>
      <c r="AB61" s="29"/>
      <c r="AH61" s="28" t="s">
        <v>1299</v>
      </c>
      <c r="AV61" s="28"/>
      <c r="AW61" s="38"/>
      <c r="AY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1" s="28" t="str">
        <f>IF(ISBLANK(Table2[[#This Row],[device_model]]), "", Table2[[#This Row],[device_suggested_area]])</f>
        <v>Lounge</v>
      </c>
      <c r="BE61" s="28" t="s">
        <v>938</v>
      </c>
      <c r="BF61" s="28" t="s">
        <v>940</v>
      </c>
      <c r="BG61" s="28" t="s">
        <v>119</v>
      </c>
      <c r="BI61" s="28" t="s">
        <v>395</v>
      </c>
      <c r="BJ61" s="28" t="s">
        <v>183</v>
      </c>
      <c r="BO61" s="28"/>
      <c r="BQ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9" ht="16" customHeight="1" x14ac:dyDescent="0.2">
      <c r="A62" s="28">
        <v>1105</v>
      </c>
      <c r="B62" s="28" t="s">
        <v>26</v>
      </c>
      <c r="C62" s="28" t="s">
        <v>119</v>
      </c>
      <c r="D62" s="28" t="s">
        <v>27</v>
      </c>
      <c r="E62" s="28" t="s">
        <v>1276</v>
      </c>
      <c r="F62" s="34" t="str">
        <f>IF(ISBLANK(Table2[[#This Row],[unique_id]]), "", PROPER(SUBSTITUTE(Table2[[#This Row],[unique_id]], "_", " ")))</f>
        <v>Kitchen Carbon Dioxide</v>
      </c>
      <c r="G62" s="28" t="s">
        <v>195</v>
      </c>
      <c r="H62" s="28" t="s">
        <v>167</v>
      </c>
      <c r="I62" s="28" t="s">
        <v>30</v>
      </c>
      <c r="M62" s="28" t="s">
        <v>81</v>
      </c>
      <c r="O62" s="29"/>
      <c r="P62" s="28"/>
      <c r="T62" s="35"/>
      <c r="U62" s="35"/>
      <c r="V62" s="35"/>
      <c r="W62" s="28" t="s">
        <v>1527</v>
      </c>
      <c r="Y62" s="29"/>
      <c r="Z62" s="29"/>
      <c r="AA62" s="29"/>
      <c r="AB62" s="29"/>
      <c r="AH62" s="28" t="s">
        <v>1299</v>
      </c>
      <c r="AV62" s="28"/>
      <c r="AW62" s="38"/>
      <c r="AY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2" s="28" t="str">
        <f>IF(ISBLANK(Table2[[#This Row],[device_model]]), "", Table2[[#This Row],[device_suggested_area]])</f>
        <v>Kitchen</v>
      </c>
      <c r="BE62" s="28" t="s">
        <v>938</v>
      </c>
      <c r="BF62" s="28" t="s">
        <v>940</v>
      </c>
      <c r="BG62" s="28" t="s">
        <v>119</v>
      </c>
      <c r="BI62" s="28" t="s">
        <v>395</v>
      </c>
      <c r="BJ62" s="28" t="s">
        <v>195</v>
      </c>
      <c r="BO62" s="28"/>
      <c r="BQ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9" ht="16" customHeight="1" x14ac:dyDescent="0.2">
      <c r="A63" s="28">
        <v>1106</v>
      </c>
      <c r="B63" s="28" t="s">
        <v>26</v>
      </c>
      <c r="C63" s="28" t="s">
        <v>119</v>
      </c>
      <c r="D63" s="28" t="s">
        <v>27</v>
      </c>
      <c r="E63" s="28" t="s">
        <v>1277</v>
      </c>
      <c r="F63" s="34" t="str">
        <f>IF(ISBLANK(Table2[[#This Row],[unique_id]]), "", PROPER(SUBSTITUTE(Table2[[#This Row],[unique_id]], "_", " ")))</f>
        <v>Office Pantry Carbon Dioxide</v>
      </c>
      <c r="G63" s="28" t="s">
        <v>200</v>
      </c>
      <c r="H63" s="28" t="s">
        <v>167</v>
      </c>
      <c r="I63" s="28" t="s">
        <v>30</v>
      </c>
      <c r="M63" s="28" t="s">
        <v>127</v>
      </c>
      <c r="O63" s="29"/>
      <c r="P63" s="28"/>
      <c r="T63" s="35"/>
      <c r="U63" s="35"/>
      <c r="V63" s="35"/>
      <c r="W63" s="28" t="s">
        <v>1527</v>
      </c>
      <c r="Y63" s="29"/>
      <c r="Z63" s="29"/>
      <c r="AA63" s="29"/>
      <c r="AB63" s="29"/>
      <c r="AH63" s="28" t="s">
        <v>1299</v>
      </c>
      <c r="AV63" s="28"/>
      <c r="AW63" s="38"/>
      <c r="AY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3" s="28" t="str">
        <f>IF(ISBLANK(Table2[[#This Row],[device_model]]), "", Table2[[#This Row],[device_suggested_area]])</f>
        <v>Pantry</v>
      </c>
      <c r="BE63" s="28" t="s">
        <v>938</v>
      </c>
      <c r="BF63" s="28" t="s">
        <v>940</v>
      </c>
      <c r="BG63" s="28" t="s">
        <v>119</v>
      </c>
      <c r="BI63" s="28" t="s">
        <v>395</v>
      </c>
      <c r="BJ63" s="28" t="s">
        <v>200</v>
      </c>
      <c r="BO63" s="28"/>
      <c r="BQ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9" ht="16" customHeight="1" x14ac:dyDescent="0.2">
      <c r="A64" s="28">
        <v>1107</v>
      </c>
      <c r="B64" s="28" t="s">
        <v>26</v>
      </c>
      <c r="C64" s="28" t="s">
        <v>119</v>
      </c>
      <c r="D64" s="28" t="s">
        <v>27</v>
      </c>
      <c r="E64" s="28" t="s">
        <v>1278</v>
      </c>
      <c r="F64" s="34" t="str">
        <f>IF(ISBLANK(Table2[[#This Row],[unique_id]]), "", PROPER(SUBSTITUTE(Table2[[#This Row],[unique_id]], "_", " ")))</f>
        <v>Office Dining Carbon Dioxide</v>
      </c>
      <c r="G64" s="28" t="s">
        <v>182</v>
      </c>
      <c r="H64" s="28" t="s">
        <v>167</v>
      </c>
      <c r="I64" s="28" t="s">
        <v>30</v>
      </c>
      <c r="M64" s="28" t="s">
        <v>127</v>
      </c>
      <c r="O64" s="29"/>
      <c r="P64" s="28"/>
      <c r="T64" s="35"/>
      <c r="U64" s="35"/>
      <c r="V64" s="35"/>
      <c r="W64" s="28" t="s">
        <v>1527</v>
      </c>
      <c r="Y64" s="29"/>
      <c r="Z64" s="29"/>
      <c r="AA64" s="29"/>
      <c r="AB64" s="29"/>
      <c r="AH64" s="28" t="s">
        <v>1299</v>
      </c>
      <c r="AV64" s="28"/>
      <c r="AW64" s="38"/>
      <c r="AY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4" s="28" t="str">
        <f>IF(ISBLANK(Table2[[#This Row],[device_model]]), "", Table2[[#This Row],[device_suggested_area]])</f>
        <v>Dining</v>
      </c>
      <c r="BE64" s="28" t="s">
        <v>938</v>
      </c>
      <c r="BF64" s="28" t="s">
        <v>940</v>
      </c>
      <c r="BG64" s="28" t="s">
        <v>119</v>
      </c>
      <c r="BI64" s="28" t="s">
        <v>395</v>
      </c>
      <c r="BJ64" s="28" t="s">
        <v>182</v>
      </c>
      <c r="BO64" s="28"/>
      <c r="BQ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9" ht="16" customHeight="1" x14ac:dyDescent="0.2">
      <c r="A65" s="28">
        <v>1108</v>
      </c>
      <c r="B65" s="28" t="s">
        <v>543</v>
      </c>
      <c r="C65" s="28" t="s">
        <v>119</v>
      </c>
      <c r="D65" s="28" t="s">
        <v>27</v>
      </c>
      <c r="E65" s="28" t="s">
        <v>1279</v>
      </c>
      <c r="F65" s="34" t="str">
        <f>IF(ISBLANK(Table2[[#This Row],[unique_id]]), "", PROPER(SUBSTITUTE(Table2[[#This Row],[unique_id]], "_", " ")))</f>
        <v>Laundry Carbon Dioxide</v>
      </c>
      <c r="G65" s="28" t="s">
        <v>202</v>
      </c>
      <c r="H65" s="28" t="s">
        <v>167</v>
      </c>
      <c r="I65" s="28" t="s">
        <v>30</v>
      </c>
      <c r="O65" s="29"/>
      <c r="P65" s="28"/>
      <c r="T65" s="35"/>
      <c r="U65" s="35"/>
      <c r="V65" s="35"/>
      <c r="W65" s="28"/>
      <c r="Y65" s="29"/>
      <c r="Z65" s="29"/>
      <c r="AA65" s="29"/>
      <c r="AB65" s="29"/>
      <c r="AH65" s="28" t="s">
        <v>1299</v>
      </c>
      <c r="AV65" s="28"/>
      <c r="AW65" s="38"/>
      <c r="AY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5" s="28" t="str">
        <f>IF(ISBLANK(Table2[[#This Row],[device_model]]), "", Table2[[#This Row],[device_suggested_area]])</f>
        <v>Laundry</v>
      </c>
      <c r="BE65" s="28" t="s">
        <v>939</v>
      </c>
      <c r="BF65" s="28" t="s">
        <v>937</v>
      </c>
      <c r="BG65" s="28" t="s">
        <v>119</v>
      </c>
      <c r="BI65" s="28" t="s">
        <v>394</v>
      </c>
      <c r="BJ65" s="28" t="s">
        <v>202</v>
      </c>
      <c r="BO65" s="28"/>
      <c r="BQ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9" ht="16" customHeight="1" x14ac:dyDescent="0.2">
      <c r="A66" s="28">
        <v>1150</v>
      </c>
      <c r="B66" s="28" t="s">
        <v>26</v>
      </c>
      <c r="C66" s="28" t="s">
        <v>119</v>
      </c>
      <c r="D66" s="28" t="s">
        <v>27</v>
      </c>
      <c r="E66" s="28" t="s">
        <v>1091</v>
      </c>
      <c r="F66" s="34" t="str">
        <f>IF(ISBLANK(Table2[[#This Row],[unique_id]]), "", PROPER(SUBSTITUTE(Table2[[#This Row],[unique_id]], "_", " ")))</f>
        <v>Ada Noise</v>
      </c>
      <c r="G66" s="28" t="s">
        <v>121</v>
      </c>
      <c r="H66" s="28" t="s">
        <v>168</v>
      </c>
      <c r="I66" s="28" t="s">
        <v>30</v>
      </c>
      <c r="M66" s="28" t="s">
        <v>81</v>
      </c>
      <c r="O66" s="29"/>
      <c r="P66" s="28"/>
      <c r="T66" s="35"/>
      <c r="U66" s="35"/>
      <c r="V66" s="35"/>
      <c r="W66" s="28" t="s">
        <v>1527</v>
      </c>
      <c r="Y66" s="29"/>
      <c r="Z66" s="29"/>
      <c r="AA66" s="29"/>
      <c r="AB66" s="29"/>
      <c r="AH66" s="28" t="s">
        <v>288</v>
      </c>
      <c r="AJ66" s="29"/>
      <c r="AK66" s="29"/>
      <c r="AV66" s="28"/>
      <c r="AW66" s="38"/>
      <c r="AY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6" s="28" t="str">
        <f>IF(ISBLANK(Table2[[#This Row],[device_model]]), "", Table2[[#This Row],[device_suggested_area]])</f>
        <v>Ada</v>
      </c>
      <c r="BE66" s="28" t="s">
        <v>939</v>
      </c>
      <c r="BF66" s="28" t="s">
        <v>937</v>
      </c>
      <c r="BG66" s="28" t="s">
        <v>119</v>
      </c>
      <c r="BI66" s="28" t="s">
        <v>394</v>
      </c>
      <c r="BJ66" s="28" t="s">
        <v>121</v>
      </c>
      <c r="BO66" s="28"/>
      <c r="BQ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9" ht="16" customHeight="1" x14ac:dyDescent="0.2">
      <c r="A67" s="28">
        <v>1151</v>
      </c>
      <c r="B67" s="28" t="s">
        <v>26</v>
      </c>
      <c r="C67" s="28" t="s">
        <v>119</v>
      </c>
      <c r="D67" s="28" t="s">
        <v>27</v>
      </c>
      <c r="E67" s="28" t="s">
        <v>1092</v>
      </c>
      <c r="F67" s="34" t="str">
        <f>IF(ISBLANK(Table2[[#This Row],[unique_id]]), "", PROPER(SUBSTITUTE(Table2[[#This Row],[unique_id]], "_", " ")))</f>
        <v>Edwin Noise</v>
      </c>
      <c r="G67" s="28" t="s">
        <v>118</v>
      </c>
      <c r="H67" s="28" t="s">
        <v>168</v>
      </c>
      <c r="I67" s="28" t="s">
        <v>30</v>
      </c>
      <c r="M67" s="28" t="s">
        <v>81</v>
      </c>
      <c r="O67" s="29"/>
      <c r="P67" s="28"/>
      <c r="T67" s="35"/>
      <c r="U67" s="35"/>
      <c r="V67" s="35"/>
      <c r="W67" s="28" t="s">
        <v>1527</v>
      </c>
      <c r="Y67" s="29"/>
      <c r="Z67" s="29"/>
      <c r="AA67" s="29"/>
      <c r="AB67" s="29"/>
      <c r="AH67" s="28" t="s">
        <v>288</v>
      </c>
      <c r="AJ67" s="29"/>
      <c r="AK67" s="29"/>
      <c r="AV67" s="28"/>
      <c r="AW67" s="38"/>
      <c r="AY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7" s="28" t="str">
        <f>IF(ISBLANK(Table2[[#This Row],[device_model]]), "", Table2[[#This Row],[device_suggested_area]])</f>
        <v>Edwin</v>
      </c>
      <c r="BE67" s="28" t="s">
        <v>939</v>
      </c>
      <c r="BF67" s="28" t="s">
        <v>937</v>
      </c>
      <c r="BG67" s="28" t="s">
        <v>119</v>
      </c>
      <c r="BI67" s="28" t="s">
        <v>394</v>
      </c>
      <c r="BJ67" s="28" t="s">
        <v>118</v>
      </c>
      <c r="BO67" s="28"/>
      <c r="BQ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9" ht="16" customHeight="1" x14ac:dyDescent="0.2">
      <c r="A68" s="28">
        <v>1152</v>
      </c>
      <c r="B68" s="28" t="s">
        <v>26</v>
      </c>
      <c r="C68" s="28" t="s">
        <v>119</v>
      </c>
      <c r="D68" s="28" t="s">
        <v>27</v>
      </c>
      <c r="E68" s="28" t="s">
        <v>1093</v>
      </c>
      <c r="F68" s="34" t="str">
        <f>IF(ISBLANK(Table2[[#This Row],[unique_id]]), "", PROPER(SUBSTITUTE(Table2[[#This Row],[unique_id]], "_", " ")))</f>
        <v>Parents Noise</v>
      </c>
      <c r="G68" s="28" t="s">
        <v>181</v>
      </c>
      <c r="H68" s="28" t="s">
        <v>168</v>
      </c>
      <c r="I68" s="28" t="s">
        <v>30</v>
      </c>
      <c r="M68" s="28" t="s">
        <v>81</v>
      </c>
      <c r="O68" s="29"/>
      <c r="P68" s="28"/>
      <c r="T68" s="35"/>
      <c r="U68" s="35"/>
      <c r="V68" s="35"/>
      <c r="W68" s="28" t="s">
        <v>1527</v>
      </c>
      <c r="Y68" s="29"/>
      <c r="Z68" s="29"/>
      <c r="AA68" s="29"/>
      <c r="AB68" s="29"/>
      <c r="AH68" s="28" t="s">
        <v>288</v>
      </c>
      <c r="AJ68" s="29"/>
      <c r="AK68" s="29"/>
      <c r="AV68" s="28"/>
      <c r="AW68" s="38"/>
      <c r="AY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8" s="28" t="str">
        <f>IF(ISBLANK(Table2[[#This Row],[device_model]]), "", Table2[[#This Row],[device_suggested_area]])</f>
        <v>Parents</v>
      </c>
      <c r="BE68" s="28" t="s">
        <v>939</v>
      </c>
      <c r="BF68" s="28" t="s">
        <v>937</v>
      </c>
      <c r="BG68" s="28" t="s">
        <v>119</v>
      </c>
      <c r="BI68" s="28" t="s">
        <v>394</v>
      </c>
      <c r="BJ68" s="28" t="s">
        <v>181</v>
      </c>
      <c r="BO68" s="28"/>
      <c r="BQ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9" ht="16" customHeight="1" x14ac:dyDescent="0.2">
      <c r="A69" s="28">
        <v>1153</v>
      </c>
      <c r="B69" s="28" t="s">
        <v>26</v>
      </c>
      <c r="C69" s="28" t="s">
        <v>119</v>
      </c>
      <c r="D69" s="28" t="s">
        <v>27</v>
      </c>
      <c r="E69" s="28" t="s">
        <v>1167</v>
      </c>
      <c r="F69" s="34" t="str">
        <f>IF(ISBLANK(Table2[[#This Row],[unique_id]]), "", PROPER(SUBSTITUTE(Table2[[#This Row],[unique_id]], "_", " ")))</f>
        <v>Office Noise</v>
      </c>
      <c r="G69" s="28" t="s">
        <v>201</v>
      </c>
      <c r="H69" s="28" t="s">
        <v>168</v>
      </c>
      <c r="I69" s="28" t="s">
        <v>30</v>
      </c>
      <c r="M69" s="28" t="s">
        <v>81</v>
      </c>
      <c r="O69" s="29"/>
      <c r="P69" s="28"/>
      <c r="T69" s="35"/>
      <c r="U69" s="35"/>
      <c r="V69" s="35"/>
      <c r="W69" s="28" t="s">
        <v>1527</v>
      </c>
      <c r="Y69" s="29"/>
      <c r="Z69" s="29"/>
      <c r="AA69" s="29"/>
      <c r="AB69" s="29"/>
      <c r="AH69" s="28" t="s">
        <v>288</v>
      </c>
      <c r="AJ69" s="29"/>
      <c r="AK69" s="29"/>
      <c r="AV69" s="28"/>
      <c r="AW69" s="38"/>
      <c r="AY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9" s="28" t="str">
        <f>IF(ISBLANK(Table2[[#This Row],[device_model]]), "", Table2[[#This Row],[device_suggested_area]])</f>
        <v>Office</v>
      </c>
      <c r="BE69" s="28" t="s">
        <v>938</v>
      </c>
      <c r="BF69" s="28" t="s">
        <v>940</v>
      </c>
      <c r="BG69" s="28" t="s">
        <v>119</v>
      </c>
      <c r="BI69" s="28" t="s">
        <v>395</v>
      </c>
      <c r="BJ69" s="28" t="s">
        <v>201</v>
      </c>
      <c r="BO69" s="28"/>
      <c r="BQ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9" ht="16" customHeight="1" x14ac:dyDescent="0.2">
      <c r="A70" s="28">
        <v>1154</v>
      </c>
      <c r="B70" s="28" t="s">
        <v>26</v>
      </c>
      <c r="C70" s="28" t="s">
        <v>119</v>
      </c>
      <c r="D70" s="28" t="s">
        <v>27</v>
      </c>
      <c r="E70" s="28" t="s">
        <v>1166</v>
      </c>
      <c r="F70" s="34" t="str">
        <f>IF(ISBLANK(Table2[[#This Row],[unique_id]]), "", PROPER(SUBSTITUTE(Table2[[#This Row],[unique_id]], "_", " ")))</f>
        <v>Kitchen Noise</v>
      </c>
      <c r="G70" s="28" t="s">
        <v>195</v>
      </c>
      <c r="H70" s="28" t="s">
        <v>168</v>
      </c>
      <c r="I70" s="28" t="s">
        <v>30</v>
      </c>
      <c r="M70" s="28" t="s">
        <v>127</v>
      </c>
      <c r="O70" s="29"/>
      <c r="P70" s="28"/>
      <c r="T70" s="35"/>
      <c r="U70" s="35"/>
      <c r="V70" s="35"/>
      <c r="W70" s="28" t="s">
        <v>1527</v>
      </c>
      <c r="Y70" s="29"/>
      <c r="Z70" s="29"/>
      <c r="AA70" s="29"/>
      <c r="AB70" s="29"/>
      <c r="AH70" s="28" t="s">
        <v>288</v>
      </c>
      <c r="AJ70" s="29"/>
      <c r="AK70" s="29"/>
      <c r="AV70" s="28"/>
      <c r="AW70" s="38"/>
      <c r="AY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0" s="28" t="str">
        <f>IF(ISBLANK(Table2[[#This Row],[device_model]]), "", Table2[[#This Row],[device_suggested_area]])</f>
        <v>Kitchen</v>
      </c>
      <c r="BE70" s="28" t="s">
        <v>938</v>
      </c>
      <c r="BF70" s="28" t="s">
        <v>940</v>
      </c>
      <c r="BG70" s="28" t="s">
        <v>119</v>
      </c>
      <c r="BI70" s="28" t="s">
        <v>395</v>
      </c>
      <c r="BJ70" s="28" t="s">
        <v>195</v>
      </c>
      <c r="BO70" s="28"/>
      <c r="BQ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9" ht="16" customHeight="1" x14ac:dyDescent="0.2">
      <c r="A71" s="28">
        <v>1155</v>
      </c>
      <c r="B71" s="28" t="s">
        <v>26</v>
      </c>
      <c r="C71" s="28" t="s">
        <v>119</v>
      </c>
      <c r="D71" s="28" t="s">
        <v>27</v>
      </c>
      <c r="E71" s="28" t="s">
        <v>1094</v>
      </c>
      <c r="F71" s="34" t="str">
        <f>IF(ISBLANK(Table2[[#This Row],[unique_id]]), "", PROPER(SUBSTITUTE(Table2[[#This Row],[unique_id]], "_", " ")))</f>
        <v>Laundry Noise</v>
      </c>
      <c r="G71" s="28" t="s">
        <v>202</v>
      </c>
      <c r="H71" s="28" t="s">
        <v>168</v>
      </c>
      <c r="I71" s="28" t="s">
        <v>30</v>
      </c>
      <c r="M71" s="28" t="s">
        <v>127</v>
      </c>
      <c r="O71" s="29"/>
      <c r="P71" s="28"/>
      <c r="T71" s="35"/>
      <c r="U71" s="35"/>
      <c r="V71" s="35"/>
      <c r="W71" s="28" t="s">
        <v>1527</v>
      </c>
      <c r="Y71" s="29"/>
      <c r="Z71" s="29"/>
      <c r="AA71" s="29"/>
      <c r="AB71" s="29"/>
      <c r="AH71" s="28" t="s">
        <v>288</v>
      </c>
      <c r="AJ71" s="29"/>
      <c r="AK71" s="29"/>
      <c r="AV71" s="28"/>
      <c r="AW71" s="38"/>
      <c r="AY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1" s="28" t="str">
        <f>IF(ISBLANK(Table2[[#This Row],[device_model]]), "", Table2[[#This Row],[device_suggested_area]])</f>
        <v>Laundry</v>
      </c>
      <c r="BE71" s="28" t="s">
        <v>939</v>
      </c>
      <c r="BF71" s="28" t="s">
        <v>937</v>
      </c>
      <c r="BG71" s="28" t="s">
        <v>119</v>
      </c>
      <c r="BI71" s="28" t="s">
        <v>394</v>
      </c>
      <c r="BJ71" s="28" t="s">
        <v>202</v>
      </c>
      <c r="BO71" s="28"/>
      <c r="BQ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9" ht="16" customHeight="1" x14ac:dyDescent="0.2">
      <c r="A72" s="28">
        <v>1200</v>
      </c>
      <c r="B72" s="28" t="s">
        <v>26</v>
      </c>
      <c r="C72" s="28" t="s">
        <v>39</v>
      </c>
      <c r="D72" s="28" t="s">
        <v>27</v>
      </c>
      <c r="E72" s="28" t="s">
        <v>41</v>
      </c>
      <c r="F72" s="34" t="str">
        <f>IF(ISBLANK(Table2[[#This Row],[unique_id]]), "", PROPER(SUBSTITUTE(Table2[[#This Row],[unique_id]], "_", " ")))</f>
        <v>Roof Cloud Base</v>
      </c>
      <c r="G72" s="28" t="s">
        <v>42</v>
      </c>
      <c r="H72" s="28" t="s">
        <v>1539</v>
      </c>
      <c r="I72" s="28" t="s">
        <v>30</v>
      </c>
      <c r="O72" s="29"/>
      <c r="P72" s="28"/>
      <c r="T72" s="35"/>
      <c r="U72" s="35"/>
      <c r="V72" s="35" t="s">
        <v>1524</v>
      </c>
      <c r="W72" s="28" t="s">
        <v>1527</v>
      </c>
      <c r="Y72" s="29"/>
      <c r="Z72" s="29"/>
      <c r="AA72" s="29"/>
      <c r="AB72" s="29"/>
      <c r="AE72" s="28" t="s">
        <v>31</v>
      </c>
      <c r="AF72" s="28" t="s">
        <v>44</v>
      </c>
      <c r="AH72" s="28" t="s">
        <v>162</v>
      </c>
      <c r="AI72" s="28">
        <v>300</v>
      </c>
      <c r="AJ72" s="29" t="s">
        <v>34</v>
      </c>
      <c r="AK72" s="29"/>
      <c r="AL72" s="28" t="s">
        <v>45</v>
      </c>
      <c r="AM72" s="28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N72" s="28" t="str">
        <f>IF(ISBLANK(Table2[[#This Row],[index]]),  "", _xlfn.CONCAT(LOWER(Table2[[#This Row],[device_via_device]]), "/", Table2[[#This Row],[unique_id]]))</f>
        <v>weewx/roof_cloud_base</v>
      </c>
      <c r="AU72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V72" s="28">
        <v>1</v>
      </c>
      <c r="AW72" s="30"/>
      <c r="AY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BB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2" s="28" t="str">
        <f>IF(ISBLANK(Table2[[#This Row],[device_model]]), "", Table2[[#This Row],[device_suggested_area]])</f>
        <v>Roof</v>
      </c>
      <c r="BE72" s="28" t="s">
        <v>393</v>
      </c>
      <c r="BF72" s="28" t="s">
        <v>36</v>
      </c>
      <c r="BG72" s="28" t="s">
        <v>37</v>
      </c>
      <c r="BI72" s="28" t="s">
        <v>1010</v>
      </c>
      <c r="BJ72" s="28" t="s">
        <v>38</v>
      </c>
      <c r="BO72" s="28"/>
      <c r="BQ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9" ht="16" customHeight="1" x14ac:dyDescent="0.2">
      <c r="A73" s="28">
        <v>1201</v>
      </c>
      <c r="B73" s="28" t="s">
        <v>26</v>
      </c>
      <c r="C73" s="28" t="s">
        <v>39</v>
      </c>
      <c r="D73" s="28" t="s">
        <v>27</v>
      </c>
      <c r="E73" s="28" t="s">
        <v>46</v>
      </c>
      <c r="F73" s="34" t="str">
        <f>IF(ISBLANK(Table2[[#This Row],[unique_id]]), "", PROPER(SUBSTITUTE(Table2[[#This Row],[unique_id]], "_", " ")))</f>
        <v>Roof Max Solar Radiation</v>
      </c>
      <c r="G73" s="28" t="s">
        <v>47</v>
      </c>
      <c r="H73" s="28" t="s">
        <v>43</v>
      </c>
      <c r="I73" s="28" t="s">
        <v>30</v>
      </c>
      <c r="O73" s="29"/>
      <c r="P73" s="28"/>
      <c r="T73" s="35"/>
      <c r="U73" s="35"/>
      <c r="V73" s="35" t="s">
        <v>1524</v>
      </c>
      <c r="W73" s="28" t="s">
        <v>1527</v>
      </c>
      <c r="Y73" s="29"/>
      <c r="Z73" s="29"/>
      <c r="AA73" s="29"/>
      <c r="AB73" s="29"/>
      <c r="AE73" s="28" t="s">
        <v>31</v>
      </c>
      <c r="AF73" s="28" t="s">
        <v>48</v>
      </c>
      <c r="AH73" s="28" t="s">
        <v>163</v>
      </c>
      <c r="AI73" s="28">
        <v>300</v>
      </c>
      <c r="AJ73" s="29" t="s">
        <v>34</v>
      </c>
      <c r="AK73" s="29"/>
      <c r="AL73" s="28" t="s">
        <v>49</v>
      </c>
      <c r="AM73" s="28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N73" s="28" t="str">
        <f>IF(ISBLANK(Table2[[#This Row],[index]]),  "", _xlfn.CONCAT(LOWER(Table2[[#This Row],[device_via_device]]), "/", Table2[[#This Row],[unique_id]]))</f>
        <v>weewx/roof_max_solar_radiation</v>
      </c>
      <c r="AU73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V73" s="28">
        <v>1</v>
      </c>
      <c r="AW73" s="30"/>
      <c r="AY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BB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3" s="28" t="str">
        <f>IF(ISBLANK(Table2[[#This Row],[device_model]]), "", Table2[[#This Row],[device_suggested_area]])</f>
        <v>Roof</v>
      </c>
      <c r="BE73" s="28" t="s">
        <v>393</v>
      </c>
      <c r="BF73" s="28" t="s">
        <v>36</v>
      </c>
      <c r="BG73" s="28" t="s">
        <v>37</v>
      </c>
      <c r="BI73" s="28" t="s">
        <v>1010</v>
      </c>
      <c r="BJ73" s="28" t="s">
        <v>38</v>
      </c>
      <c r="BO73" s="28"/>
      <c r="BQ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9" ht="16" customHeight="1" x14ac:dyDescent="0.2">
      <c r="A74" s="28">
        <v>1250</v>
      </c>
      <c r="B74" s="28" t="s">
        <v>26</v>
      </c>
      <c r="C74" s="28" t="s">
        <v>39</v>
      </c>
      <c r="D74" s="28" t="s">
        <v>27</v>
      </c>
      <c r="E74" s="28" t="s">
        <v>53</v>
      </c>
      <c r="F74" s="34" t="str">
        <f>IF(ISBLANK(Table2[[#This Row],[unique_id]]), "", PROPER(SUBSTITUTE(Table2[[#This Row],[unique_id]], "_", " ")))</f>
        <v>Roof Barometer Pressure</v>
      </c>
      <c r="G74" s="28" t="s">
        <v>54</v>
      </c>
      <c r="H74" s="28" t="s">
        <v>50</v>
      </c>
      <c r="I74" s="28" t="s">
        <v>30</v>
      </c>
      <c r="O74" s="29"/>
      <c r="P74" s="28"/>
      <c r="T74" s="35"/>
      <c r="U74" s="35"/>
      <c r="V74" s="35" t="s">
        <v>1524</v>
      </c>
      <c r="W74" s="28" t="s">
        <v>1527</v>
      </c>
      <c r="X74" s="28" t="s">
        <v>1518</v>
      </c>
      <c r="Y74" s="29"/>
      <c r="Z74" s="29"/>
      <c r="AA74" s="29"/>
      <c r="AB74" s="29"/>
      <c r="AE74" s="28" t="s">
        <v>31</v>
      </c>
      <c r="AF74" s="28" t="s">
        <v>51</v>
      </c>
      <c r="AG74" s="28" t="s">
        <v>52</v>
      </c>
      <c r="AI74" s="28">
        <v>300</v>
      </c>
      <c r="AJ74" s="29" t="s">
        <v>34</v>
      </c>
      <c r="AK74" s="29"/>
      <c r="AL74" s="28" t="s">
        <v>55</v>
      </c>
      <c r="AM74" s="28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N74" s="28" t="str">
        <f>IF(ISBLANK(Table2[[#This Row],[index]]),  "", _xlfn.CONCAT(LOWER(Table2[[#This Row],[device_via_device]]), "/", Table2[[#This Row],[unique_id]]))</f>
        <v>weewx/roof_barometer_pressure</v>
      </c>
      <c r="AU74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V74" s="28">
        <v>1</v>
      </c>
      <c r="AW74" s="30"/>
      <c r="AY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BB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4" s="28" t="str">
        <f>IF(ISBLANK(Table2[[#This Row],[device_model]]), "", Table2[[#This Row],[device_suggested_area]])</f>
        <v>Roof</v>
      </c>
      <c r="BE74" s="28" t="s">
        <v>393</v>
      </c>
      <c r="BF74" s="28" t="s">
        <v>36</v>
      </c>
      <c r="BG74" s="28" t="s">
        <v>37</v>
      </c>
      <c r="BI74" s="28" t="s">
        <v>1010</v>
      </c>
      <c r="BJ74" s="28" t="s">
        <v>38</v>
      </c>
      <c r="BO74" s="28"/>
      <c r="BQ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9" ht="16" customHeight="1" x14ac:dyDescent="0.2">
      <c r="A75" s="28">
        <v>1251</v>
      </c>
      <c r="B75" s="28" t="s">
        <v>26</v>
      </c>
      <c r="C75" s="28" t="s">
        <v>39</v>
      </c>
      <c r="D75" s="28" t="s">
        <v>27</v>
      </c>
      <c r="E75" s="28" t="s">
        <v>56</v>
      </c>
      <c r="F75" s="34" t="str">
        <f>IF(ISBLANK(Table2[[#This Row],[unique_id]]), "", PROPER(SUBSTITUTE(Table2[[#This Row],[unique_id]], "_", " ")))</f>
        <v>Roof Pressure</v>
      </c>
      <c r="G75" s="28" t="s">
        <v>38</v>
      </c>
      <c r="H75" s="28" t="s">
        <v>50</v>
      </c>
      <c r="I75" s="28" t="s">
        <v>30</v>
      </c>
      <c r="O75" s="29"/>
      <c r="P75" s="28"/>
      <c r="T75" s="35"/>
      <c r="U75" s="35"/>
      <c r="V75" s="35"/>
      <c r="W75" s="28"/>
      <c r="Y75" s="29"/>
      <c r="Z75" s="29"/>
      <c r="AA75" s="29"/>
      <c r="AB75" s="29"/>
      <c r="AE75" s="28" t="s">
        <v>31</v>
      </c>
      <c r="AF75" s="28" t="s">
        <v>51</v>
      </c>
      <c r="AG75" s="28" t="s">
        <v>52</v>
      </c>
      <c r="AI75" s="28">
        <v>300</v>
      </c>
      <c r="AJ75" s="29" t="s">
        <v>34</v>
      </c>
      <c r="AK75" s="29"/>
      <c r="AL75" s="28" t="s">
        <v>52</v>
      </c>
      <c r="AM75" s="28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N75" s="28" t="str">
        <f>IF(ISBLANK(Table2[[#This Row],[index]]),  "", _xlfn.CONCAT(LOWER(Table2[[#This Row],[device_via_device]]), "/", Table2[[#This Row],[unique_id]]))</f>
        <v>weewx/roof_pressure</v>
      </c>
      <c r="AU75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V75" s="28">
        <v>1</v>
      </c>
      <c r="AW75" s="30"/>
      <c r="AY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BB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5" s="28" t="str">
        <f>IF(ISBLANK(Table2[[#This Row],[device_model]]), "", Table2[[#This Row],[device_suggested_area]])</f>
        <v>Roof</v>
      </c>
      <c r="BE75" s="28" t="s">
        <v>393</v>
      </c>
      <c r="BF75" s="28" t="s">
        <v>36</v>
      </c>
      <c r="BG75" s="28" t="s">
        <v>37</v>
      </c>
      <c r="BI75" s="28" t="s">
        <v>1010</v>
      </c>
      <c r="BJ75" s="28" t="s">
        <v>38</v>
      </c>
      <c r="BO75" s="28"/>
      <c r="BQ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9" ht="16" customHeight="1" x14ac:dyDescent="0.2">
      <c r="A76" s="28">
        <v>1300</v>
      </c>
      <c r="B76" s="28" t="s">
        <v>26</v>
      </c>
      <c r="C76" s="28" t="s">
        <v>39</v>
      </c>
      <c r="D76" s="28" t="s">
        <v>27</v>
      </c>
      <c r="E76" s="28" t="s">
        <v>98</v>
      </c>
      <c r="F76" s="34" t="str">
        <f>IF(ISBLANK(Table2[[#This Row],[unique_id]]), "", PROPER(SUBSTITUTE(Table2[[#This Row],[unique_id]], "_", " ")))</f>
        <v>Roof Wind Direction</v>
      </c>
      <c r="G76" s="28" t="s">
        <v>99</v>
      </c>
      <c r="H76" s="28" t="s">
        <v>100</v>
      </c>
      <c r="I76" s="28" t="s">
        <v>30</v>
      </c>
      <c r="O76" s="29"/>
      <c r="P76" s="28"/>
      <c r="T76" s="35"/>
      <c r="U76" s="35"/>
      <c r="V76" s="35"/>
      <c r="W76" s="28"/>
      <c r="Y76" s="29"/>
      <c r="Z76" s="29"/>
      <c r="AA76" s="29"/>
      <c r="AB76" s="29"/>
      <c r="AE76" s="28" t="s">
        <v>31</v>
      </c>
      <c r="AF76" s="28" t="s">
        <v>157</v>
      </c>
      <c r="AH76" s="28" t="s">
        <v>165</v>
      </c>
      <c r="AI76" s="28">
        <v>300</v>
      </c>
      <c r="AJ76" s="29" t="s">
        <v>34</v>
      </c>
      <c r="AK76" s="29"/>
      <c r="AL76" s="28" t="s">
        <v>101</v>
      </c>
      <c r="AM76" s="28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N76" s="28" t="str">
        <f>IF(ISBLANK(Table2[[#This Row],[index]]),  "", _xlfn.CONCAT(LOWER(Table2[[#This Row],[device_via_device]]), "/", Table2[[#This Row],[unique_id]]))</f>
        <v>weewx/roof_wind_direction</v>
      </c>
      <c r="AU76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V76" s="28">
        <v>1</v>
      </c>
      <c r="AW76" s="30"/>
      <c r="AY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BB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6" s="28" t="str">
        <f>IF(ISBLANK(Table2[[#This Row],[device_model]]), "", Table2[[#This Row],[device_suggested_area]])</f>
        <v>Roof</v>
      </c>
      <c r="BE76" s="28" t="s">
        <v>393</v>
      </c>
      <c r="BF76" s="28" t="s">
        <v>36</v>
      </c>
      <c r="BG76" s="28" t="s">
        <v>37</v>
      </c>
      <c r="BI76" s="28" t="s">
        <v>1010</v>
      </c>
      <c r="BJ76" s="28" t="s">
        <v>38</v>
      </c>
      <c r="BO76" s="28"/>
      <c r="BQ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9" ht="16" customHeight="1" x14ac:dyDescent="0.2">
      <c r="A77" s="28">
        <v>1301</v>
      </c>
      <c r="B77" s="28" t="s">
        <v>26</v>
      </c>
      <c r="C77" s="28" t="s">
        <v>39</v>
      </c>
      <c r="D77" s="28" t="s">
        <v>27</v>
      </c>
      <c r="E77" s="28" t="s">
        <v>102</v>
      </c>
      <c r="F77" s="34" t="str">
        <f>IF(ISBLANK(Table2[[#This Row],[unique_id]]), "", PROPER(SUBSTITUTE(Table2[[#This Row],[unique_id]], "_", " ")))</f>
        <v>Roof Wind Gust Direction</v>
      </c>
      <c r="G77" s="28" t="s">
        <v>103</v>
      </c>
      <c r="H77" s="28" t="s">
        <v>100</v>
      </c>
      <c r="I77" s="28" t="s">
        <v>30</v>
      </c>
      <c r="O77" s="29"/>
      <c r="P77" s="28"/>
      <c r="T77" s="35"/>
      <c r="U77" s="35"/>
      <c r="V77" s="35" t="s">
        <v>1524</v>
      </c>
      <c r="W77" s="28"/>
      <c r="Y77" s="29"/>
      <c r="Z77" s="29"/>
      <c r="AA77" s="29"/>
      <c r="AB77" s="29"/>
      <c r="AE77" s="28" t="s">
        <v>31</v>
      </c>
      <c r="AF77" s="28" t="s">
        <v>157</v>
      </c>
      <c r="AH77" s="28" t="s">
        <v>165</v>
      </c>
      <c r="AI77" s="28">
        <v>300</v>
      </c>
      <c r="AJ77" s="29" t="s">
        <v>34</v>
      </c>
      <c r="AK77" s="29"/>
      <c r="AL77" s="28" t="s">
        <v>104</v>
      </c>
      <c r="AM77" s="28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N77" s="28" t="str">
        <f>IF(ISBLANK(Table2[[#This Row],[index]]),  "", _xlfn.CONCAT(LOWER(Table2[[#This Row],[device_via_device]]), "/", Table2[[#This Row],[unique_id]]))</f>
        <v>weewx/roof_wind_gust_direction</v>
      </c>
      <c r="AU77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V77" s="28">
        <v>1</v>
      </c>
      <c r="AW77" s="30"/>
      <c r="AY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BB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7" s="28" t="str">
        <f>IF(ISBLANK(Table2[[#This Row],[device_model]]), "", Table2[[#This Row],[device_suggested_area]])</f>
        <v>Roof</v>
      </c>
      <c r="BE77" s="28" t="s">
        <v>393</v>
      </c>
      <c r="BF77" s="28" t="s">
        <v>36</v>
      </c>
      <c r="BG77" s="28" t="s">
        <v>37</v>
      </c>
      <c r="BI77" s="28" t="s">
        <v>1010</v>
      </c>
      <c r="BJ77" s="28" t="s">
        <v>38</v>
      </c>
      <c r="BO77" s="28"/>
      <c r="BQ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9" ht="16" customHeight="1" x14ac:dyDescent="0.2">
      <c r="A78" s="28">
        <v>1302</v>
      </c>
      <c r="B78" s="28" t="s">
        <v>26</v>
      </c>
      <c r="C78" s="28" t="s">
        <v>39</v>
      </c>
      <c r="D78" s="28" t="s">
        <v>27</v>
      </c>
      <c r="E78" s="28" t="s">
        <v>105</v>
      </c>
      <c r="F78" s="34" t="str">
        <f>IF(ISBLANK(Table2[[#This Row],[unique_id]]), "", PROPER(SUBSTITUTE(Table2[[#This Row],[unique_id]], "_", " ")))</f>
        <v>Roof Wind Gust Speed</v>
      </c>
      <c r="G78" s="28" t="s">
        <v>106</v>
      </c>
      <c r="H78" s="28" t="s">
        <v>100</v>
      </c>
      <c r="I78" s="28" t="s">
        <v>30</v>
      </c>
      <c r="O78" s="29"/>
      <c r="P78" s="28"/>
      <c r="T78" s="35"/>
      <c r="U78" s="35"/>
      <c r="V78" s="35" t="s">
        <v>1524</v>
      </c>
      <c r="W78" s="28" t="s">
        <v>1540</v>
      </c>
      <c r="X78" s="28" t="s">
        <v>1518</v>
      </c>
      <c r="Y78" s="29"/>
      <c r="Z78" s="29"/>
      <c r="AA78" s="29"/>
      <c r="AB78" s="29"/>
      <c r="AE78" s="28" t="s">
        <v>31</v>
      </c>
      <c r="AF78" s="28" t="s">
        <v>158</v>
      </c>
      <c r="AH78" s="28" t="s">
        <v>165</v>
      </c>
      <c r="AI78" s="28">
        <v>300</v>
      </c>
      <c r="AJ78" s="29" t="s">
        <v>34</v>
      </c>
      <c r="AK78" s="29"/>
      <c r="AL78" s="28" t="s">
        <v>107</v>
      </c>
      <c r="AM78" s="28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N78" s="28" t="str">
        <f>IF(ISBLANK(Table2[[#This Row],[index]]),  "", _xlfn.CONCAT(LOWER(Table2[[#This Row],[device_via_device]]), "/", Table2[[#This Row],[unique_id]]))</f>
        <v>weewx/roof_wind_gust_speed</v>
      </c>
      <c r="AU78" s="28" t="s">
        <v>1123</v>
      </c>
      <c r="AV78" s="28">
        <v>1</v>
      </c>
      <c r="AW78" s="30"/>
      <c r="AY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BB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8" s="28" t="str">
        <f>IF(ISBLANK(Table2[[#This Row],[device_model]]), "", Table2[[#This Row],[device_suggested_area]])</f>
        <v>Roof</v>
      </c>
      <c r="BE78" s="28" t="s">
        <v>393</v>
      </c>
      <c r="BF78" s="28" t="s">
        <v>36</v>
      </c>
      <c r="BG78" s="28" t="s">
        <v>37</v>
      </c>
      <c r="BI78" s="28" t="s">
        <v>1010</v>
      </c>
      <c r="BJ78" s="28" t="s">
        <v>38</v>
      </c>
      <c r="BO78" s="28"/>
      <c r="BQ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9" ht="16" customHeight="1" x14ac:dyDescent="0.2">
      <c r="A79" s="28">
        <v>1303</v>
      </c>
      <c r="B79" s="28" t="s">
        <v>26</v>
      </c>
      <c r="C79" s="28" t="s">
        <v>39</v>
      </c>
      <c r="D79" s="28" t="s">
        <v>27</v>
      </c>
      <c r="E79" s="28" t="s">
        <v>108</v>
      </c>
      <c r="F79" s="34" t="str">
        <f>IF(ISBLANK(Table2[[#This Row],[unique_id]]), "", PROPER(SUBSTITUTE(Table2[[#This Row],[unique_id]], "_", " ")))</f>
        <v>Roof Wind Speed 10Min</v>
      </c>
      <c r="G79" s="28" t="s">
        <v>109</v>
      </c>
      <c r="H79" s="28" t="s">
        <v>100</v>
      </c>
      <c r="I79" s="28" t="s">
        <v>30</v>
      </c>
      <c r="O79" s="29"/>
      <c r="P79" s="28"/>
      <c r="T79" s="35"/>
      <c r="U79" s="35"/>
      <c r="V79" s="35"/>
      <c r="W79" s="28"/>
      <c r="Y79" s="29"/>
      <c r="Z79" s="29"/>
      <c r="AA79" s="29"/>
      <c r="AB79" s="29"/>
      <c r="AE79" s="28" t="s">
        <v>31</v>
      </c>
      <c r="AF79" s="28" t="s">
        <v>158</v>
      </c>
      <c r="AH79" s="28" t="s">
        <v>165</v>
      </c>
      <c r="AI79" s="28">
        <v>300</v>
      </c>
      <c r="AJ79" s="29" t="s">
        <v>34</v>
      </c>
      <c r="AK79" s="29"/>
      <c r="AL79" s="28" t="s">
        <v>110</v>
      </c>
      <c r="AM79" s="28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N79" s="28" t="str">
        <f>IF(ISBLANK(Table2[[#This Row],[index]]),  "", _xlfn.CONCAT(LOWER(Table2[[#This Row],[device_via_device]]), "/", Table2[[#This Row],[unique_id]]))</f>
        <v>weewx/roof_wind_speed_10min</v>
      </c>
      <c r="AU79" s="28" t="s">
        <v>1123</v>
      </c>
      <c r="AV79" s="28">
        <v>1</v>
      </c>
      <c r="AW79" s="30"/>
      <c r="AY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BB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9" s="28" t="str">
        <f>IF(ISBLANK(Table2[[#This Row],[device_model]]), "", Table2[[#This Row],[device_suggested_area]])</f>
        <v>Roof</v>
      </c>
      <c r="BE79" s="28" t="s">
        <v>393</v>
      </c>
      <c r="BF79" s="28" t="s">
        <v>36</v>
      </c>
      <c r="BG79" s="28" t="s">
        <v>37</v>
      </c>
      <c r="BI79" s="28" t="s">
        <v>1010</v>
      </c>
      <c r="BJ79" s="28" t="s">
        <v>38</v>
      </c>
      <c r="BO79" s="28"/>
      <c r="BQ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9" ht="16" customHeight="1" x14ac:dyDescent="0.2">
      <c r="A80" s="28">
        <v>1304</v>
      </c>
      <c r="B80" s="28" t="s">
        <v>26</v>
      </c>
      <c r="C80" s="28" t="s">
        <v>39</v>
      </c>
      <c r="D80" s="28" t="s">
        <v>27</v>
      </c>
      <c r="E80" s="28" t="s">
        <v>111</v>
      </c>
      <c r="F80" s="34" t="str">
        <f>IF(ISBLANK(Table2[[#This Row],[unique_id]]), "", PROPER(SUBSTITUTE(Table2[[#This Row],[unique_id]], "_", " ")))</f>
        <v>Roof Wind Samples</v>
      </c>
      <c r="G80" s="28" t="s">
        <v>112</v>
      </c>
      <c r="H80" s="28" t="s">
        <v>100</v>
      </c>
      <c r="I80" s="28" t="s">
        <v>30</v>
      </c>
      <c r="O80" s="29"/>
      <c r="P80" s="28"/>
      <c r="T80" s="35"/>
      <c r="U80" s="35"/>
      <c r="V80" s="35"/>
      <c r="W80" s="28"/>
      <c r="Y80" s="29"/>
      <c r="Z80" s="29"/>
      <c r="AA80" s="29"/>
      <c r="AB80" s="29"/>
      <c r="AE80" s="28" t="s">
        <v>31</v>
      </c>
      <c r="AH80" s="28" t="s">
        <v>165</v>
      </c>
      <c r="AI80" s="28">
        <v>300</v>
      </c>
      <c r="AJ80" s="29" t="s">
        <v>34</v>
      </c>
      <c r="AK80" s="29"/>
      <c r="AL80" s="28" t="s">
        <v>113</v>
      </c>
      <c r="AM80" s="28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N80" s="28" t="str">
        <f>IF(ISBLANK(Table2[[#This Row],[index]]),  "", _xlfn.CONCAT(LOWER(Table2[[#This Row],[device_via_device]]), "/", Table2[[#This Row],[unique_id]]))</f>
        <v>weewx/roof_wind_samples</v>
      </c>
      <c r="AU80" s="28" t="s">
        <v>1124</v>
      </c>
      <c r="AV80" s="28">
        <v>1</v>
      </c>
      <c r="AW80" s="30"/>
      <c r="AY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BB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0" s="28" t="str">
        <f>IF(ISBLANK(Table2[[#This Row],[device_model]]), "", Table2[[#This Row],[device_suggested_area]])</f>
        <v>Roof</v>
      </c>
      <c r="BE80" s="28" t="s">
        <v>393</v>
      </c>
      <c r="BF80" s="28" t="s">
        <v>36</v>
      </c>
      <c r="BG80" s="28" t="s">
        <v>37</v>
      </c>
      <c r="BI80" s="28" t="s">
        <v>1010</v>
      </c>
      <c r="BJ80" s="28" t="s">
        <v>38</v>
      </c>
      <c r="BO80" s="28"/>
      <c r="BQ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9" ht="16" customHeight="1" x14ac:dyDescent="0.2">
      <c r="A81" s="28">
        <v>1305</v>
      </c>
      <c r="B81" s="28" t="s">
        <v>26</v>
      </c>
      <c r="C81" s="28" t="s">
        <v>39</v>
      </c>
      <c r="D81" s="28" t="s">
        <v>27</v>
      </c>
      <c r="E81" s="28" t="s">
        <v>114</v>
      </c>
      <c r="F81" s="34" t="str">
        <f>IF(ISBLANK(Table2[[#This Row],[unique_id]]), "", PROPER(SUBSTITUTE(Table2[[#This Row],[unique_id]], "_", " ")))</f>
        <v>Roof Wind Run</v>
      </c>
      <c r="G81" s="28" t="s">
        <v>115</v>
      </c>
      <c r="H81" s="28" t="s">
        <v>100</v>
      </c>
      <c r="I81" s="28" t="s">
        <v>30</v>
      </c>
      <c r="O81" s="29"/>
      <c r="P81" s="28"/>
      <c r="T81" s="35"/>
      <c r="U81" s="35"/>
      <c r="V81" s="35"/>
      <c r="W81" s="28"/>
      <c r="Y81" s="29"/>
      <c r="Z81" s="29"/>
      <c r="AA81" s="29"/>
      <c r="AB81" s="29"/>
      <c r="AE81" s="28" t="s">
        <v>31</v>
      </c>
      <c r="AF81" s="28" t="s">
        <v>116</v>
      </c>
      <c r="AH81" s="28" t="s">
        <v>165</v>
      </c>
      <c r="AI81" s="28">
        <v>300</v>
      </c>
      <c r="AJ81" s="29" t="s">
        <v>34</v>
      </c>
      <c r="AK81" s="29"/>
      <c r="AL81" s="28" t="s">
        <v>117</v>
      </c>
      <c r="AM81" s="28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N81" s="28" t="str">
        <f>IF(ISBLANK(Table2[[#This Row],[index]]),  "", _xlfn.CONCAT(LOWER(Table2[[#This Row],[device_via_device]]), "/", Table2[[#This Row],[unique_id]]))</f>
        <v>weewx/roof_wind_run</v>
      </c>
      <c r="AU81" s="28" t="s">
        <v>1123</v>
      </c>
      <c r="AV81" s="28">
        <v>1</v>
      </c>
      <c r="AW81" s="30"/>
      <c r="AY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BB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1" s="28" t="str">
        <f>IF(ISBLANK(Table2[[#This Row],[device_model]]), "", Table2[[#This Row],[device_suggested_area]])</f>
        <v>Roof</v>
      </c>
      <c r="BE81" s="28" t="s">
        <v>393</v>
      </c>
      <c r="BF81" s="28" t="s">
        <v>36</v>
      </c>
      <c r="BG81" s="28" t="s">
        <v>37</v>
      </c>
      <c r="BI81" s="28" t="s">
        <v>1010</v>
      </c>
      <c r="BJ81" s="28" t="s">
        <v>38</v>
      </c>
      <c r="BO81" s="28"/>
      <c r="BQ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9" ht="16" customHeight="1" x14ac:dyDescent="0.2">
      <c r="A82" s="28">
        <v>1306</v>
      </c>
      <c r="B82" s="28" t="s">
        <v>26</v>
      </c>
      <c r="C82" s="28" t="s">
        <v>39</v>
      </c>
      <c r="D82" s="28" t="s">
        <v>27</v>
      </c>
      <c r="E82" s="28" t="s">
        <v>95</v>
      </c>
      <c r="F82" s="34" t="str">
        <f>IF(ISBLANK(Table2[[#This Row],[unique_id]]), "", PROPER(SUBSTITUTE(Table2[[#This Row],[unique_id]], "_", " ")))</f>
        <v>Roof Wind Speed</v>
      </c>
      <c r="G82" s="28" t="s">
        <v>96</v>
      </c>
      <c r="H82" s="28" t="s">
        <v>100</v>
      </c>
      <c r="I82" s="28" t="s">
        <v>30</v>
      </c>
      <c r="O82" s="29"/>
      <c r="P82" s="28"/>
      <c r="T82" s="35"/>
      <c r="U82" s="35"/>
      <c r="V82" s="35"/>
      <c r="W82" s="28"/>
      <c r="Y82" s="29"/>
      <c r="Z82" s="29"/>
      <c r="AA82" s="29"/>
      <c r="AB82" s="29"/>
      <c r="AE82" s="28" t="s">
        <v>31</v>
      </c>
      <c r="AF82" s="37" t="s">
        <v>158</v>
      </c>
      <c r="AH82" s="28" t="s">
        <v>165</v>
      </c>
      <c r="AI82" s="28">
        <v>300</v>
      </c>
      <c r="AJ82" s="29" t="s">
        <v>34</v>
      </c>
      <c r="AK82" s="29"/>
      <c r="AL82" s="28" t="s">
        <v>97</v>
      </c>
      <c r="AM82" s="28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N82" s="28" t="str">
        <f>IF(ISBLANK(Table2[[#This Row],[index]]),  "", _xlfn.CONCAT(LOWER(Table2[[#This Row],[device_via_device]]), "/", Table2[[#This Row],[unique_id]]))</f>
        <v>weewx/roof_wind_speed</v>
      </c>
      <c r="AU82" s="28" t="s">
        <v>1123</v>
      </c>
      <c r="AV82" s="28">
        <v>1</v>
      </c>
      <c r="AW82" s="30"/>
      <c r="AY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BB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2" s="28" t="str">
        <f>IF(ISBLANK(Table2[[#This Row],[device_model]]), "", Table2[[#This Row],[device_suggested_area]])</f>
        <v>Roof</v>
      </c>
      <c r="BE82" s="28" t="s">
        <v>393</v>
      </c>
      <c r="BF82" s="28" t="s">
        <v>36</v>
      </c>
      <c r="BG82" s="28" t="s">
        <v>37</v>
      </c>
      <c r="BI82" s="28" t="s">
        <v>1010</v>
      </c>
      <c r="BJ82" s="28" t="s">
        <v>38</v>
      </c>
      <c r="BO82" s="28"/>
      <c r="BQ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9" ht="16" customHeight="1" x14ac:dyDescent="0.2">
      <c r="A83" s="28">
        <v>1350</v>
      </c>
      <c r="B83" s="28" t="s">
        <v>26</v>
      </c>
      <c r="C83" s="28" t="s">
        <v>39</v>
      </c>
      <c r="D83" s="28" t="s">
        <v>27</v>
      </c>
      <c r="E83" s="28" t="s">
        <v>67</v>
      </c>
      <c r="F83" s="34" t="str">
        <f>IF(ISBLANK(Table2[[#This Row],[unique_id]]), "", PROPER(SUBSTITUTE(Table2[[#This Row],[unique_id]], "_", " ")))</f>
        <v>Roof Rain Rate</v>
      </c>
      <c r="G83" s="28" t="s">
        <v>1549</v>
      </c>
      <c r="H83" s="28" t="s">
        <v>58</v>
      </c>
      <c r="I83" s="28" t="s">
        <v>58</v>
      </c>
      <c r="M83" s="28" t="s">
        <v>81</v>
      </c>
      <c r="O83" s="29"/>
      <c r="P83" s="28"/>
      <c r="T83" s="35"/>
      <c r="U83" s="35"/>
      <c r="V83" s="35"/>
      <c r="W83" s="28"/>
      <c r="Y83" s="29"/>
      <c r="Z83" s="29"/>
      <c r="AA83" s="29"/>
      <c r="AB83" s="29"/>
      <c r="AE83" s="28" t="s">
        <v>31</v>
      </c>
      <c r="AF83" s="28" t="s">
        <v>205</v>
      </c>
      <c r="AH83" s="28" t="s">
        <v>164</v>
      </c>
      <c r="AI83" s="28">
        <v>300</v>
      </c>
      <c r="AJ83" s="29" t="s">
        <v>34</v>
      </c>
      <c r="AK83" s="29"/>
      <c r="AL83" s="28" t="s">
        <v>68</v>
      </c>
      <c r="AM83" s="28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N83" s="28" t="str">
        <f>IF(ISBLANK(Table2[[#This Row],[index]]),  "", _xlfn.CONCAT(LOWER(Table2[[#This Row],[device_via_device]]), "/", Table2[[#This Row],[unique_id]]))</f>
        <v>weewx/roof_rain_rate</v>
      </c>
      <c r="AU83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V83" s="28">
        <v>1</v>
      </c>
      <c r="AW83" s="30"/>
      <c r="AY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BB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3" s="28" t="str">
        <f>IF(ISBLANK(Table2[[#This Row],[device_model]]), "", Table2[[#This Row],[device_suggested_area]])</f>
        <v>Roof</v>
      </c>
      <c r="BE83" s="28" t="s">
        <v>393</v>
      </c>
      <c r="BF83" s="28" t="s">
        <v>36</v>
      </c>
      <c r="BG83" s="28" t="s">
        <v>37</v>
      </c>
      <c r="BI83" s="28" t="s">
        <v>1010</v>
      </c>
      <c r="BJ83" s="28" t="s">
        <v>38</v>
      </c>
      <c r="BO83" s="28"/>
      <c r="BQ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9" ht="16" customHeight="1" x14ac:dyDescent="0.2">
      <c r="A84" s="28">
        <v>1351</v>
      </c>
      <c r="B84" s="28" t="s">
        <v>26</v>
      </c>
      <c r="C84" s="28" t="s">
        <v>39</v>
      </c>
      <c r="D84" s="28" t="s">
        <v>27</v>
      </c>
      <c r="E84" s="28" t="s">
        <v>62</v>
      </c>
      <c r="F84" s="34" t="str">
        <f>IF(ISBLANK(Table2[[#This Row],[unique_id]]), "", PROPER(SUBSTITUTE(Table2[[#This Row],[unique_id]], "_", " ")))</f>
        <v>Roof Hourly Rain</v>
      </c>
      <c r="G84" s="28" t="s">
        <v>1550</v>
      </c>
      <c r="H84" s="28" t="s">
        <v>58</v>
      </c>
      <c r="I84" s="28" t="s">
        <v>58</v>
      </c>
      <c r="M84" s="28" t="s">
        <v>127</v>
      </c>
      <c r="O84" s="29"/>
      <c r="P84" s="28"/>
      <c r="T84" s="35"/>
      <c r="U84" s="35"/>
      <c r="V84" s="35" t="s">
        <v>1524</v>
      </c>
      <c r="W84" s="28" t="s">
        <v>1540</v>
      </c>
      <c r="Y84" s="29"/>
      <c r="Z84" s="29"/>
      <c r="AA84" s="29"/>
      <c r="AB84" s="29"/>
      <c r="AE84" s="28" t="s">
        <v>59</v>
      </c>
      <c r="AF84" s="28" t="s">
        <v>224</v>
      </c>
      <c r="AH84" s="28" t="s">
        <v>164</v>
      </c>
      <c r="AI84" s="28">
        <v>300</v>
      </c>
      <c r="AJ84" s="29" t="s">
        <v>34</v>
      </c>
      <c r="AK84" s="29"/>
      <c r="AL84" s="28" t="s">
        <v>63</v>
      </c>
      <c r="AM84" s="28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N84" s="28" t="str">
        <f>IF(ISBLANK(Table2[[#This Row],[index]]),  "", _xlfn.CONCAT(LOWER(Table2[[#This Row],[device_via_device]]), "/", Table2[[#This Row],[unique_id]]))</f>
        <v>weewx/roof_hourly_rain</v>
      </c>
      <c r="AU84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V84" s="28">
        <v>1</v>
      </c>
      <c r="AW84" s="30"/>
      <c r="AY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BB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4" s="28" t="str">
        <f>IF(ISBLANK(Table2[[#This Row],[device_model]]), "", Table2[[#This Row],[device_suggested_area]])</f>
        <v>Roof</v>
      </c>
      <c r="BE84" s="28" t="s">
        <v>393</v>
      </c>
      <c r="BF84" s="28" t="s">
        <v>36</v>
      </c>
      <c r="BG84" s="28" t="s">
        <v>37</v>
      </c>
      <c r="BI84" s="28" t="s">
        <v>1010</v>
      </c>
      <c r="BJ84" s="28" t="s">
        <v>38</v>
      </c>
      <c r="BO84" s="28"/>
      <c r="BQ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9" ht="16" customHeight="1" x14ac:dyDescent="0.2">
      <c r="A85" s="28">
        <v>1352</v>
      </c>
      <c r="B85" s="28" t="s">
        <v>26</v>
      </c>
      <c r="C85" s="28" t="s">
        <v>409</v>
      </c>
      <c r="D85" s="28" t="s">
        <v>304</v>
      </c>
      <c r="E85" s="28" t="s">
        <v>407</v>
      </c>
      <c r="F85" s="34" t="str">
        <f>IF(ISBLANK(Table2[[#This Row],[unique_id]]), "", PROPER(SUBSTITUTE(Table2[[#This Row],[unique_id]], "_", " ")))</f>
        <v>Graph Break</v>
      </c>
      <c r="G85" s="28" t="s">
        <v>408</v>
      </c>
      <c r="H85" s="28" t="s">
        <v>58</v>
      </c>
      <c r="I85" s="28" t="s">
        <v>58</v>
      </c>
      <c r="O85" s="29"/>
      <c r="P85" s="28"/>
      <c r="T85" s="35"/>
      <c r="U85" s="35"/>
      <c r="V85" s="35"/>
      <c r="W85" s="28"/>
      <c r="Y85" s="29"/>
      <c r="Z85" s="29"/>
      <c r="AA85" s="29"/>
      <c r="AB85" s="29"/>
      <c r="AJ85" s="29"/>
      <c r="AK85" s="29"/>
      <c r="AV85" s="28"/>
      <c r="AW85" s="30"/>
      <c r="AX85" s="29"/>
      <c r="AY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5" s="28" t="str">
        <f>IF(ISBLANK(Table2[[#This Row],[device_model]]), "", Table2[[#This Row],[device_suggested_area]])</f>
        <v/>
      </c>
      <c r="BI85" s="29"/>
      <c r="BO85" s="28"/>
      <c r="BQ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9" ht="16" customHeight="1" x14ac:dyDescent="0.2">
      <c r="A86" s="28">
        <v>1353</v>
      </c>
      <c r="B86" s="28" t="s">
        <v>26</v>
      </c>
      <c r="C86" s="28" t="s">
        <v>39</v>
      </c>
      <c r="D86" s="28" t="s">
        <v>27</v>
      </c>
      <c r="E86" s="28" t="s">
        <v>57</v>
      </c>
      <c r="F86" s="34" t="str">
        <f>IF(ISBLANK(Table2[[#This Row],[unique_id]]), "", PROPER(SUBSTITUTE(Table2[[#This Row],[unique_id]], "_", " ")))</f>
        <v>Roof Daily Rain</v>
      </c>
      <c r="G86" s="28" t="s">
        <v>1548</v>
      </c>
      <c r="H86" s="28" t="s">
        <v>58</v>
      </c>
      <c r="I86" s="28" t="s">
        <v>58</v>
      </c>
      <c r="M86" s="28" t="s">
        <v>127</v>
      </c>
      <c r="O86" s="29"/>
      <c r="P86" s="28"/>
      <c r="T86" s="35"/>
      <c r="U86" s="35"/>
      <c r="V86" s="35" t="s">
        <v>1524</v>
      </c>
      <c r="W86" s="28" t="s">
        <v>1528</v>
      </c>
      <c r="X86" s="28" t="s">
        <v>1518</v>
      </c>
      <c r="Y86" s="29"/>
      <c r="Z86" s="29"/>
      <c r="AA86" s="29"/>
      <c r="AB86" s="29"/>
      <c r="AE86" s="28" t="s">
        <v>59</v>
      </c>
      <c r="AF86" s="28" t="s">
        <v>224</v>
      </c>
      <c r="AH86" s="28" t="s">
        <v>164</v>
      </c>
      <c r="AI86" s="28">
        <v>300</v>
      </c>
      <c r="AJ86" s="29" t="s">
        <v>34</v>
      </c>
      <c r="AK86" s="29"/>
      <c r="AL86" s="28" t="s">
        <v>61</v>
      </c>
      <c r="AM86" s="28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N86" s="28" t="str">
        <f>IF(ISBLANK(Table2[[#This Row],[index]]),  "", _xlfn.CONCAT(LOWER(Table2[[#This Row],[device_via_device]]), "/", Table2[[#This Row],[unique_id]]))</f>
        <v>weewx/roof_daily_rain</v>
      </c>
      <c r="AU86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V86" s="28">
        <v>1</v>
      </c>
      <c r="AW86" s="30"/>
      <c r="AY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BB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6" s="28" t="str">
        <f>IF(ISBLANK(Table2[[#This Row],[device_model]]), "", Table2[[#This Row],[device_suggested_area]])</f>
        <v>Roof</v>
      </c>
      <c r="BE86" s="28" t="s">
        <v>393</v>
      </c>
      <c r="BF86" s="28" t="s">
        <v>36</v>
      </c>
      <c r="BG86" s="28" t="s">
        <v>37</v>
      </c>
      <c r="BI86" s="28" t="s">
        <v>1010</v>
      </c>
      <c r="BJ86" s="28" t="s">
        <v>38</v>
      </c>
      <c r="BO86" s="28"/>
      <c r="BQ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9" ht="16" customHeight="1" x14ac:dyDescent="0.2">
      <c r="A87" s="28">
        <v>1354</v>
      </c>
      <c r="B87" s="28" t="s">
        <v>26</v>
      </c>
      <c r="C87" s="28" t="s">
        <v>39</v>
      </c>
      <c r="D87" s="28" t="s">
        <v>27</v>
      </c>
      <c r="E87" s="28" t="s">
        <v>161</v>
      </c>
      <c r="F87" s="34" t="str">
        <f>IF(ISBLANK(Table2[[#This Row],[unique_id]]), "", PROPER(SUBSTITUTE(Table2[[#This Row],[unique_id]], "_", " ")))</f>
        <v>Roof 24Hour Rain</v>
      </c>
      <c r="G87" s="28" t="s">
        <v>1543</v>
      </c>
      <c r="H87" s="28" t="s">
        <v>58</v>
      </c>
      <c r="I87" s="28" t="s">
        <v>58</v>
      </c>
      <c r="O87" s="29"/>
      <c r="P87" s="28"/>
      <c r="T87" s="35"/>
      <c r="U87" s="35"/>
      <c r="V87" s="35"/>
      <c r="W87" s="28"/>
      <c r="Y87" s="29"/>
      <c r="Z87" s="29"/>
      <c r="AA87" s="29"/>
      <c r="AB87" s="29"/>
      <c r="AE87" s="28" t="s">
        <v>59</v>
      </c>
      <c r="AF87" s="28" t="s">
        <v>224</v>
      </c>
      <c r="AH87" s="28" t="s">
        <v>164</v>
      </c>
      <c r="AI87" s="28">
        <v>300</v>
      </c>
      <c r="AJ87" s="29" t="s">
        <v>34</v>
      </c>
      <c r="AK87" s="29"/>
      <c r="AL87" s="28" t="s">
        <v>66</v>
      </c>
      <c r="AM87" s="28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N87" s="28" t="str">
        <f>IF(ISBLANK(Table2[[#This Row],[index]]),  "", _xlfn.CONCAT(LOWER(Table2[[#This Row],[device_via_device]]), "/", Table2[[#This Row],[unique_id]]))</f>
        <v>weewx/roof_24hour_rain</v>
      </c>
      <c r="AU87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V87" s="28">
        <v>1</v>
      </c>
      <c r="AW87" s="30"/>
      <c r="AY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BB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7" s="28" t="str">
        <f>IF(ISBLANK(Table2[[#This Row],[device_model]]), "", Table2[[#This Row],[device_suggested_area]])</f>
        <v>Roof</v>
      </c>
      <c r="BE87" s="28" t="s">
        <v>393</v>
      </c>
      <c r="BF87" s="28" t="s">
        <v>36</v>
      </c>
      <c r="BG87" s="28" t="s">
        <v>37</v>
      </c>
      <c r="BI87" s="28" t="s">
        <v>1010</v>
      </c>
      <c r="BJ87" s="28" t="s">
        <v>38</v>
      </c>
      <c r="BO87" s="28"/>
      <c r="BQ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9" ht="16" customHeight="1" x14ac:dyDescent="0.2">
      <c r="A88" s="28">
        <v>1355</v>
      </c>
      <c r="B88" s="28" t="s">
        <v>206</v>
      </c>
      <c r="C88" s="28" t="s">
        <v>141</v>
      </c>
      <c r="D88" s="28" t="s">
        <v>27</v>
      </c>
      <c r="E88" s="28" t="s">
        <v>225</v>
      </c>
      <c r="F88" s="34" t="str">
        <f>IF(ISBLANK(Table2[[#This Row],[unique_id]]), "", PROPER(SUBSTITUTE(Table2[[#This Row],[unique_id]], "_", " ")))</f>
        <v>Roof Weekly Rain</v>
      </c>
      <c r="G88" s="28" t="s">
        <v>1544</v>
      </c>
      <c r="H88" s="28" t="s">
        <v>58</v>
      </c>
      <c r="I88" s="28" t="s">
        <v>58</v>
      </c>
      <c r="O88" s="29"/>
      <c r="P88" s="28"/>
      <c r="T88" s="35"/>
      <c r="U88" s="35"/>
      <c r="V88" s="35" t="s">
        <v>1524</v>
      </c>
      <c r="W88" s="28" t="s">
        <v>1527</v>
      </c>
      <c r="Y88" s="29"/>
      <c r="Z88" s="29"/>
      <c r="AA88" s="29"/>
      <c r="AB88" s="29"/>
      <c r="AJ88" s="29"/>
      <c r="AK88" s="29"/>
      <c r="AV88" s="28"/>
      <c r="AW88" s="30"/>
      <c r="AX88" s="29"/>
      <c r="AY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8" s="28" t="str">
        <f>IF(ISBLANK(Table2[[#This Row],[device_model]]), "", Table2[[#This Row],[device_suggested_area]])</f>
        <v/>
      </c>
      <c r="BI88" s="29"/>
      <c r="BO88" s="28"/>
      <c r="BQ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9" ht="16" customHeight="1" x14ac:dyDescent="0.2">
      <c r="A89" s="28">
        <v>1356</v>
      </c>
      <c r="B89" s="28" t="s">
        <v>26</v>
      </c>
      <c r="C89" s="28" t="s">
        <v>39</v>
      </c>
      <c r="D89" s="28" t="s">
        <v>27</v>
      </c>
      <c r="E89" s="28" t="s">
        <v>64</v>
      </c>
      <c r="F89" s="34" t="str">
        <f>IF(ISBLANK(Table2[[#This Row],[unique_id]]), "", PROPER(SUBSTITUTE(Table2[[#This Row],[unique_id]], "_", " ")))</f>
        <v>Roof Monthly Rain</v>
      </c>
      <c r="G89" s="28" t="s">
        <v>1545</v>
      </c>
      <c r="H89" s="28" t="s">
        <v>58</v>
      </c>
      <c r="I89" s="28" t="s">
        <v>58</v>
      </c>
      <c r="M89" s="28" t="s">
        <v>127</v>
      </c>
      <c r="O89" s="29"/>
      <c r="P89" s="28"/>
      <c r="T89" s="35"/>
      <c r="U89" s="35"/>
      <c r="V89" s="35" t="s">
        <v>1524</v>
      </c>
      <c r="W89" s="28" t="s">
        <v>1528</v>
      </c>
      <c r="Y89" s="29"/>
      <c r="Z89" s="29"/>
      <c r="AA89" s="29"/>
      <c r="AB89" s="29"/>
      <c r="AE89" s="28" t="s">
        <v>59</v>
      </c>
      <c r="AF89" s="28" t="s">
        <v>60</v>
      </c>
      <c r="AH89" s="28" t="s">
        <v>164</v>
      </c>
      <c r="AI89" s="28">
        <v>300</v>
      </c>
      <c r="AJ89" s="29" t="s">
        <v>34</v>
      </c>
      <c r="AK89" s="29"/>
      <c r="AL89" s="28" t="s">
        <v>65</v>
      </c>
      <c r="AM89" s="28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N89" s="28" t="str">
        <f>IF(ISBLANK(Table2[[#This Row],[index]]),  "", _xlfn.CONCAT(LOWER(Table2[[#This Row],[device_via_device]]), "/", Table2[[#This Row],[unique_id]]))</f>
        <v>weewx/roof_monthly_rain</v>
      </c>
      <c r="AU89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V89" s="28">
        <v>1</v>
      </c>
      <c r="AW89" s="30"/>
      <c r="AY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BB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9" s="28" t="str">
        <f>IF(ISBLANK(Table2[[#This Row],[device_model]]), "", Table2[[#This Row],[device_suggested_area]])</f>
        <v>Roof</v>
      </c>
      <c r="BE89" s="28" t="s">
        <v>393</v>
      </c>
      <c r="BF89" s="28" t="s">
        <v>36</v>
      </c>
      <c r="BG89" s="28" t="s">
        <v>37</v>
      </c>
      <c r="BI89" s="28" t="s">
        <v>1010</v>
      </c>
      <c r="BJ89" s="28" t="s">
        <v>38</v>
      </c>
      <c r="BO89" s="28"/>
      <c r="BQ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9" ht="16" customHeight="1" x14ac:dyDescent="0.2">
      <c r="A90" s="28">
        <v>1358</v>
      </c>
      <c r="B90" s="28" t="s">
        <v>26</v>
      </c>
      <c r="C90" s="28" t="s">
        <v>39</v>
      </c>
      <c r="D90" s="28" t="s">
        <v>27</v>
      </c>
      <c r="E90" s="28" t="s">
        <v>74</v>
      </c>
      <c r="F90" s="34" t="str">
        <f>IF(ISBLANK(Table2[[#This Row],[unique_id]]), "", PROPER(SUBSTITUTE(Table2[[#This Row],[unique_id]], "_", " ")))</f>
        <v>Roof Yearly Rain</v>
      </c>
      <c r="G90" s="28" t="s">
        <v>1542</v>
      </c>
      <c r="H90" s="28" t="s">
        <v>58</v>
      </c>
      <c r="I90" s="28" t="s">
        <v>58</v>
      </c>
      <c r="M90" s="28" t="s">
        <v>127</v>
      </c>
      <c r="O90" s="29"/>
      <c r="P90" s="28"/>
      <c r="T90" s="35"/>
      <c r="U90" s="35"/>
      <c r="V90" s="35" t="s">
        <v>1524</v>
      </c>
      <c r="W90" s="28" t="s">
        <v>1528</v>
      </c>
      <c r="X90" s="28" t="s">
        <v>1541</v>
      </c>
      <c r="Y90" s="29"/>
      <c r="Z90" s="29"/>
      <c r="AA90" s="29"/>
      <c r="AB90" s="29"/>
      <c r="AE90" s="28" t="s">
        <v>59</v>
      </c>
      <c r="AF90" s="28" t="s">
        <v>60</v>
      </c>
      <c r="AH90" s="28" t="s">
        <v>164</v>
      </c>
      <c r="AI90" s="28">
        <v>300</v>
      </c>
      <c r="AJ90" s="29" t="s">
        <v>34</v>
      </c>
      <c r="AK90" s="29"/>
      <c r="AL90" s="28" t="s">
        <v>178</v>
      </c>
      <c r="AM90" s="28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N90" s="28" t="str">
        <f>IF(ISBLANK(Table2[[#This Row],[index]]),  "", _xlfn.CONCAT(LOWER(Table2[[#This Row],[device_via_device]]), "/", Table2[[#This Row],[unique_id]]))</f>
        <v>weewx/roof_yearly_rain</v>
      </c>
      <c r="AU90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V90" s="28">
        <v>1</v>
      </c>
      <c r="AW90" s="30"/>
      <c r="AY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BB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0" s="28" t="str">
        <f>IF(ISBLANK(Table2[[#This Row],[device_model]]), "", Table2[[#This Row],[device_suggested_area]])</f>
        <v>Roof</v>
      </c>
      <c r="BE90" s="28" t="s">
        <v>393</v>
      </c>
      <c r="BF90" s="28" t="s">
        <v>36</v>
      </c>
      <c r="BG90" s="28" t="s">
        <v>37</v>
      </c>
      <c r="BI90" s="28" t="s">
        <v>1010</v>
      </c>
      <c r="BJ90" s="28" t="s">
        <v>38</v>
      </c>
      <c r="BO90" s="28"/>
      <c r="BQ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9" ht="16" customHeight="1" x14ac:dyDescent="0.2">
      <c r="A91" s="28">
        <v>1359</v>
      </c>
      <c r="B91" s="28" t="s">
        <v>26</v>
      </c>
      <c r="C91" s="28" t="s">
        <v>39</v>
      </c>
      <c r="D91" s="28" t="s">
        <v>27</v>
      </c>
      <c r="E91" s="28" t="s">
        <v>69</v>
      </c>
      <c r="F91" s="34" t="str">
        <f>IF(ISBLANK(Table2[[#This Row],[unique_id]]), "", PROPER(SUBSTITUTE(Table2[[#This Row],[unique_id]], "_", " ")))</f>
        <v>Roof Rain</v>
      </c>
      <c r="G91" s="28" t="s">
        <v>1546</v>
      </c>
      <c r="H91" s="28" t="s">
        <v>58</v>
      </c>
      <c r="I91" s="28" t="s">
        <v>58</v>
      </c>
      <c r="O91" s="29"/>
      <c r="P91" s="28"/>
      <c r="T91" s="35"/>
      <c r="U91" s="35"/>
      <c r="V91" s="35"/>
      <c r="W91" s="28"/>
      <c r="Y91" s="29"/>
      <c r="Z91" s="29"/>
      <c r="AA91" s="29"/>
      <c r="AB91" s="29"/>
      <c r="AE91" s="28" t="s">
        <v>70</v>
      </c>
      <c r="AF91" s="28" t="s">
        <v>60</v>
      </c>
      <c r="AH91" s="28" t="s">
        <v>164</v>
      </c>
      <c r="AI91" s="28">
        <v>300</v>
      </c>
      <c r="AJ91" s="29" t="s">
        <v>34</v>
      </c>
      <c r="AK91" s="29"/>
      <c r="AL91" s="28" t="s">
        <v>71</v>
      </c>
      <c r="AM91" s="28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N91" s="28" t="str">
        <f>IF(ISBLANK(Table2[[#This Row],[index]]),  "", _xlfn.CONCAT(LOWER(Table2[[#This Row],[device_via_device]]), "/", Table2[[#This Row],[unique_id]]))</f>
        <v>weewx/roof_rain</v>
      </c>
      <c r="AU91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V91" s="28">
        <v>1</v>
      </c>
      <c r="AW91" s="30"/>
      <c r="AY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BB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1" s="28" t="str">
        <f>IF(ISBLANK(Table2[[#This Row],[device_model]]), "", Table2[[#This Row],[device_suggested_area]])</f>
        <v>Roof</v>
      </c>
      <c r="BE91" s="28" t="s">
        <v>393</v>
      </c>
      <c r="BF91" s="28" t="s">
        <v>36</v>
      </c>
      <c r="BG91" s="28" t="s">
        <v>37</v>
      </c>
      <c r="BI91" s="28" t="s">
        <v>1010</v>
      </c>
      <c r="BJ91" s="28" t="s">
        <v>38</v>
      </c>
      <c r="BO91" s="28"/>
      <c r="BQ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9" ht="16" customHeight="1" x14ac:dyDescent="0.2">
      <c r="A92" s="28">
        <v>1360</v>
      </c>
      <c r="B92" s="28" t="s">
        <v>26</v>
      </c>
      <c r="C92" s="28" t="s">
        <v>39</v>
      </c>
      <c r="D92" s="28" t="s">
        <v>27</v>
      </c>
      <c r="E92" s="28" t="s">
        <v>72</v>
      </c>
      <c r="F92" s="34" t="str">
        <f>IF(ISBLANK(Table2[[#This Row],[unique_id]]), "", PROPER(SUBSTITUTE(Table2[[#This Row],[unique_id]], "_", " ")))</f>
        <v>Roof Storm Rain</v>
      </c>
      <c r="G92" s="28" t="s">
        <v>1547</v>
      </c>
      <c r="H92" s="28" t="s">
        <v>58</v>
      </c>
      <c r="I92" s="28" t="s">
        <v>58</v>
      </c>
      <c r="O92" s="29"/>
      <c r="P92" s="28"/>
      <c r="T92" s="35"/>
      <c r="U92" s="35"/>
      <c r="V92" s="35"/>
      <c r="W92" s="28"/>
      <c r="Y92" s="29"/>
      <c r="Z92" s="29"/>
      <c r="AA92" s="29"/>
      <c r="AB92" s="29"/>
      <c r="AE92" s="28" t="s">
        <v>31</v>
      </c>
      <c r="AF92" s="28" t="s">
        <v>60</v>
      </c>
      <c r="AH92" s="28" t="s">
        <v>164</v>
      </c>
      <c r="AI92" s="28">
        <v>300</v>
      </c>
      <c r="AJ92" s="29" t="s">
        <v>34</v>
      </c>
      <c r="AK92" s="29"/>
      <c r="AL92" s="28" t="s">
        <v>73</v>
      </c>
      <c r="AM92" s="28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N92" s="28" t="str">
        <f>IF(ISBLANK(Table2[[#This Row],[index]]),  "", _xlfn.CONCAT(LOWER(Table2[[#This Row],[device_via_device]]), "/", Table2[[#This Row],[unique_id]]))</f>
        <v>weewx/roof_storm_rain</v>
      </c>
      <c r="AU92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V92" s="28">
        <v>1</v>
      </c>
      <c r="AW92" s="30"/>
      <c r="AY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BB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2" s="28" t="str">
        <f>IF(ISBLANK(Table2[[#This Row],[device_model]]), "", Table2[[#This Row],[device_suggested_area]])</f>
        <v>Roof</v>
      </c>
      <c r="BE92" s="28" t="s">
        <v>393</v>
      </c>
      <c r="BF92" s="28" t="s">
        <v>36</v>
      </c>
      <c r="BG92" s="28" t="s">
        <v>37</v>
      </c>
      <c r="BI92" s="28" t="s">
        <v>1010</v>
      </c>
      <c r="BJ92" s="28" t="s">
        <v>38</v>
      </c>
      <c r="BO92" s="28"/>
      <c r="BQ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9" ht="16" customHeight="1" x14ac:dyDescent="0.2">
      <c r="A93" s="28">
        <v>1361</v>
      </c>
      <c r="B93" s="28" t="s">
        <v>26</v>
      </c>
      <c r="C93" s="28" t="s">
        <v>409</v>
      </c>
      <c r="D93" s="28" t="s">
        <v>304</v>
      </c>
      <c r="E93" s="28" t="s">
        <v>407</v>
      </c>
      <c r="F93" s="34" t="str">
        <f>IF(ISBLANK(Table2[[#This Row],[unique_id]]), "", PROPER(SUBSTITUTE(Table2[[#This Row],[unique_id]], "_", " ")))</f>
        <v>Graph Break</v>
      </c>
      <c r="G93" s="28" t="s">
        <v>408</v>
      </c>
      <c r="H93" s="28" t="s">
        <v>58</v>
      </c>
      <c r="I93" s="28" t="s">
        <v>58</v>
      </c>
      <c r="O93" s="29"/>
      <c r="P93" s="28"/>
      <c r="T93" s="35"/>
      <c r="U93" s="35"/>
      <c r="V93" s="35"/>
      <c r="W93" s="28"/>
      <c r="Y93" s="29"/>
      <c r="Z93" s="29"/>
      <c r="AA93" s="29"/>
      <c r="AB93" s="29"/>
      <c r="AJ93" s="29"/>
      <c r="AK93" s="29"/>
      <c r="AV93" s="28"/>
      <c r="AW93" s="30"/>
      <c r="AX93" s="29"/>
      <c r="AY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3" s="28" t="str">
        <f>IF(ISBLANK(Table2[[#This Row],[device_model]]), "", Table2[[#This Row],[device_suggested_area]])</f>
        <v/>
      </c>
      <c r="BI93" s="29"/>
      <c r="BO93" s="28"/>
      <c r="BQ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9" ht="16" customHeight="1" x14ac:dyDescent="0.2">
      <c r="A94" s="28">
        <v>1400</v>
      </c>
      <c r="B94" s="28" t="s">
        <v>26</v>
      </c>
      <c r="C94" s="28" t="s">
        <v>141</v>
      </c>
      <c r="D94" s="28" t="s">
        <v>281</v>
      </c>
      <c r="E94" s="28" t="s">
        <v>1310</v>
      </c>
      <c r="F94" s="34" t="str">
        <f>IF(ISBLANK(Table2[[#This Row],[unique_id]]), "", PROPER(SUBSTITUTE(Table2[[#This Row],[unique_id]], "_", " ")))</f>
        <v>Home Started</v>
      </c>
      <c r="G94" s="28" t="s">
        <v>1311</v>
      </c>
      <c r="H94" s="28" t="s">
        <v>282</v>
      </c>
      <c r="I94" s="28" t="s">
        <v>123</v>
      </c>
      <c r="O94" s="29"/>
      <c r="P94" s="28"/>
      <c r="T94" s="35"/>
      <c r="U94" s="35"/>
      <c r="V94" s="35"/>
      <c r="W94" s="28"/>
      <c r="Y94" s="29"/>
      <c r="Z94" s="29"/>
      <c r="AA94" s="29"/>
      <c r="AB94" s="29"/>
      <c r="AJ94" s="29"/>
      <c r="AK94" s="29"/>
      <c r="AM94" s="28" t="str">
        <f>IF(ISBLANK(AL94),  "", _xlfn.CONCAT("haas/entity/sensor/", LOWER(C94), "/", E94, "/config"))</f>
        <v/>
      </c>
      <c r="AN94" s="28" t="str">
        <f>IF(ISBLANK(AL94),  "", _xlfn.CONCAT(LOWER(C94), "/", E94))</f>
        <v/>
      </c>
      <c r="AV94" s="28"/>
      <c r="AW94" s="30"/>
      <c r="AX94" s="38"/>
      <c r="AY94" s="28"/>
      <c r="BA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4" s="28" t="str">
        <f>IF(ISBLANK(Table2[[#This Row],[device_model]]), "", Table2[[#This Row],[device_suggested_area]])</f>
        <v/>
      </c>
      <c r="BI94" s="29"/>
      <c r="BJ94" s="28" t="s">
        <v>118</v>
      </c>
      <c r="BO94" s="28"/>
      <c r="BQ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9" ht="16" customHeight="1" x14ac:dyDescent="0.2">
      <c r="A95" s="28">
        <v>1401</v>
      </c>
      <c r="B95" s="28" t="s">
        <v>26</v>
      </c>
      <c r="C95" s="28" t="s">
        <v>141</v>
      </c>
      <c r="D95" s="28" t="s">
        <v>281</v>
      </c>
      <c r="E95" s="28" t="s">
        <v>614</v>
      </c>
      <c r="F95" s="34" t="str">
        <f>IF(ISBLANK(Table2[[#This Row],[unique_id]]), "", PROPER(SUBSTITUTE(Table2[[#This Row],[unique_id]], "_", " ")))</f>
        <v>Home Security</v>
      </c>
      <c r="G95" s="28" t="s">
        <v>612</v>
      </c>
      <c r="H95" s="28" t="s">
        <v>282</v>
      </c>
      <c r="I95" s="28" t="s">
        <v>123</v>
      </c>
      <c r="J95" s="28" t="s">
        <v>613</v>
      </c>
      <c r="M95" s="28" t="s">
        <v>244</v>
      </c>
      <c r="O95" s="29"/>
      <c r="P95" s="28"/>
      <c r="T95" s="35"/>
      <c r="U95" s="35"/>
      <c r="V95" s="35"/>
      <c r="W95" s="28"/>
      <c r="Y95" s="29"/>
      <c r="Z95" s="29"/>
      <c r="AA95" s="29"/>
      <c r="AB95" s="29"/>
      <c r="AH95" s="28" t="s">
        <v>627</v>
      </c>
      <c r="AJ95" s="29"/>
      <c r="AK95" s="29"/>
      <c r="AV95" s="28"/>
      <c r="AW95" s="38"/>
      <c r="AX95" s="29"/>
      <c r="AY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5" s="28" t="str">
        <f>IF(ISBLANK(Table2[[#This Row],[device_model]]), "", Table2[[#This Row],[device_suggested_area]])</f>
        <v/>
      </c>
      <c r="BI95" s="29"/>
      <c r="BJ95" s="28" t="s">
        <v>155</v>
      </c>
      <c r="BL95" s="28" t="s">
        <v>657</v>
      </c>
      <c r="BO95" s="39"/>
      <c r="BP95" s="37"/>
      <c r="BQ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9" ht="16" customHeight="1" x14ac:dyDescent="0.2">
      <c r="A96" s="28">
        <v>1402</v>
      </c>
      <c r="B96" s="28" t="s">
        <v>26</v>
      </c>
      <c r="C96" s="28" t="s">
        <v>141</v>
      </c>
      <c r="D96" s="28" t="s">
        <v>281</v>
      </c>
      <c r="E96" s="28" t="s">
        <v>410</v>
      </c>
      <c r="F96" s="34" t="str">
        <f>IF(ISBLANK(Table2[[#This Row],[unique_id]]), "", PROPER(SUBSTITUTE(Table2[[#This Row],[unique_id]], "_", " ")))</f>
        <v>Home Movie</v>
      </c>
      <c r="G96" s="28" t="s">
        <v>415</v>
      </c>
      <c r="H96" s="28" t="s">
        <v>282</v>
      </c>
      <c r="I96" s="28" t="s">
        <v>123</v>
      </c>
      <c r="J96" s="28" t="s">
        <v>441</v>
      </c>
      <c r="M96" s="28" t="s">
        <v>244</v>
      </c>
      <c r="O96" s="29"/>
      <c r="P96" s="28"/>
      <c r="T96" s="35"/>
      <c r="U96" s="35"/>
      <c r="V96" s="35"/>
      <c r="W96" s="28"/>
      <c r="Y96" s="29"/>
      <c r="Z96" s="29"/>
      <c r="AA96" s="29"/>
      <c r="AB96" s="29"/>
      <c r="AH96" s="28" t="s">
        <v>405</v>
      </c>
      <c r="AJ96" s="29"/>
      <c r="AK96" s="29"/>
      <c r="AV96" s="28"/>
      <c r="AW96" s="30"/>
      <c r="AX96" s="29"/>
      <c r="AY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6" s="28" t="str">
        <f>IF(ISBLANK(Table2[[#This Row],[device_model]]), "", Table2[[#This Row],[device_suggested_area]])</f>
        <v/>
      </c>
      <c r="BI96" s="29"/>
      <c r="BJ96" s="28" t="s">
        <v>155</v>
      </c>
      <c r="BL96" s="28" t="s">
        <v>657</v>
      </c>
      <c r="BO96" s="28"/>
      <c r="BQ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9" ht="16" customHeight="1" x14ac:dyDescent="0.2">
      <c r="A97" s="28">
        <v>1403</v>
      </c>
      <c r="B97" s="28" t="s">
        <v>26</v>
      </c>
      <c r="C97" s="28" t="s">
        <v>141</v>
      </c>
      <c r="D97" s="28" t="s">
        <v>281</v>
      </c>
      <c r="E97" s="28" t="s">
        <v>280</v>
      </c>
      <c r="F97" s="34" t="str">
        <f>IF(ISBLANK(Table2[[#This Row],[unique_id]]), "", PROPER(SUBSTITUTE(Table2[[#This Row],[unique_id]], "_", " ")))</f>
        <v>Home Sleep</v>
      </c>
      <c r="G97" s="28" t="s">
        <v>260</v>
      </c>
      <c r="H97" s="28" t="s">
        <v>282</v>
      </c>
      <c r="I97" s="28" t="s">
        <v>123</v>
      </c>
      <c r="J97" s="28" t="s">
        <v>443</v>
      </c>
      <c r="M97" s="28" t="s">
        <v>244</v>
      </c>
      <c r="O97" s="29"/>
      <c r="P97" s="28"/>
      <c r="T97" s="35"/>
      <c r="U97" s="35"/>
      <c r="V97" s="35"/>
      <c r="W97" s="28"/>
      <c r="Y97" s="29"/>
      <c r="Z97" s="29"/>
      <c r="AA97" s="29"/>
      <c r="AB97" s="29"/>
      <c r="AH97" s="28" t="s">
        <v>283</v>
      </c>
      <c r="AJ97" s="29"/>
      <c r="AK97" s="29"/>
      <c r="AV97" s="28"/>
      <c r="AW97" s="30"/>
      <c r="AX97" s="29"/>
      <c r="AY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7" s="28" t="str">
        <f>IF(ISBLANK(Table2[[#This Row],[device_model]]), "", Table2[[#This Row],[device_suggested_area]])</f>
        <v/>
      </c>
      <c r="BI97" s="29"/>
      <c r="BJ97" s="28" t="s">
        <v>155</v>
      </c>
      <c r="BL97" s="28" t="s">
        <v>657</v>
      </c>
      <c r="BO97" s="28"/>
      <c r="BQ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9" ht="16" customHeight="1" x14ac:dyDescent="0.2">
      <c r="A98" s="28">
        <v>1404</v>
      </c>
      <c r="B98" s="28" t="s">
        <v>26</v>
      </c>
      <c r="C98" s="28" t="s">
        <v>141</v>
      </c>
      <c r="D98" s="28" t="s">
        <v>281</v>
      </c>
      <c r="E98" s="28" t="s">
        <v>404</v>
      </c>
      <c r="F98" s="34" t="str">
        <f>IF(ISBLANK(Table2[[#This Row],[unique_id]]), "", PROPER(SUBSTITUTE(Table2[[#This Row],[unique_id]], "_", " ")))</f>
        <v>Home Reset</v>
      </c>
      <c r="G98" s="28" t="s">
        <v>416</v>
      </c>
      <c r="H98" s="28" t="s">
        <v>282</v>
      </c>
      <c r="I98" s="28" t="s">
        <v>123</v>
      </c>
      <c r="J98" s="28" t="s">
        <v>442</v>
      </c>
      <c r="M98" s="28" t="s">
        <v>244</v>
      </c>
      <c r="O98" s="29"/>
      <c r="P98" s="28"/>
      <c r="T98" s="35"/>
      <c r="U98" s="35"/>
      <c r="V98" s="35"/>
      <c r="W98" s="28"/>
      <c r="Y98" s="29"/>
      <c r="Z98" s="29"/>
      <c r="AA98" s="29"/>
      <c r="AB98" s="29"/>
      <c r="AH98" s="28" t="s">
        <v>406</v>
      </c>
      <c r="AJ98" s="29"/>
      <c r="AK98" s="29"/>
      <c r="AV98" s="28"/>
      <c r="AW98" s="30"/>
      <c r="AX98" s="29"/>
      <c r="AY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8" s="28" t="str">
        <f>IF(ISBLANK(Table2[[#This Row],[device_model]]), "", Table2[[#This Row],[device_suggested_area]])</f>
        <v/>
      </c>
      <c r="BI98" s="29"/>
      <c r="BJ98" s="28" t="s">
        <v>155</v>
      </c>
      <c r="BL98" s="28" t="s">
        <v>657</v>
      </c>
      <c r="BO98" s="28"/>
      <c r="BQ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9" ht="16" customHeight="1" x14ac:dyDescent="0.2">
      <c r="A99" s="28">
        <v>1405</v>
      </c>
      <c r="B99" s="28" t="s">
        <v>26</v>
      </c>
      <c r="C99" s="28" t="s">
        <v>631</v>
      </c>
      <c r="D99" s="28" t="s">
        <v>632</v>
      </c>
      <c r="E99" s="28" t="s">
        <v>633</v>
      </c>
      <c r="F99" s="34" t="str">
        <f>IF(ISBLANK(Table2[[#This Row],[unique_id]]), "", PROPER(SUBSTITUTE(Table2[[#This Row],[unique_id]], "_", " ")))</f>
        <v>Home Secure Back Door Off</v>
      </c>
      <c r="G99" s="28" t="s">
        <v>634</v>
      </c>
      <c r="H99" s="28" t="s">
        <v>282</v>
      </c>
      <c r="I99" s="28" t="s">
        <v>123</v>
      </c>
      <c r="K99" s="28" t="s">
        <v>635</v>
      </c>
      <c r="L99" s="28" t="s">
        <v>638</v>
      </c>
      <c r="O99" s="29"/>
      <c r="P99" s="28"/>
      <c r="T99" s="35"/>
      <c r="U99" s="35"/>
      <c r="V99" s="35"/>
      <c r="W99" s="28"/>
      <c r="Y99" s="29"/>
      <c r="Z99" s="29"/>
      <c r="AA99" s="29"/>
      <c r="AB99" s="29"/>
      <c r="AH99" s="28" t="s">
        <v>639</v>
      </c>
      <c r="AJ99" s="29"/>
      <c r="AK99" s="29"/>
      <c r="AV99" s="28"/>
      <c r="AW99" s="30"/>
      <c r="AX99" s="29"/>
      <c r="AY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9" s="28" t="str">
        <f>IF(ISBLANK(Table2[[#This Row],[device_model]]), "", Table2[[#This Row],[device_suggested_area]])</f>
        <v/>
      </c>
      <c r="BI99" s="29"/>
      <c r="BO99" s="28"/>
      <c r="BQ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9" ht="16" customHeight="1" x14ac:dyDescent="0.2">
      <c r="A100" s="28">
        <v>1406</v>
      </c>
      <c r="B100" s="28" t="s">
        <v>26</v>
      </c>
      <c r="C100" s="28" t="s">
        <v>631</v>
      </c>
      <c r="D100" s="28" t="s">
        <v>632</v>
      </c>
      <c r="E100" s="28" t="s">
        <v>640</v>
      </c>
      <c r="F100" s="34" t="str">
        <f>IF(ISBLANK(Table2[[#This Row],[unique_id]]), "", PROPER(SUBSTITUTE(Table2[[#This Row],[unique_id]], "_", " ")))</f>
        <v>Home Secure Front Door Off</v>
      </c>
      <c r="G100" s="28" t="s">
        <v>641</v>
      </c>
      <c r="H100" s="28" t="s">
        <v>282</v>
      </c>
      <c r="I100" s="28" t="s">
        <v>123</v>
      </c>
      <c r="K100" s="28" t="s">
        <v>642</v>
      </c>
      <c r="L100" s="28" t="s">
        <v>638</v>
      </c>
      <c r="O100" s="29"/>
      <c r="P100" s="28"/>
      <c r="T100" s="35"/>
      <c r="U100" s="35"/>
      <c r="V100" s="35"/>
      <c r="W100" s="28"/>
      <c r="Y100" s="29"/>
      <c r="Z100" s="29"/>
      <c r="AA100" s="29"/>
      <c r="AB100" s="29"/>
      <c r="AH100" s="28" t="s">
        <v>639</v>
      </c>
      <c r="AJ100" s="29"/>
      <c r="AK100" s="29"/>
      <c r="AV100" s="28"/>
      <c r="AW100" s="30"/>
      <c r="AX100" s="29"/>
      <c r="AY1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0" s="28" t="str">
        <f>IF(ISBLANK(Table2[[#This Row],[device_model]]), "", Table2[[#This Row],[device_suggested_area]])</f>
        <v/>
      </c>
      <c r="BI100" s="29"/>
      <c r="BO100" s="28"/>
      <c r="BQ1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9" ht="16" customHeight="1" x14ac:dyDescent="0.2">
      <c r="A101" s="28">
        <v>1407</v>
      </c>
      <c r="B101" s="28" t="s">
        <v>26</v>
      </c>
      <c r="C101" s="28" t="s">
        <v>631</v>
      </c>
      <c r="D101" s="28" t="s">
        <v>632</v>
      </c>
      <c r="E101" s="28" t="s">
        <v>643</v>
      </c>
      <c r="F101" s="34" t="str">
        <f>IF(ISBLANK(Table2[[#This Row],[unique_id]]), "", PROPER(SUBSTITUTE(Table2[[#This Row],[unique_id]], "_", " ")))</f>
        <v>Home Sleep On</v>
      </c>
      <c r="G101" s="28" t="s">
        <v>1284</v>
      </c>
      <c r="H101" s="28" t="s">
        <v>282</v>
      </c>
      <c r="I101" s="28" t="s">
        <v>123</v>
      </c>
      <c r="K101" s="28" t="s">
        <v>645</v>
      </c>
      <c r="L101" s="28" t="s">
        <v>646</v>
      </c>
      <c r="O101" s="29"/>
      <c r="P101" s="28"/>
      <c r="T101" s="35"/>
      <c r="U101" s="35"/>
      <c r="V101" s="35"/>
      <c r="W101" s="28"/>
      <c r="Y101" s="29"/>
      <c r="Z101" s="29"/>
      <c r="AA101" s="29"/>
      <c r="AB101" s="29"/>
      <c r="AH101" s="28" t="s">
        <v>283</v>
      </c>
      <c r="AJ101" s="29"/>
      <c r="AK101" s="29"/>
      <c r="AV101" s="28"/>
      <c r="AW101" s="30"/>
      <c r="AX101" s="29"/>
      <c r="AY1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1" s="28" t="str">
        <f>IF(ISBLANK(Table2[[#This Row],[device_model]]), "", Table2[[#This Row],[device_suggested_area]])</f>
        <v/>
      </c>
      <c r="BI101" s="29"/>
      <c r="BO101" s="28"/>
      <c r="BQ1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9" ht="16" customHeight="1" x14ac:dyDescent="0.2">
      <c r="A102" s="28">
        <v>1408</v>
      </c>
      <c r="B102" s="28" t="s">
        <v>26</v>
      </c>
      <c r="C102" s="28" t="s">
        <v>631</v>
      </c>
      <c r="D102" s="28" t="s">
        <v>632</v>
      </c>
      <c r="E102" s="28" t="s">
        <v>644</v>
      </c>
      <c r="F102" s="34" t="str">
        <f>IF(ISBLANK(Table2[[#This Row],[unique_id]]), "", PROPER(SUBSTITUTE(Table2[[#This Row],[unique_id]], "_", " ")))</f>
        <v>Home Sleep Off</v>
      </c>
      <c r="G102" s="28" t="s">
        <v>1285</v>
      </c>
      <c r="H102" s="28" t="s">
        <v>282</v>
      </c>
      <c r="I102" s="28" t="s">
        <v>123</v>
      </c>
      <c r="K102" s="28" t="s">
        <v>645</v>
      </c>
      <c r="L102" s="28" t="s">
        <v>638</v>
      </c>
      <c r="O102" s="29"/>
      <c r="P102" s="28"/>
      <c r="T102" s="35"/>
      <c r="U102" s="35"/>
      <c r="V102" s="35"/>
      <c r="W102" s="28"/>
      <c r="Y102" s="29"/>
      <c r="Z102" s="29"/>
      <c r="AA102" s="29"/>
      <c r="AB102" s="29"/>
      <c r="AH102" s="28" t="s">
        <v>647</v>
      </c>
      <c r="AJ102" s="29"/>
      <c r="AK102" s="29"/>
      <c r="AV102" s="28"/>
      <c r="AW102" s="30"/>
      <c r="AX102" s="29"/>
      <c r="AY1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2" s="28" t="str">
        <f>IF(ISBLANK(Table2[[#This Row],[device_model]]), "", Table2[[#This Row],[device_suggested_area]])</f>
        <v/>
      </c>
      <c r="BI102" s="29"/>
      <c r="BO102" s="28"/>
      <c r="BQ1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9" ht="16" customHeight="1" x14ac:dyDescent="0.2">
      <c r="A103" s="28">
        <v>1409</v>
      </c>
      <c r="B103" s="28" t="s">
        <v>26</v>
      </c>
      <c r="C103" s="28" t="s">
        <v>141</v>
      </c>
      <c r="D103" s="28" t="s">
        <v>281</v>
      </c>
      <c r="E103" s="28" t="s">
        <v>1304</v>
      </c>
      <c r="F103" s="34" t="str">
        <f>IF(ISBLANK(Table2[[#This Row],[unique_id]]), "", PROPER(SUBSTITUTE(Table2[[#This Row],[unique_id]], "_", " ")))</f>
        <v>Edwin Wakeup</v>
      </c>
      <c r="G103" s="28" t="s">
        <v>1302</v>
      </c>
      <c r="H103" s="28" t="s">
        <v>282</v>
      </c>
      <c r="I103" s="28" t="s">
        <v>123</v>
      </c>
      <c r="J103" s="28" t="s">
        <v>1307</v>
      </c>
      <c r="O103" s="29"/>
      <c r="P103" s="28"/>
      <c r="T103" s="35"/>
      <c r="U103" s="35"/>
      <c r="V103" s="35"/>
      <c r="W103" s="28"/>
      <c r="Y103" s="29"/>
      <c r="Z103" s="29"/>
      <c r="AA103" s="29"/>
      <c r="AB103" s="29"/>
      <c r="AJ103" s="29"/>
      <c r="AK103" s="29"/>
      <c r="AM103" s="28" t="str">
        <f>IF(ISBLANK(AL103),  "", _xlfn.CONCAT("haas/entity/sensor/", LOWER(C103), "/", E103, "/config"))</f>
        <v/>
      </c>
      <c r="AN103" s="28" t="str">
        <f>IF(ISBLANK(AL103),  "", _xlfn.CONCAT(LOWER(C103), "/", E103))</f>
        <v/>
      </c>
      <c r="AV103" s="28"/>
      <c r="AW103" s="30"/>
      <c r="AX103" s="38"/>
      <c r="AY103" s="28"/>
      <c r="BA1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3" s="28" t="str">
        <f>IF(ISBLANK(Table2[[#This Row],[device_model]]), "", Table2[[#This Row],[device_suggested_area]])</f>
        <v/>
      </c>
      <c r="BI103" s="29"/>
      <c r="BJ103" s="28" t="s">
        <v>118</v>
      </c>
      <c r="BO103" s="28"/>
      <c r="BQ1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9" ht="16" customHeight="1" x14ac:dyDescent="0.2">
      <c r="A104" s="28">
        <v>1410</v>
      </c>
      <c r="B104" s="28" t="s">
        <v>26</v>
      </c>
      <c r="C104" s="28" t="s">
        <v>141</v>
      </c>
      <c r="D104" s="28" t="s">
        <v>281</v>
      </c>
      <c r="E104" s="28" t="s">
        <v>1305</v>
      </c>
      <c r="F104" s="34" t="str">
        <f>IF(ISBLANK(Table2[[#This Row],[unique_id]]), "", PROPER(SUBSTITUTE(Table2[[#This Row],[unique_id]], "_", " ")))</f>
        <v>Edwin Playtime</v>
      </c>
      <c r="G104" s="28" t="s">
        <v>1312</v>
      </c>
      <c r="H104" s="28" t="s">
        <v>282</v>
      </c>
      <c r="I104" s="28" t="s">
        <v>123</v>
      </c>
      <c r="J104" s="28" t="s">
        <v>1308</v>
      </c>
      <c r="O104" s="29"/>
      <c r="P104" s="28"/>
      <c r="T104" s="35"/>
      <c r="U104" s="35"/>
      <c r="V104" s="35"/>
      <c r="W104" s="28"/>
      <c r="Y104" s="29"/>
      <c r="Z104" s="29"/>
      <c r="AA104" s="29"/>
      <c r="AB104" s="29"/>
      <c r="AJ104" s="29"/>
      <c r="AK104" s="29"/>
      <c r="AM104" s="28" t="str">
        <f>IF(ISBLANK(AL104),  "", _xlfn.CONCAT("haas/entity/sensor/", LOWER(C104), "/", E104, "/config"))</f>
        <v/>
      </c>
      <c r="AN104" s="28" t="str">
        <f>IF(ISBLANK(AL104),  "", _xlfn.CONCAT(LOWER(C104), "/", E104))</f>
        <v/>
      </c>
      <c r="AV104" s="28"/>
      <c r="AW104" s="30"/>
      <c r="AX104" s="38"/>
      <c r="AY104" s="28"/>
      <c r="BA1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4" s="28" t="str">
        <f>IF(ISBLANK(Table2[[#This Row],[device_model]]), "", Table2[[#This Row],[device_suggested_area]])</f>
        <v/>
      </c>
      <c r="BI104" s="29"/>
      <c r="BJ104" s="28" t="s">
        <v>118</v>
      </c>
      <c r="BO104" s="28"/>
      <c r="BQ1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9" ht="16" customHeight="1" x14ac:dyDescent="0.2">
      <c r="A105" s="28">
        <v>1411</v>
      </c>
      <c r="B105" s="28" t="s">
        <v>26</v>
      </c>
      <c r="C105" s="28" t="s">
        <v>141</v>
      </c>
      <c r="D105" s="28" t="s">
        <v>281</v>
      </c>
      <c r="E105" s="28" t="s">
        <v>1306</v>
      </c>
      <c r="F105" s="34" t="str">
        <f>IF(ISBLANK(Table2[[#This Row],[unique_id]]), "", PROPER(SUBSTITUTE(Table2[[#This Row],[unique_id]], "_", " ")))</f>
        <v>Edwin Goodnight</v>
      </c>
      <c r="G105" s="28" t="s">
        <v>1303</v>
      </c>
      <c r="H105" s="28" t="s">
        <v>282</v>
      </c>
      <c r="I105" s="28" t="s">
        <v>123</v>
      </c>
      <c r="J105" s="28" t="s">
        <v>1309</v>
      </c>
      <c r="O105" s="29"/>
      <c r="P105" s="28"/>
      <c r="T105" s="35"/>
      <c r="U105" s="35"/>
      <c r="V105" s="35"/>
      <c r="W105" s="28"/>
      <c r="Y105" s="29"/>
      <c r="Z105" s="29"/>
      <c r="AA105" s="29"/>
      <c r="AB105" s="29"/>
      <c r="AJ105" s="29"/>
      <c r="AK105" s="29"/>
      <c r="AM105" s="28" t="str">
        <f>IF(ISBLANK(AL105),  "", _xlfn.CONCAT("haas/entity/sensor/", LOWER(C105), "/", E105, "/config"))</f>
        <v/>
      </c>
      <c r="AN105" s="28" t="str">
        <f>IF(ISBLANK(AL105),  "", _xlfn.CONCAT(LOWER(C105), "/", E105))</f>
        <v/>
      </c>
      <c r="AV105" s="28"/>
      <c r="AW105" s="30"/>
      <c r="AX105" s="38"/>
      <c r="AY105" s="28"/>
      <c r="BA1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5" s="28" t="str">
        <f>IF(ISBLANK(Table2[[#This Row],[device_model]]), "", Table2[[#This Row],[device_suggested_area]])</f>
        <v/>
      </c>
      <c r="BI105" s="29"/>
      <c r="BJ105" s="28" t="s">
        <v>118</v>
      </c>
      <c r="BO105" s="28"/>
      <c r="BQ1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9" s="52" customFormat="1" ht="16" customHeight="1" x14ac:dyDescent="0.2">
      <c r="A106" s="52">
        <v>1450</v>
      </c>
      <c r="B106" s="52" t="s">
        <v>543</v>
      </c>
      <c r="C106" s="52" t="s">
        <v>756</v>
      </c>
      <c r="D106" s="52" t="s">
        <v>139</v>
      </c>
      <c r="E106" s="53" t="s">
        <v>1316</v>
      </c>
      <c r="F106" s="54" t="str">
        <f>IF(ISBLANK(Table2[[#This Row],[unique_id]]), "", PROPER(SUBSTITUTE(Table2[[#This Row],[unique_id]], "_", " ")))</f>
        <v>Broken Template Kitchen Coffee Machine Plug Proxy</v>
      </c>
      <c r="G106" s="52" t="s">
        <v>126</v>
      </c>
      <c r="H106" s="52" t="s">
        <v>1256</v>
      </c>
      <c r="I106" s="52" t="s">
        <v>123</v>
      </c>
      <c r="O106" s="55" t="s">
        <v>736</v>
      </c>
      <c r="P106" s="52" t="s">
        <v>155</v>
      </c>
      <c r="Q106" s="52" t="s">
        <v>709</v>
      </c>
      <c r="R106" s="52" t="s">
        <v>719</v>
      </c>
      <c r="S106" s="52" t="str">
        <f>Table2[[#This Row],[friendly_name]]</f>
        <v>Coffee Machine</v>
      </c>
      <c r="T106" s="53" t="s">
        <v>1013</v>
      </c>
      <c r="U106" s="53"/>
      <c r="V106" s="53"/>
      <c r="Y106" s="55"/>
      <c r="Z106" s="55"/>
      <c r="AA106" s="55"/>
      <c r="AB106" s="55"/>
      <c r="AC106" s="55"/>
      <c r="AD106" s="55"/>
      <c r="AJ106" s="55"/>
      <c r="AK106" s="55"/>
      <c r="AW106" s="56"/>
      <c r="AX106" s="52" t="s">
        <v>125</v>
      </c>
      <c r="AY1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6" s="52" t="str">
        <f>IF(ISBLANK(Table2[[#This Row],[device_model]]), "", Table2[[#This Row],[device_suggested_area]])</f>
        <v>Kitchen</v>
      </c>
      <c r="BE106" s="52" t="s">
        <v>126</v>
      </c>
      <c r="BF106" s="57" t="s">
        <v>331</v>
      </c>
      <c r="BG106" s="52" t="s">
        <v>221</v>
      </c>
      <c r="BI106" s="52" t="s">
        <v>332</v>
      </c>
      <c r="BJ106" s="52" t="s">
        <v>195</v>
      </c>
      <c r="BQ1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9" s="52" customFormat="1" ht="16" customHeight="1" x14ac:dyDescent="0.2">
      <c r="A107" s="52">
        <v>1451</v>
      </c>
      <c r="B107" s="52" t="s">
        <v>543</v>
      </c>
      <c r="C107" s="52" t="s">
        <v>221</v>
      </c>
      <c r="D107" s="52" t="s">
        <v>125</v>
      </c>
      <c r="E107" s="52" t="s">
        <v>1317</v>
      </c>
      <c r="F107" s="54" t="str">
        <f>IF(ISBLANK(Table2[[#This Row],[unique_id]]), "", PROPER(SUBSTITUTE(Table2[[#This Row],[unique_id]], "_", " ")))</f>
        <v>Broken Kitchen Coffee Machine Plug</v>
      </c>
      <c r="G107" s="52" t="s">
        <v>126</v>
      </c>
      <c r="H107" s="52" t="s">
        <v>1256</v>
      </c>
      <c r="I107" s="52" t="s">
        <v>123</v>
      </c>
      <c r="J107" s="52" t="s">
        <v>126</v>
      </c>
      <c r="M107" s="52" t="s">
        <v>244</v>
      </c>
      <c r="O107" s="55" t="s">
        <v>736</v>
      </c>
      <c r="P107" s="52" t="s">
        <v>155</v>
      </c>
      <c r="Q107" s="52" t="s">
        <v>709</v>
      </c>
      <c r="R107" s="52" t="s">
        <v>719</v>
      </c>
      <c r="S107" s="52" t="str">
        <f>Table2[[#This Row],[friendly_name]]</f>
        <v>Coffee Machine</v>
      </c>
      <c r="T107" s="53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U107" s="53"/>
      <c r="V107" s="53"/>
      <c r="Y107" s="55"/>
      <c r="Z107" s="55"/>
      <c r="AA107" s="55"/>
      <c r="AB107" s="55"/>
      <c r="AC107" s="55"/>
      <c r="AD107" s="55"/>
      <c r="AH107" s="52" t="s">
        <v>234</v>
      </c>
      <c r="AJ107" s="55"/>
      <c r="AK107" s="55"/>
      <c r="AW107" s="56"/>
      <c r="AY107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7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7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7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7" s="52" t="str">
        <f>IF(ISBLANK(Table2[[#This Row],[device_model]]), "", Table2[[#This Row],[device_suggested_area]])</f>
        <v>Kitchen</v>
      </c>
      <c r="BE107" s="52" t="s">
        <v>126</v>
      </c>
      <c r="BF107" s="52" t="s">
        <v>331</v>
      </c>
      <c r="BG107" s="52" t="s">
        <v>221</v>
      </c>
      <c r="BI107" s="52" t="s">
        <v>332</v>
      </c>
      <c r="BJ107" s="52" t="s">
        <v>195</v>
      </c>
      <c r="BM107" s="52" t="s">
        <v>924</v>
      </c>
      <c r="BN107" s="52" t="s">
        <v>1186</v>
      </c>
      <c r="BO107" s="52" t="s">
        <v>317</v>
      </c>
      <c r="BP107" s="52" t="s">
        <v>1227</v>
      </c>
      <c r="BQ107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9" ht="16" customHeight="1" x14ac:dyDescent="0.2">
      <c r="A108" s="28">
        <v>1452</v>
      </c>
      <c r="B108" s="28" t="s">
        <v>26</v>
      </c>
      <c r="C108" s="28" t="s">
        <v>756</v>
      </c>
      <c r="D108" s="28" t="s">
        <v>139</v>
      </c>
      <c r="E108" s="35" t="s">
        <v>912</v>
      </c>
      <c r="F108" s="34" t="str">
        <f>IF(ISBLANK(Table2[[#This Row],[unique_id]]), "", PROPER(SUBSTITUTE(Table2[[#This Row],[unique_id]], "_", " ")))</f>
        <v>Template Kitchen Coffee Machine Plug Proxy</v>
      </c>
      <c r="G108" s="28" t="s">
        <v>126</v>
      </c>
      <c r="H108" s="28" t="s">
        <v>1256</v>
      </c>
      <c r="I108" s="28" t="s">
        <v>123</v>
      </c>
      <c r="O108" s="29" t="s">
        <v>736</v>
      </c>
      <c r="P108" s="28" t="s">
        <v>155</v>
      </c>
      <c r="Q108" s="28" t="s">
        <v>709</v>
      </c>
      <c r="R108" s="28" t="s">
        <v>719</v>
      </c>
      <c r="S108" s="28" t="str">
        <f>Table2[[#This Row],[friendly_name]]</f>
        <v>Coffee Machine</v>
      </c>
      <c r="T108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5"/>
      <c r="V108" s="35"/>
      <c r="W108" s="28"/>
      <c r="Y108" s="29"/>
      <c r="Z108" s="29"/>
      <c r="AA108" s="29"/>
      <c r="AB108" s="29"/>
      <c r="AJ108" s="29"/>
      <c r="AK108" s="29"/>
      <c r="AV108" s="28"/>
      <c r="AW108" s="38"/>
      <c r="AX108" s="28" t="s">
        <v>125</v>
      </c>
      <c r="AY1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8" s="28" t="str">
        <f>IF(ISBLANK(Table2[[#This Row],[device_model]]), "", Table2[[#This Row],[device_suggested_area]])</f>
        <v>Kitchen</v>
      </c>
      <c r="BE108" s="28" t="s">
        <v>126</v>
      </c>
      <c r="BF108" s="28" t="s">
        <v>330</v>
      </c>
      <c r="BG108" s="28" t="s">
        <v>221</v>
      </c>
      <c r="BI108" s="28" t="s">
        <v>333</v>
      </c>
      <c r="BJ108" s="28" t="s">
        <v>195</v>
      </c>
      <c r="BO108" s="28"/>
      <c r="BQ1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9" ht="16" customHeight="1" x14ac:dyDescent="0.2">
      <c r="A109" s="28">
        <v>1453</v>
      </c>
      <c r="B109" s="28" t="s">
        <v>26</v>
      </c>
      <c r="C109" s="28" t="s">
        <v>221</v>
      </c>
      <c r="D109" s="28" t="s">
        <v>125</v>
      </c>
      <c r="E109" s="28" t="s">
        <v>784</v>
      </c>
      <c r="F109" s="34" t="str">
        <f>IF(ISBLANK(Table2[[#This Row],[unique_id]]), "", PROPER(SUBSTITUTE(Table2[[#This Row],[unique_id]], "_", " ")))</f>
        <v>Kitchen Coffee Machine Plug</v>
      </c>
      <c r="G109" s="28" t="s">
        <v>126</v>
      </c>
      <c r="H109" s="28" t="s">
        <v>1256</v>
      </c>
      <c r="I109" s="28" t="s">
        <v>123</v>
      </c>
      <c r="J109" s="28" t="s">
        <v>126</v>
      </c>
      <c r="M109" s="28" t="s">
        <v>244</v>
      </c>
      <c r="O109" s="29" t="s">
        <v>736</v>
      </c>
      <c r="P109" s="28" t="s">
        <v>155</v>
      </c>
      <c r="Q109" s="28" t="s">
        <v>709</v>
      </c>
      <c r="R109" s="28" t="s">
        <v>719</v>
      </c>
      <c r="S109" s="28" t="str">
        <f>Table2[[#This Row],[friendly_name]]</f>
        <v>Coffee Machine</v>
      </c>
      <c r="T109" s="35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5"/>
      <c r="V109" s="35"/>
      <c r="W109" s="28"/>
      <c r="Y109" s="29"/>
      <c r="Z109" s="29"/>
      <c r="AA109" s="29"/>
      <c r="AB109" s="29"/>
      <c r="AH109" s="28" t="s">
        <v>234</v>
      </c>
      <c r="AJ109" s="29"/>
      <c r="AK109" s="29"/>
      <c r="AV109" s="28"/>
      <c r="AW109" s="38"/>
      <c r="AY1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9" s="28" t="str">
        <f>IF(ISBLANK(Table2[[#This Row],[device_model]]), "", Table2[[#This Row],[device_suggested_area]])</f>
        <v>Kitchen</v>
      </c>
      <c r="BE109" s="28" t="s">
        <v>126</v>
      </c>
      <c r="BF109" s="28" t="s">
        <v>330</v>
      </c>
      <c r="BG109" s="28" t="s">
        <v>221</v>
      </c>
      <c r="BI109" s="28" t="s">
        <v>333</v>
      </c>
      <c r="BJ109" s="28" t="s">
        <v>195</v>
      </c>
      <c r="BM109" s="28" t="s">
        <v>924</v>
      </c>
      <c r="BN109" s="28" t="s">
        <v>1186</v>
      </c>
      <c r="BO109" s="28" t="s">
        <v>324</v>
      </c>
      <c r="BP109" s="28" t="s">
        <v>1237</v>
      </c>
      <c r="BQ1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9" ht="16" customHeight="1" x14ac:dyDescent="0.2">
      <c r="A110" s="28">
        <v>1500</v>
      </c>
      <c r="B110" s="28" t="s">
        <v>26</v>
      </c>
      <c r="C110" s="28" t="s">
        <v>124</v>
      </c>
      <c r="D110" s="28" t="s">
        <v>120</v>
      </c>
      <c r="E110" s="28" t="s">
        <v>381</v>
      </c>
      <c r="F110" s="34" t="str">
        <f>IF(ISBLANK(Table2[[#This Row],[unique_id]]), "", PROPER(SUBSTITUTE(Table2[[#This Row],[unique_id]], "_", " ")))</f>
        <v>Ada Fan</v>
      </c>
      <c r="G110" s="28" t="s">
        <v>121</v>
      </c>
      <c r="H110" s="28" t="s">
        <v>122</v>
      </c>
      <c r="I110" s="28" t="s">
        <v>123</v>
      </c>
      <c r="J110" s="28" t="s">
        <v>668</v>
      </c>
      <c r="M110" s="28" t="s">
        <v>127</v>
      </c>
      <c r="O110" s="29" t="s">
        <v>736</v>
      </c>
      <c r="P110" s="28" t="s">
        <v>155</v>
      </c>
      <c r="Q110" s="28" t="s">
        <v>708</v>
      </c>
      <c r="R110" s="28" t="str">
        <f>Table2[[#This Row],[entity_domain]]</f>
        <v>Fans</v>
      </c>
      <c r="S110" s="28" t="str">
        <f>_xlfn.CONCAT( Table2[[#This Row],[device_suggested_area]], " ",Table2[[#This Row],[powercalc_group_3]])</f>
        <v>Ada Fans</v>
      </c>
      <c r="T110" s="35" t="s">
        <v>703</v>
      </c>
      <c r="U110" s="35"/>
      <c r="V110" s="35"/>
      <c r="W110" s="28"/>
      <c r="Y110" s="29"/>
      <c r="Z110" s="29"/>
      <c r="AA110" s="29"/>
      <c r="AB110" s="29"/>
      <c r="AH110" s="28" t="s">
        <v>230</v>
      </c>
      <c r="AJ110" s="29"/>
      <c r="AK110" s="29"/>
      <c r="AV110" s="28"/>
      <c r="AW110" s="38"/>
      <c r="AY1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Z1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BA1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0" s="28" t="str">
        <f>IF(ISBLANK(Table2[[#This Row],[device_model]]), "", Table2[[#This Row],[device_suggested_area]])</f>
        <v>Ada</v>
      </c>
      <c r="BE110" s="28" t="s">
        <v>440</v>
      </c>
      <c r="BF110" s="28" t="s">
        <v>341</v>
      </c>
      <c r="BG110" s="28" t="s">
        <v>124</v>
      </c>
      <c r="BI110" s="28" t="s">
        <v>340</v>
      </c>
      <c r="BJ110" s="28" t="s">
        <v>121</v>
      </c>
      <c r="BN110" s="28" t="s">
        <v>1186</v>
      </c>
      <c r="BO110" s="28" t="s">
        <v>342</v>
      </c>
      <c r="BP110" s="28" t="s">
        <v>1204</v>
      </c>
      <c r="BQ1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9" ht="16" customHeight="1" x14ac:dyDescent="0.2">
      <c r="A111" s="28">
        <v>1501</v>
      </c>
      <c r="B111" s="28" t="s">
        <v>26</v>
      </c>
      <c r="C111" s="28" t="s">
        <v>124</v>
      </c>
      <c r="D111" s="28" t="s">
        <v>120</v>
      </c>
      <c r="E111" s="28" t="s">
        <v>382</v>
      </c>
      <c r="F111" s="34" t="str">
        <f>IF(ISBLANK(Table2[[#This Row],[unique_id]]), "", PROPER(SUBSTITUTE(Table2[[#This Row],[unique_id]], "_", " ")))</f>
        <v>Edwin Fan</v>
      </c>
      <c r="G111" s="28" t="s">
        <v>118</v>
      </c>
      <c r="H111" s="28" t="s">
        <v>122</v>
      </c>
      <c r="I111" s="28" t="s">
        <v>123</v>
      </c>
      <c r="J111" s="28" t="s">
        <v>668</v>
      </c>
      <c r="M111" s="28" t="s">
        <v>127</v>
      </c>
      <c r="O111" s="29" t="s">
        <v>736</v>
      </c>
      <c r="P111" s="28" t="s">
        <v>155</v>
      </c>
      <c r="Q111" s="28" t="s">
        <v>708</v>
      </c>
      <c r="R111" s="28" t="str">
        <f>Table2[[#This Row],[entity_domain]]</f>
        <v>Fans</v>
      </c>
      <c r="S111" s="28" t="str">
        <f>_xlfn.CONCAT( Table2[[#This Row],[device_suggested_area]], " ",Table2[[#This Row],[powercalc_group_3]])</f>
        <v>Edwin Fans</v>
      </c>
      <c r="T111" s="35" t="s">
        <v>703</v>
      </c>
      <c r="U111" s="35"/>
      <c r="V111" s="35"/>
      <c r="W111" s="28"/>
      <c r="Y111" s="29"/>
      <c r="Z111" s="29"/>
      <c r="AA111" s="29"/>
      <c r="AB111" s="29"/>
      <c r="AH111" s="28" t="s">
        <v>230</v>
      </c>
      <c r="AJ111" s="29"/>
      <c r="AK111" s="29"/>
      <c r="AV111" s="28"/>
      <c r="AW111" s="38"/>
      <c r="AY1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Z1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BA1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1" s="28" t="str">
        <f>IF(ISBLANK(Table2[[#This Row],[device_model]]), "", Table2[[#This Row],[device_suggested_area]])</f>
        <v>Edwin</v>
      </c>
      <c r="BE111" s="28" t="s">
        <v>440</v>
      </c>
      <c r="BF111" s="28" t="s">
        <v>341</v>
      </c>
      <c r="BG111" s="28" t="s">
        <v>124</v>
      </c>
      <c r="BI111" s="28" t="s">
        <v>340</v>
      </c>
      <c r="BJ111" s="28" t="s">
        <v>118</v>
      </c>
      <c r="BN111" s="28" t="s">
        <v>1186</v>
      </c>
      <c r="BO111" s="28" t="s">
        <v>343</v>
      </c>
      <c r="BP111" s="28" t="s">
        <v>1205</v>
      </c>
      <c r="BQ1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9" ht="16" customHeight="1" x14ac:dyDescent="0.2">
      <c r="A112" s="28">
        <v>1502</v>
      </c>
      <c r="B112" s="28" t="s">
        <v>26</v>
      </c>
      <c r="C112" s="28" t="s">
        <v>124</v>
      </c>
      <c r="D112" s="28" t="s">
        <v>120</v>
      </c>
      <c r="E112" s="28" t="s">
        <v>383</v>
      </c>
      <c r="F112" s="34" t="str">
        <f>IF(ISBLANK(Table2[[#This Row],[unique_id]]), "", PROPER(SUBSTITUTE(Table2[[#This Row],[unique_id]], "_", " ")))</f>
        <v>Parents Fan</v>
      </c>
      <c r="G112" s="28" t="s">
        <v>181</v>
      </c>
      <c r="H112" s="28" t="s">
        <v>122</v>
      </c>
      <c r="I112" s="28" t="s">
        <v>123</v>
      </c>
      <c r="J112" s="28" t="s">
        <v>440</v>
      </c>
      <c r="M112" s="28" t="s">
        <v>127</v>
      </c>
      <c r="O112" s="29" t="s">
        <v>736</v>
      </c>
      <c r="P112" s="28" t="s">
        <v>155</v>
      </c>
      <c r="Q112" s="28" t="s">
        <v>708</v>
      </c>
      <c r="R112" s="28" t="str">
        <f>Table2[[#This Row],[entity_domain]]</f>
        <v>Fans</v>
      </c>
      <c r="S112" s="28" t="str">
        <f>_xlfn.CONCAT( Table2[[#This Row],[device_suggested_area]], " ",Table2[[#This Row],[powercalc_group_3]])</f>
        <v>Parents Fans</v>
      </c>
      <c r="T112" s="35" t="s">
        <v>703</v>
      </c>
      <c r="U112" s="35"/>
      <c r="V112" s="35"/>
      <c r="W112" s="28"/>
      <c r="Y112" s="29"/>
      <c r="Z112" s="29"/>
      <c r="AA112" s="29"/>
      <c r="AB112" s="29"/>
      <c r="AH112" s="28" t="s">
        <v>230</v>
      </c>
      <c r="AJ112" s="29"/>
      <c r="AK112" s="29"/>
      <c r="AV112" s="28"/>
      <c r="AW112" s="38"/>
      <c r="AY1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Z1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BA1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2" s="28" t="str">
        <f>IF(ISBLANK(Table2[[#This Row],[device_model]]), "", Table2[[#This Row],[device_suggested_area]])</f>
        <v>Parents</v>
      </c>
      <c r="BE112" s="28" t="s">
        <v>440</v>
      </c>
      <c r="BF112" s="28" t="s">
        <v>341</v>
      </c>
      <c r="BG112" s="28" t="s">
        <v>124</v>
      </c>
      <c r="BI112" s="28" t="s">
        <v>340</v>
      </c>
      <c r="BJ112" s="28" t="s">
        <v>181</v>
      </c>
      <c r="BN112" s="28" t="s">
        <v>1186</v>
      </c>
      <c r="BO112" s="28" t="s">
        <v>346</v>
      </c>
      <c r="BP112" s="28" t="s">
        <v>1206</v>
      </c>
      <c r="BQ1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9" ht="16" customHeight="1" x14ac:dyDescent="0.2">
      <c r="A113" s="28">
        <v>1503</v>
      </c>
      <c r="B113" s="28" t="s">
        <v>26</v>
      </c>
      <c r="C113" s="28" t="s">
        <v>756</v>
      </c>
      <c r="D113" s="28" t="s">
        <v>139</v>
      </c>
      <c r="E113" s="35" t="s">
        <v>867</v>
      </c>
      <c r="F113" s="34" t="str">
        <f>IF(ISBLANK(Table2[[#This Row],[unique_id]]), "", PROPER(SUBSTITUTE(Table2[[#This Row],[unique_id]], "_", " ")))</f>
        <v>Template Kitchen Fan Plug Proxy</v>
      </c>
      <c r="G113" s="28" t="s">
        <v>195</v>
      </c>
      <c r="H113" s="28" t="s">
        <v>122</v>
      </c>
      <c r="I113" s="28" t="s">
        <v>123</v>
      </c>
      <c r="O113" s="29" t="s">
        <v>736</v>
      </c>
      <c r="P113" s="28" t="s">
        <v>155</v>
      </c>
      <c r="Q113" s="28" t="s">
        <v>708</v>
      </c>
      <c r="R113" s="28" t="str">
        <f>Table2[[#This Row],[entity_domain]]</f>
        <v>Fans</v>
      </c>
      <c r="S113" s="28" t="str">
        <f>_xlfn.CONCAT( Table2[[#This Row],[device_suggested_area]], " ",Table2[[#This Row],[powercalc_group_3]])</f>
        <v>Kitchen Fans</v>
      </c>
      <c r="T113" s="35" t="s">
        <v>1015</v>
      </c>
      <c r="U113" s="35"/>
      <c r="V113" s="35"/>
      <c r="W113" s="28"/>
      <c r="Y113" s="29"/>
      <c r="Z113" s="29"/>
      <c r="AA113" s="29"/>
      <c r="AB113" s="29"/>
      <c r="AJ113" s="29"/>
      <c r="AK113" s="29"/>
      <c r="AV113" s="28"/>
      <c r="AW113" s="38"/>
      <c r="AX113" s="28" t="s">
        <v>120</v>
      </c>
      <c r="AY1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3" s="28" t="str">
        <f>IF(ISBLANK(Table2[[#This Row],[device_model]]), "", Table2[[#This Row],[device_suggested_area]])</f>
        <v>Kitchen</v>
      </c>
      <c r="BE113" s="28" t="s">
        <v>440</v>
      </c>
      <c r="BF113" s="28" t="s">
        <v>862</v>
      </c>
      <c r="BG113" s="28" t="s">
        <v>1053</v>
      </c>
      <c r="BI113" s="28" t="s">
        <v>835</v>
      </c>
      <c r="BJ113" s="28" t="s">
        <v>195</v>
      </c>
      <c r="BO113" s="28"/>
      <c r="BQ1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9" ht="16" customHeight="1" x14ac:dyDescent="0.2">
      <c r="A114" s="28">
        <v>1504</v>
      </c>
      <c r="B114" s="28" t="s">
        <v>26</v>
      </c>
      <c r="C114" s="28" t="s">
        <v>658</v>
      </c>
      <c r="D114" s="28" t="s">
        <v>120</v>
      </c>
      <c r="E114" s="28" t="s">
        <v>779</v>
      </c>
      <c r="F114" s="34" t="str">
        <f>IF(ISBLANK(Table2[[#This Row],[unique_id]]), "", PROPER(SUBSTITUTE(Table2[[#This Row],[unique_id]], "_", " ")))</f>
        <v>Kitchen Fan Plug</v>
      </c>
      <c r="G114" s="28" t="s">
        <v>195</v>
      </c>
      <c r="H114" s="28" t="s">
        <v>122</v>
      </c>
      <c r="I114" s="28" t="s">
        <v>123</v>
      </c>
      <c r="J114" s="28" t="s">
        <v>440</v>
      </c>
      <c r="M114" s="28" t="s">
        <v>127</v>
      </c>
      <c r="O114" s="29" t="s">
        <v>736</v>
      </c>
      <c r="P114" s="28" t="s">
        <v>155</v>
      </c>
      <c r="Q114" s="28" t="s">
        <v>708</v>
      </c>
      <c r="R114" s="28" t="str">
        <f>Table2[[#This Row],[entity_domain]]</f>
        <v>Fans</v>
      </c>
      <c r="S114" s="28" t="str">
        <f>_xlfn.CONCAT( Table2[[#This Row],[device_suggested_area]], " ",Table2[[#This Row],[powercalc_group_3]])</f>
        <v>Kitchen Fans</v>
      </c>
      <c r="T114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5"/>
      <c r="V114" s="35"/>
      <c r="W114" s="28"/>
      <c r="Y114" s="29"/>
      <c r="Z114" s="29"/>
      <c r="AA114" s="29"/>
      <c r="AB114" s="29"/>
      <c r="AD114" s="40" t="s">
        <v>1501</v>
      </c>
      <c r="AH114" s="28" t="s">
        <v>230</v>
      </c>
      <c r="AI114" s="28">
        <v>10</v>
      </c>
      <c r="AJ114" s="29" t="s">
        <v>34</v>
      </c>
      <c r="AK114" s="29" t="s">
        <v>844</v>
      </c>
      <c r="AL114" s="28" t="s">
        <v>779</v>
      </c>
      <c r="AM114" s="28" t="str">
        <f>_xlfn.CONCAT("homeassistant/", Table2[[#This Row],[entity_namespace]], "/tasmota/",Table2[[#This Row],[unique_id]], "/config")</f>
        <v>homeassistant/fan/tasmota/kitchen_fan_plug/config</v>
      </c>
      <c r="AN114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O114" s="28" t="str">
        <f>_xlfn.CONCAT("tasmota/device/",Table2[[#This Row],[unique_id]], "/cmnd/POWER")</f>
        <v>tasmota/device/kitchen_fan_plug/cmnd/POWER</v>
      </c>
      <c r="AP114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4" s="28" t="s">
        <v>863</v>
      </c>
      <c r="AR114" s="28" t="s">
        <v>864</v>
      </c>
      <c r="AS114" s="28" t="s">
        <v>853</v>
      </c>
      <c r="AT114" s="28" t="s">
        <v>854</v>
      </c>
      <c r="AU114" s="28" t="s">
        <v>917</v>
      </c>
      <c r="AV114" s="28">
        <v>1</v>
      </c>
      <c r="AW114" s="32" t="str">
        <f>HYPERLINK(_xlfn.CONCAT("http://", Table2[[#This Row],[connection_ip]], "/?"))</f>
        <v>http://10.0.4.104/?</v>
      </c>
      <c r="AY1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BB1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4" s="28" t="str">
        <f>IF(ISBLANK(Table2[[#This Row],[device_model]]), "", Table2[[#This Row],[device_suggested_area]])</f>
        <v>Kitchen</v>
      </c>
      <c r="BE114" s="28" t="s">
        <v>440</v>
      </c>
      <c r="BF114" s="28" t="s">
        <v>862</v>
      </c>
      <c r="BG114" s="28" t="s">
        <v>1053</v>
      </c>
      <c r="BI114" s="28" t="s">
        <v>835</v>
      </c>
      <c r="BJ114" s="28" t="s">
        <v>195</v>
      </c>
      <c r="BN114" s="28" t="s">
        <v>1186</v>
      </c>
      <c r="BO114" s="28" t="s">
        <v>868</v>
      </c>
      <c r="BP114" s="28" t="s">
        <v>1208</v>
      </c>
      <c r="BQ1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9" ht="16" customHeight="1" x14ac:dyDescent="0.2">
      <c r="A115" s="28">
        <v>1505</v>
      </c>
      <c r="B115" s="28" t="s">
        <v>26</v>
      </c>
      <c r="C115" s="28" t="s">
        <v>658</v>
      </c>
      <c r="D115" s="28" t="s">
        <v>27</v>
      </c>
      <c r="E115" s="28" t="s">
        <v>869</v>
      </c>
      <c r="F115" s="34" t="str">
        <f>IF(ISBLANK(Table2[[#This Row],[unique_id]]), "", PROPER(SUBSTITUTE(Table2[[#This Row],[unique_id]], "_", " ")))</f>
        <v>Kitchen Fan Plug Energy Power</v>
      </c>
      <c r="G115" s="28" t="s">
        <v>195</v>
      </c>
      <c r="H115" s="28" t="s">
        <v>122</v>
      </c>
      <c r="I115" s="28" t="s">
        <v>123</v>
      </c>
      <c r="O115" s="29"/>
      <c r="P115" s="28"/>
      <c r="T115" s="35"/>
      <c r="U115" s="35"/>
      <c r="V115" s="35"/>
      <c r="W115" s="28"/>
      <c r="Y115" s="29"/>
      <c r="Z115" s="29"/>
      <c r="AA115" s="29"/>
      <c r="AB115" s="29"/>
      <c r="AE115" s="28" t="s">
        <v>31</v>
      </c>
      <c r="AF115" s="28" t="s">
        <v>298</v>
      </c>
      <c r="AG115" s="28" t="s">
        <v>845</v>
      </c>
      <c r="AI115" s="28">
        <v>10</v>
      </c>
      <c r="AJ115" s="29" t="s">
        <v>34</v>
      </c>
      <c r="AK115" s="29" t="s">
        <v>844</v>
      </c>
      <c r="AL115" s="28" t="s">
        <v>779</v>
      </c>
      <c r="AM115" s="28" t="str">
        <f>_xlfn.CONCAT("homeassistant/", Table2[[#This Row],[entity_namespace]], "/tasmota/",Table2[[#This Row],[unique_id]], "/config")</f>
        <v>homeassistant/sensor/tasmota/kitchen_fan_plug_energy_power/config</v>
      </c>
      <c r="AN115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P115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5" s="28" t="s">
        <v>863</v>
      </c>
      <c r="AR115" s="28" t="s">
        <v>864</v>
      </c>
      <c r="AS115" s="28" t="s">
        <v>853</v>
      </c>
      <c r="AT115" s="28" t="s">
        <v>854</v>
      </c>
      <c r="AU115" s="28" t="s">
        <v>1049</v>
      </c>
      <c r="AV115" s="28">
        <v>1</v>
      </c>
      <c r="AW115" s="32"/>
      <c r="AY1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BB1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5" s="28" t="str">
        <f>IF(ISBLANK(Table2[[#This Row],[device_model]]), "", Table2[[#This Row],[device_suggested_area]])</f>
        <v>Kitchen</v>
      </c>
      <c r="BE115" s="28" t="s">
        <v>440</v>
      </c>
      <c r="BF115" s="28" t="s">
        <v>862</v>
      </c>
      <c r="BG115" s="28" t="s">
        <v>1053</v>
      </c>
      <c r="BI115" s="28" t="s">
        <v>835</v>
      </c>
      <c r="BJ115" s="28" t="s">
        <v>195</v>
      </c>
      <c r="BO115" s="28"/>
      <c r="BQ1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9" ht="16" customHeight="1" x14ac:dyDescent="0.2">
      <c r="A116" s="28">
        <v>1506</v>
      </c>
      <c r="B116" s="28" t="s">
        <v>26</v>
      </c>
      <c r="C116" s="28" t="s">
        <v>658</v>
      </c>
      <c r="D116" s="28" t="s">
        <v>27</v>
      </c>
      <c r="E116" s="28" t="s">
        <v>870</v>
      </c>
      <c r="F116" s="34" t="str">
        <f>IF(ISBLANK(Table2[[#This Row],[unique_id]]), "", PROPER(SUBSTITUTE(Table2[[#This Row],[unique_id]], "_", " ")))</f>
        <v>Kitchen Fan Plug Energy Total</v>
      </c>
      <c r="G116" s="28" t="s">
        <v>195</v>
      </c>
      <c r="H116" s="28" t="s">
        <v>122</v>
      </c>
      <c r="I116" s="28" t="s">
        <v>123</v>
      </c>
      <c r="O116" s="29"/>
      <c r="P116" s="28"/>
      <c r="T116" s="35"/>
      <c r="U116" s="35"/>
      <c r="V116" s="35"/>
      <c r="W116" s="28"/>
      <c r="Y116" s="29"/>
      <c r="Z116" s="29"/>
      <c r="AA116" s="29"/>
      <c r="AB116" s="29"/>
      <c r="AE116" s="28" t="s">
        <v>70</v>
      </c>
      <c r="AF116" s="28" t="s">
        <v>299</v>
      </c>
      <c r="AG116" s="28" t="s">
        <v>846</v>
      </c>
      <c r="AI116" s="28">
        <v>10</v>
      </c>
      <c r="AJ116" s="29" t="s">
        <v>34</v>
      </c>
      <c r="AK116" s="29" t="s">
        <v>844</v>
      </c>
      <c r="AL116" s="28" t="s">
        <v>779</v>
      </c>
      <c r="AM116" s="28" t="str">
        <f>_xlfn.CONCAT("homeassistant/", Table2[[#This Row],[entity_namespace]], "/tasmota/",Table2[[#This Row],[unique_id]], "/config")</f>
        <v>homeassistant/sensor/tasmota/kitchen_fan_plug_energy_total/config</v>
      </c>
      <c r="AN116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P116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6" s="28" t="s">
        <v>863</v>
      </c>
      <c r="AR116" s="28" t="s">
        <v>864</v>
      </c>
      <c r="AS116" s="28" t="s">
        <v>853</v>
      </c>
      <c r="AT116" s="28" t="s">
        <v>854</v>
      </c>
      <c r="AU116" s="28" t="s">
        <v>1050</v>
      </c>
      <c r="AV116" s="28">
        <v>1</v>
      </c>
      <c r="AW116" s="32"/>
      <c r="AY1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BB1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6" s="28" t="str">
        <f>IF(ISBLANK(Table2[[#This Row],[device_model]]), "", Table2[[#This Row],[device_suggested_area]])</f>
        <v>Kitchen</v>
      </c>
      <c r="BE116" s="28" t="s">
        <v>440</v>
      </c>
      <c r="BF116" s="28" t="s">
        <v>862</v>
      </c>
      <c r="BG116" s="28" t="s">
        <v>1053</v>
      </c>
      <c r="BI116" s="28" t="s">
        <v>835</v>
      </c>
      <c r="BJ116" s="28" t="s">
        <v>195</v>
      </c>
      <c r="BO116" s="28"/>
      <c r="BQ1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9" ht="16" customHeight="1" x14ac:dyDescent="0.2">
      <c r="A117" s="28">
        <v>1507</v>
      </c>
      <c r="B117" s="28" t="s">
        <v>26</v>
      </c>
      <c r="C117" s="28" t="s">
        <v>124</v>
      </c>
      <c r="D117" s="28" t="s">
        <v>120</v>
      </c>
      <c r="E117" s="28" t="s">
        <v>384</v>
      </c>
      <c r="F117" s="34" t="str">
        <f>IF(ISBLANK(Table2[[#This Row],[unique_id]]), "", PROPER(SUBSTITUTE(Table2[[#This Row],[unique_id]], "_", " ")))</f>
        <v>Lounge Fan</v>
      </c>
      <c r="G117" s="28" t="s">
        <v>183</v>
      </c>
      <c r="H117" s="28" t="s">
        <v>122</v>
      </c>
      <c r="I117" s="28" t="s">
        <v>123</v>
      </c>
      <c r="J117" s="28" t="s">
        <v>440</v>
      </c>
      <c r="M117" s="28" t="s">
        <v>127</v>
      </c>
      <c r="O117" s="29" t="s">
        <v>736</v>
      </c>
      <c r="P117" s="28" t="s">
        <v>155</v>
      </c>
      <c r="Q117" s="28" t="s">
        <v>708</v>
      </c>
      <c r="R117" s="28" t="str">
        <f>Table2[[#This Row],[entity_domain]]</f>
        <v>Fans</v>
      </c>
      <c r="S117" s="28" t="str">
        <f>_xlfn.CONCAT( Table2[[#This Row],[device_suggested_area]], " ",Table2[[#This Row],[powercalc_group_3]])</f>
        <v>Lounge Fans</v>
      </c>
      <c r="T117" s="35" t="s">
        <v>703</v>
      </c>
      <c r="U117" s="35"/>
      <c r="V117" s="35"/>
      <c r="W117" s="28"/>
      <c r="Y117" s="29"/>
      <c r="Z117" s="29"/>
      <c r="AA117" s="29"/>
      <c r="AB117" s="29"/>
      <c r="AH117" s="28" t="s">
        <v>230</v>
      </c>
      <c r="AJ117" s="29"/>
      <c r="AK117" s="29"/>
      <c r="AV117" s="28"/>
      <c r="AW117" s="38"/>
      <c r="AY1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Z1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BA1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7" s="28" t="str">
        <f>IF(ISBLANK(Table2[[#This Row],[device_model]]), "", Table2[[#This Row],[device_suggested_area]])</f>
        <v>Lounge</v>
      </c>
      <c r="BE117" s="28" t="s">
        <v>440</v>
      </c>
      <c r="BF117" s="28" t="s">
        <v>341</v>
      </c>
      <c r="BG117" s="28" t="s">
        <v>124</v>
      </c>
      <c r="BI117" s="28" t="s">
        <v>340</v>
      </c>
      <c r="BJ117" s="28" t="s">
        <v>183</v>
      </c>
      <c r="BN117" s="28" t="s">
        <v>1186</v>
      </c>
      <c r="BO117" s="28" t="s">
        <v>347</v>
      </c>
      <c r="BP117" s="28" t="s">
        <v>1209</v>
      </c>
      <c r="BQ1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9" ht="16" customHeight="1" x14ac:dyDescent="0.2">
      <c r="A118" s="28">
        <v>1508</v>
      </c>
      <c r="B118" s="28" t="s">
        <v>26</v>
      </c>
      <c r="C118" s="28" t="s">
        <v>124</v>
      </c>
      <c r="D118" s="28" t="s">
        <v>120</v>
      </c>
      <c r="E118" s="28" t="s">
        <v>385</v>
      </c>
      <c r="F118" s="34" t="str">
        <f>IF(ISBLANK(Table2[[#This Row],[unique_id]]), "", PROPER(SUBSTITUTE(Table2[[#This Row],[unique_id]], "_", " ")))</f>
        <v>Deck Fan</v>
      </c>
      <c r="G118" s="28" t="s">
        <v>328</v>
      </c>
      <c r="H118" s="28" t="s">
        <v>122</v>
      </c>
      <c r="I118" s="28" t="s">
        <v>123</v>
      </c>
      <c r="J118" s="28" t="s">
        <v>669</v>
      </c>
      <c r="M118" s="28" t="s">
        <v>127</v>
      </c>
      <c r="O118" s="29"/>
      <c r="P118" s="28"/>
      <c r="T118" s="35"/>
      <c r="U118" s="35"/>
      <c r="V118" s="35"/>
      <c r="W118" s="28"/>
      <c r="Y118" s="29"/>
      <c r="Z118" s="29"/>
      <c r="AA118" s="29"/>
      <c r="AB118" s="29"/>
      <c r="AH118" s="28" t="s">
        <v>230</v>
      </c>
      <c r="AJ118" s="29"/>
      <c r="AK118" s="29"/>
      <c r="AV118" s="28"/>
      <c r="AW118" s="38"/>
      <c r="AX118" s="29"/>
      <c r="AY1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8" s="28" t="str">
        <f>IF(ISBLANK(Table2[[#This Row],[device_model]]), "", Table2[[#This Row],[device_suggested_area]])</f>
        <v/>
      </c>
      <c r="BI118" s="29"/>
      <c r="BJ118" s="28" t="s">
        <v>328</v>
      </c>
      <c r="BO118" s="28"/>
      <c r="BQ1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9" ht="16" customHeight="1" x14ac:dyDescent="0.2">
      <c r="A119" s="28">
        <v>1509</v>
      </c>
      <c r="B119" s="28" t="s">
        <v>26</v>
      </c>
      <c r="C119" s="28" t="s">
        <v>124</v>
      </c>
      <c r="D119" s="28" t="s">
        <v>120</v>
      </c>
      <c r="E119" s="28" t="s">
        <v>386</v>
      </c>
      <c r="F119" s="34" t="str">
        <f>IF(ISBLANK(Table2[[#This Row],[unique_id]]), "", PROPER(SUBSTITUTE(Table2[[#This Row],[unique_id]], "_", " ")))</f>
        <v>Deck East Fan</v>
      </c>
      <c r="G119" s="28" t="s">
        <v>204</v>
      </c>
      <c r="H119" s="28" t="s">
        <v>122</v>
      </c>
      <c r="I119" s="28" t="s">
        <v>123</v>
      </c>
      <c r="O119" s="29" t="s">
        <v>736</v>
      </c>
      <c r="P119" s="28" t="s">
        <v>155</v>
      </c>
      <c r="Q119" s="28" t="s">
        <v>708</v>
      </c>
      <c r="R119" s="28" t="str">
        <f>Table2[[#This Row],[entity_domain]]</f>
        <v>Fans</v>
      </c>
      <c r="S119" s="28" t="str">
        <f>_xlfn.CONCAT( Table2[[#This Row],[device_suggested_area]], " ",Table2[[#This Row],[powercalc_group_3]])</f>
        <v>Deck Fans</v>
      </c>
      <c r="T119" s="35" t="s">
        <v>703</v>
      </c>
      <c r="U119" s="35"/>
      <c r="V119" s="35"/>
      <c r="W119" s="28"/>
      <c r="Y119" s="29"/>
      <c r="Z119" s="29"/>
      <c r="AA119" s="29"/>
      <c r="AB119" s="29"/>
      <c r="AH119" s="28" t="s">
        <v>230</v>
      </c>
      <c r="AJ119" s="29"/>
      <c r="AK119" s="29"/>
      <c r="AV119" s="28"/>
      <c r="AW119" s="38"/>
      <c r="AY1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Z1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BA1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9" s="28" t="str">
        <f>IF(ISBLANK(Table2[[#This Row],[device_model]]), "", Table2[[#This Row],[device_suggested_area]])</f>
        <v>Deck</v>
      </c>
      <c r="BE119" s="28" t="s">
        <v>963</v>
      </c>
      <c r="BF119" s="28" t="s">
        <v>341</v>
      </c>
      <c r="BG119" s="28" t="s">
        <v>124</v>
      </c>
      <c r="BI119" s="28" t="s">
        <v>340</v>
      </c>
      <c r="BJ119" s="28" t="s">
        <v>328</v>
      </c>
      <c r="BN119" s="28" t="s">
        <v>1186</v>
      </c>
      <c r="BO119" s="28" t="s">
        <v>344</v>
      </c>
      <c r="BP119" s="28" t="s">
        <v>1210</v>
      </c>
      <c r="BQ1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9" ht="16" customHeight="1" x14ac:dyDescent="0.2">
      <c r="A120" s="28">
        <v>1510</v>
      </c>
      <c r="B120" s="28" t="s">
        <v>26</v>
      </c>
      <c r="C120" s="28" t="s">
        <v>124</v>
      </c>
      <c r="D120" s="28" t="s">
        <v>120</v>
      </c>
      <c r="E120" s="28" t="s">
        <v>387</v>
      </c>
      <c r="F120" s="34" t="str">
        <f>IF(ISBLANK(Table2[[#This Row],[unique_id]]), "", PROPER(SUBSTITUTE(Table2[[#This Row],[unique_id]], "_", " ")))</f>
        <v>Deck West Fan</v>
      </c>
      <c r="G120" s="28" t="s">
        <v>203</v>
      </c>
      <c r="H120" s="28" t="s">
        <v>122</v>
      </c>
      <c r="I120" s="28" t="s">
        <v>123</v>
      </c>
      <c r="O120" s="29" t="s">
        <v>736</v>
      </c>
      <c r="P120" s="28" t="s">
        <v>155</v>
      </c>
      <c r="Q120" s="28" t="s">
        <v>708</v>
      </c>
      <c r="R120" s="28" t="str">
        <f>Table2[[#This Row],[entity_domain]]</f>
        <v>Fans</v>
      </c>
      <c r="S120" s="28" t="str">
        <f>_xlfn.CONCAT( Table2[[#This Row],[device_suggested_area]], " ",Table2[[#This Row],[powercalc_group_3]])</f>
        <v>Deck Fans</v>
      </c>
      <c r="T120" s="35" t="s">
        <v>703</v>
      </c>
      <c r="U120" s="35"/>
      <c r="V120" s="35"/>
      <c r="W120" s="28"/>
      <c r="Y120" s="29"/>
      <c r="Z120" s="29"/>
      <c r="AA120" s="29"/>
      <c r="AB120" s="29"/>
      <c r="AH120" s="28" t="s">
        <v>230</v>
      </c>
      <c r="AJ120" s="29"/>
      <c r="AK120" s="29"/>
      <c r="AV120" s="28"/>
      <c r="AW120" s="38"/>
      <c r="AY1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Z1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BA1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20" s="28" t="str">
        <f>IF(ISBLANK(Table2[[#This Row],[device_model]]), "", Table2[[#This Row],[device_suggested_area]])</f>
        <v>Deck</v>
      </c>
      <c r="BE120" s="28" t="s">
        <v>964</v>
      </c>
      <c r="BF120" s="28" t="s">
        <v>341</v>
      </c>
      <c r="BG120" s="28" t="s">
        <v>124</v>
      </c>
      <c r="BI120" s="28" t="s">
        <v>340</v>
      </c>
      <c r="BJ120" s="28" t="s">
        <v>328</v>
      </c>
      <c r="BN120" s="28" t="s">
        <v>1186</v>
      </c>
      <c r="BO120" s="28" t="s">
        <v>345</v>
      </c>
      <c r="BP120" s="37" t="s">
        <v>1211</v>
      </c>
      <c r="BQ1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9" ht="16" customHeight="1" x14ac:dyDescent="0.2">
      <c r="A121" s="28">
        <v>1550</v>
      </c>
      <c r="B121" s="28" t="s">
        <v>26</v>
      </c>
      <c r="C121" s="28" t="s">
        <v>756</v>
      </c>
      <c r="D121" s="28" t="s">
        <v>139</v>
      </c>
      <c r="E121" s="41" t="s">
        <v>755</v>
      </c>
      <c r="F121" s="34" t="str">
        <f>IF(ISBLANK(Table2[[#This Row],[unique_id]]), "", PROPER(SUBSTITUTE(Table2[[#This Row],[unique_id]], "_", " ")))</f>
        <v>Template Dining Air Purifier Proxy</v>
      </c>
      <c r="G121" s="28" t="s">
        <v>182</v>
      </c>
      <c r="H121" s="28" t="s">
        <v>420</v>
      </c>
      <c r="I121" s="28" t="s">
        <v>123</v>
      </c>
      <c r="O121" s="29" t="s">
        <v>736</v>
      </c>
      <c r="P121" s="28" t="s">
        <v>155</v>
      </c>
      <c r="Q121" s="28" t="s">
        <v>708</v>
      </c>
      <c r="R121" s="28" t="s">
        <v>122</v>
      </c>
      <c r="S121" s="28" t="str">
        <f>_xlfn.CONCAT( Table2[[#This Row],[device_suggested_area]], " ",Table2[[#This Row],[powercalc_group_3]])</f>
        <v>Dining Fans</v>
      </c>
      <c r="T121" s="35" t="s">
        <v>757</v>
      </c>
      <c r="U121" s="35"/>
      <c r="V121" s="35"/>
      <c r="W121" s="28"/>
      <c r="Y121" s="29"/>
      <c r="Z121" s="29"/>
      <c r="AA121" s="29"/>
      <c r="AB121" s="40"/>
      <c r="AC121" s="40"/>
      <c r="AD121" s="40"/>
      <c r="AJ121" s="29"/>
      <c r="AK121" s="29"/>
      <c r="AV121" s="28"/>
      <c r="AW121" s="42"/>
      <c r="AX121" s="28" t="s">
        <v>120</v>
      </c>
      <c r="AY1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Z1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A1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1" s="28" t="str">
        <f>Table2[[#This Row],[device_suggested_area]]</f>
        <v>Dining</v>
      </c>
      <c r="BD121" s="28" t="str">
        <f>IF(ISBLANK(Table2[[#This Row],[device_model]]), "", Table2[[#This Row],[device_suggested_area]])</f>
        <v>Dining</v>
      </c>
      <c r="BE121" s="28" t="s">
        <v>439</v>
      </c>
      <c r="BF121" s="28" t="s">
        <v>435</v>
      </c>
      <c r="BG121" s="28" t="s">
        <v>419</v>
      </c>
      <c r="BI121" s="28" t="s">
        <v>434</v>
      </c>
      <c r="BJ121" s="28" t="s">
        <v>182</v>
      </c>
      <c r="BL121" s="28" t="s">
        <v>650</v>
      </c>
      <c r="BO121" s="28"/>
      <c r="BQ1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9" ht="16" customHeight="1" x14ac:dyDescent="0.2">
      <c r="A122" s="28">
        <v>1551</v>
      </c>
      <c r="B122" s="28" t="s">
        <v>26</v>
      </c>
      <c r="C122" s="28" t="s">
        <v>419</v>
      </c>
      <c r="D122" s="28" t="s">
        <v>120</v>
      </c>
      <c r="E122" s="34" t="s">
        <v>492</v>
      </c>
      <c r="F122" s="34" t="str">
        <f>IF(ISBLANK(Table2[[#This Row],[unique_id]]), "", PROPER(SUBSTITUTE(Table2[[#This Row],[unique_id]], "_", " ")))</f>
        <v>Dining Air Purifier</v>
      </c>
      <c r="G122" s="28" t="s">
        <v>182</v>
      </c>
      <c r="H122" s="28" t="s">
        <v>420</v>
      </c>
      <c r="I122" s="28" t="s">
        <v>123</v>
      </c>
      <c r="J122" s="28" t="s">
        <v>439</v>
      </c>
      <c r="M122" s="28" t="s">
        <v>127</v>
      </c>
      <c r="O122" s="29"/>
      <c r="P122" s="28"/>
      <c r="T122" s="35"/>
      <c r="U122" s="35"/>
      <c r="V122" s="35"/>
      <c r="W122" s="28"/>
      <c r="Y122" s="29"/>
      <c r="Z122" s="29" t="s">
        <v>455</v>
      </c>
      <c r="AA122" s="29"/>
      <c r="AB122" s="40" t="s">
        <v>704</v>
      </c>
      <c r="AC122" s="40"/>
      <c r="AD122" s="40"/>
      <c r="AH122" s="28" t="s">
        <v>421</v>
      </c>
      <c r="AJ122" s="29"/>
      <c r="AK122" s="29"/>
      <c r="AV122" s="28"/>
      <c r="AW12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Y1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Z1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A1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2" s="28" t="str">
        <f>Table2[[#This Row],[device_suggested_area]]</f>
        <v>Dining</v>
      </c>
      <c r="BD122" s="28" t="str">
        <f>IF(ISBLANK(Table2[[#This Row],[device_model]]), "", Table2[[#This Row],[device_suggested_area]])</f>
        <v>Dining</v>
      </c>
      <c r="BE122" s="28" t="s">
        <v>439</v>
      </c>
      <c r="BF122" s="28" t="s">
        <v>435</v>
      </c>
      <c r="BG122" s="28" t="s">
        <v>419</v>
      </c>
      <c r="BI122" s="28" t="s">
        <v>434</v>
      </c>
      <c r="BJ122" s="28" t="s">
        <v>182</v>
      </c>
      <c r="BL122" s="28" t="s">
        <v>650</v>
      </c>
      <c r="BO122" s="28" t="s">
        <v>493</v>
      </c>
      <c r="BQ1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9" ht="16" customHeight="1" x14ac:dyDescent="0.2">
      <c r="A123" s="28">
        <v>1552</v>
      </c>
      <c r="B123" s="28" t="s">
        <v>26</v>
      </c>
      <c r="C123" s="28" t="s">
        <v>756</v>
      </c>
      <c r="D123" s="28" t="s">
        <v>139</v>
      </c>
      <c r="E123" s="41" t="s">
        <v>754</v>
      </c>
      <c r="F123" s="34" t="str">
        <f>IF(ISBLANK(Table2[[#This Row],[unique_id]]), "", PROPER(SUBSTITUTE(Table2[[#This Row],[unique_id]], "_", " ")))</f>
        <v>Template Lounge Air Purifier Proxy</v>
      </c>
      <c r="G123" s="28" t="s">
        <v>183</v>
      </c>
      <c r="H123" s="28" t="s">
        <v>420</v>
      </c>
      <c r="I123" s="28" t="s">
        <v>123</v>
      </c>
      <c r="O123" s="29" t="s">
        <v>736</v>
      </c>
      <c r="P123" s="28" t="s">
        <v>155</v>
      </c>
      <c r="Q123" s="28" t="s">
        <v>708</v>
      </c>
      <c r="R123" s="28" t="s">
        <v>122</v>
      </c>
      <c r="S123" s="28" t="str">
        <f>_xlfn.CONCAT( Table2[[#This Row],[device_suggested_area]], " ",Table2[[#This Row],[powercalc_group_3]])</f>
        <v>Lounge Fans</v>
      </c>
      <c r="T123" s="35" t="s">
        <v>757</v>
      </c>
      <c r="U123" s="35"/>
      <c r="V123" s="35"/>
      <c r="W123" s="28"/>
      <c r="Y123" s="29"/>
      <c r="Z123" s="29"/>
      <c r="AA123" s="29"/>
      <c r="AB123" s="40"/>
      <c r="AC123" s="40"/>
      <c r="AD123" s="40"/>
      <c r="AJ123" s="29"/>
      <c r="AK123" s="29"/>
      <c r="AV123" s="28"/>
      <c r="AW123" s="42"/>
      <c r="AX123" s="28" t="s">
        <v>120</v>
      </c>
      <c r="AY1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Z1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A1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3" s="28" t="str">
        <f>Table2[[#This Row],[device_suggested_area]]</f>
        <v>Lounge</v>
      </c>
      <c r="BD123" s="28" t="str">
        <f>IF(ISBLANK(Table2[[#This Row],[device_model]]), "", Table2[[#This Row],[device_suggested_area]])</f>
        <v>Lounge</v>
      </c>
      <c r="BE123" s="28" t="s">
        <v>439</v>
      </c>
      <c r="BF123" s="28" t="s">
        <v>435</v>
      </c>
      <c r="BG123" s="28" t="s">
        <v>419</v>
      </c>
      <c r="BI123" s="28" t="s">
        <v>434</v>
      </c>
      <c r="BJ123" s="28" t="s">
        <v>183</v>
      </c>
      <c r="BL123" s="28" t="s">
        <v>650</v>
      </c>
      <c r="BO123" s="28"/>
      <c r="BQ1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9" ht="16" customHeight="1" x14ac:dyDescent="0.2">
      <c r="A124" s="28">
        <v>1553</v>
      </c>
      <c r="B124" s="28" t="s">
        <v>26</v>
      </c>
      <c r="C124" s="28" t="s">
        <v>419</v>
      </c>
      <c r="D124" s="28" t="s">
        <v>120</v>
      </c>
      <c r="E124" s="34" t="s">
        <v>423</v>
      </c>
      <c r="F124" s="34" t="str">
        <f>IF(ISBLANK(Table2[[#This Row],[unique_id]]), "", PROPER(SUBSTITUTE(Table2[[#This Row],[unique_id]], "_", " ")))</f>
        <v>Lounge Air Purifier</v>
      </c>
      <c r="G124" s="28" t="s">
        <v>183</v>
      </c>
      <c r="H124" s="28" t="s">
        <v>420</v>
      </c>
      <c r="I124" s="28" t="s">
        <v>123</v>
      </c>
      <c r="J124" s="28" t="s">
        <v>439</v>
      </c>
      <c r="M124" s="28" t="s">
        <v>127</v>
      </c>
      <c r="O124" s="29"/>
      <c r="P124" s="28"/>
      <c r="T124" s="35"/>
      <c r="U124" s="35"/>
      <c r="V124" s="35"/>
      <c r="W124" s="28"/>
      <c r="Y124" s="29"/>
      <c r="Z124" s="29" t="s">
        <v>455</v>
      </c>
      <c r="AA124" s="29"/>
      <c r="AB124" s="40" t="s">
        <v>704</v>
      </c>
      <c r="AC124" s="40"/>
      <c r="AD124" s="40"/>
      <c r="AH124" s="28" t="s">
        <v>421</v>
      </c>
      <c r="AJ124" s="29"/>
      <c r="AK124" s="29"/>
      <c r="AV124" s="28"/>
      <c r="AW12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Y1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Z1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A1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4" s="28" t="str">
        <f>Table2[[#This Row],[device_suggested_area]]</f>
        <v>Lounge</v>
      </c>
      <c r="BD124" s="28" t="str">
        <f>IF(ISBLANK(Table2[[#This Row],[device_model]]), "", Table2[[#This Row],[device_suggested_area]])</f>
        <v>Lounge</v>
      </c>
      <c r="BE124" s="28" t="s">
        <v>439</v>
      </c>
      <c r="BF124" s="28" t="s">
        <v>435</v>
      </c>
      <c r="BG124" s="28" t="s">
        <v>419</v>
      </c>
      <c r="BI124" s="28" t="s">
        <v>434</v>
      </c>
      <c r="BJ124" s="28" t="s">
        <v>183</v>
      </c>
      <c r="BL124" s="28" t="s">
        <v>650</v>
      </c>
      <c r="BO124" s="28" t="s">
        <v>445</v>
      </c>
      <c r="BQ1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9" ht="16" customHeight="1" x14ac:dyDescent="0.2">
      <c r="A125" s="28">
        <v>1554</v>
      </c>
      <c r="B125" s="28" t="s">
        <v>26</v>
      </c>
      <c r="C125" s="28" t="s">
        <v>756</v>
      </c>
      <c r="D125" s="28" t="s">
        <v>139</v>
      </c>
      <c r="E125" s="41" t="s">
        <v>1161</v>
      </c>
      <c r="F125" s="34" t="str">
        <f>IF(ISBLANK(Table2[[#This Row],[unique_id]]), "", PROPER(SUBSTITUTE(Table2[[#This Row],[unique_id]], "_", " ")))</f>
        <v>Template Parents Air Purifier Proxy</v>
      </c>
      <c r="G125" s="28" t="s">
        <v>181</v>
      </c>
      <c r="H125" s="28" t="s">
        <v>420</v>
      </c>
      <c r="I125" s="28" t="s">
        <v>123</v>
      </c>
      <c r="O125" s="29" t="s">
        <v>736</v>
      </c>
      <c r="P125" s="28" t="s">
        <v>155</v>
      </c>
      <c r="Q125" s="28" t="s">
        <v>708</v>
      </c>
      <c r="R125" s="28" t="s">
        <v>122</v>
      </c>
      <c r="S125" s="28" t="str">
        <f>_xlfn.CONCAT( Table2[[#This Row],[device_suggested_area]], " ",Table2[[#This Row],[powercalc_group_3]])</f>
        <v>Parents Fans</v>
      </c>
      <c r="T125" s="35" t="s">
        <v>757</v>
      </c>
      <c r="U125" s="35"/>
      <c r="V125" s="35"/>
      <c r="W125" s="28"/>
      <c r="Y125" s="29"/>
      <c r="Z125" s="29"/>
      <c r="AA125" s="29"/>
      <c r="AB125" s="40"/>
      <c r="AC125" s="40"/>
      <c r="AD125" s="40"/>
      <c r="AJ125" s="29"/>
      <c r="AK125" s="29"/>
      <c r="AV125" s="28"/>
      <c r="AW125" s="42"/>
      <c r="AX125" s="28" t="s">
        <v>120</v>
      </c>
      <c r="AY1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Z1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A1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5" s="28" t="str">
        <f>Table2[[#This Row],[device_suggested_area]]</f>
        <v>Parents</v>
      </c>
      <c r="BD125" s="28" t="str">
        <f>IF(ISBLANK(Table2[[#This Row],[device_model]]), "", Table2[[#This Row],[device_suggested_area]])</f>
        <v>Parents</v>
      </c>
      <c r="BE125" s="28" t="s">
        <v>439</v>
      </c>
      <c r="BF125" s="28" t="s">
        <v>435</v>
      </c>
      <c r="BG125" s="28" t="s">
        <v>419</v>
      </c>
      <c r="BI125" s="28" t="s">
        <v>434</v>
      </c>
      <c r="BJ125" s="28" t="s">
        <v>181</v>
      </c>
      <c r="BL125" s="28" t="s">
        <v>650</v>
      </c>
      <c r="BO125" s="28"/>
      <c r="BQ1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9" ht="16" customHeight="1" x14ac:dyDescent="0.2">
      <c r="A126" s="28">
        <v>1555</v>
      </c>
      <c r="B126" s="28" t="s">
        <v>26</v>
      </c>
      <c r="C126" s="28" t="s">
        <v>419</v>
      </c>
      <c r="D126" s="28" t="s">
        <v>120</v>
      </c>
      <c r="E126" s="34" t="s">
        <v>1162</v>
      </c>
      <c r="F126" s="34" t="str">
        <f>IF(ISBLANK(Table2[[#This Row],[unique_id]]), "", PROPER(SUBSTITUTE(Table2[[#This Row],[unique_id]], "_", " ")))</f>
        <v>Parents Air Purifier</v>
      </c>
      <c r="G126" s="28" t="s">
        <v>181</v>
      </c>
      <c r="H126" s="28" t="s">
        <v>420</v>
      </c>
      <c r="I126" s="28" t="s">
        <v>123</v>
      </c>
      <c r="J126" s="28" t="s">
        <v>439</v>
      </c>
      <c r="M126" s="28" t="s">
        <v>127</v>
      </c>
      <c r="O126" s="29"/>
      <c r="P126" s="28"/>
      <c r="T126" s="35"/>
      <c r="U126" s="35"/>
      <c r="V126" s="35"/>
      <c r="W126" s="28"/>
      <c r="Y126" s="29"/>
      <c r="Z126" s="29" t="s">
        <v>455</v>
      </c>
      <c r="AA126" s="29"/>
      <c r="AB126" s="40" t="s">
        <v>704</v>
      </c>
      <c r="AC126" s="40"/>
      <c r="AD126" s="40"/>
      <c r="AH126" s="28" t="s">
        <v>421</v>
      </c>
      <c r="AJ126" s="29"/>
      <c r="AK126" s="29"/>
      <c r="AV126" s="28"/>
      <c r="AW12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Y1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Z1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A1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6" s="28" t="str">
        <f>Table2[[#This Row],[device_suggested_area]]</f>
        <v>Parents</v>
      </c>
      <c r="BD126" s="28" t="str">
        <f>IF(ISBLANK(Table2[[#This Row],[device_model]]), "", Table2[[#This Row],[device_suggested_area]])</f>
        <v>Parents</v>
      </c>
      <c r="BE126" s="28" t="s">
        <v>439</v>
      </c>
      <c r="BF126" s="28" t="s">
        <v>435</v>
      </c>
      <c r="BG126" s="28" t="s">
        <v>419</v>
      </c>
      <c r="BI126" s="28" t="s">
        <v>434</v>
      </c>
      <c r="BJ126" s="28" t="s">
        <v>181</v>
      </c>
      <c r="BL126" s="28" t="s">
        <v>650</v>
      </c>
      <c r="BO126" s="28" t="s">
        <v>1254</v>
      </c>
      <c r="BQ1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9" ht="16" customHeight="1" x14ac:dyDescent="0.2">
      <c r="A127" s="28">
        <v>1556</v>
      </c>
      <c r="B127" s="28" t="s">
        <v>26</v>
      </c>
      <c r="C127" s="28" t="s">
        <v>756</v>
      </c>
      <c r="D127" s="28" t="s">
        <v>139</v>
      </c>
      <c r="E127" s="41" t="s">
        <v>1160</v>
      </c>
      <c r="F127" s="34" t="str">
        <f>IF(ISBLANK(Table2[[#This Row],[unique_id]]), "", PROPER(SUBSTITUTE(Table2[[#This Row],[unique_id]], "_", " ")))</f>
        <v>Template Kitchen Air Purifier Proxy</v>
      </c>
      <c r="G127" s="28" t="s">
        <v>195</v>
      </c>
      <c r="H127" s="28" t="s">
        <v>420</v>
      </c>
      <c r="I127" s="28" t="s">
        <v>123</v>
      </c>
      <c r="O127" s="29" t="s">
        <v>736</v>
      </c>
      <c r="P127" s="28" t="s">
        <v>155</v>
      </c>
      <c r="Q127" s="28" t="s">
        <v>708</v>
      </c>
      <c r="R127" s="28" t="s">
        <v>122</v>
      </c>
      <c r="S127" s="28" t="str">
        <f>_xlfn.CONCAT( Table2[[#This Row],[device_suggested_area]], " ",Table2[[#This Row],[powercalc_group_3]])</f>
        <v>Kitchen Fans</v>
      </c>
      <c r="T127" s="35" t="s">
        <v>757</v>
      </c>
      <c r="U127" s="35"/>
      <c r="V127" s="35"/>
      <c r="W127" s="28"/>
      <c r="Y127" s="29"/>
      <c r="Z127" s="29"/>
      <c r="AA127" s="29"/>
      <c r="AB127" s="40"/>
      <c r="AC127" s="40"/>
      <c r="AD127" s="40"/>
      <c r="AJ127" s="29"/>
      <c r="AK127" s="29"/>
      <c r="AV127" s="28"/>
      <c r="AW127" s="42"/>
      <c r="AX127" s="28" t="s">
        <v>120</v>
      </c>
      <c r="AY1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7" s="28" t="str">
        <f>Table2[[#This Row],[device_suggested_area]]</f>
        <v>Kitchen</v>
      </c>
      <c r="BD127" s="28" t="str">
        <f>IF(ISBLANK(Table2[[#This Row],[device_model]]), "", Table2[[#This Row],[device_suggested_area]])</f>
        <v>Kitchen</v>
      </c>
      <c r="BE127" s="28" t="s">
        <v>439</v>
      </c>
      <c r="BF127" s="28" t="s">
        <v>435</v>
      </c>
      <c r="BG127" s="28" t="s">
        <v>419</v>
      </c>
      <c r="BI127" s="28" t="s">
        <v>434</v>
      </c>
      <c r="BJ127" s="28" t="s">
        <v>195</v>
      </c>
      <c r="BL127" s="28" t="s">
        <v>650</v>
      </c>
      <c r="BO127" s="28"/>
      <c r="BQ1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9" ht="16" customHeight="1" x14ac:dyDescent="0.2">
      <c r="A128" s="28">
        <v>1557</v>
      </c>
      <c r="B128" s="28" t="s">
        <v>26</v>
      </c>
      <c r="C128" s="28" t="s">
        <v>419</v>
      </c>
      <c r="D128" s="28" t="s">
        <v>120</v>
      </c>
      <c r="E128" s="34" t="s">
        <v>1159</v>
      </c>
      <c r="F128" s="34" t="str">
        <f>IF(ISBLANK(Table2[[#This Row],[unique_id]]), "", PROPER(SUBSTITUTE(Table2[[#This Row],[unique_id]], "_", " ")))</f>
        <v>Kitchen Air Purifier</v>
      </c>
      <c r="G128" s="28" t="s">
        <v>195</v>
      </c>
      <c r="H128" s="28" t="s">
        <v>420</v>
      </c>
      <c r="I128" s="28" t="s">
        <v>123</v>
      </c>
      <c r="J128" s="28" t="s">
        <v>439</v>
      </c>
      <c r="M128" s="28" t="s">
        <v>127</v>
      </c>
      <c r="O128" s="29"/>
      <c r="P128" s="28"/>
      <c r="T128" s="35"/>
      <c r="U128" s="35"/>
      <c r="V128" s="35"/>
      <c r="W128" s="28"/>
      <c r="Y128" s="29"/>
      <c r="Z128" s="29" t="s">
        <v>455</v>
      </c>
      <c r="AA128" s="29"/>
      <c r="AB128" s="40" t="s">
        <v>704</v>
      </c>
      <c r="AC128" s="40"/>
      <c r="AD128" s="40"/>
      <c r="AH128" s="28" t="s">
        <v>421</v>
      </c>
      <c r="AJ128" s="29"/>
      <c r="AK128" s="29"/>
      <c r="AV128" s="28"/>
      <c r="AW12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Y1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8" s="28" t="str">
        <f>Table2[[#This Row],[device_suggested_area]]</f>
        <v>Kitchen</v>
      </c>
      <c r="BD128" s="28" t="str">
        <f>IF(ISBLANK(Table2[[#This Row],[device_model]]), "", Table2[[#This Row],[device_suggested_area]])</f>
        <v>Kitchen</v>
      </c>
      <c r="BE128" s="28" t="s">
        <v>439</v>
      </c>
      <c r="BF128" s="28" t="s">
        <v>435</v>
      </c>
      <c r="BG128" s="28" t="s">
        <v>419</v>
      </c>
      <c r="BI128" s="28" t="s">
        <v>434</v>
      </c>
      <c r="BJ128" s="28" t="s">
        <v>195</v>
      </c>
      <c r="BL128" s="28" t="s">
        <v>650</v>
      </c>
      <c r="BO128" s="28" t="s">
        <v>1350</v>
      </c>
      <c r="BQ1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9" ht="16" customHeight="1" x14ac:dyDescent="0.2">
      <c r="A129" s="28">
        <v>1558</v>
      </c>
      <c r="B129" s="28" t="s">
        <v>543</v>
      </c>
      <c r="C129" s="28" t="s">
        <v>756</v>
      </c>
      <c r="D129" s="28" t="s">
        <v>139</v>
      </c>
      <c r="E129" s="41" t="s">
        <v>1348</v>
      </c>
      <c r="F129" s="34" t="str">
        <f>IF(ISBLANK(Table2[[#This Row],[unique_id]]), "", PROPER(SUBSTITUTE(Table2[[#This Row],[unique_id]], "_", " ")))</f>
        <v>Template Kitchen Air Purifier Proxy Old</v>
      </c>
      <c r="G129" s="28" t="s">
        <v>195</v>
      </c>
      <c r="H129" s="28" t="s">
        <v>420</v>
      </c>
      <c r="I129" s="28" t="s">
        <v>123</v>
      </c>
      <c r="O129" s="29" t="s">
        <v>736</v>
      </c>
      <c r="P129" s="28" t="s">
        <v>155</v>
      </c>
      <c r="Q129" s="28" t="s">
        <v>708</v>
      </c>
      <c r="R129" s="28" t="s">
        <v>122</v>
      </c>
      <c r="S129" s="28" t="str">
        <f>_xlfn.CONCAT( Table2[[#This Row],[device_suggested_area]], " ",Table2[[#This Row],[powercalc_group_3]])</f>
        <v>Kitchen Fans</v>
      </c>
      <c r="T129" s="35" t="s">
        <v>757</v>
      </c>
      <c r="U129" s="35"/>
      <c r="V129" s="35"/>
      <c r="W129" s="28"/>
      <c r="Y129" s="29"/>
      <c r="Z129" s="29"/>
      <c r="AA129" s="29"/>
      <c r="AB129" s="40"/>
      <c r="AC129" s="40"/>
      <c r="AD129" s="40"/>
      <c r="AJ129" s="29"/>
      <c r="AK129" s="29"/>
      <c r="AV129" s="28"/>
      <c r="AW129" s="42"/>
      <c r="AX129" s="28" t="s">
        <v>120</v>
      </c>
      <c r="AY1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9" s="28" t="str">
        <f>Table2[[#This Row],[device_suggested_area]]</f>
        <v>Kitchen</v>
      </c>
      <c r="BD129" s="28" t="str">
        <f>IF(ISBLANK(Table2[[#This Row],[device_model]]), "", Table2[[#This Row],[device_suggested_area]])</f>
        <v>Kitchen</v>
      </c>
      <c r="BE129" s="28" t="s">
        <v>439</v>
      </c>
      <c r="BF129" s="28" t="s">
        <v>435</v>
      </c>
      <c r="BG129" s="28" t="s">
        <v>419</v>
      </c>
      <c r="BI129" s="28" t="s">
        <v>434</v>
      </c>
      <c r="BJ129" s="28" t="s">
        <v>195</v>
      </c>
      <c r="BL129" s="28" t="s">
        <v>650</v>
      </c>
      <c r="BO129" s="28"/>
      <c r="BQ1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9" ht="16" customHeight="1" x14ac:dyDescent="0.2">
      <c r="A130" s="28">
        <v>1559</v>
      </c>
      <c r="B130" s="28" t="s">
        <v>543</v>
      </c>
      <c r="C130" s="28" t="s">
        <v>419</v>
      </c>
      <c r="D130" s="28" t="s">
        <v>120</v>
      </c>
      <c r="E130" s="34" t="s">
        <v>1349</v>
      </c>
      <c r="F130" s="34" t="str">
        <f>IF(ISBLANK(Table2[[#This Row],[unique_id]]), "", PROPER(SUBSTITUTE(Table2[[#This Row],[unique_id]], "_", " ")))</f>
        <v>Kitchen Air Purifier Old</v>
      </c>
      <c r="G130" s="28" t="s">
        <v>195</v>
      </c>
      <c r="H130" s="28" t="s">
        <v>420</v>
      </c>
      <c r="I130" s="28" t="s">
        <v>123</v>
      </c>
      <c r="J130" s="28" t="s">
        <v>439</v>
      </c>
      <c r="M130" s="28" t="s">
        <v>127</v>
      </c>
      <c r="O130" s="29"/>
      <c r="P130" s="28"/>
      <c r="T130" s="35"/>
      <c r="U130" s="35"/>
      <c r="V130" s="35"/>
      <c r="W130" s="28"/>
      <c r="Y130" s="29"/>
      <c r="Z130" s="29" t="s">
        <v>455</v>
      </c>
      <c r="AA130" s="29"/>
      <c r="AB130" s="40" t="s">
        <v>704</v>
      </c>
      <c r="AC130" s="40"/>
      <c r="AD130" s="40"/>
      <c r="AH130" s="28" t="s">
        <v>421</v>
      </c>
      <c r="AJ130" s="29"/>
      <c r="AK130" s="29"/>
      <c r="AV130" s="28"/>
      <c r="AW13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Y1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0" s="28" t="str">
        <f>Table2[[#This Row],[device_suggested_area]]</f>
        <v>Kitchen</v>
      </c>
      <c r="BD130" s="28" t="str">
        <f>IF(ISBLANK(Table2[[#This Row],[device_model]]), "", Table2[[#This Row],[device_suggested_area]])</f>
        <v>Kitchen</v>
      </c>
      <c r="BE130" s="28" t="s">
        <v>439</v>
      </c>
      <c r="BF130" s="28" t="s">
        <v>435</v>
      </c>
      <c r="BG130" s="28" t="s">
        <v>419</v>
      </c>
      <c r="BI130" s="28" t="s">
        <v>434</v>
      </c>
      <c r="BJ130" s="28" t="s">
        <v>195</v>
      </c>
      <c r="BL130" s="28" t="s">
        <v>650</v>
      </c>
      <c r="BO130" s="28" t="s">
        <v>1163</v>
      </c>
      <c r="BQ1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9" ht="16" customHeight="1" x14ac:dyDescent="0.2">
      <c r="A131" s="28">
        <v>1560</v>
      </c>
      <c r="B131" s="28" t="s">
        <v>26</v>
      </c>
      <c r="C131" s="28" t="s">
        <v>1247</v>
      </c>
      <c r="E131" s="43"/>
      <c r="F131" s="28" t="str">
        <f>IF(ISBLANK(Table2[[#This Row],[unique_id]]), "", PROPER(SUBSTITUTE(Table2[[#This Row],[unique_id]], "_", " ")))</f>
        <v/>
      </c>
      <c r="O131" s="29"/>
      <c r="P131" s="28"/>
      <c r="T131" s="35"/>
      <c r="U131" s="35"/>
      <c r="V131" s="35"/>
      <c r="W131" s="28"/>
      <c r="Y131" s="29"/>
      <c r="Z131" s="29"/>
      <c r="AA131" s="29"/>
      <c r="AB131" s="29"/>
      <c r="AJ131" s="29"/>
      <c r="AK131" s="29"/>
      <c r="AM131" s="28" t="str">
        <f>IF(ISBLANK(AL131),  "", _xlfn.CONCAT("haas/entity/sensor/", LOWER(C131), "/", E131, "/config"))</f>
        <v/>
      </c>
      <c r="AN131" s="28" t="str">
        <f>IF(ISBLANK(AL131),  "", _xlfn.CONCAT(LOWER(C131), "/", E131))</f>
        <v/>
      </c>
      <c r="AV131" s="28"/>
      <c r="AW131" s="38"/>
      <c r="AX131" s="38"/>
      <c r="AY1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Z1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BA1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C131" s="28" t="s">
        <v>1247</v>
      </c>
      <c r="BD131" s="28" t="str">
        <f>IF(ISBLANK(Table2[[#This Row],[device_model]]), "", Table2[[#This Row],[device_suggested_area]])</f>
        <v>Home</v>
      </c>
      <c r="BE131" s="28" t="s">
        <v>1251</v>
      </c>
      <c r="BF131" s="28" t="s">
        <v>1248</v>
      </c>
      <c r="BG131" s="28" t="s">
        <v>1247</v>
      </c>
      <c r="BI131" s="28" t="s">
        <v>1249</v>
      </c>
      <c r="BJ131" s="28" t="s">
        <v>155</v>
      </c>
      <c r="BN131" s="28" t="s">
        <v>1185</v>
      </c>
      <c r="BO131" s="44" t="s">
        <v>1250</v>
      </c>
      <c r="BQ1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9" ht="16" customHeight="1" x14ac:dyDescent="0.2">
      <c r="A132" s="28">
        <v>1561</v>
      </c>
      <c r="B132" s="28" t="s">
        <v>26</v>
      </c>
      <c r="C132" s="28" t="s">
        <v>409</v>
      </c>
      <c r="D132" s="28" t="s">
        <v>304</v>
      </c>
      <c r="E132" s="28" t="s">
        <v>303</v>
      </c>
      <c r="F132" s="34" t="str">
        <f>IF(ISBLANK(Table2[[#This Row],[unique_id]]), "", PROPER(SUBSTITUTE(Table2[[#This Row],[unique_id]], "_", " ")))</f>
        <v>Column Break</v>
      </c>
      <c r="G132" s="28" t="s">
        <v>300</v>
      </c>
      <c r="H132" s="28" t="s">
        <v>420</v>
      </c>
      <c r="I132" s="28" t="s">
        <v>123</v>
      </c>
      <c r="M132" s="28" t="s">
        <v>301</v>
      </c>
      <c r="N132" s="28" t="s">
        <v>302</v>
      </c>
      <c r="O132" s="29"/>
      <c r="P132" s="28"/>
      <c r="T132" s="35"/>
      <c r="U132" s="35"/>
      <c r="V132" s="35"/>
      <c r="W132" s="28"/>
      <c r="Y132" s="29"/>
      <c r="Z132" s="29"/>
      <c r="AA132" s="29"/>
      <c r="AB132" s="29"/>
      <c r="AJ132" s="29"/>
      <c r="AK132" s="29"/>
      <c r="AV132" s="28"/>
      <c r="AW132" s="38"/>
      <c r="AX132" s="29"/>
      <c r="AY1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2" s="28" t="str">
        <f>IF(ISBLANK(Table2[[#This Row],[device_model]]), "", Table2[[#This Row],[device_suggested_area]])</f>
        <v/>
      </c>
      <c r="BI132" s="29"/>
      <c r="BO132" s="28"/>
      <c r="BP132" s="37"/>
      <c r="BQ1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9" ht="16" customHeight="1" x14ac:dyDescent="0.2">
      <c r="A133" s="28">
        <v>1600</v>
      </c>
      <c r="B133" s="28" t="s">
        <v>26</v>
      </c>
      <c r="C133" s="28" t="s">
        <v>124</v>
      </c>
      <c r="D133" s="28" t="s">
        <v>128</v>
      </c>
      <c r="E133" s="28" t="s">
        <v>381</v>
      </c>
      <c r="F133" s="34" t="str">
        <f>IF(ISBLANK(Table2[[#This Row],[unique_id]]), "", PROPER(SUBSTITUTE(Table2[[#This Row],[unique_id]], "_", " ")))</f>
        <v>Ada Fan</v>
      </c>
      <c r="G133" s="28" t="s">
        <v>131</v>
      </c>
      <c r="H133" s="28" t="s">
        <v>130</v>
      </c>
      <c r="I133" s="28" t="s">
        <v>123</v>
      </c>
      <c r="J133" s="28" t="s">
        <v>670</v>
      </c>
      <c r="M133" s="28" t="s">
        <v>127</v>
      </c>
      <c r="O133" s="29" t="s">
        <v>736</v>
      </c>
      <c r="P133" s="28" t="s">
        <v>155</v>
      </c>
      <c r="Q133" s="28" t="s">
        <v>708</v>
      </c>
      <c r="R133" s="28" t="str">
        <f>Table2[[#This Row],[entity_domain]]</f>
        <v>Lights</v>
      </c>
      <c r="S133" s="28" t="str">
        <f>_xlfn.CONCAT( Table2[[#This Row],[device_suggested_area]], " ",Table2[[#This Row],[powercalc_group_3]])</f>
        <v>Ada Lights</v>
      </c>
      <c r="T133" s="35" t="s">
        <v>721</v>
      </c>
      <c r="U133" s="35"/>
      <c r="V133" s="35"/>
      <c r="W133" s="28"/>
      <c r="Y133" s="29"/>
      <c r="Z133" s="29"/>
      <c r="AA133" s="29"/>
      <c r="AB133" s="29"/>
      <c r="AH133" s="28" t="s">
        <v>263</v>
      </c>
      <c r="AJ133" s="29"/>
      <c r="AK133" s="29"/>
      <c r="AV133" s="28"/>
      <c r="AW133" s="38"/>
      <c r="AX133" s="29"/>
      <c r="AY1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3" s="28" t="str">
        <f>IF(ISBLANK(Table2[[#This Row],[device_model]]), "", Table2[[#This Row],[device_suggested_area]])</f>
        <v/>
      </c>
      <c r="BI133" s="29"/>
      <c r="BJ133" s="28" t="s">
        <v>121</v>
      </c>
      <c r="BO133" s="28"/>
      <c r="BQ1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9" ht="16" customHeight="1" x14ac:dyDescent="0.2">
      <c r="A134" s="28">
        <v>1601</v>
      </c>
      <c r="B134" s="28" t="s">
        <v>26</v>
      </c>
      <c r="C134" s="28" t="s">
        <v>348</v>
      </c>
      <c r="D134" s="28" t="s">
        <v>128</v>
      </c>
      <c r="E134" s="28" t="s">
        <v>278</v>
      </c>
      <c r="F134" s="34" t="str">
        <f>IF(ISBLANK(Table2[[#This Row],[unique_id]]), "", PROPER(SUBSTITUTE(Table2[[#This Row],[unique_id]], "_", " ")))</f>
        <v>Ada Lamp</v>
      </c>
      <c r="G134" s="28" t="s">
        <v>184</v>
      </c>
      <c r="H134" s="28" t="s">
        <v>130</v>
      </c>
      <c r="I134" s="28" t="s">
        <v>123</v>
      </c>
      <c r="K134" s="28" t="s">
        <v>833</v>
      </c>
      <c r="M134" s="28" t="s">
        <v>127</v>
      </c>
      <c r="O134" s="29"/>
      <c r="P134" s="28"/>
      <c r="T134" s="35"/>
      <c r="U134" s="35"/>
      <c r="V134" s="35"/>
      <c r="W134" s="28"/>
      <c r="Y134" s="29"/>
      <c r="Z134" s="29" t="s">
        <v>456</v>
      </c>
      <c r="AA134" s="45">
        <v>100</v>
      </c>
      <c r="AB134" s="40" t="s">
        <v>706</v>
      </c>
      <c r="AC134" s="40" t="s">
        <v>919</v>
      </c>
      <c r="AD134" s="40"/>
      <c r="AH134" s="28" t="s">
        <v>263</v>
      </c>
      <c r="AJ134" s="29"/>
      <c r="AK134" s="29"/>
      <c r="AV134" s="28"/>
      <c r="AW13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Y1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Z1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BA1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4" s="28" t="str">
        <f>Table2[[#This Row],[device_suggested_area]]</f>
        <v>Ada</v>
      </c>
      <c r="BD134" s="28" t="str">
        <f>IF(ISBLANK(Table2[[#This Row],[device_model]]), "", Table2[[#This Row],[device_suggested_area]])</f>
        <v>Ada</v>
      </c>
      <c r="BE134" s="28" t="s">
        <v>488</v>
      </c>
      <c r="BF134" s="28" t="s">
        <v>529</v>
      </c>
      <c r="BG134" s="28" t="s">
        <v>348</v>
      </c>
      <c r="BH134" s="28" t="s">
        <v>1345</v>
      </c>
      <c r="BI134" s="28" t="s">
        <v>526</v>
      </c>
      <c r="BJ134" s="28" t="s">
        <v>121</v>
      </c>
      <c r="BL134" s="28" t="s">
        <v>650</v>
      </c>
      <c r="BO134" s="28"/>
      <c r="BQ1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9" ht="16" customHeight="1" x14ac:dyDescent="0.2">
      <c r="A135" s="28">
        <v>1602</v>
      </c>
      <c r="B135" s="28" t="s">
        <v>26</v>
      </c>
      <c r="C135" s="28" t="s">
        <v>348</v>
      </c>
      <c r="D135" s="28" t="s">
        <v>128</v>
      </c>
      <c r="E135" s="28" t="s">
        <v>871</v>
      </c>
      <c r="F135" s="34" t="str">
        <f>IF(ISBLANK(Table2[[#This Row],[unique_id]]), "", PROPER(SUBSTITUTE(Table2[[#This Row],[unique_id]], "_", " ")))</f>
        <v>Ada Lamp Bulb 1</v>
      </c>
      <c r="H135" s="28" t="s">
        <v>130</v>
      </c>
      <c r="O135" s="29" t="s">
        <v>736</v>
      </c>
      <c r="P135" s="28" t="s">
        <v>155</v>
      </c>
      <c r="Q135" s="28" t="s">
        <v>708</v>
      </c>
      <c r="R135" s="28" t="str">
        <f>Table2[[#This Row],[entity_domain]]</f>
        <v>Lights</v>
      </c>
      <c r="S135" s="28" t="str">
        <f>_xlfn.CONCAT( Table2[[#This Row],[device_suggested_area]], " ",Table2[[#This Row],[powercalc_group_3]])</f>
        <v>Ada Lights</v>
      </c>
      <c r="T135" s="35"/>
      <c r="U135" s="35"/>
      <c r="V135" s="35"/>
      <c r="W135" s="28"/>
      <c r="Y135" s="29"/>
      <c r="Z135" s="29" t="s">
        <v>455</v>
      </c>
      <c r="AA135" s="45">
        <v>100</v>
      </c>
      <c r="AB135" s="40" t="s">
        <v>704</v>
      </c>
      <c r="AC135" s="40" t="s">
        <v>919</v>
      </c>
      <c r="AD135" s="40"/>
      <c r="AJ135" s="29"/>
      <c r="AK135" s="29"/>
      <c r="AV135" s="28"/>
      <c r="AW13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Y1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Z1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BA1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5" s="28" t="str">
        <f>Table2[[#This Row],[device_suggested_area]]</f>
        <v>Ada</v>
      </c>
      <c r="BD135" s="28" t="str">
        <f>IF(ISBLANK(Table2[[#This Row],[device_model]]), "", Table2[[#This Row],[device_suggested_area]])</f>
        <v>Ada</v>
      </c>
      <c r="BE135" s="28" t="s">
        <v>941</v>
      </c>
      <c r="BF135" s="28" t="s">
        <v>529</v>
      </c>
      <c r="BG135" s="28" t="s">
        <v>348</v>
      </c>
      <c r="BH135" s="28" t="s">
        <v>1345</v>
      </c>
      <c r="BI135" s="28" t="s">
        <v>526</v>
      </c>
      <c r="BJ135" s="28" t="s">
        <v>121</v>
      </c>
      <c r="BL135" s="28" t="s">
        <v>650</v>
      </c>
      <c r="BO135" s="28" t="s">
        <v>461</v>
      </c>
      <c r="BQ1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9" ht="16" customHeight="1" x14ac:dyDescent="0.2">
      <c r="A136" s="28">
        <v>1603</v>
      </c>
      <c r="B136" s="28" t="s">
        <v>543</v>
      </c>
      <c r="C136" s="28" t="s">
        <v>348</v>
      </c>
      <c r="D136" s="28" t="s">
        <v>128</v>
      </c>
      <c r="E136" s="28" t="s">
        <v>279</v>
      </c>
      <c r="F136" s="34" t="str">
        <f>IF(ISBLANK(Table2[[#This Row],[unique_id]]), "", PROPER(SUBSTITUTE(Table2[[#This Row],[unique_id]], "_", " ")))</f>
        <v>Edwin Lamp</v>
      </c>
      <c r="G136" s="28" t="s">
        <v>194</v>
      </c>
      <c r="H136" s="28" t="s">
        <v>130</v>
      </c>
      <c r="I136" s="28" t="s">
        <v>123</v>
      </c>
      <c r="K136" s="28" t="s">
        <v>833</v>
      </c>
      <c r="M136" s="28" t="s">
        <v>127</v>
      </c>
      <c r="O136" s="29"/>
      <c r="P136" s="28"/>
      <c r="T136" s="35"/>
      <c r="U136" s="35"/>
      <c r="V136" s="35"/>
      <c r="W136" s="28"/>
      <c r="Y136" s="29"/>
      <c r="Z136" s="29" t="s">
        <v>456</v>
      </c>
      <c r="AA136" s="45">
        <v>101</v>
      </c>
      <c r="AB136" s="40" t="s">
        <v>706</v>
      </c>
      <c r="AC136" s="40" t="s">
        <v>919</v>
      </c>
      <c r="AD136" s="40"/>
      <c r="AH136" s="28" t="s">
        <v>263</v>
      </c>
      <c r="AJ136" s="29"/>
      <c r="AK136" s="29"/>
      <c r="AV136" s="28"/>
      <c r="AW13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Y1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Z1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BA1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6" s="28" t="str">
        <f>Table2[[#This Row],[device_suggested_area]]</f>
        <v>Edwin</v>
      </c>
      <c r="BD136" s="28" t="str">
        <f>IF(ISBLANK(Table2[[#This Row],[device_model]]), "", Table2[[#This Row],[device_suggested_area]])</f>
        <v>Edwin</v>
      </c>
      <c r="BE136" s="28" t="s">
        <v>488</v>
      </c>
      <c r="BF136" s="28" t="s">
        <v>529</v>
      </c>
      <c r="BG136" s="28" t="s">
        <v>348</v>
      </c>
      <c r="BH136" s="28" t="s">
        <v>1345</v>
      </c>
      <c r="BI136" s="28" t="s">
        <v>526</v>
      </c>
      <c r="BJ136" s="28" t="s">
        <v>118</v>
      </c>
      <c r="BL136" s="28" t="s">
        <v>650</v>
      </c>
      <c r="BO136" s="28"/>
      <c r="BQ1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9" ht="16" customHeight="1" x14ac:dyDescent="0.2">
      <c r="A137" s="28">
        <v>1604</v>
      </c>
      <c r="B137" s="28" t="s">
        <v>543</v>
      </c>
      <c r="C137" s="28" t="s">
        <v>348</v>
      </c>
      <c r="D137" s="28" t="s">
        <v>128</v>
      </c>
      <c r="E137" s="28" t="s">
        <v>872</v>
      </c>
      <c r="F137" s="34" t="str">
        <f>IF(ISBLANK(Table2[[#This Row],[unique_id]]), "", PROPER(SUBSTITUTE(Table2[[#This Row],[unique_id]], "_", " ")))</f>
        <v>Edwin Lamp Bulb 1</v>
      </c>
      <c r="H137" s="28" t="s">
        <v>130</v>
      </c>
      <c r="O137" s="29" t="s">
        <v>736</v>
      </c>
      <c r="P137" s="28" t="s">
        <v>155</v>
      </c>
      <c r="Q137" s="28" t="s">
        <v>708</v>
      </c>
      <c r="R137" s="28" t="str">
        <f>Table2[[#This Row],[entity_domain]]</f>
        <v>Lights</v>
      </c>
      <c r="S137" s="28" t="str">
        <f>_xlfn.CONCAT( Table2[[#This Row],[device_suggested_area]], " ",Table2[[#This Row],[powercalc_group_3]])</f>
        <v>Edwin Lights</v>
      </c>
      <c r="T137" s="35"/>
      <c r="U137" s="35"/>
      <c r="V137" s="35"/>
      <c r="W137" s="28"/>
      <c r="Y137" s="29"/>
      <c r="Z137" s="29" t="s">
        <v>455</v>
      </c>
      <c r="AA137" s="45">
        <v>101</v>
      </c>
      <c r="AB137" s="40" t="s">
        <v>704</v>
      </c>
      <c r="AC137" s="40" t="s">
        <v>919</v>
      </c>
      <c r="AD137" s="40"/>
      <c r="AJ137" s="29"/>
      <c r="AK137" s="29"/>
      <c r="AV137" s="28"/>
      <c r="AW13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Y1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Z1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BA1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7" s="28" t="str">
        <f>Table2[[#This Row],[device_suggested_area]]</f>
        <v>Edwin</v>
      </c>
      <c r="BD137" s="28" t="str">
        <f>IF(ISBLANK(Table2[[#This Row],[device_model]]), "", Table2[[#This Row],[device_suggested_area]])</f>
        <v>Edwin</v>
      </c>
      <c r="BE137" s="28" t="s">
        <v>941</v>
      </c>
      <c r="BF137" s="28" t="s">
        <v>529</v>
      </c>
      <c r="BG137" s="28" t="s">
        <v>348</v>
      </c>
      <c r="BH137" s="28" t="s">
        <v>1345</v>
      </c>
      <c r="BI137" s="28" t="s">
        <v>526</v>
      </c>
      <c r="BJ137" s="28" t="s">
        <v>118</v>
      </c>
      <c r="BL137" s="28" t="s">
        <v>650</v>
      </c>
      <c r="BO137" s="28" t="s">
        <v>486</v>
      </c>
      <c r="BQ1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9" ht="16" customHeight="1" x14ac:dyDescent="0.2">
      <c r="A138" s="28">
        <v>1605</v>
      </c>
      <c r="B138" s="28" t="s">
        <v>26</v>
      </c>
      <c r="C138" s="28" t="s">
        <v>124</v>
      </c>
      <c r="D138" s="28" t="s">
        <v>128</v>
      </c>
      <c r="E138" s="28" t="s">
        <v>382</v>
      </c>
      <c r="F138" s="34" t="str">
        <f>IF(ISBLANK(Table2[[#This Row],[unique_id]]), "", PROPER(SUBSTITUTE(Table2[[#This Row],[unique_id]], "_", " ")))</f>
        <v>Edwin Fan</v>
      </c>
      <c r="G138" s="28" t="s">
        <v>179</v>
      </c>
      <c r="H138" s="28" t="s">
        <v>130</v>
      </c>
      <c r="I138" s="28" t="s">
        <v>123</v>
      </c>
      <c r="J138" s="28" t="s">
        <v>670</v>
      </c>
      <c r="M138" s="28" t="s">
        <v>127</v>
      </c>
      <c r="O138" s="29" t="s">
        <v>736</v>
      </c>
      <c r="P138" s="28" t="s">
        <v>155</v>
      </c>
      <c r="Q138" s="28" t="s">
        <v>708</v>
      </c>
      <c r="R138" s="28" t="str">
        <f>Table2[[#This Row],[entity_domain]]</f>
        <v>Lights</v>
      </c>
      <c r="S138" s="28" t="str">
        <f>_xlfn.CONCAT( Table2[[#This Row],[device_suggested_area]], " ",Table2[[#This Row],[powercalc_group_3]])</f>
        <v>Edwin Lights</v>
      </c>
      <c r="T138" s="35" t="s">
        <v>722</v>
      </c>
      <c r="U138" s="35"/>
      <c r="V138" s="35"/>
      <c r="W138" s="28"/>
      <c r="Y138" s="29"/>
      <c r="Z138" s="29"/>
      <c r="AA138" s="29"/>
      <c r="AB138" s="29"/>
      <c r="AH138" s="28" t="s">
        <v>263</v>
      </c>
      <c r="AJ138" s="29"/>
      <c r="AK138" s="29"/>
      <c r="AV138" s="28"/>
      <c r="AW138" s="38"/>
      <c r="AX138" s="29"/>
      <c r="AY1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8" s="28" t="str">
        <f>IF(ISBLANK(Table2[[#This Row],[device_model]]), "", Table2[[#This Row],[device_suggested_area]])</f>
        <v/>
      </c>
      <c r="BI138" s="29"/>
      <c r="BJ138" s="28" t="s">
        <v>118</v>
      </c>
      <c r="BO138" s="28"/>
      <c r="BQ1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9" ht="16" customHeight="1" x14ac:dyDescent="0.2">
      <c r="A139" s="28">
        <v>1606</v>
      </c>
      <c r="B139" s="28" t="s">
        <v>26</v>
      </c>
      <c r="C139" s="28" t="s">
        <v>348</v>
      </c>
      <c r="D139" s="28" t="s">
        <v>128</v>
      </c>
      <c r="E139" s="28" t="s">
        <v>380</v>
      </c>
      <c r="F139" s="34" t="str">
        <f>IF(ISBLANK(Table2[[#This Row],[unique_id]]), "", PROPER(SUBSTITUTE(Table2[[#This Row],[unique_id]], "_", " ")))</f>
        <v>Edwin Night Light</v>
      </c>
      <c r="G139" s="28" t="s">
        <v>379</v>
      </c>
      <c r="H139" s="28" t="s">
        <v>130</v>
      </c>
      <c r="I139" s="28" t="s">
        <v>123</v>
      </c>
      <c r="J139" s="28" t="s">
        <v>489</v>
      </c>
      <c r="K139" s="28" t="s">
        <v>830</v>
      </c>
      <c r="M139" s="28" t="s">
        <v>127</v>
      </c>
      <c r="O139" s="29"/>
      <c r="P139" s="28"/>
      <c r="T139" s="35"/>
      <c r="U139" s="35"/>
      <c r="V139" s="35"/>
      <c r="W139" s="28"/>
      <c r="Y139" s="29"/>
      <c r="Z139" s="29" t="s">
        <v>456</v>
      </c>
      <c r="AA139" s="45">
        <v>102</v>
      </c>
      <c r="AB139" s="40" t="s">
        <v>706</v>
      </c>
      <c r="AC139" s="40" t="s">
        <v>1286</v>
      </c>
      <c r="AD139" s="40"/>
      <c r="AH139" s="28" t="s">
        <v>263</v>
      </c>
      <c r="AJ139" s="29"/>
      <c r="AK139" s="29"/>
      <c r="AV139" s="28"/>
      <c r="AW13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Y1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Z1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BA1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9" s="28" t="str">
        <f>Table2[[#This Row],[device_suggested_area]]</f>
        <v>Edwin</v>
      </c>
      <c r="BD139" s="28" t="str">
        <f>IF(ISBLANK(Table2[[#This Row],[device_model]]), "", Table2[[#This Row],[device_suggested_area]])</f>
        <v>Edwin</v>
      </c>
      <c r="BE139" s="28" t="s">
        <v>489</v>
      </c>
      <c r="BF139" s="28" t="s">
        <v>453</v>
      </c>
      <c r="BG139" s="28" t="s">
        <v>348</v>
      </c>
      <c r="BH139" s="28" t="s">
        <v>1345</v>
      </c>
      <c r="BI139" s="28" t="s">
        <v>454</v>
      </c>
      <c r="BJ139" s="28" t="s">
        <v>118</v>
      </c>
      <c r="BL139" s="28" t="s">
        <v>650</v>
      </c>
      <c r="BO139" s="28"/>
      <c r="BQ1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9" ht="16" customHeight="1" x14ac:dyDescent="0.2">
      <c r="A140" s="28">
        <v>1607</v>
      </c>
      <c r="B140" s="28" t="s">
        <v>26</v>
      </c>
      <c r="C140" s="28" t="s">
        <v>348</v>
      </c>
      <c r="D140" s="28" t="s">
        <v>128</v>
      </c>
      <c r="E140" s="28" t="s">
        <v>873</v>
      </c>
      <c r="F140" s="34" t="str">
        <f>IF(ISBLANK(Table2[[#This Row],[unique_id]]), "", PROPER(SUBSTITUTE(Table2[[#This Row],[unique_id]], "_", " ")))</f>
        <v>Edwin Night Light Bulb 1</v>
      </c>
      <c r="H140" s="28" t="s">
        <v>130</v>
      </c>
      <c r="O140" s="29" t="s">
        <v>736</v>
      </c>
      <c r="P140" s="28" t="s">
        <v>155</v>
      </c>
      <c r="Q140" s="28" t="s">
        <v>708</v>
      </c>
      <c r="R140" s="28" t="str">
        <f>Table2[[#This Row],[entity_domain]]</f>
        <v>Lights</v>
      </c>
      <c r="S140" s="28" t="str">
        <f>_xlfn.CONCAT( Table2[[#This Row],[device_suggested_area]], " ",Table2[[#This Row],[powercalc_group_3]])</f>
        <v>Edwin Lights</v>
      </c>
      <c r="T140" s="35"/>
      <c r="U140" s="35"/>
      <c r="V140" s="35"/>
      <c r="W140" s="28"/>
      <c r="Y140" s="29"/>
      <c r="Z140" s="29" t="s">
        <v>455</v>
      </c>
      <c r="AA140" s="45">
        <v>102</v>
      </c>
      <c r="AB140" s="40" t="s">
        <v>704</v>
      </c>
      <c r="AC140" s="40" t="s">
        <v>1286</v>
      </c>
      <c r="AD140" s="40"/>
      <c r="AJ140" s="29"/>
      <c r="AK140" s="29"/>
      <c r="AV140" s="28"/>
      <c r="AW14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Y1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Z1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BA1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0" s="28" t="str">
        <f>Table2[[#This Row],[device_suggested_area]]</f>
        <v>Edwin</v>
      </c>
      <c r="BD140" s="28" t="str">
        <f>IF(ISBLANK(Table2[[#This Row],[device_model]]), "", Table2[[#This Row],[device_suggested_area]])</f>
        <v>Edwin</v>
      </c>
      <c r="BE140" s="28" t="s">
        <v>942</v>
      </c>
      <c r="BF140" s="28" t="s">
        <v>453</v>
      </c>
      <c r="BG140" s="28" t="s">
        <v>348</v>
      </c>
      <c r="BH140" s="28" t="s">
        <v>1345</v>
      </c>
      <c r="BI140" s="28" t="s">
        <v>454</v>
      </c>
      <c r="BJ140" s="28" t="s">
        <v>118</v>
      </c>
      <c r="BL140" s="28" t="s">
        <v>650</v>
      </c>
      <c r="BO140" s="28" t="s">
        <v>462</v>
      </c>
      <c r="BQ1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9" ht="16" customHeight="1" x14ac:dyDescent="0.2">
      <c r="A141" s="28">
        <v>1608</v>
      </c>
      <c r="B141" s="28" t="s">
        <v>26</v>
      </c>
      <c r="C141" s="28" t="s">
        <v>348</v>
      </c>
      <c r="D141" s="28" t="s">
        <v>128</v>
      </c>
      <c r="E141" s="28" t="s">
        <v>267</v>
      </c>
      <c r="F141" s="34" t="str">
        <f>IF(ISBLANK(Table2[[#This Row],[unique_id]]), "", PROPER(SUBSTITUTE(Table2[[#This Row],[unique_id]], "_", " ")))</f>
        <v>Hallway Main</v>
      </c>
      <c r="G141" s="28" t="s">
        <v>189</v>
      </c>
      <c r="H141" s="28" t="s">
        <v>130</v>
      </c>
      <c r="I141" s="28" t="s">
        <v>123</v>
      </c>
      <c r="J141" s="28" t="s">
        <v>672</v>
      </c>
      <c r="K141" s="28" t="s">
        <v>865</v>
      </c>
      <c r="M141" s="28" t="s">
        <v>127</v>
      </c>
      <c r="O141" s="29"/>
      <c r="P141" s="28"/>
      <c r="T141" s="35"/>
      <c r="U141" s="35"/>
      <c r="V141" s="35"/>
      <c r="W141" s="28"/>
      <c r="Y141" s="29"/>
      <c r="Z141" s="29" t="s">
        <v>456</v>
      </c>
      <c r="AA141" s="45">
        <v>103</v>
      </c>
      <c r="AB141" s="40" t="s">
        <v>706</v>
      </c>
      <c r="AC141" s="40" t="s">
        <v>920</v>
      </c>
      <c r="AD141" s="40"/>
      <c r="AH141" s="28" t="s">
        <v>263</v>
      </c>
      <c r="AJ141" s="29"/>
      <c r="AK141" s="29"/>
      <c r="AV141" s="28"/>
      <c r="AW14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Y1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Z1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BA1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1" s="28" t="str">
        <f>Table2[[#This Row],[device_suggested_area]]</f>
        <v>Hallway</v>
      </c>
      <c r="BD141" s="28" t="str">
        <f>IF(ISBLANK(Table2[[#This Row],[device_model]]), "", Table2[[#This Row],[device_suggested_area]])</f>
        <v>Hallway</v>
      </c>
      <c r="BE141" s="28" t="s">
        <v>943</v>
      </c>
      <c r="BF141" s="28" t="s">
        <v>453</v>
      </c>
      <c r="BG141" s="28" t="s">
        <v>348</v>
      </c>
      <c r="BH141" s="28" t="s">
        <v>1345</v>
      </c>
      <c r="BI141" s="28" t="s">
        <v>454</v>
      </c>
      <c r="BJ141" s="28" t="s">
        <v>375</v>
      </c>
      <c r="BO141" s="28"/>
      <c r="BQ1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9" ht="16" customHeight="1" x14ac:dyDescent="0.2">
      <c r="A142" s="28">
        <v>1609</v>
      </c>
      <c r="B142" s="28" t="s">
        <v>26</v>
      </c>
      <c r="C142" s="28" t="s">
        <v>348</v>
      </c>
      <c r="D142" s="28" t="s">
        <v>128</v>
      </c>
      <c r="E142" s="28" t="s">
        <v>874</v>
      </c>
      <c r="F142" s="34" t="str">
        <f>IF(ISBLANK(Table2[[#This Row],[unique_id]]), "", PROPER(SUBSTITUTE(Table2[[#This Row],[unique_id]], "_", " ")))</f>
        <v>Hallway Main Bulb 1</v>
      </c>
      <c r="H142" s="28" t="s">
        <v>130</v>
      </c>
      <c r="O142" s="29" t="s">
        <v>736</v>
      </c>
      <c r="P142" s="28" t="s">
        <v>155</v>
      </c>
      <c r="Q142" s="28" t="s">
        <v>708</v>
      </c>
      <c r="R142" s="28" t="str">
        <f>Table2[[#This Row],[entity_domain]]</f>
        <v>Lights</v>
      </c>
      <c r="S142" s="28" t="str">
        <f>_xlfn.CONCAT( Table2[[#This Row],[device_suggested_area]], " ",Table2[[#This Row],[powercalc_group_3]])</f>
        <v>Hallway Lights</v>
      </c>
      <c r="T142" s="35"/>
      <c r="U142" s="35"/>
      <c r="V142" s="35"/>
      <c r="W142" s="28"/>
      <c r="Y142" s="29"/>
      <c r="Z142" s="29" t="s">
        <v>455</v>
      </c>
      <c r="AA142" s="45">
        <v>103</v>
      </c>
      <c r="AB142" s="40" t="s">
        <v>704</v>
      </c>
      <c r="AC142" s="40" t="s">
        <v>920</v>
      </c>
      <c r="AD142" s="40"/>
      <c r="AJ142" s="29"/>
      <c r="AK142" s="29"/>
      <c r="AV142" s="28"/>
      <c r="AW14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Y1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Z1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BA1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2" s="28" t="str">
        <f>Table2[[#This Row],[device_suggested_area]]</f>
        <v>Hallway</v>
      </c>
      <c r="BD142" s="28" t="str">
        <f>IF(ISBLANK(Table2[[#This Row],[device_model]]), "", Table2[[#This Row],[device_suggested_area]])</f>
        <v>Hallway</v>
      </c>
      <c r="BE142" s="28" t="s">
        <v>944</v>
      </c>
      <c r="BF142" s="28" t="s">
        <v>453</v>
      </c>
      <c r="BG142" s="28" t="s">
        <v>348</v>
      </c>
      <c r="BH142" s="28" t="s">
        <v>1345</v>
      </c>
      <c r="BI142" s="28" t="s">
        <v>454</v>
      </c>
      <c r="BJ142" s="28" t="s">
        <v>375</v>
      </c>
      <c r="BO142" s="28" t="s">
        <v>463</v>
      </c>
      <c r="BQ1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9" ht="16" customHeight="1" x14ac:dyDescent="0.2">
      <c r="A143" s="28">
        <v>1610</v>
      </c>
      <c r="B143" s="28" t="s">
        <v>26</v>
      </c>
      <c r="C143" s="28" t="s">
        <v>348</v>
      </c>
      <c r="D143" s="28" t="s">
        <v>128</v>
      </c>
      <c r="E143" s="28" t="s">
        <v>875</v>
      </c>
      <c r="F143" s="34" t="str">
        <f>IF(ISBLANK(Table2[[#This Row],[unique_id]]), "", PROPER(SUBSTITUTE(Table2[[#This Row],[unique_id]], "_", " ")))</f>
        <v>Hallway Main Bulb 2</v>
      </c>
      <c r="H143" s="28" t="s">
        <v>130</v>
      </c>
      <c r="O143" s="29" t="s">
        <v>736</v>
      </c>
      <c r="P143" s="28" t="s">
        <v>155</v>
      </c>
      <c r="Q143" s="28" t="s">
        <v>708</v>
      </c>
      <c r="R143" s="28" t="str">
        <f>Table2[[#This Row],[entity_domain]]</f>
        <v>Lights</v>
      </c>
      <c r="S143" s="28" t="str">
        <f>_xlfn.CONCAT( Table2[[#This Row],[device_suggested_area]], " ",Table2[[#This Row],[powercalc_group_3]])</f>
        <v>Hallway Lights</v>
      </c>
      <c r="T143" s="35"/>
      <c r="U143" s="35"/>
      <c r="V143" s="35"/>
      <c r="W143" s="28"/>
      <c r="Y143" s="29"/>
      <c r="Z143" s="29" t="s">
        <v>455</v>
      </c>
      <c r="AA143" s="45">
        <v>103</v>
      </c>
      <c r="AB143" s="40" t="s">
        <v>704</v>
      </c>
      <c r="AC143" s="40" t="s">
        <v>920</v>
      </c>
      <c r="AD143" s="40"/>
      <c r="AJ143" s="29"/>
      <c r="AK143" s="29"/>
      <c r="AV143" s="28"/>
      <c r="AW14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Y1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Z1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BA1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3" s="28" t="str">
        <f>Table2[[#This Row],[device_suggested_area]]</f>
        <v>Hallway</v>
      </c>
      <c r="BD143" s="28" t="str">
        <f>IF(ISBLANK(Table2[[#This Row],[device_model]]), "", Table2[[#This Row],[device_suggested_area]])</f>
        <v>Hallway</v>
      </c>
      <c r="BE143" s="28" t="s">
        <v>945</v>
      </c>
      <c r="BF143" s="28" t="s">
        <v>453</v>
      </c>
      <c r="BG143" s="28" t="s">
        <v>348</v>
      </c>
      <c r="BH143" s="28" t="s">
        <v>1345</v>
      </c>
      <c r="BI143" s="28" t="s">
        <v>454</v>
      </c>
      <c r="BJ143" s="28" t="s">
        <v>375</v>
      </c>
      <c r="BO143" s="28" t="s">
        <v>464</v>
      </c>
      <c r="BQ1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9" ht="16" customHeight="1" x14ac:dyDescent="0.2">
      <c r="A144" s="28">
        <v>1611</v>
      </c>
      <c r="B144" s="28" t="s">
        <v>26</v>
      </c>
      <c r="C144" s="28" t="s">
        <v>348</v>
      </c>
      <c r="D144" s="28" t="s">
        <v>128</v>
      </c>
      <c r="E144" s="28" t="s">
        <v>876</v>
      </c>
      <c r="F144" s="34" t="str">
        <f>IF(ISBLANK(Table2[[#This Row],[unique_id]]), "", PROPER(SUBSTITUTE(Table2[[#This Row],[unique_id]], "_", " ")))</f>
        <v>Hallway Main Bulb 3</v>
      </c>
      <c r="H144" s="28" t="s">
        <v>130</v>
      </c>
      <c r="O144" s="29" t="s">
        <v>736</v>
      </c>
      <c r="P144" s="28" t="s">
        <v>155</v>
      </c>
      <c r="Q144" s="28" t="s">
        <v>708</v>
      </c>
      <c r="R144" s="28" t="str">
        <f>Table2[[#This Row],[entity_domain]]</f>
        <v>Lights</v>
      </c>
      <c r="S144" s="28" t="str">
        <f>_xlfn.CONCAT( Table2[[#This Row],[device_suggested_area]], " ",Table2[[#This Row],[powercalc_group_3]])</f>
        <v>Hallway Lights</v>
      </c>
      <c r="T144" s="35"/>
      <c r="U144" s="35"/>
      <c r="V144" s="35"/>
      <c r="W144" s="28"/>
      <c r="Y144" s="29"/>
      <c r="Z144" s="29" t="s">
        <v>455</v>
      </c>
      <c r="AA144" s="45">
        <v>103</v>
      </c>
      <c r="AB144" s="40" t="s">
        <v>704</v>
      </c>
      <c r="AC144" s="40" t="s">
        <v>920</v>
      </c>
      <c r="AD144" s="40"/>
      <c r="AJ144" s="29"/>
      <c r="AK144" s="29"/>
      <c r="AV144" s="28"/>
      <c r="AW14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Y1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Z1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BA1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4" s="28" t="str">
        <f>Table2[[#This Row],[device_suggested_area]]</f>
        <v>Hallway</v>
      </c>
      <c r="BD144" s="28" t="str">
        <f>IF(ISBLANK(Table2[[#This Row],[device_model]]), "", Table2[[#This Row],[device_suggested_area]])</f>
        <v>Hallway</v>
      </c>
      <c r="BE144" s="28" t="s">
        <v>946</v>
      </c>
      <c r="BF144" s="28" t="s">
        <v>453</v>
      </c>
      <c r="BG144" s="28" t="s">
        <v>348</v>
      </c>
      <c r="BH144" s="28" t="s">
        <v>1345</v>
      </c>
      <c r="BI144" s="28" t="s">
        <v>454</v>
      </c>
      <c r="BJ144" s="28" t="s">
        <v>375</v>
      </c>
      <c r="BO144" s="28" t="s">
        <v>465</v>
      </c>
      <c r="BQ1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9" ht="16" customHeight="1" x14ac:dyDescent="0.2">
      <c r="A145" s="28">
        <v>1612</v>
      </c>
      <c r="B145" s="28" t="s">
        <v>26</v>
      </c>
      <c r="C145" s="28" t="s">
        <v>348</v>
      </c>
      <c r="D145" s="28" t="s">
        <v>128</v>
      </c>
      <c r="E145" s="28" t="s">
        <v>877</v>
      </c>
      <c r="F145" s="34" t="str">
        <f>IF(ISBLANK(Table2[[#This Row],[unique_id]]), "", PROPER(SUBSTITUTE(Table2[[#This Row],[unique_id]], "_", " ")))</f>
        <v>Hallway Main Bulb 4</v>
      </c>
      <c r="H145" s="28" t="s">
        <v>130</v>
      </c>
      <c r="O145" s="29" t="s">
        <v>736</v>
      </c>
      <c r="P145" s="28" t="s">
        <v>155</v>
      </c>
      <c r="Q145" s="28" t="s">
        <v>708</v>
      </c>
      <c r="R145" s="28" t="str">
        <f>Table2[[#This Row],[entity_domain]]</f>
        <v>Lights</v>
      </c>
      <c r="S145" s="28" t="str">
        <f>_xlfn.CONCAT( Table2[[#This Row],[device_suggested_area]], " ",Table2[[#This Row],[powercalc_group_3]])</f>
        <v>Hallway Lights</v>
      </c>
      <c r="T145" s="35"/>
      <c r="U145" s="35"/>
      <c r="V145" s="35"/>
      <c r="W145" s="28"/>
      <c r="Y145" s="29"/>
      <c r="Z145" s="29" t="s">
        <v>455</v>
      </c>
      <c r="AA145" s="45">
        <v>103</v>
      </c>
      <c r="AB145" s="40" t="s">
        <v>704</v>
      </c>
      <c r="AC145" s="40" t="s">
        <v>920</v>
      </c>
      <c r="AD145" s="40"/>
      <c r="AJ145" s="29"/>
      <c r="AK145" s="29"/>
      <c r="AV145" s="28"/>
      <c r="AW14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Y1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Z1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BA1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5" s="28" t="str">
        <f>Table2[[#This Row],[device_suggested_area]]</f>
        <v>Hallway</v>
      </c>
      <c r="BD145" s="28" t="str">
        <f>IF(ISBLANK(Table2[[#This Row],[device_model]]), "", Table2[[#This Row],[device_suggested_area]])</f>
        <v>Hallway</v>
      </c>
      <c r="BE145" s="28" t="s">
        <v>947</v>
      </c>
      <c r="BF145" s="28" t="s">
        <v>453</v>
      </c>
      <c r="BG145" s="28" t="s">
        <v>348</v>
      </c>
      <c r="BH145" s="28" t="s">
        <v>1345</v>
      </c>
      <c r="BI145" s="28" t="s">
        <v>454</v>
      </c>
      <c r="BJ145" s="28" t="s">
        <v>375</v>
      </c>
      <c r="BO145" s="28" t="s">
        <v>466</v>
      </c>
      <c r="BQ1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9" ht="16" customHeight="1" x14ac:dyDescent="0.2">
      <c r="A146" s="28">
        <v>1613</v>
      </c>
      <c r="B146" s="28" t="s">
        <v>26</v>
      </c>
      <c r="C146" s="28" t="s">
        <v>419</v>
      </c>
      <c r="D146" s="28" t="s">
        <v>128</v>
      </c>
      <c r="E146" s="28" t="s">
        <v>801</v>
      </c>
      <c r="F146" s="34" t="str">
        <f>IF(ISBLANK(Table2[[#This Row],[unique_id]]), "", PROPER(SUBSTITUTE(Table2[[#This Row],[unique_id]], "_", " ")))</f>
        <v>Hallway Sconces</v>
      </c>
      <c r="G146" s="28" t="s">
        <v>803</v>
      </c>
      <c r="H146" s="28" t="s">
        <v>130</v>
      </c>
      <c r="I146" s="28" t="s">
        <v>123</v>
      </c>
      <c r="J146" s="28" t="s">
        <v>793</v>
      </c>
      <c r="K146" s="28" t="s">
        <v>865</v>
      </c>
      <c r="M146" s="28" t="s">
        <v>127</v>
      </c>
      <c r="O146" s="29"/>
      <c r="P146" s="28"/>
      <c r="T146" s="35"/>
      <c r="U146" s="35"/>
      <c r="V146" s="35"/>
      <c r="W146" s="28"/>
      <c r="Y146" s="29"/>
      <c r="Z146" s="29" t="s">
        <v>456</v>
      </c>
      <c r="AA146" s="45">
        <v>120</v>
      </c>
      <c r="AB146" s="40" t="s">
        <v>706</v>
      </c>
      <c r="AC146" s="29" t="s">
        <v>1468</v>
      </c>
      <c r="AH146" s="28" t="s">
        <v>263</v>
      </c>
      <c r="AJ146" s="29"/>
      <c r="AK146" s="29"/>
      <c r="AV146" s="28"/>
      <c r="AW146" s="38"/>
      <c r="AY1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Z1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BA1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6" s="28" t="str">
        <f>Table2[[#This Row],[device_suggested_area]]</f>
        <v>Hallway</v>
      </c>
      <c r="BD146" s="28" t="str">
        <f>IF(ISBLANK(Table2[[#This Row],[device_model]]), "", Table2[[#This Row],[device_suggested_area]])</f>
        <v>Hallway</v>
      </c>
      <c r="BE146" s="28" t="s">
        <v>793</v>
      </c>
      <c r="BF146" s="28" t="s">
        <v>796</v>
      </c>
      <c r="BG146" s="28" t="s">
        <v>419</v>
      </c>
      <c r="BI146" s="28" t="s">
        <v>794</v>
      </c>
      <c r="BJ146" s="28" t="s">
        <v>375</v>
      </c>
      <c r="BO146" s="28"/>
      <c r="BQ1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9" ht="16" customHeight="1" x14ac:dyDescent="0.2">
      <c r="A147" s="28">
        <v>1614</v>
      </c>
      <c r="B147" s="28" t="s">
        <v>26</v>
      </c>
      <c r="C147" s="28" t="s">
        <v>419</v>
      </c>
      <c r="D147" s="28" t="s">
        <v>128</v>
      </c>
      <c r="E147" s="28" t="s">
        <v>802</v>
      </c>
      <c r="F147" s="34" t="str">
        <f>IF(ISBLANK(Table2[[#This Row],[unique_id]]), "", PROPER(SUBSTITUTE(Table2[[#This Row],[unique_id]], "_", " ")))</f>
        <v>Hallway Sconces Bulb 1</v>
      </c>
      <c r="H147" s="28" t="s">
        <v>130</v>
      </c>
      <c r="O147" s="29" t="s">
        <v>736</v>
      </c>
      <c r="P147" s="28" t="s">
        <v>155</v>
      </c>
      <c r="Q147" s="28" t="s">
        <v>708</v>
      </c>
      <c r="R147" s="28" t="str">
        <f>Table2[[#This Row],[entity_domain]]</f>
        <v>Lights</v>
      </c>
      <c r="S147" s="28" t="str">
        <f>_xlfn.CONCAT( Table2[[#This Row],[device_suggested_area]], " ",Table2[[#This Row],[powercalc_group_3]])</f>
        <v>Hallway Lights</v>
      </c>
      <c r="T147" s="35"/>
      <c r="U147" s="35"/>
      <c r="V147" s="35"/>
      <c r="W147" s="28"/>
      <c r="Y147" s="29"/>
      <c r="Z147" s="29" t="s">
        <v>455</v>
      </c>
      <c r="AA147" s="45">
        <v>120</v>
      </c>
      <c r="AB147" s="40" t="s">
        <v>704</v>
      </c>
      <c r="AC147" s="29" t="s">
        <v>1468</v>
      </c>
      <c r="AJ147" s="29"/>
      <c r="AK147" s="29"/>
      <c r="AV147" s="28"/>
      <c r="AW147" s="38"/>
      <c r="AY1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Z1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BA1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7" s="28" t="str">
        <f>Table2[[#This Row],[device_suggested_area]]</f>
        <v>Hallway</v>
      </c>
      <c r="BD147" s="28" t="str">
        <f>IF(ISBLANK(Table2[[#This Row],[device_model]]), "", Table2[[#This Row],[device_suggested_area]])</f>
        <v>Hallway</v>
      </c>
      <c r="BE147" s="28" t="s">
        <v>930</v>
      </c>
      <c r="BF147" s="28" t="s">
        <v>796</v>
      </c>
      <c r="BG147" s="28" t="s">
        <v>419</v>
      </c>
      <c r="BI147" s="28" t="s">
        <v>794</v>
      </c>
      <c r="BJ147" s="28" t="s">
        <v>375</v>
      </c>
      <c r="BO147" s="28" t="s">
        <v>804</v>
      </c>
      <c r="BQ1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9" ht="16" customHeight="1" x14ac:dyDescent="0.2">
      <c r="A148" s="28">
        <v>1615</v>
      </c>
      <c r="B148" s="28" t="s">
        <v>26</v>
      </c>
      <c r="C148" s="28" t="s">
        <v>419</v>
      </c>
      <c r="D148" s="28" t="s">
        <v>128</v>
      </c>
      <c r="E148" s="28" t="s">
        <v>1147</v>
      </c>
      <c r="F148" s="34" t="str">
        <f>IF(ISBLANK(Table2[[#This Row],[unique_id]]), "", PROPER(SUBSTITUTE(Table2[[#This Row],[unique_id]], "_", " ")))</f>
        <v>Hallway Sconces Bulb 2</v>
      </c>
      <c r="H148" s="28" t="s">
        <v>130</v>
      </c>
      <c r="O148" s="29" t="s">
        <v>736</v>
      </c>
      <c r="P148" s="28" t="s">
        <v>155</v>
      </c>
      <c r="Q148" s="28" t="s">
        <v>708</v>
      </c>
      <c r="R148" s="28" t="str">
        <f>Table2[[#This Row],[entity_domain]]</f>
        <v>Lights</v>
      </c>
      <c r="S148" s="28" t="str">
        <f>_xlfn.CONCAT( Table2[[#This Row],[device_suggested_area]], " ",Table2[[#This Row],[powercalc_group_3]])</f>
        <v>Hallway Lights</v>
      </c>
      <c r="T148" s="35"/>
      <c r="U148" s="35"/>
      <c r="V148" s="35"/>
      <c r="W148" s="28"/>
      <c r="Y148" s="29"/>
      <c r="Z148" s="29" t="s">
        <v>455</v>
      </c>
      <c r="AA148" s="45">
        <v>120</v>
      </c>
      <c r="AB148" s="40" t="s">
        <v>704</v>
      </c>
      <c r="AC148" s="29" t="s">
        <v>1468</v>
      </c>
      <c r="AJ148" s="29"/>
      <c r="AK148" s="29"/>
      <c r="AV148" s="28"/>
      <c r="AW148" s="38"/>
      <c r="AY1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Z1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BA1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8" s="28" t="str">
        <f>Table2[[#This Row],[device_suggested_area]]</f>
        <v>Hallway</v>
      </c>
      <c r="BD148" s="28" t="str">
        <f>IF(ISBLANK(Table2[[#This Row],[device_model]]), "", Table2[[#This Row],[device_suggested_area]])</f>
        <v>Hallway</v>
      </c>
      <c r="BE148" s="28" t="s">
        <v>931</v>
      </c>
      <c r="BF148" s="28" t="s">
        <v>796</v>
      </c>
      <c r="BG148" s="28" t="s">
        <v>419</v>
      </c>
      <c r="BI148" s="28" t="s">
        <v>794</v>
      </c>
      <c r="BJ148" s="28" t="s">
        <v>375</v>
      </c>
      <c r="BO148" s="28" t="s">
        <v>805</v>
      </c>
      <c r="BQ1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9" ht="16" customHeight="1" x14ac:dyDescent="0.2">
      <c r="A149" s="28">
        <v>1616</v>
      </c>
      <c r="B149" s="28" t="s">
        <v>26</v>
      </c>
      <c r="C149" s="28" t="s">
        <v>348</v>
      </c>
      <c r="D149" s="28" t="s">
        <v>128</v>
      </c>
      <c r="E149" s="28" t="s">
        <v>268</v>
      </c>
      <c r="F149" s="34" t="str">
        <f>IF(ISBLANK(Table2[[#This Row],[unique_id]]), "", PROPER(SUBSTITUTE(Table2[[#This Row],[unique_id]], "_", " ")))</f>
        <v>Dining Main</v>
      </c>
      <c r="G149" s="28" t="s">
        <v>129</v>
      </c>
      <c r="H149" s="28" t="s">
        <v>130</v>
      </c>
      <c r="I149" s="28" t="s">
        <v>123</v>
      </c>
      <c r="J149" s="28" t="s">
        <v>672</v>
      </c>
      <c r="K149" s="28" t="s">
        <v>829</v>
      </c>
      <c r="M149" s="28" t="s">
        <v>127</v>
      </c>
      <c r="O149" s="29"/>
      <c r="P149" s="28"/>
      <c r="T149" s="35"/>
      <c r="U149" s="35"/>
      <c r="V149" s="35"/>
      <c r="W149" s="28"/>
      <c r="Y149" s="29"/>
      <c r="Z149" s="29" t="s">
        <v>456</v>
      </c>
      <c r="AA149" s="45">
        <v>104</v>
      </c>
      <c r="AB149" s="40" t="s">
        <v>706</v>
      </c>
      <c r="AC149" s="40" t="s">
        <v>919</v>
      </c>
      <c r="AD149" s="40"/>
      <c r="AH149" s="28" t="s">
        <v>263</v>
      </c>
      <c r="AJ149" s="29"/>
      <c r="AK149" s="29"/>
      <c r="AV149" s="28"/>
      <c r="AW14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Y1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Z1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BA1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9" s="28" t="str">
        <f>Table2[[#This Row],[device_suggested_area]]</f>
        <v>Dining</v>
      </c>
      <c r="BD149" s="28" t="str">
        <f>IF(ISBLANK(Table2[[#This Row],[device_model]]), "", Table2[[#This Row],[device_suggested_area]])</f>
        <v>Dining</v>
      </c>
      <c r="BE149" s="28" t="s">
        <v>943</v>
      </c>
      <c r="BF149" s="28" t="s">
        <v>453</v>
      </c>
      <c r="BG149" s="28" t="s">
        <v>348</v>
      </c>
      <c r="BH149" s="28" t="s">
        <v>1345</v>
      </c>
      <c r="BI149" s="28" t="s">
        <v>454</v>
      </c>
      <c r="BJ149" s="28" t="s">
        <v>182</v>
      </c>
      <c r="BO149" s="28"/>
      <c r="BQ1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9" ht="16" customHeight="1" x14ac:dyDescent="0.2">
      <c r="A150" s="28">
        <v>1617</v>
      </c>
      <c r="B150" s="28" t="s">
        <v>26</v>
      </c>
      <c r="C150" s="28" t="s">
        <v>348</v>
      </c>
      <c r="D150" s="28" t="s">
        <v>128</v>
      </c>
      <c r="E150" s="28" t="s">
        <v>878</v>
      </c>
      <c r="F150" s="34" t="str">
        <f>IF(ISBLANK(Table2[[#This Row],[unique_id]]), "", PROPER(SUBSTITUTE(Table2[[#This Row],[unique_id]], "_", " ")))</f>
        <v>Dining Main Bulb 1</v>
      </c>
      <c r="H150" s="28" t="s">
        <v>130</v>
      </c>
      <c r="O150" s="29" t="s">
        <v>736</v>
      </c>
      <c r="P150" s="28" t="s">
        <v>155</v>
      </c>
      <c r="Q150" s="28" t="s">
        <v>708</v>
      </c>
      <c r="R150" s="28" t="str">
        <f>Table2[[#This Row],[entity_domain]]</f>
        <v>Lights</v>
      </c>
      <c r="S150" s="28" t="str">
        <f>_xlfn.CONCAT( Table2[[#This Row],[device_suggested_area]], " ",Table2[[#This Row],[powercalc_group_3]])</f>
        <v>Dining Lights</v>
      </c>
      <c r="T150" s="35"/>
      <c r="U150" s="35"/>
      <c r="V150" s="35"/>
      <c r="W150" s="28"/>
      <c r="Y150" s="29"/>
      <c r="Z150" s="29" t="s">
        <v>455</v>
      </c>
      <c r="AA150" s="45">
        <v>104</v>
      </c>
      <c r="AB150" s="40" t="s">
        <v>704</v>
      </c>
      <c r="AC150" s="40" t="s">
        <v>919</v>
      </c>
      <c r="AD150" s="40"/>
      <c r="AJ150" s="29"/>
      <c r="AK150" s="29"/>
      <c r="AV150" s="28"/>
      <c r="AW15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Y1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Z1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BA1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0" s="28" t="str">
        <f>Table2[[#This Row],[device_suggested_area]]</f>
        <v>Dining</v>
      </c>
      <c r="BD150" s="28" t="str">
        <f>IF(ISBLANK(Table2[[#This Row],[device_model]]), "", Table2[[#This Row],[device_suggested_area]])</f>
        <v>Dining</v>
      </c>
      <c r="BE150" s="28" t="s">
        <v>944</v>
      </c>
      <c r="BF150" s="28" t="s">
        <v>453</v>
      </c>
      <c r="BG150" s="28" t="s">
        <v>348</v>
      </c>
      <c r="BH150" s="28" t="s">
        <v>1345</v>
      </c>
      <c r="BI150" s="28" t="s">
        <v>454</v>
      </c>
      <c r="BJ150" s="28" t="s">
        <v>182</v>
      </c>
      <c r="BO150" s="28" t="s">
        <v>467</v>
      </c>
      <c r="BQ1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9" ht="16" customHeight="1" x14ac:dyDescent="0.2">
      <c r="A151" s="28">
        <v>1618</v>
      </c>
      <c r="B151" s="28" t="s">
        <v>26</v>
      </c>
      <c r="C151" s="28" t="s">
        <v>348</v>
      </c>
      <c r="D151" s="28" t="s">
        <v>128</v>
      </c>
      <c r="E151" s="28" t="s">
        <v>879</v>
      </c>
      <c r="F151" s="34" t="str">
        <f>IF(ISBLANK(Table2[[#This Row],[unique_id]]), "", PROPER(SUBSTITUTE(Table2[[#This Row],[unique_id]], "_", " ")))</f>
        <v>Dining Main Bulb 2</v>
      </c>
      <c r="H151" s="28" t="s">
        <v>130</v>
      </c>
      <c r="O151" s="29" t="s">
        <v>736</v>
      </c>
      <c r="P151" s="28" t="s">
        <v>155</v>
      </c>
      <c r="Q151" s="28" t="s">
        <v>708</v>
      </c>
      <c r="R151" s="28" t="str">
        <f>Table2[[#This Row],[entity_domain]]</f>
        <v>Lights</v>
      </c>
      <c r="S151" s="28" t="str">
        <f>_xlfn.CONCAT( Table2[[#This Row],[device_suggested_area]], " ",Table2[[#This Row],[powercalc_group_3]])</f>
        <v>Dining Lights</v>
      </c>
      <c r="T151" s="35"/>
      <c r="U151" s="35"/>
      <c r="V151" s="35"/>
      <c r="W151" s="28"/>
      <c r="Y151" s="29"/>
      <c r="Z151" s="29" t="s">
        <v>455</v>
      </c>
      <c r="AA151" s="45">
        <v>104</v>
      </c>
      <c r="AB151" s="40" t="s">
        <v>704</v>
      </c>
      <c r="AC151" s="40" t="s">
        <v>919</v>
      </c>
      <c r="AD151" s="40"/>
      <c r="AJ151" s="29"/>
      <c r="AK151" s="29"/>
      <c r="AV151" s="28"/>
      <c r="AW15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Y1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Z1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BA1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1" s="28" t="str">
        <f>Table2[[#This Row],[device_suggested_area]]</f>
        <v>Dining</v>
      </c>
      <c r="BD151" s="28" t="str">
        <f>IF(ISBLANK(Table2[[#This Row],[device_model]]), "", Table2[[#This Row],[device_suggested_area]])</f>
        <v>Dining</v>
      </c>
      <c r="BE151" s="28" t="s">
        <v>945</v>
      </c>
      <c r="BF151" s="28" t="s">
        <v>453</v>
      </c>
      <c r="BG151" s="28" t="s">
        <v>348</v>
      </c>
      <c r="BH151" s="28" t="s">
        <v>1345</v>
      </c>
      <c r="BI151" s="28" t="s">
        <v>454</v>
      </c>
      <c r="BJ151" s="28" t="s">
        <v>182</v>
      </c>
      <c r="BO151" s="28" t="s">
        <v>468</v>
      </c>
      <c r="BQ1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9" ht="16" customHeight="1" x14ac:dyDescent="0.2">
      <c r="A152" s="28">
        <v>1619</v>
      </c>
      <c r="B152" s="28" t="s">
        <v>26</v>
      </c>
      <c r="C152" s="28" t="s">
        <v>348</v>
      </c>
      <c r="D152" s="28" t="s">
        <v>128</v>
      </c>
      <c r="E152" s="28" t="s">
        <v>880</v>
      </c>
      <c r="F152" s="34" t="str">
        <f>IF(ISBLANK(Table2[[#This Row],[unique_id]]), "", PROPER(SUBSTITUTE(Table2[[#This Row],[unique_id]], "_", " ")))</f>
        <v>Dining Main Bulb 3</v>
      </c>
      <c r="H152" s="28" t="s">
        <v>130</v>
      </c>
      <c r="O152" s="29" t="s">
        <v>736</v>
      </c>
      <c r="P152" s="28" t="s">
        <v>155</v>
      </c>
      <c r="Q152" s="28" t="s">
        <v>708</v>
      </c>
      <c r="R152" s="28" t="str">
        <f>Table2[[#This Row],[entity_domain]]</f>
        <v>Lights</v>
      </c>
      <c r="S152" s="28" t="str">
        <f>_xlfn.CONCAT( Table2[[#This Row],[device_suggested_area]], " ",Table2[[#This Row],[powercalc_group_3]])</f>
        <v>Dining Lights</v>
      </c>
      <c r="T152" s="35"/>
      <c r="U152" s="35"/>
      <c r="V152" s="35"/>
      <c r="W152" s="28"/>
      <c r="Y152" s="29"/>
      <c r="Z152" s="29" t="s">
        <v>455</v>
      </c>
      <c r="AA152" s="45">
        <v>104</v>
      </c>
      <c r="AB152" s="40" t="s">
        <v>704</v>
      </c>
      <c r="AC152" s="40" t="s">
        <v>919</v>
      </c>
      <c r="AD152" s="40"/>
      <c r="AJ152" s="29"/>
      <c r="AK152" s="29"/>
      <c r="AV152" s="28"/>
      <c r="AW15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Y1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Z1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BA1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2" s="28" t="str">
        <f>Table2[[#This Row],[device_suggested_area]]</f>
        <v>Dining</v>
      </c>
      <c r="BD152" s="28" t="str">
        <f>IF(ISBLANK(Table2[[#This Row],[device_model]]), "", Table2[[#This Row],[device_suggested_area]])</f>
        <v>Dining</v>
      </c>
      <c r="BE152" s="28" t="s">
        <v>946</v>
      </c>
      <c r="BF152" s="28" t="s">
        <v>453</v>
      </c>
      <c r="BG152" s="28" t="s">
        <v>348</v>
      </c>
      <c r="BH152" s="28" t="s">
        <v>1345</v>
      </c>
      <c r="BI152" s="28" t="s">
        <v>454</v>
      </c>
      <c r="BJ152" s="28" t="s">
        <v>182</v>
      </c>
      <c r="BO152" s="28" t="s">
        <v>469</v>
      </c>
      <c r="BQ1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9" ht="16" customHeight="1" x14ac:dyDescent="0.2">
      <c r="A153" s="28">
        <v>1620</v>
      </c>
      <c r="B153" s="28" t="s">
        <v>26</v>
      </c>
      <c r="C153" s="28" t="s">
        <v>348</v>
      </c>
      <c r="D153" s="28" t="s">
        <v>128</v>
      </c>
      <c r="E153" s="28" t="s">
        <v>881</v>
      </c>
      <c r="F153" s="34" t="str">
        <f>IF(ISBLANK(Table2[[#This Row],[unique_id]]), "", PROPER(SUBSTITUTE(Table2[[#This Row],[unique_id]], "_", " ")))</f>
        <v>Dining Main Bulb 4</v>
      </c>
      <c r="H153" s="28" t="s">
        <v>130</v>
      </c>
      <c r="O153" s="29" t="s">
        <v>736</v>
      </c>
      <c r="P153" s="28" t="s">
        <v>155</v>
      </c>
      <c r="Q153" s="28" t="s">
        <v>708</v>
      </c>
      <c r="R153" s="28" t="str">
        <f>Table2[[#This Row],[entity_domain]]</f>
        <v>Lights</v>
      </c>
      <c r="S153" s="28" t="str">
        <f>_xlfn.CONCAT( Table2[[#This Row],[device_suggested_area]], " ",Table2[[#This Row],[powercalc_group_3]])</f>
        <v>Dining Lights</v>
      </c>
      <c r="T153" s="35"/>
      <c r="U153" s="35"/>
      <c r="V153" s="35"/>
      <c r="W153" s="28"/>
      <c r="Y153" s="29"/>
      <c r="Z153" s="29" t="s">
        <v>455</v>
      </c>
      <c r="AA153" s="45">
        <v>104</v>
      </c>
      <c r="AB153" s="40" t="s">
        <v>704</v>
      </c>
      <c r="AC153" s="40" t="s">
        <v>919</v>
      </c>
      <c r="AD153" s="40"/>
      <c r="AJ153" s="29"/>
      <c r="AK153" s="29"/>
      <c r="AV153" s="28"/>
      <c r="AW15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Y1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Z1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BA1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3" s="28" t="str">
        <f>Table2[[#This Row],[device_suggested_area]]</f>
        <v>Dining</v>
      </c>
      <c r="BD153" s="28" t="str">
        <f>IF(ISBLANK(Table2[[#This Row],[device_model]]), "", Table2[[#This Row],[device_suggested_area]])</f>
        <v>Dining</v>
      </c>
      <c r="BE153" s="28" t="s">
        <v>947</v>
      </c>
      <c r="BF153" s="28" t="s">
        <v>453</v>
      </c>
      <c r="BG153" s="28" t="s">
        <v>348</v>
      </c>
      <c r="BH153" s="28" t="s">
        <v>1345</v>
      </c>
      <c r="BI153" s="28" t="s">
        <v>454</v>
      </c>
      <c r="BJ153" s="28" t="s">
        <v>182</v>
      </c>
      <c r="BO153" s="28" t="s">
        <v>470</v>
      </c>
      <c r="BQ1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9" ht="16" customHeight="1" x14ac:dyDescent="0.2">
      <c r="A154" s="28">
        <v>1621</v>
      </c>
      <c r="B154" s="28" t="s">
        <v>26</v>
      </c>
      <c r="C154" s="28" t="s">
        <v>348</v>
      </c>
      <c r="D154" s="28" t="s">
        <v>128</v>
      </c>
      <c r="E154" s="28" t="s">
        <v>882</v>
      </c>
      <c r="F154" s="34" t="str">
        <f>IF(ISBLANK(Table2[[#This Row],[unique_id]]), "", PROPER(SUBSTITUTE(Table2[[#This Row],[unique_id]], "_", " ")))</f>
        <v>Dining Main Bulb 5</v>
      </c>
      <c r="H154" s="28" t="s">
        <v>130</v>
      </c>
      <c r="O154" s="29" t="s">
        <v>736</v>
      </c>
      <c r="P154" s="28" t="s">
        <v>155</v>
      </c>
      <c r="Q154" s="28" t="s">
        <v>708</v>
      </c>
      <c r="R154" s="28" t="str">
        <f>Table2[[#This Row],[entity_domain]]</f>
        <v>Lights</v>
      </c>
      <c r="S154" s="28" t="str">
        <f>_xlfn.CONCAT( Table2[[#This Row],[device_suggested_area]], " ",Table2[[#This Row],[powercalc_group_3]])</f>
        <v>Dining Lights</v>
      </c>
      <c r="T154" s="35"/>
      <c r="U154" s="35"/>
      <c r="V154" s="35"/>
      <c r="W154" s="28"/>
      <c r="Y154" s="29"/>
      <c r="Z154" s="29" t="s">
        <v>455</v>
      </c>
      <c r="AA154" s="45">
        <v>104</v>
      </c>
      <c r="AB154" s="40" t="s">
        <v>704</v>
      </c>
      <c r="AC154" s="40" t="s">
        <v>919</v>
      </c>
      <c r="AD154" s="40"/>
      <c r="AJ154" s="29"/>
      <c r="AK154" s="29"/>
      <c r="AV154" s="28"/>
      <c r="AW15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Y1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Z1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BA1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4" s="28" t="str">
        <f>Table2[[#This Row],[device_suggested_area]]</f>
        <v>Dining</v>
      </c>
      <c r="BD154" s="28" t="str">
        <f>IF(ISBLANK(Table2[[#This Row],[device_model]]), "", Table2[[#This Row],[device_suggested_area]])</f>
        <v>Dining</v>
      </c>
      <c r="BE154" s="28" t="s">
        <v>948</v>
      </c>
      <c r="BF154" s="28" t="s">
        <v>453</v>
      </c>
      <c r="BG154" s="28" t="s">
        <v>348</v>
      </c>
      <c r="BH154" s="28" t="s">
        <v>1345</v>
      </c>
      <c r="BI154" s="28" t="s">
        <v>454</v>
      </c>
      <c r="BJ154" s="28" t="s">
        <v>182</v>
      </c>
      <c r="BO154" s="28" t="s">
        <v>471</v>
      </c>
      <c r="BQ1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9" ht="16" customHeight="1" x14ac:dyDescent="0.2">
      <c r="A155" s="28">
        <v>1622</v>
      </c>
      <c r="B155" s="28" t="s">
        <v>26</v>
      </c>
      <c r="C155" s="28" t="s">
        <v>348</v>
      </c>
      <c r="D155" s="28" t="s">
        <v>128</v>
      </c>
      <c r="E155" s="28" t="s">
        <v>883</v>
      </c>
      <c r="F155" s="34" t="str">
        <f>IF(ISBLANK(Table2[[#This Row],[unique_id]]), "", PROPER(SUBSTITUTE(Table2[[#This Row],[unique_id]], "_", " ")))</f>
        <v>Dining Main Bulb 6</v>
      </c>
      <c r="H155" s="28" t="s">
        <v>130</v>
      </c>
      <c r="O155" s="29" t="s">
        <v>736</v>
      </c>
      <c r="P155" s="28" t="s">
        <v>155</v>
      </c>
      <c r="Q155" s="28" t="s">
        <v>708</v>
      </c>
      <c r="R155" s="28" t="str">
        <f>Table2[[#This Row],[entity_domain]]</f>
        <v>Lights</v>
      </c>
      <c r="S155" s="28" t="str">
        <f>_xlfn.CONCAT( Table2[[#This Row],[device_suggested_area]], " ",Table2[[#This Row],[powercalc_group_3]])</f>
        <v>Dining Lights</v>
      </c>
      <c r="T155" s="35"/>
      <c r="U155" s="35"/>
      <c r="V155" s="35"/>
      <c r="W155" s="28"/>
      <c r="Y155" s="29"/>
      <c r="Z155" s="29" t="s">
        <v>455</v>
      </c>
      <c r="AA155" s="45">
        <v>104</v>
      </c>
      <c r="AB155" s="40" t="s">
        <v>704</v>
      </c>
      <c r="AC155" s="40" t="s">
        <v>919</v>
      </c>
      <c r="AD155" s="40"/>
      <c r="AJ155" s="29"/>
      <c r="AK155" s="29"/>
      <c r="AV155" s="28"/>
      <c r="AW15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Y1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Z1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BA1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5" s="28" t="str">
        <f>Table2[[#This Row],[device_suggested_area]]</f>
        <v>Dining</v>
      </c>
      <c r="BD155" s="28" t="str">
        <f>IF(ISBLANK(Table2[[#This Row],[device_model]]), "", Table2[[#This Row],[device_suggested_area]])</f>
        <v>Dining</v>
      </c>
      <c r="BE155" s="28" t="s">
        <v>949</v>
      </c>
      <c r="BF155" s="28" t="s">
        <v>453</v>
      </c>
      <c r="BG155" s="28" t="s">
        <v>348</v>
      </c>
      <c r="BH155" s="28" t="s">
        <v>1345</v>
      </c>
      <c r="BI155" s="28" t="s">
        <v>454</v>
      </c>
      <c r="BJ155" s="28" t="s">
        <v>182</v>
      </c>
      <c r="BO155" s="28" t="s">
        <v>472</v>
      </c>
      <c r="BQ1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9" ht="16" customHeight="1" x14ac:dyDescent="0.2">
      <c r="A156" s="28">
        <v>1623</v>
      </c>
      <c r="B156" s="28" t="s">
        <v>26</v>
      </c>
      <c r="C156" s="28" t="s">
        <v>348</v>
      </c>
      <c r="D156" s="28" t="s">
        <v>128</v>
      </c>
      <c r="E156" s="28" t="s">
        <v>269</v>
      </c>
      <c r="F156" s="34" t="str">
        <f>IF(ISBLANK(Table2[[#This Row],[unique_id]]), "", PROPER(SUBSTITUTE(Table2[[#This Row],[unique_id]], "_", " ")))</f>
        <v>Lounge Main</v>
      </c>
      <c r="G156" s="28" t="s">
        <v>196</v>
      </c>
      <c r="H156" s="28" t="s">
        <v>130</v>
      </c>
      <c r="I156" s="28" t="s">
        <v>123</v>
      </c>
      <c r="J156" s="28" t="s">
        <v>672</v>
      </c>
      <c r="K156" s="28" t="s">
        <v>829</v>
      </c>
      <c r="M156" s="28" t="s">
        <v>127</v>
      </c>
      <c r="O156" s="29"/>
      <c r="P156" s="28"/>
      <c r="T156" s="35"/>
      <c r="U156" s="35"/>
      <c r="V156" s="35"/>
      <c r="W156" s="28"/>
      <c r="Y156" s="29"/>
      <c r="Z156" s="29" t="s">
        <v>456</v>
      </c>
      <c r="AA156" s="45">
        <v>105</v>
      </c>
      <c r="AB156" s="40" t="s">
        <v>706</v>
      </c>
      <c r="AC156" s="40" t="s">
        <v>919</v>
      </c>
      <c r="AD156" s="40"/>
      <c r="AH156" s="28" t="s">
        <v>263</v>
      </c>
      <c r="AJ156" s="29"/>
      <c r="AK156" s="29"/>
      <c r="AV156" s="28"/>
      <c r="AW15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Y1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Z1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BA1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6" s="28" t="str">
        <f>Table2[[#This Row],[device_suggested_area]]</f>
        <v>Lounge</v>
      </c>
      <c r="BD156" s="28" t="str">
        <f>IF(ISBLANK(Table2[[#This Row],[device_model]]), "", Table2[[#This Row],[device_suggested_area]])</f>
        <v>Lounge</v>
      </c>
      <c r="BE156" s="28" t="s">
        <v>943</v>
      </c>
      <c r="BF156" s="28" t="s">
        <v>453</v>
      </c>
      <c r="BG156" s="28" t="s">
        <v>348</v>
      </c>
      <c r="BH156" s="28" t="s">
        <v>1345</v>
      </c>
      <c r="BI156" s="28" t="s">
        <v>454</v>
      </c>
      <c r="BJ156" s="28" t="s">
        <v>183</v>
      </c>
      <c r="BO156" s="28"/>
      <c r="BQ1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9" ht="16" customHeight="1" x14ac:dyDescent="0.2">
      <c r="A157" s="28">
        <v>1624</v>
      </c>
      <c r="B157" s="28" t="s">
        <v>26</v>
      </c>
      <c r="C157" s="28" t="s">
        <v>348</v>
      </c>
      <c r="D157" s="28" t="s">
        <v>128</v>
      </c>
      <c r="E157" s="28" t="s">
        <v>884</v>
      </c>
      <c r="F157" s="34" t="str">
        <f>IF(ISBLANK(Table2[[#This Row],[unique_id]]), "", PROPER(SUBSTITUTE(Table2[[#This Row],[unique_id]], "_", " ")))</f>
        <v>Lounge Main Bulb 1</v>
      </c>
      <c r="H157" s="28" t="s">
        <v>130</v>
      </c>
      <c r="O157" s="29" t="s">
        <v>736</v>
      </c>
      <c r="P157" s="28" t="s">
        <v>155</v>
      </c>
      <c r="Q157" s="28" t="s">
        <v>708</v>
      </c>
      <c r="R157" s="28" t="str">
        <f>Table2[[#This Row],[entity_domain]]</f>
        <v>Lights</v>
      </c>
      <c r="S157" s="28" t="str">
        <f>_xlfn.CONCAT( Table2[[#This Row],[device_suggested_area]], " ",Table2[[#This Row],[powercalc_group_3]])</f>
        <v>Lounge Lights</v>
      </c>
      <c r="T157" s="35"/>
      <c r="U157" s="35"/>
      <c r="V157" s="35"/>
      <c r="W157" s="28"/>
      <c r="Y157" s="29"/>
      <c r="Z157" s="29" t="s">
        <v>455</v>
      </c>
      <c r="AA157" s="45">
        <v>105</v>
      </c>
      <c r="AB157" s="40" t="s">
        <v>704</v>
      </c>
      <c r="AC157" s="40" t="s">
        <v>919</v>
      </c>
      <c r="AD157" s="40"/>
      <c r="AJ157" s="29"/>
      <c r="AK157" s="29"/>
      <c r="AV157" s="28"/>
      <c r="AW15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Y1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Z1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BA1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7" s="28" t="str">
        <f>Table2[[#This Row],[device_suggested_area]]</f>
        <v>Lounge</v>
      </c>
      <c r="BD157" s="28" t="str">
        <f>IF(ISBLANK(Table2[[#This Row],[device_model]]), "", Table2[[#This Row],[device_suggested_area]])</f>
        <v>Lounge</v>
      </c>
      <c r="BE157" s="28" t="s">
        <v>944</v>
      </c>
      <c r="BF157" s="28" t="s">
        <v>453</v>
      </c>
      <c r="BG157" s="28" t="s">
        <v>348</v>
      </c>
      <c r="BH157" s="28" t="s">
        <v>1345</v>
      </c>
      <c r="BI157" s="28" t="s">
        <v>454</v>
      </c>
      <c r="BJ157" s="28" t="s">
        <v>183</v>
      </c>
      <c r="BO157" s="28" t="s">
        <v>473</v>
      </c>
      <c r="BQ1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9" ht="16" customHeight="1" x14ac:dyDescent="0.2">
      <c r="A158" s="28">
        <v>1625</v>
      </c>
      <c r="B158" s="28" t="s">
        <v>26</v>
      </c>
      <c r="C158" s="28" t="s">
        <v>348</v>
      </c>
      <c r="D158" s="28" t="s">
        <v>128</v>
      </c>
      <c r="E158" s="28" t="s">
        <v>885</v>
      </c>
      <c r="F158" s="34" t="str">
        <f>IF(ISBLANK(Table2[[#This Row],[unique_id]]), "", PROPER(SUBSTITUTE(Table2[[#This Row],[unique_id]], "_", " ")))</f>
        <v>Lounge Main Bulb 2</v>
      </c>
      <c r="H158" s="28" t="s">
        <v>130</v>
      </c>
      <c r="O158" s="29" t="s">
        <v>736</v>
      </c>
      <c r="P158" s="28" t="s">
        <v>155</v>
      </c>
      <c r="Q158" s="28" t="s">
        <v>708</v>
      </c>
      <c r="R158" s="28" t="str">
        <f>Table2[[#This Row],[entity_domain]]</f>
        <v>Lights</v>
      </c>
      <c r="S158" s="28" t="str">
        <f>_xlfn.CONCAT( Table2[[#This Row],[device_suggested_area]], " ",Table2[[#This Row],[powercalc_group_3]])</f>
        <v>Lounge Lights</v>
      </c>
      <c r="T158" s="35"/>
      <c r="U158" s="35"/>
      <c r="V158" s="35"/>
      <c r="W158" s="28"/>
      <c r="Y158" s="29"/>
      <c r="Z158" s="29" t="s">
        <v>455</v>
      </c>
      <c r="AA158" s="45">
        <v>105</v>
      </c>
      <c r="AB158" s="40" t="s">
        <v>704</v>
      </c>
      <c r="AC158" s="40" t="s">
        <v>919</v>
      </c>
      <c r="AD158" s="40"/>
      <c r="AJ158" s="29"/>
      <c r="AK158" s="29"/>
      <c r="AV158" s="28"/>
      <c r="AW15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Y1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Z1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BA1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8" s="28" t="str">
        <f>Table2[[#This Row],[device_suggested_area]]</f>
        <v>Lounge</v>
      </c>
      <c r="BD158" s="28" t="str">
        <f>IF(ISBLANK(Table2[[#This Row],[device_model]]), "", Table2[[#This Row],[device_suggested_area]])</f>
        <v>Lounge</v>
      </c>
      <c r="BE158" s="28" t="s">
        <v>945</v>
      </c>
      <c r="BF158" s="28" t="s">
        <v>453</v>
      </c>
      <c r="BG158" s="28" t="s">
        <v>348</v>
      </c>
      <c r="BH158" s="28" t="s">
        <v>1345</v>
      </c>
      <c r="BI158" s="28" t="s">
        <v>454</v>
      </c>
      <c r="BJ158" s="28" t="s">
        <v>183</v>
      </c>
      <c r="BO158" s="28" t="s">
        <v>474</v>
      </c>
      <c r="BQ1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9" ht="16" customHeight="1" x14ac:dyDescent="0.2">
      <c r="A159" s="28">
        <v>1626</v>
      </c>
      <c r="B159" s="28" t="s">
        <v>26</v>
      </c>
      <c r="C159" s="28" t="s">
        <v>348</v>
      </c>
      <c r="D159" s="28" t="s">
        <v>128</v>
      </c>
      <c r="E159" s="28" t="s">
        <v>886</v>
      </c>
      <c r="F159" s="34" t="str">
        <f>IF(ISBLANK(Table2[[#This Row],[unique_id]]), "", PROPER(SUBSTITUTE(Table2[[#This Row],[unique_id]], "_", " ")))</f>
        <v>Lounge Main Bulb 3</v>
      </c>
      <c r="H159" s="28" t="s">
        <v>130</v>
      </c>
      <c r="O159" s="29" t="s">
        <v>736</v>
      </c>
      <c r="P159" s="28" t="s">
        <v>155</v>
      </c>
      <c r="Q159" s="28" t="s">
        <v>708</v>
      </c>
      <c r="R159" s="28" t="str">
        <f>Table2[[#This Row],[entity_domain]]</f>
        <v>Lights</v>
      </c>
      <c r="S159" s="28" t="str">
        <f>_xlfn.CONCAT( Table2[[#This Row],[device_suggested_area]], " ",Table2[[#This Row],[powercalc_group_3]])</f>
        <v>Lounge Lights</v>
      </c>
      <c r="T159" s="35"/>
      <c r="U159" s="35"/>
      <c r="V159" s="35"/>
      <c r="W159" s="28"/>
      <c r="Y159" s="29"/>
      <c r="Z159" s="29" t="s">
        <v>455</v>
      </c>
      <c r="AA159" s="45">
        <v>105</v>
      </c>
      <c r="AB159" s="40" t="s">
        <v>704</v>
      </c>
      <c r="AC159" s="40" t="s">
        <v>919</v>
      </c>
      <c r="AD159" s="40"/>
      <c r="AJ159" s="29"/>
      <c r="AK159" s="29"/>
      <c r="AV159" s="28"/>
      <c r="AW15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Y1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Z1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BA1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9" s="28" t="str">
        <f>Table2[[#This Row],[device_suggested_area]]</f>
        <v>Lounge</v>
      </c>
      <c r="BD159" s="28" t="str">
        <f>IF(ISBLANK(Table2[[#This Row],[device_model]]), "", Table2[[#This Row],[device_suggested_area]])</f>
        <v>Lounge</v>
      </c>
      <c r="BE159" s="28" t="s">
        <v>946</v>
      </c>
      <c r="BF159" s="28" t="s">
        <v>453</v>
      </c>
      <c r="BG159" s="28" t="s">
        <v>348</v>
      </c>
      <c r="BH159" s="28" t="s">
        <v>1345</v>
      </c>
      <c r="BI159" s="28" t="s">
        <v>454</v>
      </c>
      <c r="BJ159" s="28" t="s">
        <v>183</v>
      </c>
      <c r="BO159" s="28" t="s">
        <v>475</v>
      </c>
      <c r="BQ1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9" ht="16" customHeight="1" x14ac:dyDescent="0.2">
      <c r="A160" s="28">
        <v>1627</v>
      </c>
      <c r="B160" s="28" t="s">
        <v>26</v>
      </c>
      <c r="C160" s="28" t="s">
        <v>124</v>
      </c>
      <c r="D160" s="28" t="s">
        <v>128</v>
      </c>
      <c r="E160" s="28" t="s">
        <v>384</v>
      </c>
      <c r="F160" s="34" t="str">
        <f>IF(ISBLANK(Table2[[#This Row],[unique_id]]), "", PROPER(SUBSTITUTE(Table2[[#This Row],[unique_id]], "_", " ")))</f>
        <v>Lounge Fan</v>
      </c>
      <c r="G160" s="28" t="s">
        <v>180</v>
      </c>
      <c r="H160" s="28" t="s">
        <v>130</v>
      </c>
      <c r="I160" s="28" t="s">
        <v>123</v>
      </c>
      <c r="J160" s="28" t="s">
        <v>673</v>
      </c>
      <c r="M160" s="28" t="s">
        <v>127</v>
      </c>
      <c r="O160" s="29" t="s">
        <v>736</v>
      </c>
      <c r="P160" s="28" t="s">
        <v>155</v>
      </c>
      <c r="Q160" s="28" t="s">
        <v>708</v>
      </c>
      <c r="R160" s="28" t="str">
        <f>Table2[[#This Row],[entity_domain]]</f>
        <v>Lights</v>
      </c>
      <c r="S160" s="28" t="str">
        <f>_xlfn.CONCAT( Table2[[#This Row],[device_suggested_area]], " ",Table2[[#This Row],[powercalc_group_3]])</f>
        <v>Lounge Lights</v>
      </c>
      <c r="T160" s="35" t="s">
        <v>723</v>
      </c>
      <c r="U160" s="35"/>
      <c r="V160" s="35"/>
      <c r="W160" s="28"/>
      <c r="Y160" s="29"/>
      <c r="Z160" s="29"/>
      <c r="AA160" s="29"/>
      <c r="AB160" s="29"/>
      <c r="AH160" s="28" t="s">
        <v>263</v>
      </c>
      <c r="AJ160" s="29"/>
      <c r="AK160" s="29"/>
      <c r="AV160" s="28"/>
      <c r="AW160" s="38"/>
      <c r="AX160" s="29"/>
      <c r="AY1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60" s="28" t="str">
        <f>IF(ISBLANK(Table2[[#This Row],[device_model]]), "", Table2[[#This Row],[device_suggested_area]])</f>
        <v/>
      </c>
      <c r="BI160" s="29"/>
      <c r="BJ160" s="28" t="s">
        <v>183</v>
      </c>
      <c r="BL160" s="28" t="s">
        <v>650</v>
      </c>
      <c r="BO160" s="28"/>
      <c r="BQ1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9" ht="16" customHeight="1" x14ac:dyDescent="0.2">
      <c r="A161" s="28">
        <v>1628</v>
      </c>
      <c r="B161" s="28" t="s">
        <v>26</v>
      </c>
      <c r="C161" s="28" t="s">
        <v>348</v>
      </c>
      <c r="D161" s="28" t="s">
        <v>128</v>
      </c>
      <c r="E161" s="28" t="s">
        <v>519</v>
      </c>
      <c r="F161" s="34" t="str">
        <f>IF(ISBLANK(Table2[[#This Row],[unique_id]]), "", PROPER(SUBSTITUTE(Table2[[#This Row],[unique_id]], "_", " ")))</f>
        <v>Lounge Lamp</v>
      </c>
      <c r="G161" s="34" t="str">
        <f>IF(ISBLANK(Table2[[#This Row],[unique_id]]), "", PROPER(SUBSTITUTE(Table2[[#This Row],[unique_id]], "_", " ")))</f>
        <v>Lounge Lamp</v>
      </c>
      <c r="H161" s="28" t="s">
        <v>130</v>
      </c>
      <c r="I161" s="28" t="s">
        <v>123</v>
      </c>
      <c r="J161" s="28" t="s">
        <v>488</v>
      </c>
      <c r="K161" s="28" t="s">
        <v>833</v>
      </c>
      <c r="M161" s="28" t="s">
        <v>127</v>
      </c>
      <c r="O161" s="29"/>
      <c r="P161" s="28"/>
      <c r="T161" s="35"/>
      <c r="U161" s="35"/>
      <c r="V161" s="35"/>
      <c r="W161" s="28"/>
      <c r="Y161" s="29"/>
      <c r="Z161" s="29" t="s">
        <v>456</v>
      </c>
      <c r="AA161" s="45">
        <v>123</v>
      </c>
      <c r="AB161" s="40" t="s">
        <v>706</v>
      </c>
      <c r="AC161" s="40" t="s">
        <v>919</v>
      </c>
      <c r="AD161" s="40"/>
      <c r="AH161" s="28" t="s">
        <v>263</v>
      </c>
      <c r="AJ161" s="29"/>
      <c r="AK161" s="29"/>
      <c r="AV161" s="28"/>
      <c r="AW16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Y1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Z1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BA1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1" s="28" t="str">
        <f>Table2[[#This Row],[device_suggested_area]]</f>
        <v>Lounge</v>
      </c>
      <c r="BD161" s="28" t="str">
        <f>IF(ISBLANK(Table2[[#This Row],[device_model]]), "", Table2[[#This Row],[device_suggested_area]])</f>
        <v>Lounge</v>
      </c>
      <c r="BE161" s="28" t="s">
        <v>488</v>
      </c>
      <c r="BF161" s="28" t="s">
        <v>1432</v>
      </c>
      <c r="BG161" s="28" t="s">
        <v>348</v>
      </c>
      <c r="BH161" s="28" t="s">
        <v>1345</v>
      </c>
      <c r="BI161" s="28" t="s">
        <v>454</v>
      </c>
      <c r="BJ161" s="28" t="s">
        <v>183</v>
      </c>
      <c r="BL161" s="28" t="s">
        <v>650</v>
      </c>
      <c r="BO161" s="28"/>
      <c r="BQ1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9" ht="16" customHeight="1" x14ac:dyDescent="0.2">
      <c r="A162" s="28">
        <v>1629</v>
      </c>
      <c r="B162" s="28" t="s">
        <v>26</v>
      </c>
      <c r="C162" s="28" t="s">
        <v>348</v>
      </c>
      <c r="D162" s="28" t="s">
        <v>128</v>
      </c>
      <c r="E162" s="28" t="s">
        <v>887</v>
      </c>
      <c r="F162" s="34" t="str">
        <f>IF(ISBLANK(Table2[[#This Row],[unique_id]]), "", PROPER(SUBSTITUTE(Table2[[#This Row],[unique_id]], "_", " ")))</f>
        <v>Lounge Lamp Bulb 1</v>
      </c>
      <c r="H162" s="28" t="s">
        <v>130</v>
      </c>
      <c r="O162" s="29" t="s">
        <v>736</v>
      </c>
      <c r="P162" s="28" t="s">
        <v>155</v>
      </c>
      <c r="Q162" s="28" t="s">
        <v>708</v>
      </c>
      <c r="R162" s="28" t="str">
        <f>Table2[[#This Row],[entity_domain]]</f>
        <v>Lights</v>
      </c>
      <c r="S162" s="28" t="str">
        <f>_xlfn.CONCAT( Table2[[#This Row],[device_suggested_area]], " ",Table2[[#This Row],[powercalc_group_3]])</f>
        <v>Lounge Lights</v>
      </c>
      <c r="T162" s="35"/>
      <c r="U162" s="35"/>
      <c r="V162" s="35"/>
      <c r="W162" s="28"/>
      <c r="Y162" s="29"/>
      <c r="Z162" s="29" t="s">
        <v>455</v>
      </c>
      <c r="AA162" s="45">
        <v>123</v>
      </c>
      <c r="AB162" s="40" t="s">
        <v>704</v>
      </c>
      <c r="AC162" s="40" t="s">
        <v>1286</v>
      </c>
      <c r="AD162" s="40"/>
      <c r="AJ162" s="29"/>
      <c r="AK162" s="29"/>
      <c r="AV162" s="28"/>
      <c r="AW16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Y1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Z1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BA1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2" s="28" t="str">
        <f>Table2[[#This Row],[device_suggested_area]]</f>
        <v>Lounge</v>
      </c>
      <c r="BD162" s="28" t="str">
        <f>IF(ISBLANK(Table2[[#This Row],[device_model]]), "", Table2[[#This Row],[device_suggested_area]])</f>
        <v>Lounge</v>
      </c>
      <c r="BE162" s="28" t="s">
        <v>941</v>
      </c>
      <c r="BF162" s="28" t="s">
        <v>1432</v>
      </c>
      <c r="BG162" s="28" t="s">
        <v>348</v>
      </c>
      <c r="BH162" s="28" t="s">
        <v>1345</v>
      </c>
      <c r="BI162" s="28" t="s">
        <v>454</v>
      </c>
      <c r="BJ162" s="28" t="s">
        <v>183</v>
      </c>
      <c r="BL162" s="28" t="s">
        <v>650</v>
      </c>
      <c r="BO162" s="28" t="s">
        <v>1430</v>
      </c>
      <c r="BQ1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9" ht="16" customHeight="1" x14ac:dyDescent="0.2">
      <c r="A163" s="28">
        <v>1630</v>
      </c>
      <c r="B163" s="28" t="s">
        <v>26</v>
      </c>
      <c r="C163" s="28" t="s">
        <v>348</v>
      </c>
      <c r="D163" s="28" t="s">
        <v>128</v>
      </c>
      <c r="E163" s="28" t="s">
        <v>1425</v>
      </c>
      <c r="F163" s="34" t="str">
        <f>IF(ISBLANK(Table2[[#This Row],[unique_id]]), "", PROPER(SUBSTITUTE(Table2[[#This Row],[unique_id]], "_", " ")))</f>
        <v>Lounge Reading</v>
      </c>
      <c r="G163" s="28" t="s">
        <v>1436</v>
      </c>
      <c r="H163" s="28" t="s">
        <v>130</v>
      </c>
      <c r="I163" s="28" t="s">
        <v>123</v>
      </c>
      <c r="J163" s="28" t="s">
        <v>1428</v>
      </c>
      <c r="K163" s="28" t="s">
        <v>833</v>
      </c>
      <c r="M163" s="28" t="s">
        <v>127</v>
      </c>
      <c r="O163" s="29"/>
      <c r="P163" s="28"/>
      <c r="T163" s="35"/>
      <c r="U163" s="35"/>
      <c r="V163" s="35"/>
      <c r="W163" s="28"/>
      <c r="Y163" s="29"/>
      <c r="Z163" s="29" t="s">
        <v>456</v>
      </c>
      <c r="AA163" s="45">
        <v>114</v>
      </c>
      <c r="AB163" s="40" t="s">
        <v>706</v>
      </c>
      <c r="AC163" s="40" t="s">
        <v>919</v>
      </c>
      <c r="AD163" s="40"/>
      <c r="AH163" s="28" t="s">
        <v>263</v>
      </c>
      <c r="AJ163" s="29"/>
      <c r="AK163" s="29"/>
      <c r="AV163" s="28"/>
      <c r="AW16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Y1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Z1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BA1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3" s="28" t="str">
        <f>Table2[[#This Row],[device_suggested_area]]</f>
        <v>Lounge</v>
      </c>
      <c r="BD163" s="28" t="str">
        <f>IF(ISBLANK(Table2[[#This Row],[device_model]]), "", Table2[[#This Row],[device_suggested_area]])</f>
        <v>Lounge</v>
      </c>
      <c r="BE163" s="28" t="s">
        <v>1428</v>
      </c>
      <c r="BF163" s="28" t="s">
        <v>1431</v>
      </c>
      <c r="BG163" s="28" t="s">
        <v>348</v>
      </c>
      <c r="BH163" s="28" t="s">
        <v>1345</v>
      </c>
      <c r="BI163" s="28" t="s">
        <v>454</v>
      </c>
      <c r="BJ163" s="28" t="s">
        <v>183</v>
      </c>
      <c r="BL163" s="28" t="s">
        <v>650</v>
      </c>
      <c r="BO163" s="28"/>
      <c r="BQ1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9" ht="16" customHeight="1" x14ac:dyDescent="0.2">
      <c r="A164" s="28">
        <v>1631</v>
      </c>
      <c r="B164" s="28" t="s">
        <v>26</v>
      </c>
      <c r="C164" s="28" t="s">
        <v>348</v>
      </c>
      <c r="D164" s="28" t="s">
        <v>128</v>
      </c>
      <c r="E164" s="28" t="s">
        <v>1426</v>
      </c>
      <c r="F164" s="34" t="str">
        <f>IF(ISBLANK(Table2[[#This Row],[unique_id]]), "", PROPER(SUBSTITUTE(Table2[[#This Row],[unique_id]], "_", " ")))</f>
        <v>Lounge Reading Bulb 1</v>
      </c>
      <c r="H164" s="28" t="s">
        <v>130</v>
      </c>
      <c r="O164" s="29" t="s">
        <v>736</v>
      </c>
      <c r="P164" s="28" t="s">
        <v>155</v>
      </c>
      <c r="Q164" s="28" t="s">
        <v>708</v>
      </c>
      <c r="R164" s="28" t="str">
        <f>Table2[[#This Row],[entity_domain]]</f>
        <v>Lights</v>
      </c>
      <c r="S164" s="28" t="str">
        <f>_xlfn.CONCAT( Table2[[#This Row],[device_suggested_area]], " ",Table2[[#This Row],[powercalc_group_3]])</f>
        <v>Lounge Lights</v>
      </c>
      <c r="T164" s="35"/>
      <c r="U164" s="35"/>
      <c r="V164" s="35"/>
      <c r="W164" s="28"/>
      <c r="Y164" s="29"/>
      <c r="Z164" s="29" t="s">
        <v>455</v>
      </c>
      <c r="AA164" s="45">
        <v>114</v>
      </c>
      <c r="AB164" s="40" t="s">
        <v>704</v>
      </c>
      <c r="AC164" s="40" t="s">
        <v>1286</v>
      </c>
      <c r="AD164" s="40"/>
      <c r="AJ164" s="29"/>
      <c r="AK164" s="29"/>
      <c r="AV164" s="28"/>
      <c r="AW16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Y1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Z1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BA1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4" s="28" t="str">
        <f>Table2[[#This Row],[device_suggested_area]]</f>
        <v>Lounge</v>
      </c>
      <c r="BD164" s="28" t="str">
        <f>IF(ISBLANK(Table2[[#This Row],[device_model]]), "", Table2[[#This Row],[device_suggested_area]])</f>
        <v>Lounge</v>
      </c>
      <c r="BE164" s="28" t="s">
        <v>1429</v>
      </c>
      <c r="BF164" s="28" t="s">
        <v>1431</v>
      </c>
      <c r="BG164" s="28" t="s">
        <v>348</v>
      </c>
      <c r="BH164" s="28" t="s">
        <v>1345</v>
      </c>
      <c r="BI164" s="28" t="s">
        <v>454</v>
      </c>
      <c r="BJ164" s="28" t="s">
        <v>183</v>
      </c>
      <c r="BL164" s="28" t="s">
        <v>650</v>
      </c>
      <c r="BO164" s="28" t="s">
        <v>521</v>
      </c>
      <c r="BQ1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9" ht="16" customHeight="1" x14ac:dyDescent="0.2">
      <c r="A165" s="28">
        <v>1632</v>
      </c>
      <c r="B165" s="28" t="s">
        <v>26</v>
      </c>
      <c r="C165" s="28" t="s">
        <v>348</v>
      </c>
      <c r="D165" s="28" t="s">
        <v>128</v>
      </c>
      <c r="E165" s="28" t="s">
        <v>270</v>
      </c>
      <c r="F165" s="34" t="str">
        <f>IF(ISBLANK(Table2[[#This Row],[unique_id]]), "", PROPER(SUBSTITUTE(Table2[[#This Row],[unique_id]], "_", " ")))</f>
        <v>Parents Main</v>
      </c>
      <c r="G165" s="28" t="s">
        <v>185</v>
      </c>
      <c r="H165" s="28" t="s">
        <v>130</v>
      </c>
      <c r="I165" s="28" t="s">
        <v>123</v>
      </c>
      <c r="J165" s="37" t="s">
        <v>672</v>
      </c>
      <c r="K165" s="28" t="s">
        <v>832</v>
      </c>
      <c r="M165" s="28" t="s">
        <v>127</v>
      </c>
      <c r="O165" s="29"/>
      <c r="P165" s="28"/>
      <c r="T165" s="35"/>
      <c r="U165" s="35"/>
      <c r="V165" s="35"/>
      <c r="W165" s="28"/>
      <c r="Y165" s="29"/>
      <c r="Z165" s="29" t="s">
        <v>456</v>
      </c>
      <c r="AA165" s="45">
        <v>106</v>
      </c>
      <c r="AB165" s="40" t="s">
        <v>706</v>
      </c>
      <c r="AC165" s="40" t="s">
        <v>920</v>
      </c>
      <c r="AD165" s="40"/>
      <c r="AH165" s="28" t="s">
        <v>263</v>
      </c>
      <c r="AJ165" s="29"/>
      <c r="AK165" s="29"/>
      <c r="AV165" s="28"/>
      <c r="AW16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Y1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Z1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BA1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5" s="28" t="str">
        <f>Table2[[#This Row],[device_suggested_area]]</f>
        <v>Parents</v>
      </c>
      <c r="BD165" s="28" t="str">
        <f>IF(ISBLANK(Table2[[#This Row],[device_model]]), "", Table2[[#This Row],[device_suggested_area]])</f>
        <v>Parents</v>
      </c>
      <c r="BE165" s="28" t="s">
        <v>943</v>
      </c>
      <c r="BF165" s="28" t="s">
        <v>453</v>
      </c>
      <c r="BG165" s="28" t="s">
        <v>348</v>
      </c>
      <c r="BH165" s="28" t="s">
        <v>1345</v>
      </c>
      <c r="BI165" s="28" t="s">
        <v>454</v>
      </c>
      <c r="BJ165" s="28" t="s">
        <v>181</v>
      </c>
      <c r="BO165" s="28"/>
      <c r="BQ1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9" ht="16" customHeight="1" x14ac:dyDescent="0.2">
      <c r="A166" s="28">
        <v>1633</v>
      </c>
      <c r="B166" s="28" t="s">
        <v>26</v>
      </c>
      <c r="C166" s="28" t="s">
        <v>348</v>
      </c>
      <c r="D166" s="28" t="s">
        <v>128</v>
      </c>
      <c r="E166" s="28" t="s">
        <v>888</v>
      </c>
      <c r="F166" s="34" t="str">
        <f>IF(ISBLANK(Table2[[#This Row],[unique_id]]), "", PROPER(SUBSTITUTE(Table2[[#This Row],[unique_id]], "_", " ")))</f>
        <v>Parents Main Bulb 1</v>
      </c>
      <c r="H166" s="28" t="s">
        <v>130</v>
      </c>
      <c r="O166" s="29" t="s">
        <v>736</v>
      </c>
      <c r="P166" s="28" t="s">
        <v>155</v>
      </c>
      <c r="Q166" s="28" t="s">
        <v>708</v>
      </c>
      <c r="R166" s="28" t="str">
        <f>Table2[[#This Row],[entity_domain]]</f>
        <v>Lights</v>
      </c>
      <c r="S166" s="28" t="str">
        <f>_xlfn.CONCAT( Table2[[#This Row],[device_suggested_area]], " ",Table2[[#This Row],[powercalc_group_3]])</f>
        <v>Parents Lights</v>
      </c>
      <c r="T166" s="35"/>
      <c r="U166" s="35"/>
      <c r="V166" s="35"/>
      <c r="W166" s="28"/>
      <c r="Y166" s="29"/>
      <c r="Z166" s="29" t="s">
        <v>455</v>
      </c>
      <c r="AA166" s="45">
        <v>106</v>
      </c>
      <c r="AB166" s="40" t="s">
        <v>704</v>
      </c>
      <c r="AC166" s="40" t="s">
        <v>920</v>
      </c>
      <c r="AD166" s="40"/>
      <c r="AJ166" s="29"/>
      <c r="AK166" s="29"/>
      <c r="AV166" s="28"/>
      <c r="AW16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Y1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Z1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BA1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6" s="28" t="str">
        <f>Table2[[#This Row],[device_suggested_area]]</f>
        <v>Parents</v>
      </c>
      <c r="BD166" s="28" t="str">
        <f>IF(ISBLANK(Table2[[#This Row],[device_model]]), "", Table2[[#This Row],[device_suggested_area]])</f>
        <v>Parents</v>
      </c>
      <c r="BE166" s="28" t="s">
        <v>944</v>
      </c>
      <c r="BF166" s="28" t="s">
        <v>453</v>
      </c>
      <c r="BG166" s="28" t="s">
        <v>348</v>
      </c>
      <c r="BH166" s="28" t="s">
        <v>1345</v>
      </c>
      <c r="BI166" s="28" t="s">
        <v>454</v>
      </c>
      <c r="BJ166" s="28" t="s">
        <v>181</v>
      </c>
      <c r="BO166" s="28" t="s">
        <v>452</v>
      </c>
      <c r="BQ1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9" ht="16" customHeight="1" x14ac:dyDescent="0.2">
      <c r="A167" s="28">
        <v>1634</v>
      </c>
      <c r="B167" s="28" t="s">
        <v>26</v>
      </c>
      <c r="C167" s="28" t="s">
        <v>348</v>
      </c>
      <c r="D167" s="28" t="s">
        <v>128</v>
      </c>
      <c r="E167" s="28" t="s">
        <v>889</v>
      </c>
      <c r="F167" s="34" t="str">
        <f>IF(ISBLANK(Table2[[#This Row],[unique_id]]), "", PROPER(SUBSTITUTE(Table2[[#This Row],[unique_id]], "_", " ")))</f>
        <v>Parents Main Bulb 2</v>
      </c>
      <c r="H167" s="28" t="s">
        <v>130</v>
      </c>
      <c r="O167" s="29" t="s">
        <v>736</v>
      </c>
      <c r="P167" s="28" t="s">
        <v>155</v>
      </c>
      <c r="Q167" s="28" t="s">
        <v>708</v>
      </c>
      <c r="R167" s="28" t="str">
        <f>Table2[[#This Row],[entity_domain]]</f>
        <v>Lights</v>
      </c>
      <c r="S167" s="28" t="str">
        <f>_xlfn.CONCAT( Table2[[#This Row],[device_suggested_area]], " ",Table2[[#This Row],[powercalc_group_3]])</f>
        <v>Parents Lights</v>
      </c>
      <c r="T167" s="35"/>
      <c r="U167" s="35"/>
      <c r="V167" s="35"/>
      <c r="W167" s="28"/>
      <c r="Y167" s="29"/>
      <c r="Z167" s="29" t="s">
        <v>455</v>
      </c>
      <c r="AA167" s="45">
        <v>106</v>
      </c>
      <c r="AB167" s="40" t="s">
        <v>704</v>
      </c>
      <c r="AC167" s="40" t="s">
        <v>920</v>
      </c>
      <c r="AD167" s="40"/>
      <c r="AJ167" s="29"/>
      <c r="AK167" s="29"/>
      <c r="AV167" s="28"/>
      <c r="AW16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Y1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Z1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BA1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7" s="28" t="str">
        <f>Table2[[#This Row],[device_suggested_area]]</f>
        <v>Parents</v>
      </c>
      <c r="BD167" s="28" t="str">
        <f>IF(ISBLANK(Table2[[#This Row],[device_model]]), "", Table2[[#This Row],[device_suggested_area]])</f>
        <v>Parents</v>
      </c>
      <c r="BE167" s="28" t="s">
        <v>945</v>
      </c>
      <c r="BF167" s="28" t="s">
        <v>453</v>
      </c>
      <c r="BG167" s="28" t="s">
        <v>348</v>
      </c>
      <c r="BH167" s="28" t="s">
        <v>1345</v>
      </c>
      <c r="BI167" s="28" t="s">
        <v>454</v>
      </c>
      <c r="BJ167" s="28" t="s">
        <v>181</v>
      </c>
      <c r="BO167" s="28" t="s">
        <v>458</v>
      </c>
      <c r="BQ1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9" ht="16" customHeight="1" x14ac:dyDescent="0.2">
      <c r="A168" s="28">
        <v>1635</v>
      </c>
      <c r="B168" s="28" t="s">
        <v>26</v>
      </c>
      <c r="C168" s="28" t="s">
        <v>348</v>
      </c>
      <c r="D168" s="28" t="s">
        <v>128</v>
      </c>
      <c r="E168" s="28" t="s">
        <v>890</v>
      </c>
      <c r="F168" s="34" t="str">
        <f>IF(ISBLANK(Table2[[#This Row],[unique_id]]), "", PROPER(SUBSTITUTE(Table2[[#This Row],[unique_id]], "_", " ")))</f>
        <v>Parents Main Bulb 3</v>
      </c>
      <c r="H168" s="28" t="s">
        <v>130</v>
      </c>
      <c r="O168" s="29" t="s">
        <v>736</v>
      </c>
      <c r="P168" s="28" t="s">
        <v>155</v>
      </c>
      <c r="Q168" s="28" t="s">
        <v>708</v>
      </c>
      <c r="R168" s="28" t="str">
        <f>Table2[[#This Row],[entity_domain]]</f>
        <v>Lights</v>
      </c>
      <c r="S168" s="28" t="str">
        <f>_xlfn.CONCAT( Table2[[#This Row],[device_suggested_area]], " ",Table2[[#This Row],[powercalc_group_3]])</f>
        <v>Parents Lights</v>
      </c>
      <c r="T168" s="35"/>
      <c r="U168" s="35"/>
      <c r="V168" s="35"/>
      <c r="W168" s="28"/>
      <c r="Y168" s="29"/>
      <c r="Z168" s="29" t="s">
        <v>455</v>
      </c>
      <c r="AA168" s="45">
        <v>106</v>
      </c>
      <c r="AB168" s="40" t="s">
        <v>704</v>
      </c>
      <c r="AC168" s="40" t="s">
        <v>920</v>
      </c>
      <c r="AD168" s="40"/>
      <c r="AJ168" s="29"/>
      <c r="AK168" s="29"/>
      <c r="AV168" s="28"/>
      <c r="AW16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Y1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Z1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BA1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8" s="28" t="str">
        <f>Table2[[#This Row],[device_suggested_area]]</f>
        <v>Parents</v>
      </c>
      <c r="BD168" s="28" t="str">
        <f>IF(ISBLANK(Table2[[#This Row],[device_model]]), "", Table2[[#This Row],[device_suggested_area]])</f>
        <v>Parents</v>
      </c>
      <c r="BE168" s="28" t="s">
        <v>946</v>
      </c>
      <c r="BF168" s="28" t="s">
        <v>453</v>
      </c>
      <c r="BG168" s="28" t="s">
        <v>348</v>
      </c>
      <c r="BH168" s="28" t="s">
        <v>1345</v>
      </c>
      <c r="BI168" s="28" t="s">
        <v>454</v>
      </c>
      <c r="BJ168" s="28" t="s">
        <v>181</v>
      </c>
      <c r="BO168" s="28" t="s">
        <v>459</v>
      </c>
      <c r="BQ1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9" ht="16" customHeight="1" x14ac:dyDescent="0.2">
      <c r="A169" s="28">
        <v>1636</v>
      </c>
      <c r="B169" s="28" t="s">
        <v>26</v>
      </c>
      <c r="C169" s="28" t="s">
        <v>419</v>
      </c>
      <c r="D169" s="28" t="s">
        <v>128</v>
      </c>
      <c r="E169" s="28" t="s">
        <v>814</v>
      </c>
      <c r="F169" s="34" t="str">
        <f>IF(ISBLANK(Table2[[#This Row],[unique_id]]), "", PROPER(SUBSTITUTE(Table2[[#This Row],[unique_id]], "_", " ")))</f>
        <v>Parents Jane Bedside</v>
      </c>
      <c r="G169" s="28" t="s">
        <v>812</v>
      </c>
      <c r="H169" s="28" t="s">
        <v>130</v>
      </c>
      <c r="I169" s="28" t="s">
        <v>123</v>
      </c>
      <c r="J169" s="28" t="s">
        <v>827</v>
      </c>
      <c r="K169" s="28" t="s">
        <v>831</v>
      </c>
      <c r="M169" s="28" t="s">
        <v>127</v>
      </c>
      <c r="O169" s="29"/>
      <c r="P169" s="28"/>
      <c r="T169" s="35"/>
      <c r="U169" s="35"/>
      <c r="V169" s="35"/>
      <c r="W169" s="28"/>
      <c r="Y169" s="29"/>
      <c r="Z169" s="29" t="s">
        <v>456</v>
      </c>
      <c r="AA169" s="45">
        <v>119</v>
      </c>
      <c r="AB169" s="40" t="s">
        <v>706</v>
      </c>
      <c r="AC169" s="29" t="s">
        <v>1468</v>
      </c>
      <c r="AH169" s="28" t="s">
        <v>263</v>
      </c>
      <c r="AJ169" s="29"/>
      <c r="AK169" s="29"/>
      <c r="AV169" s="28"/>
      <c r="AW169" s="38"/>
      <c r="AY1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Z1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BA1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9" s="28" t="str">
        <f>Table2[[#This Row],[device_suggested_area]]</f>
        <v>Parents</v>
      </c>
      <c r="BD169" s="28" t="str">
        <f>IF(ISBLANK(Table2[[#This Row],[device_model]]), "", Table2[[#This Row],[device_suggested_area]])</f>
        <v>Parents</v>
      </c>
      <c r="BE169" s="28" t="s">
        <v>812</v>
      </c>
      <c r="BF169" s="28" t="s">
        <v>796</v>
      </c>
      <c r="BG169" s="28" t="s">
        <v>419</v>
      </c>
      <c r="BI169" s="28" t="s">
        <v>794</v>
      </c>
      <c r="BJ169" s="28" t="s">
        <v>181</v>
      </c>
      <c r="BL169" s="28" t="s">
        <v>650</v>
      </c>
      <c r="BO169" s="28"/>
      <c r="BQ1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9" ht="16" customHeight="1" x14ac:dyDescent="0.2">
      <c r="A170" s="28">
        <v>1637</v>
      </c>
      <c r="B170" s="28" t="s">
        <v>26</v>
      </c>
      <c r="C170" s="28" t="s">
        <v>419</v>
      </c>
      <c r="D170" s="28" t="s">
        <v>128</v>
      </c>
      <c r="E170" s="28" t="s">
        <v>815</v>
      </c>
      <c r="F170" s="34" t="str">
        <f>IF(ISBLANK(Table2[[#This Row],[unique_id]]), "", PROPER(SUBSTITUTE(Table2[[#This Row],[unique_id]], "_", " ")))</f>
        <v>Parents Jane Bedside Bulb 1</v>
      </c>
      <c r="H170" s="28" t="s">
        <v>130</v>
      </c>
      <c r="O170" s="29" t="s">
        <v>736</v>
      </c>
      <c r="P170" s="28" t="s">
        <v>155</v>
      </c>
      <c r="Q170" s="28" t="s">
        <v>708</v>
      </c>
      <c r="R170" s="28" t="str">
        <f>Table2[[#This Row],[entity_domain]]</f>
        <v>Lights</v>
      </c>
      <c r="S170" s="28" t="str">
        <f>_xlfn.CONCAT( Table2[[#This Row],[device_suggested_area]], " ",Table2[[#This Row],[powercalc_group_3]])</f>
        <v>Parents Lights</v>
      </c>
      <c r="T170" s="35"/>
      <c r="U170" s="35"/>
      <c r="V170" s="35"/>
      <c r="W170" s="28"/>
      <c r="Y170" s="29"/>
      <c r="Z170" s="29" t="s">
        <v>455</v>
      </c>
      <c r="AA170" s="45">
        <v>119</v>
      </c>
      <c r="AB170" s="40" t="s">
        <v>704</v>
      </c>
      <c r="AC170" s="29" t="s">
        <v>1468</v>
      </c>
      <c r="AJ170" s="29"/>
      <c r="AK170" s="29"/>
      <c r="AV170" s="28"/>
      <c r="AW170" s="38"/>
      <c r="AY1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Z1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BA1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0" s="28" t="str">
        <f>Table2[[#This Row],[device_suggested_area]]</f>
        <v>Parents</v>
      </c>
      <c r="BD170" s="28" t="str">
        <f>IF(ISBLANK(Table2[[#This Row],[device_model]]), "", Table2[[#This Row],[device_suggested_area]])</f>
        <v>Parents</v>
      </c>
      <c r="BE170" s="28" t="s">
        <v>932</v>
      </c>
      <c r="BF170" s="28" t="s">
        <v>796</v>
      </c>
      <c r="BG170" s="28" t="s">
        <v>419</v>
      </c>
      <c r="BI170" s="28" t="s">
        <v>794</v>
      </c>
      <c r="BJ170" s="28" t="s">
        <v>181</v>
      </c>
      <c r="BL170" s="28" t="s">
        <v>650</v>
      </c>
      <c r="BO170" s="28" t="s">
        <v>800</v>
      </c>
      <c r="BQ1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9" ht="16" customHeight="1" x14ac:dyDescent="0.2">
      <c r="A171" s="28">
        <v>1638</v>
      </c>
      <c r="B171" s="28" t="s">
        <v>26</v>
      </c>
      <c r="C171" s="28" t="s">
        <v>419</v>
      </c>
      <c r="D171" s="28" t="s">
        <v>128</v>
      </c>
      <c r="E171" s="28" t="s">
        <v>816</v>
      </c>
      <c r="F171" s="34" t="str">
        <f>IF(ISBLANK(Table2[[#This Row],[unique_id]]), "", PROPER(SUBSTITUTE(Table2[[#This Row],[unique_id]], "_", " ")))</f>
        <v>Parents Graham Bedside</v>
      </c>
      <c r="G171" s="28" t="s">
        <v>813</v>
      </c>
      <c r="H171" s="28" t="s">
        <v>130</v>
      </c>
      <c r="I171" s="28" t="s">
        <v>123</v>
      </c>
      <c r="J171" s="28" t="s">
        <v>828</v>
      </c>
      <c r="K171" s="28" t="s">
        <v>831</v>
      </c>
      <c r="M171" s="28" t="s">
        <v>127</v>
      </c>
      <c r="O171" s="29"/>
      <c r="P171" s="28"/>
      <c r="T171" s="35"/>
      <c r="U171" s="35"/>
      <c r="V171" s="35"/>
      <c r="W171" s="28"/>
      <c r="Y171" s="29"/>
      <c r="Z171" s="29" t="s">
        <v>456</v>
      </c>
      <c r="AA171" s="45">
        <v>122</v>
      </c>
      <c r="AB171" s="40" t="s">
        <v>706</v>
      </c>
      <c r="AC171" s="29" t="s">
        <v>1468</v>
      </c>
      <c r="AH171" s="28" t="s">
        <v>263</v>
      </c>
      <c r="AJ171" s="29"/>
      <c r="AK171" s="29"/>
      <c r="AV171" s="28"/>
      <c r="AW171" s="38"/>
      <c r="AY1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Z1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BA1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1" s="28" t="str">
        <f>Table2[[#This Row],[device_suggested_area]]</f>
        <v>Parents</v>
      </c>
      <c r="BD171" s="28" t="str">
        <f>IF(ISBLANK(Table2[[#This Row],[device_model]]), "", Table2[[#This Row],[device_suggested_area]])</f>
        <v>Parents</v>
      </c>
      <c r="BE171" s="28" t="s">
        <v>813</v>
      </c>
      <c r="BF171" s="28" t="s">
        <v>796</v>
      </c>
      <c r="BG171" s="28" t="s">
        <v>419</v>
      </c>
      <c r="BI171" s="28" t="s">
        <v>794</v>
      </c>
      <c r="BJ171" s="28" t="s">
        <v>181</v>
      </c>
      <c r="BL171" s="28" t="s">
        <v>650</v>
      </c>
      <c r="BO171" s="28"/>
      <c r="BQ1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9" ht="16" customHeight="1" x14ac:dyDescent="0.2">
      <c r="A172" s="28">
        <v>1639</v>
      </c>
      <c r="B172" s="28" t="s">
        <v>26</v>
      </c>
      <c r="C172" s="28" t="s">
        <v>419</v>
      </c>
      <c r="D172" s="28" t="s">
        <v>128</v>
      </c>
      <c r="E172" s="28" t="s">
        <v>817</v>
      </c>
      <c r="F172" s="34" t="str">
        <f>IF(ISBLANK(Table2[[#This Row],[unique_id]]), "", PROPER(SUBSTITUTE(Table2[[#This Row],[unique_id]], "_", " ")))</f>
        <v>Parents Graham Bedside Bulb 1</v>
      </c>
      <c r="H172" s="28" t="s">
        <v>130</v>
      </c>
      <c r="O172" s="29" t="s">
        <v>736</v>
      </c>
      <c r="P172" s="28" t="s">
        <v>155</v>
      </c>
      <c r="Q172" s="28" t="s">
        <v>708</v>
      </c>
      <c r="R172" s="28" t="str">
        <f>Table2[[#This Row],[entity_domain]]</f>
        <v>Lights</v>
      </c>
      <c r="S172" s="28" t="str">
        <f>_xlfn.CONCAT( Table2[[#This Row],[device_suggested_area]], " ",Table2[[#This Row],[powercalc_group_3]])</f>
        <v>Parents Lights</v>
      </c>
      <c r="T172" s="35"/>
      <c r="U172" s="35"/>
      <c r="V172" s="35"/>
      <c r="W172" s="28"/>
      <c r="Y172" s="29"/>
      <c r="Z172" s="29" t="s">
        <v>455</v>
      </c>
      <c r="AA172" s="45">
        <v>122</v>
      </c>
      <c r="AB172" s="40" t="s">
        <v>704</v>
      </c>
      <c r="AC172" s="29" t="s">
        <v>1468</v>
      </c>
      <c r="AJ172" s="29"/>
      <c r="AK172" s="29"/>
      <c r="AV172" s="28"/>
      <c r="AW172" s="38"/>
      <c r="AY1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Z1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BA1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2" s="28" t="str">
        <f>Table2[[#This Row],[device_suggested_area]]</f>
        <v>Parents</v>
      </c>
      <c r="BD172" s="28" t="str">
        <f>IF(ISBLANK(Table2[[#This Row],[device_model]]), "", Table2[[#This Row],[device_suggested_area]])</f>
        <v>Parents</v>
      </c>
      <c r="BE172" s="28" t="s">
        <v>933</v>
      </c>
      <c r="BF172" s="28" t="s">
        <v>796</v>
      </c>
      <c r="BG172" s="28" t="s">
        <v>419</v>
      </c>
      <c r="BI172" s="28" t="s">
        <v>794</v>
      </c>
      <c r="BJ172" s="28" t="s">
        <v>181</v>
      </c>
      <c r="BL172" s="28" t="s">
        <v>650</v>
      </c>
      <c r="BO172" s="28" t="s">
        <v>799</v>
      </c>
      <c r="BQ1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9" ht="16" customHeight="1" x14ac:dyDescent="0.2">
      <c r="A173" s="28">
        <v>1640</v>
      </c>
      <c r="B173" s="28" t="s">
        <v>26</v>
      </c>
      <c r="C173" s="28" t="s">
        <v>348</v>
      </c>
      <c r="D173" s="28" t="s">
        <v>128</v>
      </c>
      <c r="E173" s="28" t="s">
        <v>689</v>
      </c>
      <c r="F173" s="34" t="str">
        <f>IF(ISBLANK(Table2[[#This Row],[unique_id]]), "", PROPER(SUBSTITUTE(Table2[[#This Row],[unique_id]], "_", " ")))</f>
        <v>Study Lamp</v>
      </c>
      <c r="G173" s="28" t="s">
        <v>690</v>
      </c>
      <c r="H173" s="28" t="s">
        <v>130</v>
      </c>
      <c r="I173" s="28" t="s">
        <v>123</v>
      </c>
      <c r="K173" s="28" t="s">
        <v>833</v>
      </c>
      <c r="M173" s="28" t="s">
        <v>127</v>
      </c>
      <c r="O173" s="29"/>
      <c r="P173" s="28"/>
      <c r="T173" s="35"/>
      <c r="U173" s="35"/>
      <c r="V173" s="35"/>
      <c r="W173" s="28"/>
      <c r="Y173" s="29"/>
      <c r="Z173" s="29" t="s">
        <v>456</v>
      </c>
      <c r="AA173" s="45">
        <v>117</v>
      </c>
      <c r="AB173" s="40" t="s">
        <v>706</v>
      </c>
      <c r="AC173" s="40" t="s">
        <v>919</v>
      </c>
      <c r="AD173" s="40"/>
      <c r="AH173" s="28" t="s">
        <v>263</v>
      </c>
      <c r="AJ173" s="29"/>
      <c r="AK173" s="29"/>
      <c r="AV173" s="28"/>
      <c r="AW17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Y1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Z1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BA1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3" s="28" t="str">
        <f>Table2[[#This Row],[device_suggested_area]]</f>
        <v>Study</v>
      </c>
      <c r="BD173" s="28" t="str">
        <f>IF(ISBLANK(Table2[[#This Row],[device_model]]), "", Table2[[#This Row],[device_suggested_area]])</f>
        <v>Study</v>
      </c>
      <c r="BE173" s="28" t="s">
        <v>488</v>
      </c>
      <c r="BF173" s="28" t="s">
        <v>453</v>
      </c>
      <c r="BG173" s="28" t="s">
        <v>348</v>
      </c>
      <c r="BH173" s="28" t="s">
        <v>1345</v>
      </c>
      <c r="BI173" s="28" t="s">
        <v>454</v>
      </c>
      <c r="BJ173" s="28" t="s">
        <v>327</v>
      </c>
      <c r="BL173" s="28" t="s">
        <v>650</v>
      </c>
      <c r="BO173" s="28"/>
      <c r="BQ1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9" ht="16" customHeight="1" x14ac:dyDescent="0.2">
      <c r="A174" s="28">
        <v>1641</v>
      </c>
      <c r="B174" s="28" t="s">
        <v>26</v>
      </c>
      <c r="C174" s="28" t="s">
        <v>348</v>
      </c>
      <c r="D174" s="28" t="s">
        <v>128</v>
      </c>
      <c r="E174" s="28" t="s">
        <v>891</v>
      </c>
      <c r="F174" s="34" t="str">
        <f>IF(ISBLANK(Table2[[#This Row],[unique_id]]), "", PROPER(SUBSTITUTE(Table2[[#This Row],[unique_id]], "_", " ")))</f>
        <v>Study Lamp Bulb 1</v>
      </c>
      <c r="H174" s="28" t="s">
        <v>130</v>
      </c>
      <c r="O174" s="29" t="s">
        <v>736</v>
      </c>
      <c r="P174" s="28" t="s">
        <v>155</v>
      </c>
      <c r="Q174" s="28" t="s">
        <v>708</v>
      </c>
      <c r="R174" s="28" t="str">
        <f>Table2[[#This Row],[entity_domain]]</f>
        <v>Lights</v>
      </c>
      <c r="S174" s="28" t="str">
        <f>_xlfn.CONCAT( Table2[[#This Row],[device_suggested_area]], " ",Table2[[#This Row],[powercalc_group_3]])</f>
        <v>Study Lights</v>
      </c>
      <c r="T174" s="35"/>
      <c r="U174" s="35"/>
      <c r="V174" s="35"/>
      <c r="W174" s="28"/>
      <c r="Y174" s="29"/>
      <c r="Z174" s="29" t="s">
        <v>455</v>
      </c>
      <c r="AA174" s="45">
        <v>117</v>
      </c>
      <c r="AB174" s="40" t="s">
        <v>704</v>
      </c>
      <c r="AC174" s="40" t="s">
        <v>919</v>
      </c>
      <c r="AD174" s="40"/>
      <c r="AJ174" s="29"/>
      <c r="AK174" s="29"/>
      <c r="AV174" s="28"/>
      <c r="AW17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Y1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Z1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BA1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4" s="28" t="str">
        <f>Table2[[#This Row],[device_suggested_area]]</f>
        <v>Study</v>
      </c>
      <c r="BD174" s="28" t="str">
        <f>IF(ISBLANK(Table2[[#This Row],[device_model]]), "", Table2[[#This Row],[device_suggested_area]])</f>
        <v>Study</v>
      </c>
      <c r="BE174" s="28" t="s">
        <v>941</v>
      </c>
      <c r="BF174" s="28" t="s">
        <v>453</v>
      </c>
      <c r="BG174" s="28" t="s">
        <v>348</v>
      </c>
      <c r="BH174" s="28" t="s">
        <v>1345</v>
      </c>
      <c r="BI174" s="28" t="s">
        <v>454</v>
      </c>
      <c r="BJ174" s="28" t="s">
        <v>327</v>
      </c>
      <c r="BL174" s="28" t="s">
        <v>650</v>
      </c>
      <c r="BO174" s="28" t="s">
        <v>691</v>
      </c>
      <c r="BQ1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9" ht="16" customHeight="1" x14ac:dyDescent="0.2">
      <c r="A175" s="28">
        <v>1642</v>
      </c>
      <c r="B175" s="28" t="s">
        <v>26</v>
      </c>
      <c r="C175" s="28" t="s">
        <v>348</v>
      </c>
      <c r="D175" s="28" t="s">
        <v>128</v>
      </c>
      <c r="E175" s="28" t="s">
        <v>271</v>
      </c>
      <c r="F175" s="34" t="str">
        <f>IF(ISBLANK(Table2[[#This Row],[unique_id]]), "", PROPER(SUBSTITUTE(Table2[[#This Row],[unique_id]], "_", " ")))</f>
        <v>Kitchen Main</v>
      </c>
      <c r="G175" s="28" t="s">
        <v>191</v>
      </c>
      <c r="H175" s="28" t="s">
        <v>130</v>
      </c>
      <c r="I175" s="28" t="s">
        <v>123</v>
      </c>
      <c r="J175" s="37" t="s">
        <v>672</v>
      </c>
      <c r="K175" s="28" t="s">
        <v>829</v>
      </c>
      <c r="M175" s="28" t="s">
        <v>127</v>
      </c>
      <c r="O175" s="29"/>
      <c r="P175" s="28"/>
      <c r="T175" s="35"/>
      <c r="U175" s="35"/>
      <c r="V175" s="35"/>
      <c r="W175" s="28"/>
      <c r="Y175" s="29"/>
      <c r="Z175" s="29" t="s">
        <v>456</v>
      </c>
      <c r="AA175" s="45">
        <v>107</v>
      </c>
      <c r="AB175" s="40" t="s">
        <v>706</v>
      </c>
      <c r="AC175" s="40" t="s">
        <v>919</v>
      </c>
      <c r="AD175" s="40"/>
      <c r="AH175" s="28" t="s">
        <v>263</v>
      </c>
      <c r="AJ175" s="29"/>
      <c r="AK175" s="29"/>
      <c r="AV175" s="28"/>
      <c r="AW17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Y1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Z1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BA1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5" s="28" t="str">
        <f>Table2[[#This Row],[device_suggested_area]]</f>
        <v>Kitchen</v>
      </c>
      <c r="BD175" s="28" t="str">
        <f>IF(ISBLANK(Table2[[#This Row],[device_model]]), "", Table2[[#This Row],[device_suggested_area]])</f>
        <v>Kitchen</v>
      </c>
      <c r="BE175" s="28" t="s">
        <v>943</v>
      </c>
      <c r="BF175" s="28" t="s">
        <v>529</v>
      </c>
      <c r="BG175" s="28" t="s">
        <v>348</v>
      </c>
      <c r="BH175" s="28" t="s">
        <v>1345</v>
      </c>
      <c r="BI175" s="28" t="s">
        <v>526</v>
      </c>
      <c r="BJ175" s="28" t="s">
        <v>195</v>
      </c>
      <c r="BO175" s="28"/>
      <c r="BQ1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9" ht="16" customHeight="1" x14ac:dyDescent="0.2">
      <c r="A176" s="28">
        <v>1643</v>
      </c>
      <c r="B176" s="28" t="s">
        <v>26</v>
      </c>
      <c r="C176" s="28" t="s">
        <v>348</v>
      </c>
      <c r="D176" s="28" t="s">
        <v>128</v>
      </c>
      <c r="E176" s="28" t="s">
        <v>892</v>
      </c>
      <c r="F176" s="34" t="str">
        <f>IF(ISBLANK(Table2[[#This Row],[unique_id]]), "", PROPER(SUBSTITUTE(Table2[[#This Row],[unique_id]], "_", " ")))</f>
        <v>Kitchen Main Bulb 1</v>
      </c>
      <c r="H176" s="28" t="s">
        <v>130</v>
      </c>
      <c r="O176" s="29" t="s">
        <v>736</v>
      </c>
      <c r="P176" s="28" t="s">
        <v>155</v>
      </c>
      <c r="Q176" s="28" t="s">
        <v>708</v>
      </c>
      <c r="R176" s="28" t="str">
        <f>Table2[[#This Row],[entity_domain]]</f>
        <v>Lights</v>
      </c>
      <c r="S176" s="28" t="str">
        <f>_xlfn.CONCAT( Table2[[#This Row],[device_suggested_area]], " ",Table2[[#This Row],[powercalc_group_3]])</f>
        <v>Kitchen Lights</v>
      </c>
      <c r="T176" s="35"/>
      <c r="U176" s="35"/>
      <c r="V176" s="35"/>
      <c r="W176" s="28"/>
      <c r="Y176" s="29"/>
      <c r="Z176" s="29" t="s">
        <v>455</v>
      </c>
      <c r="AA176" s="45">
        <v>107</v>
      </c>
      <c r="AB176" s="40" t="s">
        <v>704</v>
      </c>
      <c r="AC176" s="40" t="s">
        <v>919</v>
      </c>
      <c r="AD176" s="40"/>
      <c r="AJ176" s="29"/>
      <c r="AK176" s="29"/>
      <c r="AV176" s="28"/>
      <c r="AW17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Y1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Z1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BA1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6" s="28" t="str">
        <f>Table2[[#This Row],[device_suggested_area]]</f>
        <v>Kitchen</v>
      </c>
      <c r="BD176" s="28" t="str">
        <f>IF(ISBLANK(Table2[[#This Row],[device_model]]), "", Table2[[#This Row],[device_suggested_area]])</f>
        <v>Kitchen</v>
      </c>
      <c r="BE176" s="28" t="s">
        <v>944</v>
      </c>
      <c r="BF176" s="28" t="s">
        <v>529</v>
      </c>
      <c r="BG176" s="28" t="s">
        <v>348</v>
      </c>
      <c r="BH176" s="28" t="s">
        <v>1345</v>
      </c>
      <c r="BI176" s="28" t="s">
        <v>526</v>
      </c>
      <c r="BJ176" s="28" t="s">
        <v>195</v>
      </c>
      <c r="BO176" s="28" t="s">
        <v>476</v>
      </c>
      <c r="BQ1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9" ht="16" customHeight="1" x14ac:dyDescent="0.2">
      <c r="A177" s="28">
        <v>1644</v>
      </c>
      <c r="B177" s="28" t="s">
        <v>26</v>
      </c>
      <c r="C177" s="28" t="s">
        <v>348</v>
      </c>
      <c r="D177" s="28" t="s">
        <v>128</v>
      </c>
      <c r="E177" s="28" t="s">
        <v>893</v>
      </c>
      <c r="F177" s="34" t="str">
        <f>IF(ISBLANK(Table2[[#This Row],[unique_id]]), "", PROPER(SUBSTITUTE(Table2[[#This Row],[unique_id]], "_", " ")))</f>
        <v>Kitchen Main Bulb 2</v>
      </c>
      <c r="H177" s="28" t="s">
        <v>130</v>
      </c>
      <c r="O177" s="29" t="s">
        <v>736</v>
      </c>
      <c r="P177" s="28" t="s">
        <v>155</v>
      </c>
      <c r="Q177" s="28" t="s">
        <v>708</v>
      </c>
      <c r="R177" s="28" t="str">
        <f>Table2[[#This Row],[entity_domain]]</f>
        <v>Lights</v>
      </c>
      <c r="S177" s="28" t="str">
        <f>_xlfn.CONCAT( Table2[[#This Row],[device_suggested_area]], " ",Table2[[#This Row],[powercalc_group_3]])</f>
        <v>Kitchen Lights</v>
      </c>
      <c r="T177" s="35"/>
      <c r="U177" s="35"/>
      <c r="V177" s="35"/>
      <c r="W177" s="28"/>
      <c r="Y177" s="29"/>
      <c r="Z177" s="29" t="s">
        <v>455</v>
      </c>
      <c r="AA177" s="45">
        <v>107</v>
      </c>
      <c r="AB177" s="40" t="s">
        <v>704</v>
      </c>
      <c r="AC177" s="40" t="s">
        <v>919</v>
      </c>
      <c r="AD177" s="40"/>
      <c r="AJ177" s="29"/>
      <c r="AK177" s="29"/>
      <c r="AV177" s="28"/>
      <c r="AW17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Y1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Z1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BA1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7" s="28" t="str">
        <f>Table2[[#This Row],[device_suggested_area]]</f>
        <v>Kitchen</v>
      </c>
      <c r="BD177" s="28" t="str">
        <f>IF(ISBLANK(Table2[[#This Row],[device_model]]), "", Table2[[#This Row],[device_suggested_area]])</f>
        <v>Kitchen</v>
      </c>
      <c r="BE177" s="28" t="s">
        <v>945</v>
      </c>
      <c r="BF177" s="28" t="s">
        <v>529</v>
      </c>
      <c r="BG177" s="28" t="s">
        <v>348</v>
      </c>
      <c r="BH177" s="28" t="s">
        <v>1345</v>
      </c>
      <c r="BI177" s="28" t="s">
        <v>526</v>
      </c>
      <c r="BJ177" s="28" t="s">
        <v>195</v>
      </c>
      <c r="BO177" s="28" t="s">
        <v>477</v>
      </c>
      <c r="BQ1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9" ht="16" customHeight="1" x14ac:dyDescent="0.2">
      <c r="A178" s="28">
        <v>1645</v>
      </c>
      <c r="B178" s="28" t="s">
        <v>26</v>
      </c>
      <c r="C178" s="28" t="s">
        <v>348</v>
      </c>
      <c r="D178" s="28" t="s">
        <v>128</v>
      </c>
      <c r="E178" s="28" t="s">
        <v>894</v>
      </c>
      <c r="F178" s="34" t="str">
        <f>IF(ISBLANK(Table2[[#This Row],[unique_id]]), "", PROPER(SUBSTITUTE(Table2[[#This Row],[unique_id]], "_", " ")))</f>
        <v>Kitchen Main Bulb 3</v>
      </c>
      <c r="H178" s="28" t="s">
        <v>130</v>
      </c>
      <c r="O178" s="29" t="s">
        <v>736</v>
      </c>
      <c r="P178" s="28" t="s">
        <v>155</v>
      </c>
      <c r="Q178" s="28" t="s">
        <v>708</v>
      </c>
      <c r="R178" s="28" t="str">
        <f>Table2[[#This Row],[entity_domain]]</f>
        <v>Lights</v>
      </c>
      <c r="S178" s="28" t="str">
        <f>_xlfn.CONCAT( Table2[[#This Row],[device_suggested_area]], " ",Table2[[#This Row],[powercalc_group_3]])</f>
        <v>Kitchen Lights</v>
      </c>
      <c r="T178" s="35"/>
      <c r="U178" s="35"/>
      <c r="V178" s="35"/>
      <c r="W178" s="28"/>
      <c r="Y178" s="29"/>
      <c r="Z178" s="29" t="s">
        <v>455</v>
      </c>
      <c r="AA178" s="45">
        <v>107</v>
      </c>
      <c r="AB178" s="40" t="s">
        <v>704</v>
      </c>
      <c r="AC178" s="40" t="s">
        <v>919</v>
      </c>
      <c r="AD178" s="40"/>
      <c r="AJ178" s="29"/>
      <c r="AK178" s="29"/>
      <c r="AV178" s="28"/>
      <c r="AW17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Y1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Z1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BA1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8" s="28" t="str">
        <f>Table2[[#This Row],[device_suggested_area]]</f>
        <v>Kitchen</v>
      </c>
      <c r="BD178" s="28" t="str">
        <f>IF(ISBLANK(Table2[[#This Row],[device_model]]), "", Table2[[#This Row],[device_suggested_area]])</f>
        <v>Kitchen</v>
      </c>
      <c r="BE178" s="28" t="s">
        <v>946</v>
      </c>
      <c r="BF178" s="28" t="s">
        <v>529</v>
      </c>
      <c r="BG178" s="28" t="s">
        <v>348</v>
      </c>
      <c r="BH178" s="28" t="s">
        <v>1345</v>
      </c>
      <c r="BI178" s="28" t="s">
        <v>526</v>
      </c>
      <c r="BJ178" s="28" t="s">
        <v>195</v>
      </c>
      <c r="BO178" s="28" t="s">
        <v>478</v>
      </c>
      <c r="BQ1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9" ht="16" customHeight="1" x14ac:dyDescent="0.2">
      <c r="A179" s="28">
        <v>1646</v>
      </c>
      <c r="B179" s="28" t="s">
        <v>26</v>
      </c>
      <c r="C179" s="28" t="s">
        <v>348</v>
      </c>
      <c r="D179" s="28" t="s">
        <v>128</v>
      </c>
      <c r="E179" s="28" t="s">
        <v>895</v>
      </c>
      <c r="F179" s="34" t="str">
        <f>IF(ISBLANK(Table2[[#This Row],[unique_id]]), "", PROPER(SUBSTITUTE(Table2[[#This Row],[unique_id]], "_", " ")))</f>
        <v>Kitchen Main Bulb 4</v>
      </c>
      <c r="H179" s="28" t="s">
        <v>130</v>
      </c>
      <c r="O179" s="29" t="s">
        <v>736</v>
      </c>
      <c r="P179" s="28" t="s">
        <v>155</v>
      </c>
      <c r="Q179" s="28" t="s">
        <v>708</v>
      </c>
      <c r="R179" s="28" t="str">
        <f>Table2[[#This Row],[entity_domain]]</f>
        <v>Lights</v>
      </c>
      <c r="S179" s="28" t="str">
        <f>_xlfn.CONCAT( Table2[[#This Row],[device_suggested_area]], " ",Table2[[#This Row],[powercalc_group_3]])</f>
        <v>Kitchen Lights</v>
      </c>
      <c r="T179" s="35"/>
      <c r="U179" s="35"/>
      <c r="V179" s="35"/>
      <c r="W179" s="28"/>
      <c r="Y179" s="29"/>
      <c r="Z179" s="29" t="s">
        <v>455</v>
      </c>
      <c r="AA179" s="45">
        <v>107</v>
      </c>
      <c r="AB179" s="40" t="s">
        <v>704</v>
      </c>
      <c r="AC179" s="40" t="s">
        <v>919</v>
      </c>
      <c r="AD179" s="40"/>
      <c r="AJ179" s="29"/>
      <c r="AK179" s="29"/>
      <c r="AV179" s="28"/>
      <c r="AW17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Y1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Z1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BA1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9" s="28" t="str">
        <f>Table2[[#This Row],[device_suggested_area]]</f>
        <v>Kitchen</v>
      </c>
      <c r="BD179" s="28" t="str">
        <f>IF(ISBLANK(Table2[[#This Row],[device_model]]), "", Table2[[#This Row],[device_suggested_area]])</f>
        <v>Kitchen</v>
      </c>
      <c r="BE179" s="28" t="s">
        <v>947</v>
      </c>
      <c r="BF179" s="28" t="s">
        <v>529</v>
      </c>
      <c r="BG179" s="28" t="s">
        <v>348</v>
      </c>
      <c r="BH179" s="28" t="s">
        <v>1345</v>
      </c>
      <c r="BI179" s="28" t="s">
        <v>526</v>
      </c>
      <c r="BJ179" s="28" t="s">
        <v>195</v>
      </c>
      <c r="BO179" s="28" t="s">
        <v>479</v>
      </c>
      <c r="BQ1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9" ht="16" customHeight="1" x14ac:dyDescent="0.2">
      <c r="A180" s="28">
        <v>1647</v>
      </c>
      <c r="B180" s="28" t="s">
        <v>26</v>
      </c>
      <c r="C180" s="28" t="s">
        <v>658</v>
      </c>
      <c r="D180" s="28" t="s">
        <v>128</v>
      </c>
      <c r="E180" s="28" t="s">
        <v>1155</v>
      </c>
      <c r="F180" s="34" t="str">
        <f>IF(ISBLANK(Table2[[#This Row],[unique_id]]), "", PROPER(SUBSTITUTE(Table2[[#This Row],[unique_id]], "_", " ")))</f>
        <v>Kitchen Bench Lights Plug</v>
      </c>
      <c r="G180" s="28" t="s">
        <v>1156</v>
      </c>
      <c r="H180" s="28" t="s">
        <v>130</v>
      </c>
      <c r="I180" s="28" t="s">
        <v>123</v>
      </c>
      <c r="J180" s="28" t="s">
        <v>1158</v>
      </c>
      <c r="M180" s="28" t="s">
        <v>127</v>
      </c>
      <c r="O180" s="29" t="s">
        <v>736</v>
      </c>
      <c r="P180" s="28" t="s">
        <v>155</v>
      </c>
      <c r="Q180" s="28" t="s">
        <v>708</v>
      </c>
      <c r="R180" s="28" t="str">
        <f>Table2[[#This Row],[entity_domain]]</f>
        <v>Lights</v>
      </c>
      <c r="S180" s="28" t="str">
        <f>_xlfn.CONCAT( Table2[[#This Row],[device_suggested_area]], " ",Table2[[#This Row],[powercalc_group_3]])</f>
        <v>Kitchen Lights</v>
      </c>
      <c r="T180" s="35" t="s">
        <v>925</v>
      </c>
      <c r="U180" s="35"/>
      <c r="V180" s="35"/>
      <c r="W180" s="28"/>
      <c r="Y180" s="29"/>
      <c r="Z180" s="29"/>
      <c r="AA180" s="29"/>
      <c r="AB180" s="29"/>
      <c r="AD180" s="29" t="s">
        <v>1502</v>
      </c>
      <c r="AH180" s="28" t="s">
        <v>263</v>
      </c>
      <c r="AI180" s="28">
        <v>10</v>
      </c>
      <c r="AJ180" s="29" t="s">
        <v>34</v>
      </c>
      <c r="AK180" s="29" t="s">
        <v>844</v>
      </c>
      <c r="AL180" s="28" t="s">
        <v>1155</v>
      </c>
      <c r="AM180" s="28" t="str">
        <f>_xlfn.CONCAT("homeassistant/", Table2[[#This Row],[entity_namespace]], "/tasmota/",Table2[[#This Row],[unique_id]], "/config")</f>
        <v>homeassistant/light/tasmota/kitchen_bench_lights_plug/config</v>
      </c>
      <c r="AN180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O180" s="28" t="str">
        <f>_xlfn.CONCAT("tasmota/device/",Table2[[#This Row],[unique_id]], "/cmnd/POWER")</f>
        <v>tasmota/device/kitchen_bench_lights_plug/cmnd/POWER</v>
      </c>
      <c r="AP180" s="28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Q180" s="28" t="s">
        <v>863</v>
      </c>
      <c r="AR180" s="28" t="s">
        <v>864</v>
      </c>
      <c r="AS180" s="28" t="s">
        <v>853</v>
      </c>
      <c r="AT180" s="28" t="s">
        <v>854</v>
      </c>
      <c r="AU180" s="28" t="s">
        <v>917</v>
      </c>
      <c r="AV180" s="28">
        <v>1</v>
      </c>
      <c r="AW180" s="32" t="str">
        <f>HYPERLINK(_xlfn.CONCAT("http://", Table2[[#This Row],[connection_ip]], "/?"))</f>
        <v>http://10.0.4.103/?</v>
      </c>
      <c r="AY1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Z1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BA1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BB1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80" s="28" t="str">
        <f>IF(ISBLANK(Table2[[#This Row],[device_model]]), "", Table2[[#This Row],[device_suggested_area]])</f>
        <v>Kitchen</v>
      </c>
      <c r="BE180" s="28" t="s">
        <v>1157</v>
      </c>
      <c r="BF180" s="28" t="s">
        <v>715</v>
      </c>
      <c r="BG180" s="28" t="s">
        <v>1053</v>
      </c>
      <c r="BI180" s="28" t="s">
        <v>835</v>
      </c>
      <c r="BJ180" s="28" t="s">
        <v>195</v>
      </c>
      <c r="BN180" s="28" t="s">
        <v>1186</v>
      </c>
      <c r="BO180" s="28" t="s">
        <v>866</v>
      </c>
      <c r="BP180" s="28" t="s">
        <v>1212</v>
      </c>
      <c r="BQ1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9" ht="16" customHeight="1" x14ac:dyDescent="0.2">
      <c r="A181" s="28">
        <v>1648</v>
      </c>
      <c r="B181" s="28" t="s">
        <v>26</v>
      </c>
      <c r="C181" s="28" t="s">
        <v>348</v>
      </c>
      <c r="D181" s="28" t="s">
        <v>128</v>
      </c>
      <c r="E181" s="28" t="s">
        <v>272</v>
      </c>
      <c r="F181" s="34" t="str">
        <f>IF(ISBLANK(Table2[[#This Row],[unique_id]]), "", PROPER(SUBSTITUTE(Table2[[#This Row],[unique_id]], "_", " ")))</f>
        <v>Laundry Main</v>
      </c>
      <c r="G181" s="28" t="s">
        <v>193</v>
      </c>
      <c r="H181" s="28" t="s">
        <v>130</v>
      </c>
      <c r="I181" s="28" t="s">
        <v>123</v>
      </c>
      <c r="J181" s="28" t="s">
        <v>671</v>
      </c>
      <c r="K181" s="28" t="s">
        <v>829</v>
      </c>
      <c r="M181" s="28" t="s">
        <v>127</v>
      </c>
      <c r="O181" s="29"/>
      <c r="P181" s="28"/>
      <c r="T181" s="35"/>
      <c r="U181" s="35"/>
      <c r="V181" s="35"/>
      <c r="W181" s="28"/>
      <c r="Y181" s="29"/>
      <c r="Z181" s="29" t="s">
        <v>456</v>
      </c>
      <c r="AA181" s="45">
        <v>108</v>
      </c>
      <c r="AB181" s="40" t="s">
        <v>706</v>
      </c>
      <c r="AC181" s="40" t="s">
        <v>919</v>
      </c>
      <c r="AD181" s="40"/>
      <c r="AH181" s="28" t="s">
        <v>263</v>
      </c>
      <c r="AJ181" s="29"/>
      <c r="AK181" s="29"/>
      <c r="AV181" s="28"/>
      <c r="AW18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Y1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Z1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BA1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1" s="28" t="str">
        <f>Table2[[#This Row],[device_suggested_area]]</f>
        <v>Laundry</v>
      </c>
      <c r="BD181" s="28" t="str">
        <f>IF(ISBLANK(Table2[[#This Row],[device_model]]), "", Table2[[#This Row],[device_suggested_area]])</f>
        <v>Laundry</v>
      </c>
      <c r="BE181" s="28" t="s">
        <v>943</v>
      </c>
      <c r="BF181" s="28" t="s">
        <v>453</v>
      </c>
      <c r="BG181" s="28" t="s">
        <v>348</v>
      </c>
      <c r="BH181" s="28" t="s">
        <v>1345</v>
      </c>
      <c r="BI181" s="28" t="s">
        <v>454</v>
      </c>
      <c r="BJ181" s="28" t="s">
        <v>202</v>
      </c>
      <c r="BO181" s="28"/>
      <c r="BQ1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9" ht="16" customHeight="1" x14ac:dyDescent="0.2">
      <c r="A182" s="28">
        <v>1649</v>
      </c>
      <c r="B182" s="28" t="s">
        <v>26</v>
      </c>
      <c r="C182" s="28" t="s">
        <v>348</v>
      </c>
      <c r="D182" s="28" t="s">
        <v>128</v>
      </c>
      <c r="E182" s="28" t="s">
        <v>896</v>
      </c>
      <c r="F182" s="34" t="str">
        <f>IF(ISBLANK(Table2[[#This Row],[unique_id]]), "", PROPER(SUBSTITUTE(Table2[[#This Row],[unique_id]], "_", " ")))</f>
        <v>Laundry Main Bulb 1</v>
      </c>
      <c r="H182" s="28" t="s">
        <v>130</v>
      </c>
      <c r="O182" s="29" t="s">
        <v>736</v>
      </c>
      <c r="P182" s="28" t="s">
        <v>155</v>
      </c>
      <c r="Q182" s="28" t="s">
        <v>708</v>
      </c>
      <c r="R182" s="28" t="str">
        <f>Table2[[#This Row],[entity_domain]]</f>
        <v>Lights</v>
      </c>
      <c r="S182" s="28" t="str">
        <f>_xlfn.CONCAT( Table2[[#This Row],[device_suggested_area]], " ",Table2[[#This Row],[powercalc_group_3]])</f>
        <v>Laundry Lights</v>
      </c>
      <c r="T182" s="35"/>
      <c r="U182" s="35"/>
      <c r="V182" s="35"/>
      <c r="W182" s="28"/>
      <c r="Y182" s="29"/>
      <c r="Z182" s="29" t="s">
        <v>455</v>
      </c>
      <c r="AA182" s="45">
        <v>108</v>
      </c>
      <c r="AB182" s="40" t="s">
        <v>704</v>
      </c>
      <c r="AC182" s="40" t="s">
        <v>919</v>
      </c>
      <c r="AD182" s="40"/>
      <c r="AJ182" s="29"/>
      <c r="AK182" s="29"/>
      <c r="AV182" s="28"/>
      <c r="AW18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Y1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Z1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BA1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2" s="28" t="str">
        <f>Table2[[#This Row],[device_suggested_area]]</f>
        <v>Laundry</v>
      </c>
      <c r="BD182" s="28" t="str">
        <f>IF(ISBLANK(Table2[[#This Row],[device_model]]), "", Table2[[#This Row],[device_suggested_area]])</f>
        <v>Laundry</v>
      </c>
      <c r="BE182" s="28" t="s">
        <v>944</v>
      </c>
      <c r="BF182" s="28" t="s">
        <v>453</v>
      </c>
      <c r="BG182" s="28" t="s">
        <v>348</v>
      </c>
      <c r="BH182" s="28" t="s">
        <v>1345</v>
      </c>
      <c r="BI182" s="28" t="s">
        <v>454</v>
      </c>
      <c r="BJ182" s="28" t="s">
        <v>202</v>
      </c>
      <c r="BO182" s="28" t="s">
        <v>480</v>
      </c>
      <c r="BQ1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9" ht="16" customHeight="1" x14ac:dyDescent="0.2">
      <c r="A183" s="28">
        <v>1650</v>
      </c>
      <c r="B183" s="28" t="s">
        <v>26</v>
      </c>
      <c r="C183" s="28" t="s">
        <v>348</v>
      </c>
      <c r="D183" s="28" t="s">
        <v>128</v>
      </c>
      <c r="E183" s="28" t="s">
        <v>273</v>
      </c>
      <c r="F183" s="34" t="str">
        <f>IF(ISBLANK(Table2[[#This Row],[unique_id]]), "", PROPER(SUBSTITUTE(Table2[[#This Row],[unique_id]], "_", " ")))</f>
        <v>Pantry Main</v>
      </c>
      <c r="G183" s="28" t="s">
        <v>192</v>
      </c>
      <c r="H183" s="28" t="s">
        <v>130</v>
      </c>
      <c r="I183" s="28" t="s">
        <v>123</v>
      </c>
      <c r="J183" s="28" t="s">
        <v>671</v>
      </c>
      <c r="K183" s="28" t="s">
        <v>829</v>
      </c>
      <c r="M183" s="28" t="s">
        <v>127</v>
      </c>
      <c r="O183" s="29"/>
      <c r="P183" s="28"/>
      <c r="T183" s="35"/>
      <c r="U183" s="35"/>
      <c r="V183" s="35"/>
      <c r="W183" s="28"/>
      <c r="Y183" s="29"/>
      <c r="Z183" s="29" t="s">
        <v>456</v>
      </c>
      <c r="AA183" s="45">
        <v>109</v>
      </c>
      <c r="AB183" s="40" t="s">
        <v>706</v>
      </c>
      <c r="AC183" s="40" t="s">
        <v>919</v>
      </c>
      <c r="AD183" s="40"/>
      <c r="AH183" s="28" t="s">
        <v>263</v>
      </c>
      <c r="AJ183" s="29"/>
      <c r="AK183" s="29"/>
      <c r="AV183" s="28"/>
      <c r="AW18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Y1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Z1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BA1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3" s="28" t="str">
        <f>Table2[[#This Row],[device_suggested_area]]</f>
        <v>Pantry</v>
      </c>
      <c r="BD183" s="28" t="str">
        <f>IF(ISBLANK(Table2[[#This Row],[device_model]]), "", Table2[[#This Row],[device_suggested_area]])</f>
        <v>Pantry</v>
      </c>
      <c r="BE183" s="28" t="s">
        <v>943</v>
      </c>
      <c r="BF183" s="28" t="s">
        <v>453</v>
      </c>
      <c r="BG183" s="28" t="s">
        <v>348</v>
      </c>
      <c r="BH183" s="28" t="s">
        <v>1345</v>
      </c>
      <c r="BI183" s="28" t="s">
        <v>454</v>
      </c>
      <c r="BJ183" s="28" t="s">
        <v>200</v>
      </c>
      <c r="BO183" s="28"/>
      <c r="BQ1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9" ht="16" customHeight="1" x14ac:dyDescent="0.2">
      <c r="A184" s="28">
        <v>1651</v>
      </c>
      <c r="B184" s="28" t="s">
        <v>26</v>
      </c>
      <c r="C184" s="28" t="s">
        <v>348</v>
      </c>
      <c r="D184" s="28" t="s">
        <v>128</v>
      </c>
      <c r="E184" s="28" t="s">
        <v>897</v>
      </c>
      <c r="F184" s="34" t="str">
        <f>IF(ISBLANK(Table2[[#This Row],[unique_id]]), "", PROPER(SUBSTITUTE(Table2[[#This Row],[unique_id]], "_", " ")))</f>
        <v>Pantry Main Bulb 1</v>
      </c>
      <c r="H184" s="28" t="s">
        <v>130</v>
      </c>
      <c r="O184" s="29" t="s">
        <v>736</v>
      </c>
      <c r="P184" s="28" t="s">
        <v>155</v>
      </c>
      <c r="Q184" s="28" t="s">
        <v>708</v>
      </c>
      <c r="R184" s="28" t="str">
        <f>Table2[[#This Row],[entity_domain]]</f>
        <v>Lights</v>
      </c>
      <c r="S184" s="28" t="str">
        <f>_xlfn.CONCAT( Table2[[#This Row],[device_suggested_area]], " ",Table2[[#This Row],[powercalc_group_3]])</f>
        <v>Pantry Lights</v>
      </c>
      <c r="T184" s="35"/>
      <c r="U184" s="35"/>
      <c r="V184" s="35"/>
      <c r="W184" s="28"/>
      <c r="Y184" s="29"/>
      <c r="Z184" s="29" t="s">
        <v>455</v>
      </c>
      <c r="AA184" s="45">
        <v>109</v>
      </c>
      <c r="AB184" s="40" t="s">
        <v>704</v>
      </c>
      <c r="AC184" s="40" t="s">
        <v>919</v>
      </c>
      <c r="AD184" s="40"/>
      <c r="AJ184" s="29"/>
      <c r="AK184" s="29"/>
      <c r="AV184" s="28"/>
      <c r="AW1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Y1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Z1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BA1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4" s="28" t="str">
        <f>Table2[[#This Row],[device_suggested_area]]</f>
        <v>Pantry</v>
      </c>
      <c r="BD184" s="28" t="str">
        <f>IF(ISBLANK(Table2[[#This Row],[device_model]]), "", Table2[[#This Row],[device_suggested_area]])</f>
        <v>Pantry</v>
      </c>
      <c r="BE184" s="28" t="s">
        <v>944</v>
      </c>
      <c r="BF184" s="28" t="s">
        <v>453</v>
      </c>
      <c r="BG184" s="28" t="s">
        <v>348</v>
      </c>
      <c r="BH184" s="28" t="s">
        <v>1345</v>
      </c>
      <c r="BI184" s="28" t="s">
        <v>454</v>
      </c>
      <c r="BJ184" s="28" t="s">
        <v>200</v>
      </c>
      <c r="BO184" s="28" t="s">
        <v>481</v>
      </c>
      <c r="BQ1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9" ht="16" customHeight="1" x14ac:dyDescent="0.2">
      <c r="A185" s="28">
        <v>1652</v>
      </c>
      <c r="B185" s="28" t="s">
        <v>26</v>
      </c>
      <c r="C185" s="28" t="s">
        <v>348</v>
      </c>
      <c r="D185" s="28" t="s">
        <v>128</v>
      </c>
      <c r="E185" s="28" t="s">
        <v>274</v>
      </c>
      <c r="F185" s="34" t="str">
        <f>IF(ISBLANK(Table2[[#This Row],[unique_id]]), "", PROPER(SUBSTITUTE(Table2[[#This Row],[unique_id]], "_", " ")))</f>
        <v>Office Main</v>
      </c>
      <c r="G185" s="28" t="s">
        <v>188</v>
      </c>
      <c r="H185" s="28" t="s">
        <v>130</v>
      </c>
      <c r="I185" s="28" t="s">
        <v>123</v>
      </c>
      <c r="J185" s="28" t="s">
        <v>671</v>
      </c>
      <c r="M185" s="28" t="s">
        <v>127</v>
      </c>
      <c r="O185" s="29"/>
      <c r="P185" s="28"/>
      <c r="T185" s="35"/>
      <c r="U185" s="35"/>
      <c r="V185" s="35"/>
      <c r="W185" s="28"/>
      <c r="Y185" s="29"/>
      <c r="Z185" s="29" t="s">
        <v>456</v>
      </c>
      <c r="AA185" s="45">
        <v>110</v>
      </c>
      <c r="AB185" s="40" t="s">
        <v>706</v>
      </c>
      <c r="AC185" s="40" t="s">
        <v>921</v>
      </c>
      <c r="AD185" s="40"/>
      <c r="AH185" s="28" t="s">
        <v>263</v>
      </c>
      <c r="AJ185" s="29"/>
      <c r="AK185" s="29"/>
      <c r="AV185" s="28"/>
      <c r="AW1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Y1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Z1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BA1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5" s="28" t="str">
        <f>Table2[[#This Row],[device_suggested_area]]</f>
        <v>Office</v>
      </c>
      <c r="BD185" s="28" t="str">
        <f>IF(ISBLANK(Table2[[#This Row],[device_model]]), "", Table2[[#This Row],[device_suggested_area]])</f>
        <v>Office</v>
      </c>
      <c r="BE185" s="28" t="s">
        <v>943</v>
      </c>
      <c r="BF185" s="28" t="s">
        <v>529</v>
      </c>
      <c r="BG185" s="28" t="s">
        <v>348</v>
      </c>
      <c r="BH185" s="28" t="s">
        <v>1345</v>
      </c>
      <c r="BI185" s="28" t="s">
        <v>526</v>
      </c>
      <c r="BJ185" s="28" t="s">
        <v>201</v>
      </c>
      <c r="BO185" s="28"/>
      <c r="BQ1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9" ht="16" customHeight="1" x14ac:dyDescent="0.2">
      <c r="A186" s="28">
        <v>1653</v>
      </c>
      <c r="B186" s="28" t="s">
        <v>26</v>
      </c>
      <c r="C186" s="28" t="s">
        <v>348</v>
      </c>
      <c r="D186" s="28" t="s">
        <v>128</v>
      </c>
      <c r="E186" s="28" t="s">
        <v>898</v>
      </c>
      <c r="F186" s="34" t="str">
        <f>IF(ISBLANK(Table2[[#This Row],[unique_id]]), "", PROPER(SUBSTITUTE(Table2[[#This Row],[unique_id]], "_", " ")))</f>
        <v>Office Main Bulb 1</v>
      </c>
      <c r="H186" s="28" t="s">
        <v>130</v>
      </c>
      <c r="O186" s="29" t="s">
        <v>736</v>
      </c>
      <c r="P186" s="28" t="s">
        <v>155</v>
      </c>
      <c r="Q186" s="28" t="s">
        <v>708</v>
      </c>
      <c r="R186" s="28" t="str">
        <f>Table2[[#This Row],[entity_domain]]</f>
        <v>Lights</v>
      </c>
      <c r="S186" s="28" t="str">
        <f>_xlfn.CONCAT( Table2[[#This Row],[device_suggested_area]], " ",Table2[[#This Row],[powercalc_group_3]])</f>
        <v>Office Lights</v>
      </c>
      <c r="T186" s="35"/>
      <c r="U186" s="35"/>
      <c r="V186" s="35"/>
      <c r="W186" s="28"/>
      <c r="Y186" s="29"/>
      <c r="Z186" s="29" t="s">
        <v>455</v>
      </c>
      <c r="AA186" s="45">
        <v>110</v>
      </c>
      <c r="AB186" s="40" t="s">
        <v>704</v>
      </c>
      <c r="AC186" s="40" t="s">
        <v>921</v>
      </c>
      <c r="AD186" s="40"/>
      <c r="AJ186" s="29"/>
      <c r="AK186" s="29"/>
      <c r="AV186" s="28"/>
      <c r="AW1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Y1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Z1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BA1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6" s="28" t="str">
        <f>Table2[[#This Row],[device_suggested_area]]</f>
        <v>Office</v>
      </c>
      <c r="BD186" s="28" t="str">
        <f>IF(ISBLANK(Table2[[#This Row],[device_model]]), "", Table2[[#This Row],[device_suggested_area]])</f>
        <v>Office</v>
      </c>
      <c r="BE186" s="28" t="s">
        <v>944</v>
      </c>
      <c r="BF186" s="28" t="s">
        <v>529</v>
      </c>
      <c r="BG186" s="28" t="s">
        <v>348</v>
      </c>
      <c r="BH186" s="28" t="s">
        <v>1345</v>
      </c>
      <c r="BI186" s="28" t="s">
        <v>526</v>
      </c>
      <c r="BJ186" s="28" t="s">
        <v>201</v>
      </c>
      <c r="BO186" s="28" t="s">
        <v>482</v>
      </c>
      <c r="BQ1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9" ht="16" customHeight="1" x14ac:dyDescent="0.2">
      <c r="A187" s="28">
        <v>1654</v>
      </c>
      <c r="B187" s="28" t="s">
        <v>26</v>
      </c>
      <c r="C187" s="28" t="s">
        <v>348</v>
      </c>
      <c r="D187" s="28" t="s">
        <v>128</v>
      </c>
      <c r="E187" s="28" t="s">
        <v>275</v>
      </c>
      <c r="F187" s="34" t="str">
        <f>IF(ISBLANK(Table2[[#This Row],[unique_id]]), "", PROPER(SUBSTITUTE(Table2[[#This Row],[unique_id]], "_", " ")))</f>
        <v>Bathroom Main</v>
      </c>
      <c r="G187" s="28" t="s">
        <v>187</v>
      </c>
      <c r="H187" s="28" t="s">
        <v>130</v>
      </c>
      <c r="I187" s="28" t="s">
        <v>123</v>
      </c>
      <c r="J187" s="28" t="s">
        <v>671</v>
      </c>
      <c r="K187" s="28" t="s">
        <v>832</v>
      </c>
      <c r="M187" s="28" t="s">
        <v>127</v>
      </c>
      <c r="O187" s="29"/>
      <c r="P187" s="28"/>
      <c r="T187" s="35"/>
      <c r="U187" s="35"/>
      <c r="V187" s="35"/>
      <c r="W187" s="28"/>
      <c r="Y187" s="29"/>
      <c r="Z187" s="29" t="s">
        <v>456</v>
      </c>
      <c r="AA187" s="45">
        <v>111</v>
      </c>
      <c r="AB187" s="40" t="s">
        <v>706</v>
      </c>
      <c r="AC187" s="40" t="s">
        <v>920</v>
      </c>
      <c r="AD187" s="40"/>
      <c r="AH187" s="28" t="s">
        <v>263</v>
      </c>
      <c r="AJ187" s="29"/>
      <c r="AK187" s="29"/>
      <c r="AV187" s="28"/>
      <c r="AW1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Y1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Z1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BA1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7" s="28" t="str">
        <f>Table2[[#This Row],[device_suggested_area]]</f>
        <v>Bathroom</v>
      </c>
      <c r="BD187" s="28" t="str">
        <f>IF(ISBLANK(Table2[[#This Row],[device_model]]), "", Table2[[#This Row],[device_suggested_area]])</f>
        <v>Bathroom</v>
      </c>
      <c r="BE187" s="28" t="s">
        <v>943</v>
      </c>
      <c r="BF187" s="28" t="s">
        <v>453</v>
      </c>
      <c r="BG187" s="28" t="s">
        <v>348</v>
      </c>
      <c r="BH187" s="28" t="s">
        <v>1345</v>
      </c>
      <c r="BI187" s="28" t="s">
        <v>454</v>
      </c>
      <c r="BJ187" s="28" t="s">
        <v>329</v>
      </c>
      <c r="BO187" s="28"/>
      <c r="BQ1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9" ht="16" customHeight="1" x14ac:dyDescent="0.2">
      <c r="A188" s="28">
        <v>1655</v>
      </c>
      <c r="B188" s="28" t="s">
        <v>26</v>
      </c>
      <c r="C188" s="28" t="s">
        <v>348</v>
      </c>
      <c r="D188" s="28" t="s">
        <v>128</v>
      </c>
      <c r="E188" s="28" t="s">
        <v>899</v>
      </c>
      <c r="F188" s="34" t="str">
        <f>IF(ISBLANK(Table2[[#This Row],[unique_id]]), "", PROPER(SUBSTITUTE(Table2[[#This Row],[unique_id]], "_", " ")))</f>
        <v>Bathroom Main Bulb 1</v>
      </c>
      <c r="H188" s="28" t="s">
        <v>130</v>
      </c>
      <c r="O188" s="29" t="s">
        <v>736</v>
      </c>
      <c r="P188" s="28" t="s">
        <v>155</v>
      </c>
      <c r="Q188" s="28" t="s">
        <v>708</v>
      </c>
      <c r="R188" s="28" t="str">
        <f>Table2[[#This Row],[entity_domain]]</f>
        <v>Lights</v>
      </c>
      <c r="S188" s="28" t="str">
        <f>_xlfn.CONCAT( Table2[[#This Row],[device_suggested_area]], " ",Table2[[#This Row],[powercalc_group_3]])</f>
        <v>Bathroom Lights</v>
      </c>
      <c r="T188" s="35"/>
      <c r="U188" s="35"/>
      <c r="V188" s="35"/>
      <c r="W188" s="28"/>
      <c r="Y188" s="29"/>
      <c r="Z188" s="29" t="s">
        <v>455</v>
      </c>
      <c r="AA188" s="45">
        <v>111</v>
      </c>
      <c r="AB188" s="40" t="s">
        <v>704</v>
      </c>
      <c r="AC188" s="40" t="s">
        <v>920</v>
      </c>
      <c r="AD188" s="40"/>
      <c r="AJ188" s="29"/>
      <c r="AK188" s="29"/>
      <c r="AV188" s="28"/>
      <c r="AW18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Y1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Z1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BA1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8" s="28" t="str">
        <f>Table2[[#This Row],[device_suggested_area]]</f>
        <v>Bathroom</v>
      </c>
      <c r="BD188" s="28" t="str">
        <f>IF(ISBLANK(Table2[[#This Row],[device_model]]), "", Table2[[#This Row],[device_suggested_area]])</f>
        <v>Bathroom</v>
      </c>
      <c r="BE188" s="28" t="s">
        <v>944</v>
      </c>
      <c r="BF188" s="28" t="s">
        <v>453</v>
      </c>
      <c r="BG188" s="28" t="s">
        <v>348</v>
      </c>
      <c r="BH188" s="28" t="s">
        <v>1345</v>
      </c>
      <c r="BI188" s="28" t="s">
        <v>454</v>
      </c>
      <c r="BJ188" s="28" t="s">
        <v>329</v>
      </c>
      <c r="BO188" s="28" t="s">
        <v>483</v>
      </c>
      <c r="BQ1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9" ht="16" customHeight="1" x14ac:dyDescent="0.2">
      <c r="A189" s="28">
        <v>1656</v>
      </c>
      <c r="B189" s="28" t="s">
        <v>26</v>
      </c>
      <c r="C189" s="28" t="s">
        <v>419</v>
      </c>
      <c r="D189" s="28" t="s">
        <v>128</v>
      </c>
      <c r="E189" s="28" t="s">
        <v>806</v>
      </c>
      <c r="F189" s="34" t="str">
        <f>IF(ISBLANK(Table2[[#This Row],[unique_id]]), "", PROPER(SUBSTITUTE(Table2[[#This Row],[unique_id]], "_", " ")))</f>
        <v>Bathroom Sconces</v>
      </c>
      <c r="G189" s="28" t="s">
        <v>809</v>
      </c>
      <c r="H189" s="28" t="s">
        <v>130</v>
      </c>
      <c r="I189" s="28" t="s">
        <v>123</v>
      </c>
      <c r="J189" s="28" t="s">
        <v>793</v>
      </c>
      <c r="K189" s="28" t="s">
        <v>831</v>
      </c>
      <c r="M189" s="28" t="s">
        <v>127</v>
      </c>
      <c r="O189" s="29"/>
      <c r="P189" s="28"/>
      <c r="T189" s="35"/>
      <c r="U189" s="35"/>
      <c r="V189" s="35"/>
      <c r="W189" s="28"/>
      <c r="Y189" s="29"/>
      <c r="Z189" s="29" t="s">
        <v>456</v>
      </c>
      <c r="AA189" s="45">
        <v>121</v>
      </c>
      <c r="AB189" s="40" t="s">
        <v>706</v>
      </c>
      <c r="AC189" s="29" t="s">
        <v>1468</v>
      </c>
      <c r="AH189" s="28" t="s">
        <v>263</v>
      </c>
      <c r="AJ189" s="29"/>
      <c r="AK189" s="29"/>
      <c r="AV189" s="28"/>
      <c r="AW189" s="38"/>
      <c r="AY1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Z1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BA1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9" s="28" t="str">
        <f>Table2[[#This Row],[device_suggested_area]]</f>
        <v>Bathroom</v>
      </c>
      <c r="BD189" s="28" t="str">
        <f>IF(ISBLANK(Table2[[#This Row],[device_model]]), "", Table2[[#This Row],[device_suggested_area]])</f>
        <v>Bathroom</v>
      </c>
      <c r="BE189" s="28" t="s">
        <v>793</v>
      </c>
      <c r="BF189" s="28" t="s">
        <v>796</v>
      </c>
      <c r="BG189" s="28" t="s">
        <v>419</v>
      </c>
      <c r="BI189" s="28" t="s">
        <v>794</v>
      </c>
      <c r="BJ189" s="28" t="s">
        <v>329</v>
      </c>
      <c r="BO189" s="28"/>
      <c r="BQ1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9" ht="16" customHeight="1" x14ac:dyDescent="0.2">
      <c r="A190" s="28">
        <v>1657</v>
      </c>
      <c r="B190" s="28" t="s">
        <v>26</v>
      </c>
      <c r="C190" s="28" t="s">
        <v>419</v>
      </c>
      <c r="D190" s="28" t="s">
        <v>128</v>
      </c>
      <c r="E190" s="28" t="s">
        <v>807</v>
      </c>
      <c r="F190" s="34" t="str">
        <f>IF(ISBLANK(Table2[[#This Row],[unique_id]]), "", PROPER(SUBSTITUTE(Table2[[#This Row],[unique_id]], "_", " ")))</f>
        <v>Bathroom Sconces Bulb 1</v>
      </c>
      <c r="H190" s="28" t="s">
        <v>130</v>
      </c>
      <c r="O190" s="29" t="s">
        <v>736</v>
      </c>
      <c r="P190" s="28" t="s">
        <v>155</v>
      </c>
      <c r="Q190" s="28" t="s">
        <v>708</v>
      </c>
      <c r="R190" s="28" t="str">
        <f>Table2[[#This Row],[entity_domain]]</f>
        <v>Lights</v>
      </c>
      <c r="S190" s="28" t="str">
        <f>_xlfn.CONCAT( Table2[[#This Row],[device_suggested_area]], " ",Table2[[#This Row],[powercalc_group_3]])</f>
        <v>Bathroom Lights</v>
      </c>
      <c r="T190" s="35"/>
      <c r="U190" s="35"/>
      <c r="V190" s="35"/>
      <c r="W190" s="28"/>
      <c r="Y190" s="29"/>
      <c r="Z190" s="29" t="s">
        <v>455</v>
      </c>
      <c r="AA190" s="45">
        <v>121</v>
      </c>
      <c r="AB190" s="40" t="s">
        <v>704</v>
      </c>
      <c r="AC190" s="29" t="s">
        <v>1468</v>
      </c>
      <c r="AJ190" s="29"/>
      <c r="AK190" s="29"/>
      <c r="AV190" s="28"/>
      <c r="AW190" s="38"/>
      <c r="AY1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Z1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BA1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0" s="28" t="str">
        <f>Table2[[#This Row],[device_suggested_area]]</f>
        <v>Bathroom</v>
      </c>
      <c r="BD190" s="28" t="str">
        <f>IF(ISBLANK(Table2[[#This Row],[device_model]]), "", Table2[[#This Row],[device_suggested_area]])</f>
        <v>Bathroom</v>
      </c>
      <c r="BE190" s="28" t="s">
        <v>930</v>
      </c>
      <c r="BF190" s="28" t="s">
        <v>796</v>
      </c>
      <c r="BG190" s="28" t="s">
        <v>419</v>
      </c>
      <c r="BI190" s="28" t="s">
        <v>794</v>
      </c>
      <c r="BJ190" s="28" t="s">
        <v>329</v>
      </c>
      <c r="BO190" s="28" t="s">
        <v>810</v>
      </c>
      <c r="BQ1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9" ht="16" customHeight="1" x14ac:dyDescent="0.2">
      <c r="A191" s="28">
        <v>1658</v>
      </c>
      <c r="B191" s="28" t="s">
        <v>26</v>
      </c>
      <c r="C191" s="28" t="s">
        <v>419</v>
      </c>
      <c r="D191" s="28" t="s">
        <v>128</v>
      </c>
      <c r="E191" s="28" t="s">
        <v>808</v>
      </c>
      <c r="F191" s="34" t="str">
        <f>IF(ISBLANK(Table2[[#This Row],[unique_id]]), "", PROPER(SUBSTITUTE(Table2[[#This Row],[unique_id]], "_", " ")))</f>
        <v>Bathroom Sconces Bulb 2</v>
      </c>
      <c r="H191" s="28" t="s">
        <v>130</v>
      </c>
      <c r="O191" s="29" t="s">
        <v>736</v>
      </c>
      <c r="P191" s="28" t="s">
        <v>155</v>
      </c>
      <c r="Q191" s="28" t="s">
        <v>708</v>
      </c>
      <c r="R191" s="28" t="str">
        <f>Table2[[#This Row],[entity_domain]]</f>
        <v>Lights</v>
      </c>
      <c r="S191" s="28" t="str">
        <f>_xlfn.CONCAT( Table2[[#This Row],[device_suggested_area]], " ",Table2[[#This Row],[powercalc_group_3]])</f>
        <v>Bathroom Lights</v>
      </c>
      <c r="T191" s="35"/>
      <c r="U191" s="35"/>
      <c r="V191" s="35"/>
      <c r="W191" s="28"/>
      <c r="Y191" s="29"/>
      <c r="Z191" s="29" t="s">
        <v>455</v>
      </c>
      <c r="AA191" s="45">
        <v>121</v>
      </c>
      <c r="AB191" s="40" t="s">
        <v>704</v>
      </c>
      <c r="AC191" s="29" t="s">
        <v>1468</v>
      </c>
      <c r="AJ191" s="29"/>
      <c r="AK191" s="29"/>
      <c r="AV191" s="28"/>
      <c r="AW191" s="38"/>
      <c r="AY1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Z1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BA1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1" s="28" t="str">
        <f>Table2[[#This Row],[device_suggested_area]]</f>
        <v>Bathroom</v>
      </c>
      <c r="BD191" s="28" t="str">
        <f>IF(ISBLANK(Table2[[#This Row],[device_model]]), "", Table2[[#This Row],[device_suggested_area]])</f>
        <v>Bathroom</v>
      </c>
      <c r="BE191" s="28" t="s">
        <v>931</v>
      </c>
      <c r="BF191" s="28" t="s">
        <v>796</v>
      </c>
      <c r="BG191" s="28" t="s">
        <v>419</v>
      </c>
      <c r="BI191" s="28" t="s">
        <v>794</v>
      </c>
      <c r="BJ191" s="28" t="s">
        <v>329</v>
      </c>
      <c r="BO191" s="28" t="s">
        <v>811</v>
      </c>
      <c r="BQ1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9" ht="16" customHeight="1" x14ac:dyDescent="0.2">
      <c r="A192" s="28">
        <v>1659</v>
      </c>
      <c r="B192" s="28" t="s">
        <v>26</v>
      </c>
      <c r="C192" s="28" t="s">
        <v>348</v>
      </c>
      <c r="D192" s="28" t="s">
        <v>128</v>
      </c>
      <c r="E192" s="28" t="s">
        <v>276</v>
      </c>
      <c r="F192" s="34" t="str">
        <f>IF(ISBLANK(Table2[[#This Row],[unique_id]]), "", PROPER(SUBSTITUTE(Table2[[#This Row],[unique_id]], "_", " ")))</f>
        <v>Ensuite Main</v>
      </c>
      <c r="G192" s="28" t="s">
        <v>186</v>
      </c>
      <c r="H192" s="28" t="s">
        <v>130</v>
      </c>
      <c r="I192" s="28" t="s">
        <v>123</v>
      </c>
      <c r="J192" s="28" t="s">
        <v>671</v>
      </c>
      <c r="K192" s="28" t="s">
        <v>832</v>
      </c>
      <c r="M192" s="28" t="s">
        <v>127</v>
      </c>
      <c r="O192" s="29"/>
      <c r="P192" s="28"/>
      <c r="T192" s="35"/>
      <c r="U192" s="35"/>
      <c r="V192" s="35"/>
      <c r="W192" s="28"/>
      <c r="Y192" s="29"/>
      <c r="Z192" s="29" t="s">
        <v>456</v>
      </c>
      <c r="AA192" s="45">
        <v>112</v>
      </c>
      <c r="AB192" s="40" t="s">
        <v>706</v>
      </c>
      <c r="AC192" s="40" t="s">
        <v>920</v>
      </c>
      <c r="AD192" s="40"/>
      <c r="AH192" s="28" t="s">
        <v>263</v>
      </c>
      <c r="AJ192" s="29"/>
      <c r="AK192" s="29"/>
      <c r="AV192" s="28"/>
      <c r="AW19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Y1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Z1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BA1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2" s="28" t="str">
        <f>Table2[[#This Row],[device_suggested_area]]</f>
        <v>Ensuite</v>
      </c>
      <c r="BD192" s="28" t="str">
        <f>IF(ISBLANK(Table2[[#This Row],[device_model]]), "", Table2[[#This Row],[device_suggested_area]])</f>
        <v>Ensuite</v>
      </c>
      <c r="BE192" s="28" t="s">
        <v>943</v>
      </c>
      <c r="BF192" s="28" t="s">
        <v>529</v>
      </c>
      <c r="BG192" s="28" t="s">
        <v>348</v>
      </c>
      <c r="BH192" s="28" t="s">
        <v>1345</v>
      </c>
      <c r="BI192" s="28" t="s">
        <v>526</v>
      </c>
      <c r="BJ192" s="28" t="s">
        <v>365</v>
      </c>
      <c r="BO192" s="28"/>
      <c r="BQ1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9" ht="16" customHeight="1" x14ac:dyDescent="0.2">
      <c r="A193" s="28">
        <v>1660</v>
      </c>
      <c r="B193" s="28" t="s">
        <v>26</v>
      </c>
      <c r="C193" s="28" t="s">
        <v>348</v>
      </c>
      <c r="D193" s="28" t="s">
        <v>128</v>
      </c>
      <c r="E193" s="28" t="s">
        <v>900</v>
      </c>
      <c r="F193" s="34" t="str">
        <f>IF(ISBLANK(Table2[[#This Row],[unique_id]]), "", PROPER(SUBSTITUTE(Table2[[#This Row],[unique_id]], "_", " ")))</f>
        <v>Ensuite Main Bulb 1</v>
      </c>
      <c r="H193" s="28" t="s">
        <v>130</v>
      </c>
      <c r="O193" s="29" t="s">
        <v>736</v>
      </c>
      <c r="P193" s="28" t="s">
        <v>155</v>
      </c>
      <c r="Q193" s="28" t="s">
        <v>708</v>
      </c>
      <c r="R193" s="28" t="str">
        <f>Table2[[#This Row],[entity_domain]]</f>
        <v>Lights</v>
      </c>
      <c r="S193" s="28" t="str">
        <f>_xlfn.CONCAT( Table2[[#This Row],[device_suggested_area]], " ",Table2[[#This Row],[powercalc_group_3]])</f>
        <v>Ensuite Lights</v>
      </c>
      <c r="T193" s="35"/>
      <c r="U193" s="35"/>
      <c r="V193" s="35"/>
      <c r="W193" s="28"/>
      <c r="Y193" s="29"/>
      <c r="Z193" s="29" t="s">
        <v>455</v>
      </c>
      <c r="AA193" s="45">
        <v>112</v>
      </c>
      <c r="AB193" s="40" t="s">
        <v>704</v>
      </c>
      <c r="AC193" s="40" t="s">
        <v>920</v>
      </c>
      <c r="AD193" s="40"/>
      <c r="AJ193" s="29"/>
      <c r="AK193" s="29"/>
      <c r="AV193" s="28"/>
      <c r="AW19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Y1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Z1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BA1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3" s="28" t="str">
        <f>Table2[[#This Row],[device_suggested_area]]</f>
        <v>Ensuite</v>
      </c>
      <c r="BD193" s="28" t="str">
        <f>IF(ISBLANK(Table2[[#This Row],[device_model]]), "", Table2[[#This Row],[device_suggested_area]])</f>
        <v>Ensuite</v>
      </c>
      <c r="BE193" s="28" t="s">
        <v>944</v>
      </c>
      <c r="BF193" s="28" t="s">
        <v>529</v>
      </c>
      <c r="BG193" s="28" t="s">
        <v>348</v>
      </c>
      <c r="BH193" s="28" t="s">
        <v>1345</v>
      </c>
      <c r="BI193" s="28" t="s">
        <v>526</v>
      </c>
      <c r="BJ193" s="28" t="s">
        <v>365</v>
      </c>
      <c r="BO193" s="28" t="s">
        <v>484</v>
      </c>
      <c r="BQ1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9" ht="16" customHeight="1" x14ac:dyDescent="0.2">
      <c r="A194" s="28">
        <v>1661</v>
      </c>
      <c r="B194" s="28" t="s">
        <v>26</v>
      </c>
      <c r="C194" s="28" t="s">
        <v>419</v>
      </c>
      <c r="D194" s="28" t="s">
        <v>128</v>
      </c>
      <c r="E194" s="28" t="s">
        <v>788</v>
      </c>
      <c r="F194" s="34" t="str">
        <f>IF(ISBLANK(Table2[[#This Row],[unique_id]]), "", PROPER(SUBSTITUTE(Table2[[#This Row],[unique_id]], "_", " ")))</f>
        <v>Ensuite Sconces</v>
      </c>
      <c r="G194" s="28" t="s">
        <v>792</v>
      </c>
      <c r="H194" s="28" t="s">
        <v>130</v>
      </c>
      <c r="I194" s="28" t="s">
        <v>123</v>
      </c>
      <c r="J194" s="28" t="s">
        <v>793</v>
      </c>
      <c r="K194" s="28" t="s">
        <v>831</v>
      </c>
      <c r="M194" s="28" t="s">
        <v>127</v>
      </c>
      <c r="O194" s="29"/>
      <c r="P194" s="28"/>
      <c r="T194" s="35"/>
      <c r="U194" s="35"/>
      <c r="V194" s="35"/>
      <c r="W194" s="28"/>
      <c r="Y194" s="29"/>
      <c r="Z194" s="29" t="s">
        <v>456</v>
      </c>
      <c r="AA194" s="45">
        <v>118</v>
      </c>
      <c r="AB194" s="40" t="s">
        <v>706</v>
      </c>
      <c r="AC194" s="29" t="s">
        <v>1468</v>
      </c>
      <c r="AH194" s="28" t="s">
        <v>263</v>
      </c>
      <c r="AJ194" s="29"/>
      <c r="AK194" s="29"/>
      <c r="AV194" s="28"/>
      <c r="AW194" s="38"/>
      <c r="AY1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Z1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BA1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4" s="28" t="str">
        <f>Table2[[#This Row],[device_suggested_area]]</f>
        <v>Ensuite</v>
      </c>
      <c r="BD194" s="28" t="str">
        <f>IF(ISBLANK(Table2[[#This Row],[device_model]]), "", Table2[[#This Row],[device_suggested_area]])</f>
        <v>Ensuite</v>
      </c>
      <c r="BE194" s="28" t="s">
        <v>793</v>
      </c>
      <c r="BF194" s="28" t="s">
        <v>796</v>
      </c>
      <c r="BG194" s="28" t="s">
        <v>419</v>
      </c>
      <c r="BI194" s="28" t="s">
        <v>794</v>
      </c>
      <c r="BJ194" s="28" t="s">
        <v>365</v>
      </c>
      <c r="BO194" s="28"/>
      <c r="BQ1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9" ht="16" customHeight="1" x14ac:dyDescent="0.2">
      <c r="A195" s="28">
        <v>1662</v>
      </c>
      <c r="B195" s="28" t="s">
        <v>26</v>
      </c>
      <c r="C195" s="28" t="s">
        <v>419</v>
      </c>
      <c r="D195" s="28" t="s">
        <v>128</v>
      </c>
      <c r="E195" s="28" t="s">
        <v>789</v>
      </c>
      <c r="F195" s="34" t="str">
        <f>IF(ISBLANK(Table2[[#This Row],[unique_id]]), "", PROPER(SUBSTITUTE(Table2[[#This Row],[unique_id]], "_", " ")))</f>
        <v>Ensuite Sconces Bulb 1</v>
      </c>
      <c r="H195" s="28" t="s">
        <v>130</v>
      </c>
      <c r="O195" s="29" t="s">
        <v>736</v>
      </c>
      <c r="P195" s="28" t="s">
        <v>155</v>
      </c>
      <c r="Q195" s="28" t="s">
        <v>708</v>
      </c>
      <c r="R195" s="28" t="str">
        <f>Table2[[#This Row],[entity_domain]]</f>
        <v>Lights</v>
      </c>
      <c r="S195" s="28" t="str">
        <f>_xlfn.CONCAT( Table2[[#This Row],[device_suggested_area]], " ",Table2[[#This Row],[powercalc_group_3]])</f>
        <v>Ensuite Lights</v>
      </c>
      <c r="T195" s="35"/>
      <c r="U195" s="35"/>
      <c r="V195" s="35"/>
      <c r="W195" s="28"/>
      <c r="Y195" s="29"/>
      <c r="Z195" s="29" t="s">
        <v>455</v>
      </c>
      <c r="AA195" s="45">
        <v>118</v>
      </c>
      <c r="AB195" s="40" t="s">
        <v>704</v>
      </c>
      <c r="AC195" s="29" t="s">
        <v>1468</v>
      </c>
      <c r="AJ195" s="29"/>
      <c r="AK195" s="29"/>
      <c r="AV195" s="28"/>
      <c r="AW195" s="38"/>
      <c r="AY1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Z1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BA1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5" s="28" t="str">
        <f>Table2[[#This Row],[device_suggested_area]]</f>
        <v>Ensuite</v>
      </c>
      <c r="BD195" s="28" t="str">
        <f>IF(ISBLANK(Table2[[#This Row],[device_model]]), "", Table2[[#This Row],[device_suggested_area]])</f>
        <v>Ensuite</v>
      </c>
      <c r="BE195" s="28" t="s">
        <v>930</v>
      </c>
      <c r="BF195" s="28" t="s">
        <v>796</v>
      </c>
      <c r="BG195" s="28" t="s">
        <v>419</v>
      </c>
      <c r="BI195" s="28" t="s">
        <v>794</v>
      </c>
      <c r="BJ195" s="28" t="s">
        <v>365</v>
      </c>
      <c r="BO195" s="28" t="s">
        <v>795</v>
      </c>
      <c r="BQ1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9" ht="16" customHeight="1" x14ac:dyDescent="0.2">
      <c r="A196" s="28">
        <v>1663</v>
      </c>
      <c r="B196" s="28" t="s">
        <v>26</v>
      </c>
      <c r="C196" s="28" t="s">
        <v>419</v>
      </c>
      <c r="D196" s="28" t="s">
        <v>128</v>
      </c>
      <c r="E196" s="28" t="s">
        <v>790</v>
      </c>
      <c r="F196" s="34" t="str">
        <f>IF(ISBLANK(Table2[[#This Row],[unique_id]]), "", PROPER(SUBSTITUTE(Table2[[#This Row],[unique_id]], "_", " ")))</f>
        <v>Ensuite Sconces Bulb 2</v>
      </c>
      <c r="H196" s="28" t="s">
        <v>130</v>
      </c>
      <c r="O196" s="29" t="s">
        <v>736</v>
      </c>
      <c r="P196" s="28" t="s">
        <v>155</v>
      </c>
      <c r="Q196" s="28" t="s">
        <v>708</v>
      </c>
      <c r="R196" s="28" t="str">
        <f>Table2[[#This Row],[entity_domain]]</f>
        <v>Lights</v>
      </c>
      <c r="S196" s="28" t="str">
        <f>_xlfn.CONCAT( Table2[[#This Row],[device_suggested_area]], " ",Table2[[#This Row],[powercalc_group_3]])</f>
        <v>Ensuite Lights</v>
      </c>
      <c r="T196" s="35"/>
      <c r="U196" s="35"/>
      <c r="V196" s="35"/>
      <c r="W196" s="28"/>
      <c r="Y196" s="29"/>
      <c r="Z196" s="29" t="s">
        <v>455</v>
      </c>
      <c r="AA196" s="45">
        <v>118</v>
      </c>
      <c r="AB196" s="40" t="s">
        <v>704</v>
      </c>
      <c r="AC196" s="29" t="s">
        <v>1468</v>
      </c>
      <c r="AJ196" s="29"/>
      <c r="AK196" s="29"/>
      <c r="AV196" s="28"/>
      <c r="AW196" s="38"/>
      <c r="AY1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Z1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BA1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6" s="28" t="str">
        <f>Table2[[#This Row],[device_suggested_area]]</f>
        <v>Ensuite</v>
      </c>
      <c r="BD196" s="28" t="str">
        <f>IF(ISBLANK(Table2[[#This Row],[device_model]]), "", Table2[[#This Row],[device_suggested_area]])</f>
        <v>Ensuite</v>
      </c>
      <c r="BE196" s="28" t="s">
        <v>931</v>
      </c>
      <c r="BF196" s="28" t="s">
        <v>796</v>
      </c>
      <c r="BG196" s="28" t="s">
        <v>419</v>
      </c>
      <c r="BI196" s="28" t="s">
        <v>794</v>
      </c>
      <c r="BJ196" s="28" t="s">
        <v>365</v>
      </c>
      <c r="BO196" s="28" t="s">
        <v>797</v>
      </c>
      <c r="BQ1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9" ht="16" customHeight="1" x14ac:dyDescent="0.2">
      <c r="A197" s="28">
        <v>1664</v>
      </c>
      <c r="B197" s="28" t="s">
        <v>26</v>
      </c>
      <c r="C197" s="28" t="s">
        <v>419</v>
      </c>
      <c r="D197" s="28" t="s">
        <v>128</v>
      </c>
      <c r="E197" s="28" t="s">
        <v>791</v>
      </c>
      <c r="F197" s="34" t="str">
        <f>IF(ISBLANK(Table2[[#This Row],[unique_id]]), "", PROPER(SUBSTITUTE(Table2[[#This Row],[unique_id]], "_", " ")))</f>
        <v>Ensuite Sconces Bulb 3</v>
      </c>
      <c r="H197" s="28" t="s">
        <v>130</v>
      </c>
      <c r="O197" s="29" t="s">
        <v>736</v>
      </c>
      <c r="P197" s="28" t="s">
        <v>155</v>
      </c>
      <c r="Q197" s="28" t="s">
        <v>708</v>
      </c>
      <c r="R197" s="28" t="str">
        <f>Table2[[#This Row],[entity_domain]]</f>
        <v>Lights</v>
      </c>
      <c r="S197" s="28" t="str">
        <f>_xlfn.CONCAT( Table2[[#This Row],[device_suggested_area]], " ",Table2[[#This Row],[powercalc_group_3]])</f>
        <v>Ensuite Lights</v>
      </c>
      <c r="T197" s="35"/>
      <c r="U197" s="35"/>
      <c r="V197" s="35"/>
      <c r="W197" s="28"/>
      <c r="Y197" s="29"/>
      <c r="Z197" s="29" t="s">
        <v>455</v>
      </c>
      <c r="AA197" s="45">
        <v>118</v>
      </c>
      <c r="AB197" s="40" t="s">
        <v>704</v>
      </c>
      <c r="AC197" s="29" t="s">
        <v>1468</v>
      </c>
      <c r="AJ197" s="29"/>
      <c r="AK197" s="29"/>
      <c r="AV197" s="28"/>
      <c r="AW197" s="38"/>
      <c r="AY1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Z1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BA1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7" s="28" t="str">
        <f>Table2[[#This Row],[device_suggested_area]]</f>
        <v>Ensuite</v>
      </c>
      <c r="BD197" s="28" t="str">
        <f>IF(ISBLANK(Table2[[#This Row],[device_model]]), "", Table2[[#This Row],[device_suggested_area]])</f>
        <v>Ensuite</v>
      </c>
      <c r="BE197" s="28" t="s">
        <v>934</v>
      </c>
      <c r="BF197" s="28" t="s">
        <v>796</v>
      </c>
      <c r="BG197" s="28" t="s">
        <v>419</v>
      </c>
      <c r="BI197" s="28" t="s">
        <v>794</v>
      </c>
      <c r="BJ197" s="28" t="s">
        <v>365</v>
      </c>
      <c r="BO197" s="28" t="s">
        <v>798</v>
      </c>
      <c r="BQ1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9" ht="16" customHeight="1" x14ac:dyDescent="0.2">
      <c r="A198" s="28">
        <v>1665</v>
      </c>
      <c r="B198" s="28" t="s">
        <v>26</v>
      </c>
      <c r="C198" s="28" t="s">
        <v>348</v>
      </c>
      <c r="D198" s="28" t="s">
        <v>128</v>
      </c>
      <c r="E198" s="28" t="s">
        <v>277</v>
      </c>
      <c r="F198" s="34" t="str">
        <f>IF(ISBLANK(Table2[[#This Row],[unique_id]]), "", PROPER(SUBSTITUTE(Table2[[#This Row],[unique_id]], "_", " ")))</f>
        <v>Wardrobe Main</v>
      </c>
      <c r="G198" s="28" t="s">
        <v>190</v>
      </c>
      <c r="H198" s="28" t="s">
        <v>130</v>
      </c>
      <c r="I198" s="28" t="s">
        <v>123</v>
      </c>
      <c r="J198" s="28" t="s">
        <v>671</v>
      </c>
      <c r="K198" s="37" t="s">
        <v>829</v>
      </c>
      <c r="M198" s="28" t="s">
        <v>127</v>
      </c>
      <c r="O198" s="29"/>
      <c r="P198" s="28"/>
      <c r="T198" s="35"/>
      <c r="U198" s="35"/>
      <c r="V198" s="35"/>
      <c r="W198" s="28"/>
      <c r="Y198" s="29"/>
      <c r="Z198" s="29" t="s">
        <v>456</v>
      </c>
      <c r="AA198" s="45">
        <v>113</v>
      </c>
      <c r="AB198" s="40" t="s">
        <v>706</v>
      </c>
      <c r="AC198" s="40" t="s">
        <v>919</v>
      </c>
      <c r="AD198" s="40"/>
      <c r="AH198" s="28" t="s">
        <v>263</v>
      </c>
      <c r="AJ198" s="29"/>
      <c r="AK198" s="29"/>
      <c r="AV198" s="28"/>
      <c r="AW19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Y1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Z1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BA1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8" s="28" t="str">
        <f>Table2[[#This Row],[device_suggested_area]]</f>
        <v>Wardrobe</v>
      </c>
      <c r="BD198" s="28" t="str">
        <f>IF(ISBLANK(Table2[[#This Row],[device_model]]), "", Table2[[#This Row],[device_suggested_area]])</f>
        <v>Wardrobe</v>
      </c>
      <c r="BE198" s="28" t="s">
        <v>943</v>
      </c>
      <c r="BF198" s="28" t="s">
        <v>529</v>
      </c>
      <c r="BG198" s="28" t="s">
        <v>348</v>
      </c>
      <c r="BH198" s="28" t="s">
        <v>1345</v>
      </c>
      <c r="BI198" s="28" t="s">
        <v>526</v>
      </c>
      <c r="BJ198" s="28" t="s">
        <v>460</v>
      </c>
      <c r="BO198" s="28"/>
      <c r="BQ1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9" ht="16" customHeight="1" x14ac:dyDescent="0.2">
      <c r="A199" s="28">
        <v>1666</v>
      </c>
      <c r="B199" s="28" t="s">
        <v>26</v>
      </c>
      <c r="C199" s="28" t="s">
        <v>348</v>
      </c>
      <c r="D199" s="28" t="s">
        <v>128</v>
      </c>
      <c r="E199" s="28" t="s">
        <v>901</v>
      </c>
      <c r="F199" s="34" t="str">
        <f>IF(ISBLANK(Table2[[#This Row],[unique_id]]), "", PROPER(SUBSTITUTE(Table2[[#This Row],[unique_id]], "_", " ")))</f>
        <v>Wardrobe Main Bulb 1</v>
      </c>
      <c r="H199" s="28" t="s">
        <v>130</v>
      </c>
      <c r="O199" s="29" t="s">
        <v>736</v>
      </c>
      <c r="P199" s="28" t="s">
        <v>155</v>
      </c>
      <c r="Q199" s="28" t="s">
        <v>708</v>
      </c>
      <c r="R199" s="28" t="str">
        <f>Table2[[#This Row],[entity_domain]]</f>
        <v>Lights</v>
      </c>
      <c r="S199" s="28" t="str">
        <f>_xlfn.CONCAT( Table2[[#This Row],[device_suggested_area]], " ",Table2[[#This Row],[powercalc_group_3]])</f>
        <v>Wardrobe Lights</v>
      </c>
      <c r="T199" s="35"/>
      <c r="U199" s="35"/>
      <c r="V199" s="35"/>
      <c r="W199" s="28"/>
      <c r="Y199" s="29"/>
      <c r="Z199" s="29" t="s">
        <v>455</v>
      </c>
      <c r="AA199" s="45">
        <v>113</v>
      </c>
      <c r="AB199" s="40" t="s">
        <v>704</v>
      </c>
      <c r="AC199" s="40" t="s">
        <v>919</v>
      </c>
      <c r="AD199" s="40"/>
      <c r="AJ199" s="29"/>
      <c r="AK199" s="29"/>
      <c r="AV199" s="28"/>
      <c r="AW19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Y1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Z1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BA1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9" s="28" t="str">
        <f>Table2[[#This Row],[device_suggested_area]]</f>
        <v>Wardrobe</v>
      </c>
      <c r="BD199" s="28" t="str">
        <f>IF(ISBLANK(Table2[[#This Row],[device_model]]), "", Table2[[#This Row],[device_suggested_area]])</f>
        <v>Wardrobe</v>
      </c>
      <c r="BE199" s="28" t="s">
        <v>944</v>
      </c>
      <c r="BF199" s="28" t="s">
        <v>529</v>
      </c>
      <c r="BG199" s="28" t="s">
        <v>348</v>
      </c>
      <c r="BH199" s="28" t="s">
        <v>1345</v>
      </c>
      <c r="BI199" s="28" t="s">
        <v>526</v>
      </c>
      <c r="BJ199" s="28" t="s">
        <v>460</v>
      </c>
      <c r="BO199" s="28" t="s">
        <v>485</v>
      </c>
      <c r="BQ1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9" s="52" customFormat="1" ht="16" customHeight="1" x14ac:dyDescent="0.2">
      <c r="A200" s="28">
        <v>1667</v>
      </c>
      <c r="B200" s="52" t="s">
        <v>543</v>
      </c>
      <c r="C200" s="52" t="s">
        <v>756</v>
      </c>
      <c r="D200" s="52" t="s">
        <v>139</v>
      </c>
      <c r="E200" s="53" t="s">
        <v>1318</v>
      </c>
      <c r="F200" s="54" t="str">
        <f>IF(ISBLANK(Table2[[#This Row],[unique_id]]), "", PROPER(SUBSTITUTE(Table2[[#This Row],[unique_id]], "_", " ")))</f>
        <v>Broken Template Deck Festoons Plug Proxy</v>
      </c>
      <c r="G200" s="52" t="s">
        <v>266</v>
      </c>
      <c r="H200" s="52" t="s">
        <v>130</v>
      </c>
      <c r="I200" s="52" t="s">
        <v>123</v>
      </c>
      <c r="O200" s="55" t="s">
        <v>736</v>
      </c>
      <c r="T200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0" s="53"/>
      <c r="V200" s="53"/>
      <c r="Y200" s="55"/>
      <c r="Z200" s="55"/>
      <c r="AA200" s="55"/>
      <c r="AB200" s="55"/>
      <c r="AC200" s="55"/>
      <c r="AD200" s="55"/>
      <c r="AJ200" s="55"/>
      <c r="AK200" s="55"/>
      <c r="AW200" s="56"/>
      <c r="AX200" s="52" t="s">
        <v>125</v>
      </c>
      <c r="AY20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Z20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0" s="52" t="str">
        <f>IF(ISBLANK(Table2[[#This Row],[device_model]]), "", Table2[[#This Row],[device_suggested_area]])</f>
        <v>Deck</v>
      </c>
      <c r="BE200" s="52" t="s">
        <v>675</v>
      </c>
      <c r="BF200" s="52" t="s">
        <v>331</v>
      </c>
      <c r="BG200" s="52" t="s">
        <v>221</v>
      </c>
      <c r="BI200" s="52" t="s">
        <v>332</v>
      </c>
      <c r="BJ200" s="52" t="s">
        <v>328</v>
      </c>
      <c r="BQ20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9" s="52" customFormat="1" ht="16" customHeight="1" x14ac:dyDescent="0.2">
      <c r="A201" s="28">
        <v>1668</v>
      </c>
      <c r="B201" s="52" t="s">
        <v>543</v>
      </c>
      <c r="C201" s="52" t="s">
        <v>221</v>
      </c>
      <c r="D201" s="52" t="s">
        <v>125</v>
      </c>
      <c r="E201" s="52" t="s">
        <v>1319</v>
      </c>
      <c r="F201" s="54" t="str">
        <f>IF(ISBLANK(Table2[[#This Row],[unique_id]]), "", PROPER(SUBSTITUTE(Table2[[#This Row],[unique_id]], "_", " ")))</f>
        <v>Broken Deck Festoons Plug</v>
      </c>
      <c r="G201" s="52" t="s">
        <v>266</v>
      </c>
      <c r="H201" s="52" t="s">
        <v>130</v>
      </c>
      <c r="I201" s="52" t="s">
        <v>123</v>
      </c>
      <c r="O201" s="55" t="s">
        <v>736</v>
      </c>
      <c r="T201" s="53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U201" s="53"/>
      <c r="V201" s="53"/>
      <c r="Y201" s="55"/>
      <c r="Z201" s="55"/>
      <c r="AA201" s="55"/>
      <c r="AB201" s="55"/>
      <c r="AC201" s="55"/>
      <c r="AD201" s="55"/>
      <c r="AH201" s="52" t="s">
        <v>263</v>
      </c>
      <c r="AJ201" s="55"/>
      <c r="AK201" s="55"/>
      <c r="AW201" s="56"/>
      <c r="AY20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Z20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1" s="52" t="str">
        <f>IF(ISBLANK(Table2[[#This Row],[device_model]]), "", Table2[[#This Row],[device_suggested_area]])</f>
        <v>Deck</v>
      </c>
      <c r="BE201" s="52" t="s">
        <v>675</v>
      </c>
      <c r="BF201" s="52" t="s">
        <v>331</v>
      </c>
      <c r="BG201" s="52" t="s">
        <v>221</v>
      </c>
      <c r="BI201" s="52" t="s">
        <v>332</v>
      </c>
      <c r="BJ201" s="52" t="s">
        <v>328</v>
      </c>
      <c r="BM201" s="52" t="s">
        <v>923</v>
      </c>
      <c r="BN201" s="52" t="s">
        <v>1186</v>
      </c>
      <c r="BO201" s="52" t="s">
        <v>525</v>
      </c>
      <c r="BP201" s="52" t="s">
        <v>1213</v>
      </c>
      <c r="BQ20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9" ht="16" customHeight="1" x14ac:dyDescent="0.2">
      <c r="A202" s="28">
        <v>1669</v>
      </c>
      <c r="B202" s="28" t="s">
        <v>26</v>
      </c>
      <c r="C202" s="28" t="s">
        <v>756</v>
      </c>
      <c r="D202" s="28" t="s">
        <v>139</v>
      </c>
      <c r="E202" s="35" t="s">
        <v>902</v>
      </c>
      <c r="F202" s="34" t="str">
        <f>IF(ISBLANK(Table2[[#This Row],[unique_id]]), "", PROPER(SUBSTITUTE(Table2[[#This Row],[unique_id]], "_", " ")))</f>
        <v>Template Deck Festoons Plug Proxy</v>
      </c>
      <c r="G202" s="28" t="s">
        <v>195</v>
      </c>
      <c r="H202" s="28" t="s">
        <v>130</v>
      </c>
      <c r="I202" s="28" t="s">
        <v>123</v>
      </c>
      <c r="O202" s="29" t="s">
        <v>736</v>
      </c>
      <c r="P202" s="28" t="s">
        <v>155</v>
      </c>
      <c r="Q202" s="28" t="s">
        <v>708</v>
      </c>
      <c r="R202" s="28" t="str">
        <f>Table2[[#This Row],[entity_domain]]</f>
        <v>Lights</v>
      </c>
      <c r="S202" s="28" t="str">
        <f>_xlfn.CONCAT( Table2[[#This Row],[device_suggested_area]], " ",Table2[[#This Row],[powercalc_group_3]])</f>
        <v>Deck Lights</v>
      </c>
      <c r="T202" s="35" t="s">
        <v>1015</v>
      </c>
      <c r="U202" s="35"/>
      <c r="V202" s="35"/>
      <c r="W202" s="28"/>
      <c r="Y202" s="29"/>
      <c r="Z202" s="29"/>
      <c r="AA202" s="29"/>
      <c r="AB202" s="29"/>
      <c r="AJ202" s="29"/>
      <c r="AK202" s="29"/>
      <c r="AV202" s="28"/>
      <c r="AW202" s="38"/>
      <c r="AX202" s="28" t="s">
        <v>128</v>
      </c>
      <c r="AY2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2" s="28" t="str">
        <f>IF(ISBLANK(Table2[[#This Row],[device_model]]), "", Table2[[#This Row],[device_suggested_area]])</f>
        <v>Deck</v>
      </c>
      <c r="BE202" s="28" t="s">
        <v>675</v>
      </c>
      <c r="BF202" s="28" t="s">
        <v>1054</v>
      </c>
      <c r="BG202" s="28" t="s">
        <v>1053</v>
      </c>
      <c r="BI202" s="28" t="s">
        <v>835</v>
      </c>
      <c r="BJ202" s="28" t="s">
        <v>328</v>
      </c>
      <c r="BO202" s="28"/>
      <c r="BQ2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9" ht="16" customHeight="1" x14ac:dyDescent="0.2">
      <c r="A203" s="28">
        <v>1670</v>
      </c>
      <c r="B203" s="28" t="s">
        <v>26</v>
      </c>
      <c r="C203" s="28" t="s">
        <v>658</v>
      </c>
      <c r="D203" s="28" t="s">
        <v>128</v>
      </c>
      <c r="E203" s="28" t="s">
        <v>780</v>
      </c>
      <c r="F203" s="34" t="str">
        <f>IF(ISBLANK(Table2[[#This Row],[unique_id]]), "", PROPER(SUBSTITUTE(Table2[[#This Row],[unique_id]], "_", " ")))</f>
        <v>Deck Festoons Plug</v>
      </c>
      <c r="G203" s="28" t="s">
        <v>266</v>
      </c>
      <c r="H203" s="28" t="s">
        <v>130</v>
      </c>
      <c r="I203" s="28" t="s">
        <v>123</v>
      </c>
      <c r="J203" s="28" t="s">
        <v>675</v>
      </c>
      <c r="M203" s="28" t="s">
        <v>127</v>
      </c>
      <c r="O203" s="29" t="s">
        <v>736</v>
      </c>
      <c r="P203" s="28" t="s">
        <v>155</v>
      </c>
      <c r="Q203" s="28" t="s">
        <v>708</v>
      </c>
      <c r="R203" s="28" t="str">
        <f>Table2[[#This Row],[entity_domain]]</f>
        <v>Lights</v>
      </c>
      <c r="S203" s="28" t="str">
        <f>_xlfn.CONCAT( Table2[[#This Row],[device_suggested_area]], " ",Table2[[#This Row],[powercalc_group_3]])</f>
        <v>Deck Lights</v>
      </c>
      <c r="T203" s="35" t="s">
        <v>997</v>
      </c>
      <c r="U203" s="35"/>
      <c r="V203" s="35"/>
      <c r="W203" s="28"/>
      <c r="Y203" s="29"/>
      <c r="Z203" s="29"/>
      <c r="AA203" s="29"/>
      <c r="AB203" s="29"/>
      <c r="AD203" s="40" t="s">
        <v>1503</v>
      </c>
      <c r="AH203" s="28" t="s">
        <v>263</v>
      </c>
      <c r="AI203" s="28">
        <v>10</v>
      </c>
      <c r="AJ203" s="29" t="s">
        <v>34</v>
      </c>
      <c r="AK203" s="29" t="s">
        <v>844</v>
      </c>
      <c r="AL203" s="28" t="s">
        <v>780</v>
      </c>
      <c r="AM203" s="28" t="str">
        <f>_xlfn.CONCAT("homeassistant/", Table2[[#This Row],[entity_namespace]], "/tasmota/",Table2[[#This Row],[unique_id]], "/config")</f>
        <v>homeassistant/light/tasmota/deck_festoons_plug/config</v>
      </c>
      <c r="AN203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O203" s="28" t="str">
        <f>_xlfn.CONCAT("tasmota/device/",Table2[[#This Row],[unique_id]], "/cmnd/POWER")</f>
        <v>tasmota/device/deck_festoons_plug/cmnd/POWER</v>
      </c>
      <c r="AP203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03" s="28" t="s">
        <v>863</v>
      </c>
      <c r="AR203" s="28" t="s">
        <v>864</v>
      </c>
      <c r="AS203" s="28" t="s">
        <v>853</v>
      </c>
      <c r="AT203" s="28" t="s">
        <v>854</v>
      </c>
      <c r="AU203" s="28" t="s">
        <v>917</v>
      </c>
      <c r="AV203" s="28">
        <v>1</v>
      </c>
      <c r="AW203" s="32" t="str">
        <f>HYPERLINK(_xlfn.CONCAT("http://", Table2[[#This Row],[connection_ip]], "/?"))</f>
        <v>http://10.0.4.107/?</v>
      </c>
      <c r="AY2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BB2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3" s="28" t="str">
        <f>IF(ISBLANK(Table2[[#This Row],[device_model]]), "", Table2[[#This Row],[device_suggested_area]])</f>
        <v>Deck</v>
      </c>
      <c r="BE203" s="28" t="s">
        <v>675</v>
      </c>
      <c r="BF203" s="28" t="s">
        <v>1054</v>
      </c>
      <c r="BG203" s="28" t="s">
        <v>1053</v>
      </c>
      <c r="BI203" s="28" t="s">
        <v>835</v>
      </c>
      <c r="BJ203" s="28" t="s">
        <v>328</v>
      </c>
      <c r="BN203" s="28" t="s">
        <v>1186</v>
      </c>
      <c r="BO203" s="28" t="s">
        <v>999</v>
      </c>
      <c r="BP203" s="28" t="s">
        <v>1214</v>
      </c>
      <c r="BQ2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9" ht="16" customHeight="1" x14ac:dyDescent="0.2">
      <c r="A204" s="28">
        <v>1671</v>
      </c>
      <c r="B204" s="28" t="s">
        <v>26</v>
      </c>
      <c r="C204" s="28" t="s">
        <v>658</v>
      </c>
      <c r="D204" s="28" t="s">
        <v>27</v>
      </c>
      <c r="E204" s="28" t="s">
        <v>994</v>
      </c>
      <c r="F204" s="34" t="str">
        <f>IF(ISBLANK(Table2[[#This Row],[unique_id]]), "", PROPER(SUBSTITUTE(Table2[[#This Row],[unique_id]], "_", " ")))</f>
        <v>Deck Festoons Plug Humidity</v>
      </c>
      <c r="G204" s="28" t="s">
        <v>266</v>
      </c>
      <c r="H204" s="28" t="s">
        <v>130</v>
      </c>
      <c r="I204" s="28" t="s">
        <v>123</v>
      </c>
      <c r="O204" s="29"/>
      <c r="P204" s="28"/>
      <c r="T204" s="35"/>
      <c r="U204" s="35"/>
      <c r="V204" s="35"/>
      <c r="W204" s="28"/>
      <c r="Y204" s="29"/>
      <c r="Z204" s="29"/>
      <c r="AA204" s="29"/>
      <c r="AB204" s="29"/>
      <c r="AE204" s="28" t="s">
        <v>31</v>
      </c>
      <c r="AF204" s="28" t="s">
        <v>32</v>
      </c>
      <c r="AG204" s="28" t="s">
        <v>33</v>
      </c>
      <c r="AI204" s="28">
        <v>10</v>
      </c>
      <c r="AJ204" s="29" t="s">
        <v>34</v>
      </c>
      <c r="AK204" s="29" t="s">
        <v>844</v>
      </c>
      <c r="AL204" s="28" t="s">
        <v>780</v>
      </c>
      <c r="AM204" s="28" t="str">
        <f>_xlfn.CONCAT("homeassistant/", Table2[[#This Row],[entity_namespace]], "/tasmota/",Table2[[#This Row],[unique_id]], "/config")</f>
        <v>homeassistant/sensor/tasmota/deck_festoons_plug_humidity/config</v>
      </c>
      <c r="AN204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P204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04" s="28" t="s">
        <v>863</v>
      </c>
      <c r="AR204" s="28" t="s">
        <v>864</v>
      </c>
      <c r="AS204" s="28" t="s">
        <v>853</v>
      </c>
      <c r="AT204" s="28" t="s">
        <v>854</v>
      </c>
      <c r="AU204" s="28" t="s">
        <v>1135</v>
      </c>
      <c r="AV204" s="28">
        <v>1</v>
      </c>
      <c r="AW204" s="32"/>
      <c r="AY2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BB2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4" s="28" t="str">
        <f>IF(ISBLANK(Table2[[#This Row],[device_model]]), "", Table2[[#This Row],[device_suggested_area]])</f>
        <v>Deck</v>
      </c>
      <c r="BE204" s="28" t="s">
        <v>675</v>
      </c>
      <c r="BF204" s="28" t="s">
        <v>1054</v>
      </c>
      <c r="BG204" s="28" t="s">
        <v>1053</v>
      </c>
      <c r="BI204" s="28" t="s">
        <v>835</v>
      </c>
      <c r="BJ204" s="28" t="s">
        <v>328</v>
      </c>
      <c r="BO204" s="28"/>
      <c r="BQ2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9" s="52" customFormat="1" ht="16" customHeight="1" x14ac:dyDescent="0.2">
      <c r="A205" s="28">
        <v>1672</v>
      </c>
      <c r="B205" s="52" t="s">
        <v>543</v>
      </c>
      <c r="C205" s="52" t="s">
        <v>756</v>
      </c>
      <c r="D205" s="52" t="s">
        <v>139</v>
      </c>
      <c r="E205" s="53" t="s">
        <v>1320</v>
      </c>
      <c r="F205" s="54" t="str">
        <f>IF(ISBLANK(Table2[[#This Row],[unique_id]]), "", PROPER(SUBSTITUTE(Table2[[#This Row],[unique_id]], "_", " ")))</f>
        <v>Broken Template Landing Festoons Plug Proxy</v>
      </c>
      <c r="G205" s="52" t="s">
        <v>522</v>
      </c>
      <c r="H205" s="52" t="s">
        <v>130</v>
      </c>
      <c r="I205" s="52" t="s">
        <v>123</v>
      </c>
      <c r="O205" s="55" t="s">
        <v>736</v>
      </c>
      <c r="T205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5" s="53"/>
      <c r="V205" s="53"/>
      <c r="Y205" s="55"/>
      <c r="Z205" s="55"/>
      <c r="AA205" s="55"/>
      <c r="AB205" s="55"/>
      <c r="AC205" s="55"/>
      <c r="AD205" s="55"/>
      <c r="AJ205" s="55"/>
      <c r="AK205" s="55"/>
      <c r="AW205" s="56"/>
      <c r="AX205" s="52" t="s">
        <v>125</v>
      </c>
      <c r="AY20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Z20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5" s="52" t="str">
        <f>IF(ISBLANK(Table2[[#This Row],[device_model]]), "", Table2[[#This Row],[device_suggested_area]])</f>
        <v>Landing</v>
      </c>
      <c r="BE205" s="52" t="s">
        <v>675</v>
      </c>
      <c r="BF205" s="52" t="s">
        <v>331</v>
      </c>
      <c r="BG205" s="52" t="s">
        <v>221</v>
      </c>
      <c r="BI205" s="52" t="s">
        <v>332</v>
      </c>
      <c r="BJ205" s="52" t="s">
        <v>523</v>
      </c>
      <c r="BQ20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9" s="52" customFormat="1" ht="16" customHeight="1" x14ac:dyDescent="0.2">
      <c r="A206" s="28">
        <v>1673</v>
      </c>
      <c r="B206" s="52" t="s">
        <v>543</v>
      </c>
      <c r="C206" s="52" t="s">
        <v>221</v>
      </c>
      <c r="D206" s="52" t="s">
        <v>125</v>
      </c>
      <c r="E206" s="52" t="s">
        <v>1321</v>
      </c>
      <c r="F206" s="54" t="str">
        <f>IF(ISBLANK(Table2[[#This Row],[unique_id]]), "", PROPER(SUBSTITUTE(Table2[[#This Row],[unique_id]], "_", " ")))</f>
        <v>Broken Landing Festoons Plug</v>
      </c>
      <c r="G206" s="52" t="s">
        <v>522</v>
      </c>
      <c r="H206" s="52" t="s">
        <v>130</v>
      </c>
      <c r="I206" s="52" t="s">
        <v>123</v>
      </c>
      <c r="O206" s="55" t="s">
        <v>736</v>
      </c>
      <c r="T206" s="53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U206" s="53"/>
      <c r="V206" s="53"/>
      <c r="Y206" s="55"/>
      <c r="Z206" s="55"/>
      <c r="AA206" s="55"/>
      <c r="AB206" s="55"/>
      <c r="AC206" s="55"/>
      <c r="AD206" s="55"/>
      <c r="AH206" s="52" t="s">
        <v>263</v>
      </c>
      <c r="AJ206" s="55"/>
      <c r="AK206" s="55"/>
      <c r="AW206" s="56"/>
      <c r="AY2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Z2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6" s="52" t="str">
        <f>IF(ISBLANK(Table2[[#This Row],[device_model]]), "", Table2[[#This Row],[device_suggested_area]])</f>
        <v>Landing</v>
      </c>
      <c r="BE206" s="52" t="s">
        <v>675</v>
      </c>
      <c r="BF206" s="52" t="s">
        <v>331</v>
      </c>
      <c r="BG206" s="52" t="s">
        <v>221</v>
      </c>
      <c r="BI206" s="52" t="s">
        <v>332</v>
      </c>
      <c r="BJ206" s="52" t="s">
        <v>523</v>
      </c>
      <c r="BM206" s="52" t="s">
        <v>923</v>
      </c>
      <c r="BN206" s="52" t="s">
        <v>1186</v>
      </c>
      <c r="BO206" s="52" t="s">
        <v>524</v>
      </c>
      <c r="BP206" s="52" t="s">
        <v>1215</v>
      </c>
      <c r="BQ2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9" ht="16" customHeight="1" x14ac:dyDescent="0.2">
      <c r="A207" s="28">
        <v>1674</v>
      </c>
      <c r="B207" s="28" t="s">
        <v>26</v>
      </c>
      <c r="C207" s="28" t="s">
        <v>756</v>
      </c>
      <c r="D207" s="28" t="s">
        <v>139</v>
      </c>
      <c r="E207" s="35" t="s">
        <v>903</v>
      </c>
      <c r="F207" s="34" t="str">
        <f>IF(ISBLANK(Table2[[#This Row],[unique_id]]), "", PROPER(SUBSTITUTE(Table2[[#This Row],[unique_id]], "_", " ")))</f>
        <v>Template Landing Festoons Plug Proxy</v>
      </c>
      <c r="G207" s="28" t="s">
        <v>195</v>
      </c>
      <c r="H207" s="28" t="s">
        <v>130</v>
      </c>
      <c r="I207" s="28" t="s">
        <v>123</v>
      </c>
      <c r="O207" s="29" t="s">
        <v>736</v>
      </c>
      <c r="P207" s="28" t="s">
        <v>155</v>
      </c>
      <c r="Q207" s="28" t="s">
        <v>708</v>
      </c>
      <c r="R207" s="28" t="str">
        <f>Table2[[#This Row],[entity_domain]]</f>
        <v>Lights</v>
      </c>
      <c r="S207" s="28" t="str">
        <f>_xlfn.CONCAT( Table2[[#This Row],[device_suggested_area]], " ",Table2[[#This Row],[powercalc_group_3]])</f>
        <v>Landing Lights</v>
      </c>
      <c r="T207" s="35" t="s">
        <v>1015</v>
      </c>
      <c r="U207" s="35"/>
      <c r="V207" s="35"/>
      <c r="W207" s="28"/>
      <c r="Y207" s="29"/>
      <c r="Z207" s="29"/>
      <c r="AA207" s="29"/>
      <c r="AB207" s="29"/>
      <c r="AJ207" s="29"/>
      <c r="AK207" s="29"/>
      <c r="AV207" s="28"/>
      <c r="AW207" s="38"/>
      <c r="AX207" s="28" t="s">
        <v>128</v>
      </c>
      <c r="AY2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7" s="28" t="str">
        <f>IF(ISBLANK(Table2[[#This Row],[device_model]]), "", Table2[[#This Row],[device_suggested_area]])</f>
        <v>Landing</v>
      </c>
      <c r="BE207" s="28" t="s">
        <v>675</v>
      </c>
      <c r="BF207" s="28" t="s">
        <v>1055</v>
      </c>
      <c r="BG207" s="28" t="s">
        <v>1053</v>
      </c>
      <c r="BI207" s="28" t="s">
        <v>835</v>
      </c>
      <c r="BJ207" s="28" t="s">
        <v>523</v>
      </c>
      <c r="BO207" s="28"/>
      <c r="BQ2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9" ht="16" customHeight="1" x14ac:dyDescent="0.2">
      <c r="A208" s="28">
        <v>1675</v>
      </c>
      <c r="B208" s="28" t="s">
        <v>26</v>
      </c>
      <c r="C208" s="28" t="s">
        <v>658</v>
      </c>
      <c r="D208" s="28" t="s">
        <v>128</v>
      </c>
      <c r="E208" s="28" t="s">
        <v>781</v>
      </c>
      <c r="F208" s="34" t="str">
        <f>IF(ISBLANK(Table2[[#This Row],[unique_id]]), "", PROPER(SUBSTITUTE(Table2[[#This Row],[unique_id]], "_", " ")))</f>
        <v>Landing Festoons Plug</v>
      </c>
      <c r="G208" s="28" t="s">
        <v>522</v>
      </c>
      <c r="H208" s="28" t="s">
        <v>130</v>
      </c>
      <c r="I208" s="28" t="s">
        <v>123</v>
      </c>
      <c r="J208" s="28" t="s">
        <v>675</v>
      </c>
      <c r="M208" s="28" t="s">
        <v>127</v>
      </c>
      <c r="O208" s="29" t="s">
        <v>736</v>
      </c>
      <c r="P208" s="28" t="s">
        <v>155</v>
      </c>
      <c r="Q208" s="28" t="s">
        <v>708</v>
      </c>
      <c r="R208" s="28" t="str">
        <f>Table2[[#This Row],[entity_domain]]</f>
        <v>Lights</v>
      </c>
      <c r="S208" s="28" t="str">
        <f>_xlfn.CONCAT( Table2[[#This Row],[device_suggested_area]], " ",Table2[[#This Row],[powercalc_group_3]])</f>
        <v>Landing Lights</v>
      </c>
      <c r="T208" s="35" t="s">
        <v>996</v>
      </c>
      <c r="U208" s="35"/>
      <c r="V208" s="35"/>
      <c r="W208" s="28"/>
      <c r="Y208" s="29"/>
      <c r="Z208" s="29"/>
      <c r="AA208" s="29"/>
      <c r="AB208" s="29"/>
      <c r="AD208" s="40" t="s">
        <v>1503</v>
      </c>
      <c r="AH208" s="28" t="s">
        <v>263</v>
      </c>
      <c r="AI208" s="28">
        <v>10</v>
      </c>
      <c r="AJ208" s="29" t="s">
        <v>34</v>
      </c>
      <c r="AK208" s="29" t="s">
        <v>844</v>
      </c>
      <c r="AL208" s="28" t="s">
        <v>781</v>
      </c>
      <c r="AM208" s="28" t="str">
        <f>_xlfn.CONCAT("homeassistant/", Table2[[#This Row],[entity_namespace]], "/tasmota/",Table2[[#This Row],[unique_id]], "/config")</f>
        <v>homeassistant/light/tasmota/landing_festoons_plug/config</v>
      </c>
      <c r="AN208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O208" s="28" t="str">
        <f>_xlfn.CONCAT("tasmota/device/",Table2[[#This Row],[unique_id]], "/cmnd/POWER")</f>
        <v>tasmota/device/landing_festoons_plug/cmnd/POWER</v>
      </c>
      <c r="AP208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Q208" s="28" t="s">
        <v>863</v>
      </c>
      <c r="AR208" s="28" t="s">
        <v>864</v>
      </c>
      <c r="AS208" s="28" t="s">
        <v>853</v>
      </c>
      <c r="AT208" s="28" t="s">
        <v>854</v>
      </c>
      <c r="AU208" s="28" t="s">
        <v>917</v>
      </c>
      <c r="AV208" s="28">
        <v>1</v>
      </c>
      <c r="AW208" s="32" t="str">
        <f>HYPERLINK(_xlfn.CONCAT("http://", Table2[[#This Row],[connection_ip]], "/?"))</f>
        <v>http://10.0.4.108/?</v>
      </c>
      <c r="AY2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BB2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8" s="28" t="str">
        <f>IF(ISBLANK(Table2[[#This Row],[device_model]]), "", Table2[[#This Row],[device_suggested_area]])</f>
        <v>Landing</v>
      </c>
      <c r="BE208" s="28" t="s">
        <v>675</v>
      </c>
      <c r="BF208" s="28" t="s">
        <v>1055</v>
      </c>
      <c r="BG208" s="28" t="s">
        <v>1053</v>
      </c>
      <c r="BI208" s="28" t="s">
        <v>835</v>
      </c>
      <c r="BJ208" s="28" t="s">
        <v>523</v>
      </c>
      <c r="BN208" s="28" t="s">
        <v>1186</v>
      </c>
      <c r="BO208" s="28" t="s">
        <v>998</v>
      </c>
      <c r="BP208" s="28" t="s">
        <v>1216</v>
      </c>
      <c r="BQ2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9" ht="16" customHeight="1" x14ac:dyDescent="0.2">
      <c r="A209" s="28">
        <v>1676</v>
      </c>
      <c r="B209" s="28" t="s">
        <v>543</v>
      </c>
      <c r="C209" s="28" t="s">
        <v>348</v>
      </c>
      <c r="D209" s="28" t="s">
        <v>128</v>
      </c>
      <c r="E209" s="28" t="s">
        <v>538</v>
      </c>
      <c r="F209" s="34" t="str">
        <f>IF(ISBLANK(Table2[[#This Row],[unique_id]]), "", PROPER(SUBSTITUTE(Table2[[#This Row],[unique_id]], "_", " ")))</f>
        <v>Garden Pedestals</v>
      </c>
      <c r="G209" s="28" t="s">
        <v>539</v>
      </c>
      <c r="H209" s="28" t="s">
        <v>130</v>
      </c>
      <c r="I209" s="28" t="s">
        <v>123</v>
      </c>
      <c r="J209" s="28" t="s">
        <v>674</v>
      </c>
      <c r="O209" s="29"/>
      <c r="P209" s="28"/>
      <c r="T209" s="35"/>
      <c r="U209" s="35"/>
      <c r="V209" s="35"/>
      <c r="W209" s="28"/>
      <c r="Y209" s="29"/>
      <c r="Z209" s="29" t="s">
        <v>456</v>
      </c>
      <c r="AA209" s="45">
        <v>115</v>
      </c>
      <c r="AB209" s="40" t="s">
        <v>707</v>
      </c>
      <c r="AC209" s="40"/>
      <c r="AD209" s="40"/>
      <c r="AH209" s="28" t="s">
        <v>263</v>
      </c>
      <c r="AJ209" s="29"/>
      <c r="AK209" s="29"/>
      <c r="AV209" s="28"/>
      <c r="AW20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Y2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Z2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BA2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09" s="28" t="str">
        <f>Table2[[#This Row],[device_suggested_area]]</f>
        <v>Garden</v>
      </c>
      <c r="BD209" s="28" t="str">
        <f>IF(ISBLANK(Table2[[#This Row],[device_model]]), "", Table2[[#This Row],[device_suggested_area]])</f>
        <v>Garden</v>
      </c>
      <c r="BE209" s="28" t="s">
        <v>674</v>
      </c>
      <c r="BF209" s="28" t="s">
        <v>530</v>
      </c>
      <c r="BG209" s="28" t="s">
        <v>348</v>
      </c>
      <c r="BH209" s="28" t="s">
        <v>1345</v>
      </c>
      <c r="BI209" s="28" t="s">
        <v>528</v>
      </c>
      <c r="BJ209" s="28" t="s">
        <v>540</v>
      </c>
      <c r="BO209" s="28"/>
      <c r="BQ2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9" ht="16" customHeight="1" x14ac:dyDescent="0.2">
      <c r="A210" s="28">
        <v>1677</v>
      </c>
      <c r="B210" s="28" t="s">
        <v>543</v>
      </c>
      <c r="C210" s="28" t="s">
        <v>348</v>
      </c>
      <c r="D210" s="28" t="s">
        <v>128</v>
      </c>
      <c r="E210" s="28" t="s">
        <v>904</v>
      </c>
      <c r="F210" s="34" t="str">
        <f>IF(ISBLANK(Table2[[#This Row],[unique_id]]), "", PROPER(SUBSTITUTE(Table2[[#This Row],[unique_id]], "_", " ")))</f>
        <v>Garden Pedestals Bulb 1</v>
      </c>
      <c r="H210" s="28" t="s">
        <v>130</v>
      </c>
      <c r="O210" s="29"/>
      <c r="P210" s="28" t="s">
        <v>155</v>
      </c>
      <c r="Q210" s="28" t="s">
        <v>708</v>
      </c>
      <c r="R210" s="28" t="str">
        <f>Table2[[#This Row],[entity_domain]]</f>
        <v>Lights</v>
      </c>
      <c r="S210" s="28" t="str">
        <f>_xlfn.CONCAT( Table2[[#This Row],[device_suggested_area]], " ",Table2[[#This Row],[powercalc_group_3]])</f>
        <v>Garden Lights</v>
      </c>
      <c r="T210" s="35"/>
      <c r="U210" s="35"/>
      <c r="V210" s="35"/>
      <c r="W210" s="28"/>
      <c r="Y210" s="29"/>
      <c r="Z210" s="29" t="s">
        <v>455</v>
      </c>
      <c r="AA210" s="45">
        <v>115</v>
      </c>
      <c r="AB210" s="40" t="s">
        <v>704</v>
      </c>
      <c r="AC210" s="40"/>
      <c r="AD210" s="40"/>
      <c r="AJ210" s="29"/>
      <c r="AK210" s="29"/>
      <c r="AV210" s="28"/>
      <c r="AW21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Y2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Z2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BA2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0" s="28" t="str">
        <f>Table2[[#This Row],[device_suggested_area]]</f>
        <v>Garden</v>
      </c>
      <c r="BD210" s="28" t="str">
        <f>IF(ISBLANK(Table2[[#This Row],[device_model]]), "", Table2[[#This Row],[device_suggested_area]])</f>
        <v>Garden</v>
      </c>
      <c r="BE210" s="28" t="s">
        <v>950</v>
      </c>
      <c r="BF210" s="28" t="s">
        <v>530</v>
      </c>
      <c r="BG210" s="28" t="s">
        <v>348</v>
      </c>
      <c r="BH210" s="28" t="s">
        <v>1345</v>
      </c>
      <c r="BI210" s="28" t="s">
        <v>528</v>
      </c>
      <c r="BJ210" s="28" t="s">
        <v>540</v>
      </c>
      <c r="BO210" s="28" t="s">
        <v>527</v>
      </c>
      <c r="BQ2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9" ht="16" customHeight="1" x14ac:dyDescent="0.2">
      <c r="A211" s="28">
        <v>1678</v>
      </c>
      <c r="B211" s="28" t="s">
        <v>543</v>
      </c>
      <c r="C211" s="28" t="s">
        <v>348</v>
      </c>
      <c r="D211" s="28" t="s">
        <v>128</v>
      </c>
      <c r="E211" s="28" t="s">
        <v>905</v>
      </c>
      <c r="F211" s="34" t="str">
        <f>IF(ISBLANK(Table2[[#This Row],[unique_id]]), "", PROPER(SUBSTITUTE(Table2[[#This Row],[unique_id]], "_", " ")))</f>
        <v>Garden Pedestals Bulb 2</v>
      </c>
      <c r="H211" s="28" t="s">
        <v>130</v>
      </c>
      <c r="O211" s="29"/>
      <c r="P211" s="28" t="s">
        <v>155</v>
      </c>
      <c r="Q211" s="28" t="s">
        <v>708</v>
      </c>
      <c r="R211" s="28" t="str">
        <f>Table2[[#This Row],[entity_domain]]</f>
        <v>Lights</v>
      </c>
      <c r="S211" s="28" t="str">
        <f>_xlfn.CONCAT( Table2[[#This Row],[device_suggested_area]], " ",Table2[[#This Row],[powercalc_group_3]])</f>
        <v>Garden Lights</v>
      </c>
      <c r="T211" s="35"/>
      <c r="U211" s="35"/>
      <c r="V211" s="35"/>
      <c r="W211" s="28"/>
      <c r="Y211" s="29"/>
      <c r="Z211" s="29" t="s">
        <v>455</v>
      </c>
      <c r="AA211" s="45">
        <v>115</v>
      </c>
      <c r="AB211" s="40" t="s">
        <v>704</v>
      </c>
      <c r="AC211" s="40"/>
      <c r="AD211" s="40"/>
      <c r="AJ211" s="29"/>
      <c r="AK211" s="29"/>
      <c r="AV211" s="28"/>
      <c r="AW21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Y2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Z2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BA2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1" s="28" t="str">
        <f>Table2[[#This Row],[device_suggested_area]]</f>
        <v>Garden</v>
      </c>
      <c r="BD211" s="28" t="str">
        <f>IF(ISBLANK(Table2[[#This Row],[device_model]]), "", Table2[[#This Row],[device_suggested_area]])</f>
        <v>Garden</v>
      </c>
      <c r="BE211" s="28" t="s">
        <v>951</v>
      </c>
      <c r="BF211" s="28" t="s">
        <v>530</v>
      </c>
      <c r="BG211" s="28" t="s">
        <v>348</v>
      </c>
      <c r="BH211" s="28" t="s">
        <v>1345</v>
      </c>
      <c r="BI211" s="28" t="s">
        <v>528</v>
      </c>
      <c r="BJ211" s="28" t="s">
        <v>540</v>
      </c>
      <c r="BO211" s="28" t="s">
        <v>531</v>
      </c>
      <c r="BQ2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9" ht="16" customHeight="1" x14ac:dyDescent="0.2">
      <c r="A212" s="28">
        <v>1679</v>
      </c>
      <c r="B212" s="28" t="s">
        <v>543</v>
      </c>
      <c r="C212" s="28" t="s">
        <v>348</v>
      </c>
      <c r="D212" s="28" t="s">
        <v>128</v>
      </c>
      <c r="E212" s="28" t="s">
        <v>906</v>
      </c>
      <c r="F212" s="34" t="str">
        <f>IF(ISBLANK(Table2[[#This Row],[unique_id]]), "", PROPER(SUBSTITUTE(Table2[[#This Row],[unique_id]], "_", " ")))</f>
        <v>Garden Pedestals Bulb 3</v>
      </c>
      <c r="H212" s="28" t="s">
        <v>130</v>
      </c>
      <c r="O212" s="29"/>
      <c r="P212" s="28" t="s">
        <v>155</v>
      </c>
      <c r="Q212" s="28" t="s">
        <v>708</v>
      </c>
      <c r="R212" s="28" t="str">
        <f>Table2[[#This Row],[entity_domain]]</f>
        <v>Lights</v>
      </c>
      <c r="S212" s="28" t="str">
        <f>_xlfn.CONCAT( Table2[[#This Row],[device_suggested_area]], " ",Table2[[#This Row],[powercalc_group_3]])</f>
        <v>Garden Lights</v>
      </c>
      <c r="T212" s="35"/>
      <c r="U212" s="35"/>
      <c r="V212" s="35"/>
      <c r="W212" s="28"/>
      <c r="Y212" s="29"/>
      <c r="Z212" s="29" t="s">
        <v>455</v>
      </c>
      <c r="AA212" s="45">
        <v>115</v>
      </c>
      <c r="AB212" s="40" t="s">
        <v>704</v>
      </c>
      <c r="AC212" s="40"/>
      <c r="AD212" s="40"/>
      <c r="AJ212" s="29"/>
      <c r="AK212" s="29"/>
      <c r="AV212" s="28"/>
      <c r="AW21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Y2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Z2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BA2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2" s="28" t="str">
        <f>Table2[[#This Row],[device_suggested_area]]</f>
        <v>Garden</v>
      </c>
      <c r="BD212" s="28" t="str">
        <f>IF(ISBLANK(Table2[[#This Row],[device_model]]), "", Table2[[#This Row],[device_suggested_area]])</f>
        <v>Garden</v>
      </c>
      <c r="BE212" s="28" t="s">
        <v>952</v>
      </c>
      <c r="BF212" s="28" t="s">
        <v>530</v>
      </c>
      <c r="BG212" s="28" t="s">
        <v>348</v>
      </c>
      <c r="BH212" s="28" t="s">
        <v>1345</v>
      </c>
      <c r="BI212" s="28" t="s">
        <v>528</v>
      </c>
      <c r="BJ212" s="28" t="s">
        <v>540</v>
      </c>
      <c r="BO212" s="28" t="s">
        <v>532</v>
      </c>
      <c r="BQ2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9" ht="16" customHeight="1" x14ac:dyDescent="0.2">
      <c r="A213" s="28">
        <v>1680</v>
      </c>
      <c r="B213" s="28" t="s">
        <v>543</v>
      </c>
      <c r="C213" s="28" t="s">
        <v>348</v>
      </c>
      <c r="D213" s="28" t="s">
        <v>128</v>
      </c>
      <c r="E213" s="28" t="s">
        <v>907</v>
      </c>
      <c r="F213" s="34" t="str">
        <f>IF(ISBLANK(Table2[[#This Row],[unique_id]]), "", PROPER(SUBSTITUTE(Table2[[#This Row],[unique_id]], "_", " ")))</f>
        <v>Garden Pedestals Bulb 4</v>
      </c>
      <c r="H213" s="28" t="s">
        <v>130</v>
      </c>
      <c r="O213" s="29"/>
      <c r="P213" s="28" t="s">
        <v>155</v>
      </c>
      <c r="Q213" s="28" t="s">
        <v>708</v>
      </c>
      <c r="R213" s="28" t="str">
        <f>Table2[[#This Row],[entity_domain]]</f>
        <v>Lights</v>
      </c>
      <c r="S213" s="28" t="str">
        <f>_xlfn.CONCAT( Table2[[#This Row],[device_suggested_area]], " ",Table2[[#This Row],[powercalc_group_3]])</f>
        <v>Garden Lights</v>
      </c>
      <c r="T213" s="35"/>
      <c r="U213" s="35"/>
      <c r="V213" s="35"/>
      <c r="W213" s="28"/>
      <c r="Y213" s="29"/>
      <c r="Z213" s="29" t="s">
        <v>455</v>
      </c>
      <c r="AA213" s="45">
        <v>115</v>
      </c>
      <c r="AB213" s="40" t="s">
        <v>704</v>
      </c>
      <c r="AC213" s="40"/>
      <c r="AD213" s="40"/>
      <c r="AJ213" s="29"/>
      <c r="AK213" s="29"/>
      <c r="AV213" s="28"/>
      <c r="AW21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Y2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Z2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BA2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3" s="28" t="str">
        <f>Table2[[#This Row],[device_suggested_area]]</f>
        <v>Garden</v>
      </c>
      <c r="BD213" s="28" t="str">
        <f>IF(ISBLANK(Table2[[#This Row],[device_model]]), "", Table2[[#This Row],[device_suggested_area]])</f>
        <v>Garden</v>
      </c>
      <c r="BE213" s="28" t="s">
        <v>953</v>
      </c>
      <c r="BF213" s="28" t="s">
        <v>530</v>
      </c>
      <c r="BG213" s="28" t="s">
        <v>348</v>
      </c>
      <c r="BH213" s="28" t="s">
        <v>1345</v>
      </c>
      <c r="BI213" s="28" t="s">
        <v>528</v>
      </c>
      <c r="BJ213" s="28" t="s">
        <v>540</v>
      </c>
      <c r="BO213" s="28" t="s">
        <v>533</v>
      </c>
      <c r="BQ2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9" ht="16" customHeight="1" x14ac:dyDescent="0.2">
      <c r="A214" s="28">
        <v>1681</v>
      </c>
      <c r="B214" s="28" t="s">
        <v>543</v>
      </c>
      <c r="C214" s="28" t="s">
        <v>348</v>
      </c>
      <c r="D214" s="28" t="s">
        <v>128</v>
      </c>
      <c r="F214" s="34" t="str">
        <f>IF(ISBLANK(Table2[[#This Row],[unique_id]]), "", PROPER(SUBSTITUTE(Table2[[#This Row],[unique_id]], "_", " ")))</f>
        <v/>
      </c>
      <c r="O214" s="29"/>
      <c r="P214" s="28"/>
      <c r="T214" s="35"/>
      <c r="U214" s="35"/>
      <c r="V214" s="35"/>
      <c r="W214" s="28"/>
      <c r="Y214" s="29"/>
      <c r="Z214" s="29" t="s">
        <v>455</v>
      </c>
      <c r="AA214" s="45">
        <v>115</v>
      </c>
      <c r="AB214" s="40" t="s">
        <v>704</v>
      </c>
      <c r="AC214" s="40" t="s">
        <v>922</v>
      </c>
      <c r="AD214" s="40"/>
      <c r="AJ214" s="29"/>
      <c r="AK214" s="29"/>
      <c r="AV214" s="28"/>
      <c r="AW21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Z2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BA2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4" s="28" t="str">
        <f>Table2[[#This Row],[device_suggested_area]]</f>
        <v>Garden</v>
      </c>
      <c r="BD214" s="28" t="str">
        <f>IF(ISBLANK(Table2[[#This Row],[device_model]]), "", Table2[[#This Row],[device_suggested_area]])</f>
        <v>Garden</v>
      </c>
      <c r="BE214" s="28" t="s">
        <v>954</v>
      </c>
      <c r="BF214" s="28" t="s">
        <v>530</v>
      </c>
      <c r="BG214" s="28" t="s">
        <v>348</v>
      </c>
      <c r="BH214" s="28" t="s">
        <v>1345</v>
      </c>
      <c r="BI214" s="28" t="s">
        <v>528</v>
      </c>
      <c r="BJ214" s="28" t="s">
        <v>540</v>
      </c>
      <c r="BO214" s="28" t="s">
        <v>1000</v>
      </c>
      <c r="BQ2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9" ht="16" customHeight="1" x14ac:dyDescent="0.2">
      <c r="A215" s="28">
        <v>1682</v>
      </c>
      <c r="B215" s="28" t="s">
        <v>543</v>
      </c>
      <c r="C215" s="28" t="s">
        <v>348</v>
      </c>
      <c r="D215" s="28" t="s">
        <v>128</v>
      </c>
      <c r="F215" s="34" t="str">
        <f>IF(ISBLANK(Table2[[#This Row],[unique_id]]), "", PROPER(SUBSTITUTE(Table2[[#This Row],[unique_id]], "_", " ")))</f>
        <v/>
      </c>
      <c r="O215" s="29"/>
      <c r="P215" s="28"/>
      <c r="T215" s="35"/>
      <c r="U215" s="35"/>
      <c r="V215" s="35"/>
      <c r="W215" s="28"/>
      <c r="Y215" s="29"/>
      <c r="Z215" s="29" t="s">
        <v>455</v>
      </c>
      <c r="AA215" s="45">
        <v>115</v>
      </c>
      <c r="AB215" s="40" t="s">
        <v>704</v>
      </c>
      <c r="AC215" s="40" t="s">
        <v>922</v>
      </c>
      <c r="AD215" s="40"/>
      <c r="AJ215" s="29"/>
      <c r="AK215" s="29"/>
      <c r="AV215" s="28"/>
      <c r="AW21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Z2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BA2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5" s="28" t="str">
        <f>Table2[[#This Row],[device_suggested_area]]</f>
        <v>Garden</v>
      </c>
      <c r="BD215" s="28" t="str">
        <f>IF(ISBLANK(Table2[[#This Row],[device_model]]), "", Table2[[#This Row],[device_suggested_area]])</f>
        <v>Garden</v>
      </c>
      <c r="BE215" s="28" t="s">
        <v>955</v>
      </c>
      <c r="BF215" s="28" t="s">
        <v>530</v>
      </c>
      <c r="BG215" s="28" t="s">
        <v>348</v>
      </c>
      <c r="BH215" s="28" t="s">
        <v>1345</v>
      </c>
      <c r="BI215" s="28" t="s">
        <v>528</v>
      </c>
      <c r="BJ215" s="28" t="s">
        <v>540</v>
      </c>
      <c r="BO215" s="28" t="s">
        <v>1000</v>
      </c>
      <c r="BQ2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9" ht="16" customHeight="1" x14ac:dyDescent="0.2">
      <c r="A216" s="28">
        <v>1683</v>
      </c>
      <c r="B216" s="28" t="s">
        <v>543</v>
      </c>
      <c r="C216" s="28" t="s">
        <v>348</v>
      </c>
      <c r="D216" s="28" t="s">
        <v>128</v>
      </c>
      <c r="F216" s="34" t="str">
        <f>IF(ISBLANK(Table2[[#This Row],[unique_id]]), "", PROPER(SUBSTITUTE(Table2[[#This Row],[unique_id]], "_", " ")))</f>
        <v/>
      </c>
      <c r="O216" s="29"/>
      <c r="P216" s="28"/>
      <c r="T216" s="35"/>
      <c r="U216" s="35"/>
      <c r="V216" s="35"/>
      <c r="W216" s="28"/>
      <c r="Y216" s="29"/>
      <c r="Z216" s="29" t="s">
        <v>455</v>
      </c>
      <c r="AA216" s="45">
        <v>115</v>
      </c>
      <c r="AB216" s="40" t="s">
        <v>704</v>
      </c>
      <c r="AC216" s="40" t="s">
        <v>922</v>
      </c>
      <c r="AD216" s="40"/>
      <c r="AJ216" s="29"/>
      <c r="AK216" s="29"/>
      <c r="AV216" s="28"/>
      <c r="AW21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Z2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BA2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6" s="28" t="str">
        <f>Table2[[#This Row],[device_suggested_area]]</f>
        <v>Garden</v>
      </c>
      <c r="BD216" s="28" t="str">
        <f>IF(ISBLANK(Table2[[#This Row],[device_model]]), "", Table2[[#This Row],[device_suggested_area]])</f>
        <v>Garden</v>
      </c>
      <c r="BE216" s="28" t="s">
        <v>956</v>
      </c>
      <c r="BF216" s="28" t="s">
        <v>530</v>
      </c>
      <c r="BG216" s="28" t="s">
        <v>348</v>
      </c>
      <c r="BH216" s="28" t="s">
        <v>1345</v>
      </c>
      <c r="BI216" s="28" t="s">
        <v>528</v>
      </c>
      <c r="BJ216" s="28" t="s">
        <v>540</v>
      </c>
      <c r="BO216" s="28" t="s">
        <v>1000</v>
      </c>
      <c r="BQ2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9" ht="16" customHeight="1" x14ac:dyDescent="0.2">
      <c r="A217" s="28">
        <v>1684</v>
      </c>
      <c r="B217" s="28" t="s">
        <v>543</v>
      </c>
      <c r="C217" s="28" t="s">
        <v>348</v>
      </c>
      <c r="D217" s="28" t="s">
        <v>128</v>
      </c>
      <c r="F217" s="34" t="str">
        <f>IF(ISBLANK(Table2[[#This Row],[unique_id]]), "", PROPER(SUBSTITUTE(Table2[[#This Row],[unique_id]], "_", " ")))</f>
        <v/>
      </c>
      <c r="O217" s="29"/>
      <c r="P217" s="28"/>
      <c r="T217" s="35"/>
      <c r="U217" s="35"/>
      <c r="V217" s="35"/>
      <c r="W217" s="28"/>
      <c r="Y217" s="29"/>
      <c r="Z217" s="29" t="s">
        <v>455</v>
      </c>
      <c r="AA217" s="45">
        <v>115</v>
      </c>
      <c r="AB217" s="40" t="s">
        <v>704</v>
      </c>
      <c r="AC217" s="40" t="s">
        <v>922</v>
      </c>
      <c r="AD217" s="40"/>
      <c r="AJ217" s="29"/>
      <c r="AK217" s="29"/>
      <c r="AV217" s="28"/>
      <c r="AW21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Z2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BA2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7" s="28" t="str">
        <f>Table2[[#This Row],[device_suggested_area]]</f>
        <v>Garden</v>
      </c>
      <c r="BD217" s="28" t="str">
        <f>IF(ISBLANK(Table2[[#This Row],[device_model]]), "", Table2[[#This Row],[device_suggested_area]])</f>
        <v>Garden</v>
      </c>
      <c r="BE217" s="28" t="s">
        <v>957</v>
      </c>
      <c r="BF217" s="28" t="s">
        <v>530</v>
      </c>
      <c r="BG217" s="28" t="s">
        <v>348</v>
      </c>
      <c r="BH217" s="28" t="s">
        <v>1345</v>
      </c>
      <c r="BI217" s="28" t="s">
        <v>528</v>
      </c>
      <c r="BJ217" s="28" t="s">
        <v>540</v>
      </c>
      <c r="BO217" s="28" t="s">
        <v>1000</v>
      </c>
      <c r="BQ2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9" ht="16" customHeight="1" x14ac:dyDescent="0.2">
      <c r="A218" s="28">
        <v>1685</v>
      </c>
      <c r="B218" s="28" t="s">
        <v>26</v>
      </c>
      <c r="C218" s="28" t="s">
        <v>348</v>
      </c>
      <c r="D218" s="28" t="s">
        <v>128</v>
      </c>
      <c r="E218" s="28" t="s">
        <v>541</v>
      </c>
      <c r="F218" s="34" t="str">
        <f>IF(ISBLANK(Table2[[#This Row],[unique_id]]), "", PROPER(SUBSTITUTE(Table2[[#This Row],[unique_id]], "_", " ")))</f>
        <v>Tree Spotlights</v>
      </c>
      <c r="G218" s="28" t="s">
        <v>537</v>
      </c>
      <c r="H218" s="28" t="s">
        <v>130</v>
      </c>
      <c r="I218" s="28" t="s">
        <v>123</v>
      </c>
      <c r="J218" s="28" t="s">
        <v>676</v>
      </c>
      <c r="O218" s="29"/>
      <c r="P218" s="28"/>
      <c r="T218" s="35"/>
      <c r="U218" s="35"/>
      <c r="V218" s="35"/>
      <c r="W218" s="28"/>
      <c r="Y218" s="29"/>
      <c r="Z218" s="29" t="s">
        <v>456</v>
      </c>
      <c r="AA218" s="45">
        <v>116</v>
      </c>
      <c r="AB218" s="40" t="s">
        <v>707</v>
      </c>
      <c r="AC218" s="40"/>
      <c r="AD218" s="40"/>
      <c r="AH218" s="28" t="s">
        <v>263</v>
      </c>
      <c r="AJ218" s="29"/>
      <c r="AK218" s="29"/>
      <c r="AV218" s="28"/>
      <c r="AW21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Y2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Z2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BA2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8" s="28" t="str">
        <f>Table2[[#This Row],[device_suggested_area]]</f>
        <v>Tree</v>
      </c>
      <c r="BD218" s="28" t="str">
        <f>IF(ISBLANK(Table2[[#This Row],[device_model]]), "", Table2[[#This Row],[device_suggested_area]])</f>
        <v>Tree</v>
      </c>
      <c r="BE218" s="28" t="s">
        <v>676</v>
      </c>
      <c r="BF218" s="28" t="s">
        <v>536</v>
      </c>
      <c r="BG218" s="28" t="s">
        <v>348</v>
      </c>
      <c r="BH218" s="28" t="s">
        <v>1345</v>
      </c>
      <c r="BI218" s="28" t="s">
        <v>528</v>
      </c>
      <c r="BJ218" s="28" t="s">
        <v>535</v>
      </c>
      <c r="BO218" s="28"/>
      <c r="BQ2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9" ht="16" customHeight="1" x14ac:dyDescent="0.2">
      <c r="A219" s="28">
        <v>1686</v>
      </c>
      <c r="B219" s="28" t="s">
        <v>543</v>
      </c>
      <c r="C219" s="28" t="s">
        <v>348</v>
      </c>
      <c r="D219" s="28" t="s">
        <v>128</v>
      </c>
      <c r="E219" s="28" t="s">
        <v>908</v>
      </c>
      <c r="F219" s="34" t="str">
        <f>IF(ISBLANK(Table2[[#This Row],[unique_id]]), "", PROPER(SUBSTITUTE(Table2[[#This Row],[unique_id]], "_", " ")))</f>
        <v>Tree Spotlights Bulb 1</v>
      </c>
      <c r="H219" s="28" t="s">
        <v>130</v>
      </c>
      <c r="O219" s="29" t="s">
        <v>736</v>
      </c>
      <c r="P219" s="28" t="s">
        <v>155</v>
      </c>
      <c r="Q219" s="28" t="s">
        <v>708</v>
      </c>
      <c r="R219" s="28" t="str">
        <f>Table2[[#This Row],[entity_domain]]</f>
        <v>Lights</v>
      </c>
      <c r="S219" s="28" t="str">
        <f>_xlfn.CONCAT( Table2[[#This Row],[device_suggested_area]], " ",Table2[[#This Row],[powercalc_group_3]])</f>
        <v>Tree Lights</v>
      </c>
      <c r="T219" s="35"/>
      <c r="U219" s="35"/>
      <c r="V219" s="35"/>
      <c r="W219" s="28"/>
      <c r="Y219" s="29"/>
      <c r="Z219" s="29" t="s">
        <v>455</v>
      </c>
      <c r="AA219" s="45">
        <v>116</v>
      </c>
      <c r="AB219" s="40" t="s">
        <v>704</v>
      </c>
      <c r="AC219" s="40"/>
      <c r="AD219" s="40"/>
      <c r="AJ219" s="29"/>
      <c r="AK219" s="29"/>
      <c r="AV219" s="28"/>
      <c r="AW21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Y2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Z2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BA2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9" s="28" t="str">
        <f>Table2[[#This Row],[device_suggested_area]]</f>
        <v>Tree</v>
      </c>
      <c r="BD219" s="28" t="str">
        <f>IF(ISBLANK(Table2[[#This Row],[device_model]]), "", Table2[[#This Row],[device_suggested_area]])</f>
        <v>Tree</v>
      </c>
      <c r="BE219" s="28" t="s">
        <v>958</v>
      </c>
      <c r="BF219" s="28" t="s">
        <v>536</v>
      </c>
      <c r="BG219" s="28" t="s">
        <v>348</v>
      </c>
      <c r="BH219" s="28" t="s">
        <v>1345</v>
      </c>
      <c r="BI219" s="28" t="s">
        <v>528</v>
      </c>
      <c r="BJ219" s="28" t="s">
        <v>535</v>
      </c>
      <c r="BO219" s="28" t="s">
        <v>534</v>
      </c>
      <c r="BQ2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9" ht="16" customHeight="1" x14ac:dyDescent="0.2">
      <c r="A220" s="28">
        <v>1687</v>
      </c>
      <c r="B220" s="28" t="s">
        <v>543</v>
      </c>
      <c r="C220" s="28" t="s">
        <v>348</v>
      </c>
      <c r="D220" s="28" t="s">
        <v>128</v>
      </c>
      <c r="E220" s="28" t="s">
        <v>909</v>
      </c>
      <c r="F220" s="34" t="str">
        <f>IF(ISBLANK(Table2[[#This Row],[unique_id]]), "", PROPER(SUBSTITUTE(Table2[[#This Row],[unique_id]], "_", " ")))</f>
        <v>Tree Spotlights Bulb 2</v>
      </c>
      <c r="H220" s="28" t="s">
        <v>130</v>
      </c>
      <c r="O220" s="29" t="s">
        <v>736</v>
      </c>
      <c r="P220" s="28" t="s">
        <v>155</v>
      </c>
      <c r="Q220" s="28" t="s">
        <v>708</v>
      </c>
      <c r="R220" s="28" t="str">
        <f>Table2[[#This Row],[entity_domain]]</f>
        <v>Lights</v>
      </c>
      <c r="S220" s="28" t="str">
        <f>_xlfn.CONCAT( Table2[[#This Row],[device_suggested_area]], " ",Table2[[#This Row],[powercalc_group_3]])</f>
        <v>Tree Lights</v>
      </c>
      <c r="T220" s="35"/>
      <c r="U220" s="35"/>
      <c r="V220" s="35"/>
      <c r="W220" s="28"/>
      <c r="Y220" s="29"/>
      <c r="Z220" s="29" t="s">
        <v>455</v>
      </c>
      <c r="AA220" s="45">
        <v>116</v>
      </c>
      <c r="AB220" s="40" t="s">
        <v>704</v>
      </c>
      <c r="AC220" s="40"/>
      <c r="AD220" s="40"/>
      <c r="AJ220" s="29"/>
      <c r="AK220" s="29"/>
      <c r="AV220" s="28"/>
      <c r="AW22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Y2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Z2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BA2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20" s="28" t="str">
        <f>Table2[[#This Row],[device_suggested_area]]</f>
        <v>Tree</v>
      </c>
      <c r="BD220" s="28" t="str">
        <f>IF(ISBLANK(Table2[[#This Row],[device_model]]), "", Table2[[#This Row],[device_suggested_area]])</f>
        <v>Tree</v>
      </c>
      <c r="BE220" s="28" t="s">
        <v>959</v>
      </c>
      <c r="BF220" s="28" t="s">
        <v>536</v>
      </c>
      <c r="BG220" s="28" t="s">
        <v>348</v>
      </c>
      <c r="BH220" s="28" t="s">
        <v>1345</v>
      </c>
      <c r="BI220" s="28" t="s">
        <v>528</v>
      </c>
      <c r="BJ220" s="28" t="s">
        <v>535</v>
      </c>
      <c r="BO220" s="28" t="s">
        <v>542</v>
      </c>
      <c r="BQ2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9" ht="16" customHeight="1" x14ac:dyDescent="0.2">
      <c r="A221" s="28">
        <v>1688</v>
      </c>
      <c r="B221" s="28" t="s">
        <v>543</v>
      </c>
      <c r="C221" s="28" t="s">
        <v>348</v>
      </c>
      <c r="D221" s="28" t="s">
        <v>128</v>
      </c>
      <c r="F221" s="34" t="str">
        <f>IF(ISBLANK(Table2[[#This Row],[unique_id]]), "", PROPER(SUBSTITUTE(Table2[[#This Row],[unique_id]], "_", " ")))</f>
        <v/>
      </c>
      <c r="O221" s="29"/>
      <c r="P221" s="28"/>
      <c r="T221" s="35"/>
      <c r="U221" s="35"/>
      <c r="V221" s="35"/>
      <c r="W221" s="28"/>
      <c r="Y221" s="29"/>
      <c r="Z221" s="29" t="s">
        <v>455</v>
      </c>
      <c r="AA221" s="45">
        <v>116</v>
      </c>
      <c r="AB221" s="40" t="s">
        <v>704</v>
      </c>
      <c r="AC221" s="40" t="s">
        <v>922</v>
      </c>
      <c r="AD221" s="40"/>
      <c r="AJ221" s="29"/>
      <c r="AK221" s="29"/>
      <c r="AV221" s="28"/>
      <c r="AW22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Z2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BA2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21" s="28" t="str">
        <f>Table2[[#This Row],[device_suggested_area]]</f>
        <v>Tree</v>
      </c>
      <c r="BD221" s="28" t="str">
        <f>IF(ISBLANK(Table2[[#This Row],[device_model]]), "", Table2[[#This Row],[device_suggested_area]])</f>
        <v>Tree</v>
      </c>
      <c r="BE221" s="28" t="s">
        <v>960</v>
      </c>
      <c r="BF221" s="28" t="s">
        <v>536</v>
      </c>
      <c r="BG221" s="28" t="s">
        <v>348</v>
      </c>
      <c r="BH221" s="28" t="s">
        <v>1345</v>
      </c>
      <c r="BI221" s="28" t="s">
        <v>528</v>
      </c>
      <c r="BJ221" s="28" t="s">
        <v>535</v>
      </c>
      <c r="BO221" s="28" t="s">
        <v>1000</v>
      </c>
      <c r="BQ2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9" ht="16" customHeight="1" x14ac:dyDescent="0.2">
      <c r="A222" s="28">
        <v>1800</v>
      </c>
      <c r="B222" s="28" t="s">
        <v>26</v>
      </c>
      <c r="C222" s="28" t="s">
        <v>409</v>
      </c>
      <c r="D222" s="28" t="s">
        <v>304</v>
      </c>
      <c r="E222" s="28" t="s">
        <v>303</v>
      </c>
      <c r="F222" s="34" t="str">
        <f>IF(ISBLANK(Table2[[#This Row],[unique_id]]), "", PROPER(SUBSTITUTE(Table2[[#This Row],[unique_id]], "_", " ")))</f>
        <v>Column Break</v>
      </c>
      <c r="G222" s="28" t="s">
        <v>300</v>
      </c>
      <c r="H222" s="28" t="s">
        <v>130</v>
      </c>
      <c r="I222" s="28" t="s">
        <v>123</v>
      </c>
      <c r="M222" s="28" t="s">
        <v>301</v>
      </c>
      <c r="N222" s="28" t="s">
        <v>302</v>
      </c>
      <c r="O222" s="29"/>
      <c r="P222" s="28"/>
      <c r="T222" s="35"/>
      <c r="U222" s="35"/>
      <c r="V222" s="35"/>
      <c r="W222" s="28"/>
      <c r="Y222" s="29"/>
      <c r="Z222" s="29"/>
      <c r="AA222" s="29"/>
      <c r="AB222" s="29"/>
      <c r="AJ222" s="29"/>
      <c r="AK222" s="29"/>
      <c r="AV222" s="28"/>
      <c r="AW222" s="38"/>
      <c r="AX222" s="29"/>
      <c r="AY2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2" s="28" t="str">
        <f>IF(ISBLANK(Table2[[#This Row],[device_model]]), "", Table2[[#This Row],[device_suggested_area]])</f>
        <v/>
      </c>
      <c r="BI222" s="29"/>
      <c r="BO222" s="28"/>
      <c r="BQ2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9" ht="16" customHeight="1" x14ac:dyDescent="0.2">
      <c r="A223" s="28">
        <v>1801</v>
      </c>
      <c r="B223" s="28" t="s">
        <v>26</v>
      </c>
      <c r="C223" s="28" t="s">
        <v>756</v>
      </c>
      <c r="D223" s="28" t="s">
        <v>139</v>
      </c>
      <c r="E223" s="35" t="s">
        <v>910</v>
      </c>
      <c r="F223" s="34" t="str">
        <f>IF(ISBLANK(Table2[[#This Row],[unique_id]]), "", PROPER(SUBSTITUTE(Table2[[#This Row],[unique_id]], "_", " ")))</f>
        <v>Template Bathroom Rails Plug Proxy</v>
      </c>
      <c r="G223" s="28" t="s">
        <v>417</v>
      </c>
      <c r="H223" s="28" t="s">
        <v>615</v>
      </c>
      <c r="I223" s="28" t="s">
        <v>123</v>
      </c>
      <c r="O223" s="29" t="s">
        <v>736</v>
      </c>
      <c r="P223" s="28" t="s">
        <v>155</v>
      </c>
      <c r="Q223" s="37" t="s">
        <v>709</v>
      </c>
      <c r="R223" s="28" t="str">
        <f>Table2[[#This Row],[entity_domain]]</f>
        <v>Heating &amp; Cooling</v>
      </c>
      <c r="S223" s="28" t="s">
        <v>417</v>
      </c>
      <c r="T223" s="35" t="s">
        <v>1014</v>
      </c>
      <c r="U223" s="35"/>
      <c r="V223" s="35"/>
      <c r="W223" s="28"/>
      <c r="Y223" s="29"/>
      <c r="Z223" s="29"/>
      <c r="AA223" s="29"/>
      <c r="AB223" s="29"/>
      <c r="AJ223" s="29"/>
      <c r="AK223" s="29"/>
      <c r="AV223" s="28"/>
      <c r="AW223" s="38"/>
      <c r="AX223" s="28" t="s">
        <v>125</v>
      </c>
      <c r="AY2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Z2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A2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3" s="28" t="str">
        <f>IF(ISBLANK(Table2[[#This Row],[device_model]]), "", Table2[[#This Row],[device_suggested_area]])</f>
        <v>Bathroom</v>
      </c>
      <c r="BE223" s="28" t="s">
        <v>966</v>
      </c>
      <c r="BF223" s="28" t="s">
        <v>330</v>
      </c>
      <c r="BG223" s="28" t="s">
        <v>221</v>
      </c>
      <c r="BI223" s="28" t="s">
        <v>333</v>
      </c>
      <c r="BJ223" s="28" t="s">
        <v>329</v>
      </c>
      <c r="BO223" s="28"/>
      <c r="BQ2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9" ht="16" customHeight="1" x14ac:dyDescent="0.2">
      <c r="A224" s="28">
        <v>1802</v>
      </c>
      <c r="B224" s="28" t="s">
        <v>26</v>
      </c>
      <c r="C224" s="28" t="s">
        <v>221</v>
      </c>
      <c r="D224" s="28" t="s">
        <v>125</v>
      </c>
      <c r="E224" s="28" t="s">
        <v>782</v>
      </c>
      <c r="F224" s="34" t="str">
        <f>IF(ISBLANK(Table2[[#This Row],[unique_id]]), "", PROPER(SUBSTITUTE(Table2[[#This Row],[unique_id]], "_", " ")))</f>
        <v>Bathroom Rails Plug</v>
      </c>
      <c r="G224" s="28" t="s">
        <v>417</v>
      </c>
      <c r="H224" s="28" t="s">
        <v>615</v>
      </c>
      <c r="I224" s="28" t="s">
        <v>123</v>
      </c>
      <c r="J224" s="28" t="s">
        <v>417</v>
      </c>
      <c r="M224" s="28" t="s">
        <v>244</v>
      </c>
      <c r="O224" s="29" t="s">
        <v>736</v>
      </c>
      <c r="P224" s="28" t="s">
        <v>155</v>
      </c>
      <c r="Q224" s="37" t="s">
        <v>709</v>
      </c>
      <c r="R224" s="28" t="str">
        <f>Table2[[#This Row],[entity_domain]]</f>
        <v>Heating &amp; Cooling</v>
      </c>
      <c r="S224" s="28" t="s">
        <v>417</v>
      </c>
      <c r="T224" s="35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5"/>
      <c r="V224" s="35"/>
      <c r="W224" s="28"/>
      <c r="Y224" s="29"/>
      <c r="Z224" s="29"/>
      <c r="AA224" s="29"/>
      <c r="AB224" s="29"/>
      <c r="AH224" s="28" t="s">
        <v>243</v>
      </c>
      <c r="AJ224" s="29"/>
      <c r="AK224" s="29"/>
      <c r="AV224" s="28"/>
      <c r="AW224" s="38"/>
      <c r="AY2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Z2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A2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4" s="28" t="str">
        <f>IF(ISBLANK(Table2[[#This Row],[device_model]]), "", Table2[[#This Row],[device_suggested_area]])</f>
        <v>Bathroom</v>
      </c>
      <c r="BE224" s="28" t="s">
        <v>966</v>
      </c>
      <c r="BF224" s="28" t="s">
        <v>330</v>
      </c>
      <c r="BG224" s="28" t="s">
        <v>221</v>
      </c>
      <c r="BI224" s="28" t="s">
        <v>333</v>
      </c>
      <c r="BJ224" s="28" t="s">
        <v>329</v>
      </c>
      <c r="BM224" s="28" t="s">
        <v>924</v>
      </c>
      <c r="BN224" s="28" t="s">
        <v>1186</v>
      </c>
      <c r="BO224" s="28" t="s">
        <v>321</v>
      </c>
      <c r="BP224" s="28" t="s">
        <v>1217</v>
      </c>
      <c r="BQ2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9" ht="16" customHeight="1" x14ac:dyDescent="0.2">
      <c r="A225" s="28">
        <v>1803</v>
      </c>
      <c r="B225" s="28" t="s">
        <v>26</v>
      </c>
      <c r="C225" s="28" t="s">
        <v>756</v>
      </c>
      <c r="D225" s="28" t="s">
        <v>139</v>
      </c>
      <c r="E225" s="35" t="s">
        <v>1036</v>
      </c>
      <c r="F225" s="34" t="str">
        <f>IF(ISBLANK(Table2[[#This Row],[unique_id]]), "", PROPER(SUBSTITUTE(Table2[[#This Row],[unique_id]], "_", " ")))</f>
        <v>Template Ceiling Water Booster Plug Proxy</v>
      </c>
      <c r="G225" s="28" t="s">
        <v>1104</v>
      </c>
      <c r="H225" s="28" t="s">
        <v>615</v>
      </c>
      <c r="I225" s="28" t="s">
        <v>123</v>
      </c>
      <c r="O225" s="29" t="s">
        <v>736</v>
      </c>
      <c r="P225" s="28" t="s">
        <v>155</v>
      </c>
      <c r="Q225" s="37" t="s">
        <v>709</v>
      </c>
      <c r="R225" s="28" t="str">
        <f>Table2[[#This Row],[entity_domain]]</f>
        <v>Heating &amp; Cooling</v>
      </c>
      <c r="S225" s="28" t="s">
        <v>414</v>
      </c>
      <c r="T225" s="35" t="s">
        <v>1014</v>
      </c>
      <c r="U225" s="35"/>
      <c r="V225" s="35"/>
      <c r="W225" s="28"/>
      <c r="Y225" s="29"/>
      <c r="Z225" s="29"/>
      <c r="AA225" s="29"/>
      <c r="AB225" s="29"/>
      <c r="AJ225" s="29"/>
      <c r="AK225" s="29"/>
      <c r="AV225" s="28"/>
      <c r="AW225" s="38"/>
      <c r="AX225" s="28" t="s">
        <v>125</v>
      </c>
      <c r="AY2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5" s="28" t="str">
        <f>IF(ISBLANK(Table2[[#This Row],[device_model]]), "", Table2[[#This Row],[device_suggested_area]])</f>
        <v>Ceiling</v>
      </c>
      <c r="BE225" s="28" t="s">
        <v>414</v>
      </c>
      <c r="BF225" s="28" t="s">
        <v>412</v>
      </c>
      <c r="BG225" s="28" t="s">
        <v>1053</v>
      </c>
      <c r="BI225" s="28" t="s">
        <v>835</v>
      </c>
      <c r="BJ225" s="28" t="s">
        <v>374</v>
      </c>
      <c r="BO225" s="28"/>
      <c r="BQ2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9" ht="16" customHeight="1" x14ac:dyDescent="0.2">
      <c r="A226" s="28">
        <v>1804</v>
      </c>
      <c r="B226" s="28" t="s">
        <v>543</v>
      </c>
      <c r="C226" s="28" t="s">
        <v>658</v>
      </c>
      <c r="D226" s="28" t="s">
        <v>125</v>
      </c>
      <c r="E226" s="28" t="s">
        <v>1037</v>
      </c>
      <c r="F226" s="34" t="str">
        <f>IF(ISBLANK(Table2[[#This Row],[unique_id]]), "", PROPER(SUBSTITUTE(Table2[[#This Row],[unique_id]], "_", " ")))</f>
        <v>Ceiling Water Booster Plug</v>
      </c>
      <c r="G226" s="28" t="s">
        <v>1104</v>
      </c>
      <c r="H226" s="28" t="s">
        <v>615</v>
      </c>
      <c r="I226" s="28" t="s">
        <v>123</v>
      </c>
      <c r="J226" s="28" t="str">
        <f>Table2[[#This Row],[friendly_name]]</f>
        <v>Hot Water Booster</v>
      </c>
      <c r="M226" s="28" t="s">
        <v>244</v>
      </c>
      <c r="O226" s="29" t="s">
        <v>736</v>
      </c>
      <c r="P226" s="28" t="s">
        <v>155</v>
      </c>
      <c r="Q226" s="28" t="s">
        <v>709</v>
      </c>
      <c r="R226" s="28" t="str">
        <f>Table2[[#This Row],[entity_domain]]</f>
        <v>Heating &amp; Cooling</v>
      </c>
      <c r="S226" s="28" t="s">
        <v>414</v>
      </c>
      <c r="T226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5"/>
      <c r="V226" s="35"/>
      <c r="W226" s="28"/>
      <c r="Y226" s="29"/>
      <c r="Z226" s="29"/>
      <c r="AA226" s="29"/>
      <c r="AB226" s="29"/>
      <c r="AD226" s="40" t="s">
        <v>1051</v>
      </c>
      <c r="AH226" s="28" t="s">
        <v>413</v>
      </c>
      <c r="AI226" s="28">
        <v>10</v>
      </c>
      <c r="AJ226" s="29" t="s">
        <v>34</v>
      </c>
      <c r="AK226" s="29" t="s">
        <v>844</v>
      </c>
      <c r="AL226" s="28" t="s">
        <v>1037</v>
      </c>
      <c r="AM226" s="28" t="str">
        <f>_xlfn.CONCAT("homeassistant/", Table2[[#This Row],[entity_namespace]], "/tasmota/",Table2[[#This Row],[unique_id]], "/config")</f>
        <v>homeassistant/switch/tasmota/ceiling_water_booster_plug/config</v>
      </c>
      <c r="AN226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O226" s="28" t="str">
        <f>_xlfn.CONCAT("tasmota/device/",Table2[[#This Row],[unique_id]], "/cmnd/POWER")</f>
        <v>tasmota/device/ceiling_water_booster_plug/cmnd/POWER</v>
      </c>
      <c r="AP226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6" s="28" t="s">
        <v>863</v>
      </c>
      <c r="AR226" s="28" t="s">
        <v>864</v>
      </c>
      <c r="AS226" s="28" t="s">
        <v>853</v>
      </c>
      <c r="AT226" s="28" t="s">
        <v>854</v>
      </c>
      <c r="AU226" s="28" t="s">
        <v>917</v>
      </c>
      <c r="AV226" s="28">
        <v>1</v>
      </c>
      <c r="AW226" s="32" t="str">
        <f>HYPERLINK(_xlfn.CONCAT("http://", Table2[[#This Row],[connection_ip]], "/?"))</f>
        <v>http://10.0.4.100/?</v>
      </c>
      <c r="AY2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BB2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6" s="28" t="str">
        <f>IF(ISBLANK(Table2[[#This Row],[device_model]]), "", Table2[[#This Row],[device_suggested_area]])</f>
        <v>Ceiling</v>
      </c>
      <c r="BE226" s="28" t="s">
        <v>414</v>
      </c>
      <c r="BF226" s="28" t="s">
        <v>412</v>
      </c>
      <c r="BG226" s="28" t="s">
        <v>1053</v>
      </c>
      <c r="BI226" s="28" t="s">
        <v>835</v>
      </c>
      <c r="BJ226" s="28" t="s">
        <v>374</v>
      </c>
      <c r="BN226" s="28" t="s">
        <v>1186</v>
      </c>
      <c r="BO226" s="28" t="s">
        <v>411</v>
      </c>
      <c r="BP226" s="28" t="s">
        <v>1218</v>
      </c>
      <c r="BQ2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9" ht="16" customHeight="1" x14ac:dyDescent="0.2">
      <c r="A227" s="28">
        <v>1805</v>
      </c>
      <c r="B227" s="28" t="s">
        <v>543</v>
      </c>
      <c r="C227" s="28" t="s">
        <v>658</v>
      </c>
      <c r="D227" s="28" t="s">
        <v>27</v>
      </c>
      <c r="E227" s="28" t="s">
        <v>1038</v>
      </c>
      <c r="F227" s="34" t="str">
        <f>IF(ISBLANK(Table2[[#This Row],[unique_id]]), "", PROPER(SUBSTITUTE(Table2[[#This Row],[unique_id]], "_", " ")))</f>
        <v>Ceiling Water Booster Plug Energy Power</v>
      </c>
      <c r="G227" s="28" t="s">
        <v>847</v>
      </c>
      <c r="H227" s="28" t="s">
        <v>615</v>
      </c>
      <c r="I227" s="28" t="s">
        <v>123</v>
      </c>
      <c r="O227" s="29"/>
      <c r="P227" s="28"/>
      <c r="T227" s="35"/>
      <c r="U227" s="35"/>
      <c r="V227" s="35"/>
      <c r="W227" s="28"/>
      <c r="Y227" s="29"/>
      <c r="Z227" s="29"/>
      <c r="AA227" s="29"/>
      <c r="AB227" s="29"/>
      <c r="AE227" s="28" t="s">
        <v>31</v>
      </c>
      <c r="AF227" s="28" t="s">
        <v>298</v>
      </c>
      <c r="AG227" s="28" t="s">
        <v>845</v>
      </c>
      <c r="AI227" s="28">
        <v>10</v>
      </c>
      <c r="AJ227" s="29" t="s">
        <v>34</v>
      </c>
      <c r="AK227" s="29" t="s">
        <v>844</v>
      </c>
      <c r="AL227" s="28" t="s">
        <v>1037</v>
      </c>
      <c r="AM227" s="28" t="str">
        <f>_xlfn.CONCAT("homeassistant/", Table2[[#This Row],[entity_namespace]], "/tasmota/",Table2[[#This Row],[unique_id]], "/config")</f>
        <v>homeassistant/sensor/tasmota/ceiling_water_booster_plug_energy_power/config</v>
      </c>
      <c r="AN227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P227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7" s="28" t="s">
        <v>863</v>
      </c>
      <c r="AR227" s="28" t="s">
        <v>864</v>
      </c>
      <c r="AS227" s="28" t="s">
        <v>853</v>
      </c>
      <c r="AT227" s="28" t="s">
        <v>854</v>
      </c>
      <c r="AU227" s="28" t="s">
        <v>1049</v>
      </c>
      <c r="AV227" s="28">
        <v>1</v>
      </c>
      <c r="AW227" s="32"/>
      <c r="AY2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BB2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7" s="28" t="str">
        <f>IF(ISBLANK(Table2[[#This Row],[device_model]]), "", Table2[[#This Row],[device_suggested_area]])</f>
        <v>Ceiling</v>
      </c>
      <c r="BE227" s="28" t="s">
        <v>414</v>
      </c>
      <c r="BF227" s="28" t="s">
        <v>412</v>
      </c>
      <c r="BG227" s="28" t="s">
        <v>1053</v>
      </c>
      <c r="BI227" s="28" t="s">
        <v>835</v>
      </c>
      <c r="BJ227" s="28" t="s">
        <v>374</v>
      </c>
      <c r="BO227" s="28"/>
      <c r="BQ2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9" ht="16" customHeight="1" x14ac:dyDescent="0.2">
      <c r="A228" s="28">
        <v>1806</v>
      </c>
      <c r="B228" s="28" t="s">
        <v>543</v>
      </c>
      <c r="C228" s="28" t="s">
        <v>658</v>
      </c>
      <c r="D228" s="28" t="s">
        <v>27</v>
      </c>
      <c r="E228" s="28" t="s">
        <v>1039</v>
      </c>
      <c r="F228" s="34" t="str">
        <f>IF(ISBLANK(Table2[[#This Row],[unique_id]]), "", PROPER(SUBSTITUTE(Table2[[#This Row],[unique_id]], "_", " ")))</f>
        <v>Ceiling Water Booster Plug Energy Total</v>
      </c>
      <c r="G228" s="28" t="s">
        <v>848</v>
      </c>
      <c r="H228" s="28" t="s">
        <v>615</v>
      </c>
      <c r="I228" s="28" t="s">
        <v>123</v>
      </c>
      <c r="O228" s="29"/>
      <c r="P228" s="28"/>
      <c r="T228" s="35"/>
      <c r="U228" s="35"/>
      <c r="V228" s="35"/>
      <c r="W228" s="28"/>
      <c r="Y228" s="29"/>
      <c r="Z228" s="29"/>
      <c r="AA228" s="29"/>
      <c r="AB228" s="29"/>
      <c r="AE228" s="28" t="s">
        <v>70</v>
      </c>
      <c r="AF228" s="28" t="s">
        <v>299</v>
      </c>
      <c r="AG228" s="28" t="s">
        <v>846</v>
      </c>
      <c r="AI228" s="28">
        <v>10</v>
      </c>
      <c r="AJ228" s="29" t="s">
        <v>34</v>
      </c>
      <c r="AK228" s="29" t="s">
        <v>844</v>
      </c>
      <c r="AL228" s="28" t="s">
        <v>1037</v>
      </c>
      <c r="AM228" s="28" t="str">
        <f>_xlfn.CONCAT("homeassistant/", Table2[[#This Row],[entity_namespace]], "/tasmota/",Table2[[#This Row],[unique_id]], "/config")</f>
        <v>homeassistant/sensor/tasmota/ceiling_water_booster_plug_energy_total/config</v>
      </c>
      <c r="AN228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P228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8" s="28" t="s">
        <v>863</v>
      </c>
      <c r="AR228" s="28" t="s">
        <v>864</v>
      </c>
      <c r="AS228" s="28" t="s">
        <v>853</v>
      </c>
      <c r="AT228" s="28" t="s">
        <v>854</v>
      </c>
      <c r="AU228" s="28" t="s">
        <v>1050</v>
      </c>
      <c r="AV228" s="28">
        <v>1</v>
      </c>
      <c r="AW228" s="32"/>
      <c r="AY2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BB2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8" s="28" t="str">
        <f>IF(ISBLANK(Table2[[#This Row],[device_model]]), "", Table2[[#This Row],[device_suggested_area]])</f>
        <v>Ceiling</v>
      </c>
      <c r="BE228" s="28" t="s">
        <v>414</v>
      </c>
      <c r="BF228" s="28" t="s">
        <v>412</v>
      </c>
      <c r="BG228" s="28" t="s">
        <v>1053</v>
      </c>
      <c r="BI228" s="28" t="s">
        <v>835</v>
      </c>
      <c r="BJ228" s="28" t="s">
        <v>374</v>
      </c>
      <c r="BO228" s="28"/>
      <c r="BQ2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9" ht="16" customHeight="1" x14ac:dyDescent="0.2">
      <c r="A229" s="28">
        <v>1807</v>
      </c>
      <c r="B229" s="28" t="s">
        <v>26</v>
      </c>
      <c r="C229" s="28" t="s">
        <v>756</v>
      </c>
      <c r="D229" s="28" t="s">
        <v>139</v>
      </c>
      <c r="E229" s="35" t="s">
        <v>1044</v>
      </c>
      <c r="F229" s="34" t="str">
        <f>IF(ISBLANK(Table2[[#This Row],[unique_id]]), "", PROPER(SUBSTITUTE(Table2[[#This Row],[unique_id]], "_", " ")))</f>
        <v>Template Garden Pool Filter Plug Proxy</v>
      </c>
      <c r="G229" s="28" t="s">
        <v>290</v>
      </c>
      <c r="H229" s="28" t="s">
        <v>615</v>
      </c>
      <c r="I229" s="28" t="s">
        <v>123</v>
      </c>
      <c r="O229" s="29" t="s">
        <v>736</v>
      </c>
      <c r="P229" s="28" t="s">
        <v>155</v>
      </c>
      <c r="Q229" s="37" t="s">
        <v>709</v>
      </c>
      <c r="R229" s="28" t="str">
        <f>Table2[[#This Row],[entity_domain]]</f>
        <v>Heating &amp; Cooling</v>
      </c>
      <c r="S229" s="28" t="s">
        <v>290</v>
      </c>
      <c r="T229" s="35" t="s">
        <v>1014</v>
      </c>
      <c r="U229" s="35"/>
      <c r="V229" s="35"/>
      <c r="W229" s="28"/>
      <c r="Y229" s="29"/>
      <c r="Z229" s="29"/>
      <c r="AA229" s="29"/>
      <c r="AB229" s="29"/>
      <c r="AJ229" s="29"/>
      <c r="AK229" s="29"/>
      <c r="AV229" s="28"/>
      <c r="AW229" s="38"/>
      <c r="AX229" s="28" t="s">
        <v>125</v>
      </c>
      <c r="AY2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9" s="28" t="str">
        <f>IF(ISBLANK(Table2[[#This Row],[device_model]]), "", Table2[[#This Row],[device_suggested_area]])</f>
        <v>Garden</v>
      </c>
      <c r="BE229" s="28" t="s">
        <v>290</v>
      </c>
      <c r="BF229" s="28" t="s">
        <v>412</v>
      </c>
      <c r="BG229" s="28" t="s">
        <v>1053</v>
      </c>
      <c r="BI229" s="28" t="s">
        <v>835</v>
      </c>
      <c r="BJ229" s="28" t="s">
        <v>540</v>
      </c>
      <c r="BO229" s="28"/>
      <c r="BQ2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9" ht="16" customHeight="1" x14ac:dyDescent="0.2">
      <c r="A230" s="28">
        <v>1808</v>
      </c>
      <c r="B230" s="28" t="s">
        <v>543</v>
      </c>
      <c r="C230" s="28" t="s">
        <v>658</v>
      </c>
      <c r="D230" s="28" t="s">
        <v>125</v>
      </c>
      <c r="E230" s="28" t="s">
        <v>1045</v>
      </c>
      <c r="F230" s="34" t="str">
        <f>IF(ISBLANK(Table2[[#This Row],[unique_id]]), "", PROPER(SUBSTITUTE(Table2[[#This Row],[unique_id]], "_", " ")))</f>
        <v>Garden Pool Filter Plug</v>
      </c>
      <c r="G230" s="28" t="s">
        <v>290</v>
      </c>
      <c r="H230" s="28" t="s">
        <v>615</v>
      </c>
      <c r="I230" s="28" t="s">
        <v>123</v>
      </c>
      <c r="J230" s="28" t="str">
        <f>Table2[[#This Row],[friendly_name]]</f>
        <v>Pool Filter</v>
      </c>
      <c r="M230" s="28" t="s">
        <v>244</v>
      </c>
      <c r="O230" s="29" t="s">
        <v>736</v>
      </c>
      <c r="P230" s="28" t="s">
        <v>155</v>
      </c>
      <c r="Q230" s="28" t="s">
        <v>709</v>
      </c>
      <c r="R230" s="28" t="str">
        <f>Table2[[#This Row],[entity_domain]]</f>
        <v>Heating &amp; Cooling</v>
      </c>
      <c r="S230" s="28" t="s">
        <v>290</v>
      </c>
      <c r="T230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5"/>
      <c r="V230" s="35"/>
      <c r="W230" s="28"/>
      <c r="Y230" s="29"/>
      <c r="Z230" s="29"/>
      <c r="AA230" s="29"/>
      <c r="AB230" s="29"/>
      <c r="AD230" s="40" t="s">
        <v>1051</v>
      </c>
      <c r="AH230" s="28" t="s">
        <v>1048</v>
      </c>
      <c r="AI230" s="28">
        <v>10</v>
      </c>
      <c r="AJ230" s="29" t="s">
        <v>34</v>
      </c>
      <c r="AK230" s="29" t="s">
        <v>844</v>
      </c>
      <c r="AL230" s="28" t="s">
        <v>1045</v>
      </c>
      <c r="AM230" s="28" t="str">
        <f>_xlfn.CONCAT("homeassistant/", Table2[[#This Row],[entity_namespace]], "/tasmota/",Table2[[#This Row],[unique_id]], "/config")</f>
        <v>homeassistant/switch/tasmota/garden_pool_filter_plug/config</v>
      </c>
      <c r="AN230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O230" s="28" t="str">
        <f>_xlfn.CONCAT("tasmota/device/",Table2[[#This Row],[unique_id]], "/cmnd/POWER")</f>
        <v>tasmota/device/garden_pool_filter_plug/cmnd/POWER</v>
      </c>
      <c r="AP230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0" s="28" t="s">
        <v>863</v>
      </c>
      <c r="AR230" s="28" t="s">
        <v>864</v>
      </c>
      <c r="AS230" s="28" t="s">
        <v>853</v>
      </c>
      <c r="AT230" s="28" t="s">
        <v>854</v>
      </c>
      <c r="AU230" s="28" t="s">
        <v>917</v>
      </c>
      <c r="AV230" s="28">
        <v>1</v>
      </c>
      <c r="AW230" s="32" t="str">
        <f>HYPERLINK(_xlfn.CONCAT("http://", Table2[[#This Row],[connection_ip]], "/?"))</f>
        <v>http://10.0.4.106/?</v>
      </c>
      <c r="AY2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BB2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0" s="28" t="str">
        <f>IF(ISBLANK(Table2[[#This Row],[device_model]]), "", Table2[[#This Row],[device_suggested_area]])</f>
        <v>Garden</v>
      </c>
      <c r="BE230" s="28" t="s">
        <v>290</v>
      </c>
      <c r="BF230" s="28" t="s">
        <v>412</v>
      </c>
      <c r="BG230" s="28" t="s">
        <v>1053</v>
      </c>
      <c r="BI230" s="28" t="s">
        <v>835</v>
      </c>
      <c r="BJ230" s="28" t="s">
        <v>540</v>
      </c>
      <c r="BN230" s="28" t="s">
        <v>1186</v>
      </c>
      <c r="BO230" s="28" t="s">
        <v>992</v>
      </c>
      <c r="BP230" s="28" t="s">
        <v>1219</v>
      </c>
      <c r="BQ2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9" ht="16" customHeight="1" x14ac:dyDescent="0.2">
      <c r="A231" s="28">
        <v>1809</v>
      </c>
      <c r="B231" s="28" t="s">
        <v>543</v>
      </c>
      <c r="C231" s="28" t="s">
        <v>658</v>
      </c>
      <c r="D231" s="28" t="s">
        <v>27</v>
      </c>
      <c r="E231" s="28" t="s">
        <v>1046</v>
      </c>
      <c r="F231" s="34" t="str">
        <f>IF(ISBLANK(Table2[[#This Row],[unique_id]]), "", PROPER(SUBSTITUTE(Table2[[#This Row],[unique_id]], "_", " ")))</f>
        <v>Garden Pool Filter Plug Energy Power</v>
      </c>
      <c r="G231" s="28" t="s">
        <v>847</v>
      </c>
      <c r="H231" s="28" t="s">
        <v>615</v>
      </c>
      <c r="I231" s="28" t="s">
        <v>123</v>
      </c>
      <c r="O231" s="29"/>
      <c r="P231" s="28"/>
      <c r="T231" s="35"/>
      <c r="U231" s="35"/>
      <c r="V231" s="35"/>
      <c r="W231" s="28"/>
      <c r="Y231" s="29"/>
      <c r="Z231" s="29"/>
      <c r="AA231" s="29"/>
      <c r="AB231" s="29"/>
      <c r="AE231" s="28" t="s">
        <v>31</v>
      </c>
      <c r="AF231" s="28" t="s">
        <v>298</v>
      </c>
      <c r="AG231" s="28" t="s">
        <v>845</v>
      </c>
      <c r="AI231" s="28">
        <v>10</v>
      </c>
      <c r="AJ231" s="29" t="s">
        <v>34</v>
      </c>
      <c r="AK231" s="29" t="s">
        <v>844</v>
      </c>
      <c r="AL231" s="28" t="s">
        <v>1045</v>
      </c>
      <c r="AM231" s="28" t="str">
        <f>_xlfn.CONCAT("homeassistant/", Table2[[#This Row],[entity_namespace]], "/tasmota/",Table2[[#This Row],[unique_id]], "/config")</f>
        <v>homeassistant/sensor/tasmota/garden_pool_filter_plug_energy_power/config</v>
      </c>
      <c r="AN231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P231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1" s="28" t="s">
        <v>863</v>
      </c>
      <c r="AR231" s="28" t="s">
        <v>864</v>
      </c>
      <c r="AS231" s="28" t="s">
        <v>853</v>
      </c>
      <c r="AT231" s="28" t="s">
        <v>854</v>
      </c>
      <c r="AU231" s="28" t="s">
        <v>1049</v>
      </c>
      <c r="AV231" s="28">
        <v>1</v>
      </c>
      <c r="AW231" s="32"/>
      <c r="AY2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BB2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1" s="28" t="str">
        <f>IF(ISBLANK(Table2[[#This Row],[device_model]]), "", Table2[[#This Row],[device_suggested_area]])</f>
        <v>Garden</v>
      </c>
      <c r="BE231" s="28" t="s">
        <v>290</v>
      </c>
      <c r="BF231" s="28" t="s">
        <v>412</v>
      </c>
      <c r="BG231" s="28" t="s">
        <v>1053</v>
      </c>
      <c r="BI231" s="28" t="s">
        <v>835</v>
      </c>
      <c r="BJ231" s="28" t="s">
        <v>540</v>
      </c>
      <c r="BO231" s="28"/>
      <c r="BQ2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9" ht="16" customHeight="1" x14ac:dyDescent="0.2">
      <c r="A232" s="28">
        <v>1810</v>
      </c>
      <c r="B232" s="28" t="s">
        <v>543</v>
      </c>
      <c r="C232" s="28" t="s">
        <v>658</v>
      </c>
      <c r="D232" s="28" t="s">
        <v>27</v>
      </c>
      <c r="E232" s="28" t="s">
        <v>1047</v>
      </c>
      <c r="F232" s="34" t="str">
        <f>IF(ISBLANK(Table2[[#This Row],[unique_id]]), "", PROPER(SUBSTITUTE(Table2[[#This Row],[unique_id]], "_", " ")))</f>
        <v>Garden Pool Filter Plug Energy Total</v>
      </c>
      <c r="G232" s="28" t="s">
        <v>848</v>
      </c>
      <c r="H232" s="28" t="s">
        <v>615</v>
      </c>
      <c r="I232" s="28" t="s">
        <v>123</v>
      </c>
      <c r="O232" s="29"/>
      <c r="P232" s="28"/>
      <c r="T232" s="35"/>
      <c r="U232" s="35"/>
      <c r="V232" s="35"/>
      <c r="W232" s="28"/>
      <c r="Y232" s="29"/>
      <c r="Z232" s="29"/>
      <c r="AA232" s="29"/>
      <c r="AB232" s="29"/>
      <c r="AE232" s="28" t="s">
        <v>70</v>
      </c>
      <c r="AF232" s="28" t="s">
        <v>299</v>
      </c>
      <c r="AG232" s="28" t="s">
        <v>846</v>
      </c>
      <c r="AI232" s="28">
        <v>10</v>
      </c>
      <c r="AJ232" s="29" t="s">
        <v>34</v>
      </c>
      <c r="AK232" s="29" t="s">
        <v>844</v>
      </c>
      <c r="AL232" s="28" t="s">
        <v>1045</v>
      </c>
      <c r="AM232" s="28" t="str">
        <f>_xlfn.CONCAT("homeassistant/", Table2[[#This Row],[entity_namespace]], "/tasmota/",Table2[[#This Row],[unique_id]], "/config")</f>
        <v>homeassistant/sensor/tasmota/garden_pool_filter_plug_energy_total/config</v>
      </c>
      <c r="AN232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P232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2" s="28" t="s">
        <v>863</v>
      </c>
      <c r="AR232" s="28" t="s">
        <v>864</v>
      </c>
      <c r="AS232" s="28" t="s">
        <v>853</v>
      </c>
      <c r="AT232" s="28" t="s">
        <v>854</v>
      </c>
      <c r="AU232" s="28" t="s">
        <v>1050</v>
      </c>
      <c r="AV232" s="28">
        <v>1</v>
      </c>
      <c r="AW232" s="32"/>
      <c r="AY2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BB2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2" s="28" t="str">
        <f>IF(ISBLANK(Table2[[#This Row],[device_model]]), "", Table2[[#This Row],[device_suggested_area]])</f>
        <v>Garden</v>
      </c>
      <c r="BE232" s="28" t="s">
        <v>290</v>
      </c>
      <c r="BF232" s="28" t="s">
        <v>412</v>
      </c>
      <c r="BG232" s="28" t="s">
        <v>1053</v>
      </c>
      <c r="BI232" s="28" t="s">
        <v>835</v>
      </c>
      <c r="BJ232" s="28" t="s">
        <v>540</v>
      </c>
      <c r="BO232" s="28"/>
      <c r="BQ2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9" ht="16" customHeight="1" x14ac:dyDescent="0.2">
      <c r="A233" s="28">
        <v>1811</v>
      </c>
      <c r="B233" s="28" t="s">
        <v>26</v>
      </c>
      <c r="C233" s="28" t="s">
        <v>658</v>
      </c>
      <c r="D233" s="28" t="s">
        <v>27</v>
      </c>
      <c r="E233" s="28" t="s">
        <v>995</v>
      </c>
      <c r="F233" s="34" t="str">
        <f>IF(ISBLANK(Table2[[#This Row],[unique_id]]), "", PROPER(SUBSTITUTE(Table2[[#This Row],[unique_id]], "_", " ")))</f>
        <v>Landing Festoons Plug Temperature</v>
      </c>
      <c r="G233" s="28" t="s">
        <v>1095</v>
      </c>
      <c r="H233" s="28" t="s">
        <v>1255</v>
      </c>
      <c r="I233" s="28" t="s">
        <v>123</v>
      </c>
      <c r="K233" s="28" t="s">
        <v>1103</v>
      </c>
      <c r="O233" s="29"/>
      <c r="P233" s="28"/>
      <c r="T233" s="35"/>
      <c r="U233" s="35"/>
      <c r="V233" s="35"/>
      <c r="W233" s="28"/>
      <c r="Y233" s="29" t="s">
        <v>1118</v>
      </c>
      <c r="Z233" s="29"/>
      <c r="AA233" s="29"/>
      <c r="AB233" s="29"/>
      <c r="AE233" s="28" t="s">
        <v>31</v>
      </c>
      <c r="AF233" s="28" t="s">
        <v>79</v>
      </c>
      <c r="AG233" s="28" t="s">
        <v>80</v>
      </c>
      <c r="AH233" s="28" t="s">
        <v>413</v>
      </c>
      <c r="AI233" s="28">
        <v>10</v>
      </c>
      <c r="AJ233" s="29" t="s">
        <v>34</v>
      </c>
      <c r="AK233" s="29" t="s">
        <v>844</v>
      </c>
      <c r="AL233" s="28" t="s">
        <v>781</v>
      </c>
      <c r="AM233" s="28" t="str">
        <f>_xlfn.CONCAT("homeassistant/", Table2[[#This Row],[entity_namespace]], "/tasmota/",Table2[[#This Row],[unique_id]], "/config")</f>
        <v>homeassistant/sensor/tasmota/landing_festoons_plug_temperature/config</v>
      </c>
      <c r="AN233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P233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Q233" s="28" t="s">
        <v>863</v>
      </c>
      <c r="AR233" s="28" t="s">
        <v>864</v>
      </c>
      <c r="AS233" s="28" t="s">
        <v>853</v>
      </c>
      <c r="AT233" s="28" t="s">
        <v>854</v>
      </c>
      <c r="AU233" s="28" t="s">
        <v>1056</v>
      </c>
      <c r="AV233" s="28">
        <v>1</v>
      </c>
      <c r="AW233" s="32"/>
      <c r="AY2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BB2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3" s="28" t="str">
        <f>IF(ISBLANK(Table2[[#This Row],[device_model]]), "", Table2[[#This Row],[device_suggested_area]])</f>
        <v>Landing</v>
      </c>
      <c r="BE233" s="28" t="s">
        <v>675</v>
      </c>
      <c r="BF233" s="28" t="s">
        <v>1055</v>
      </c>
      <c r="BG233" s="28" t="s">
        <v>1053</v>
      </c>
      <c r="BI233" s="28" t="s">
        <v>835</v>
      </c>
      <c r="BJ233" s="28" t="s">
        <v>523</v>
      </c>
      <c r="BK233" s="28" t="s">
        <v>374</v>
      </c>
      <c r="BL233" s="28" t="s">
        <v>374</v>
      </c>
      <c r="BO233" s="28"/>
      <c r="BQ2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9" ht="16" customHeight="1" x14ac:dyDescent="0.2">
      <c r="A234" s="28">
        <v>1812</v>
      </c>
      <c r="B234" s="28" t="s">
        <v>26</v>
      </c>
      <c r="C234" s="28" t="s">
        <v>658</v>
      </c>
      <c r="D234" s="28" t="s">
        <v>27</v>
      </c>
      <c r="E234" s="28" t="s">
        <v>1103</v>
      </c>
      <c r="F234" s="28" t="str">
        <f>IF(ISBLANK(Table2[[#This Row],[unique_id]]), "", PROPER(SUBSTITUTE(Table2[[#This Row],[unique_id]], "_", " ")))</f>
        <v>Compensation Sensor Landing Festoons Plug Temperature</v>
      </c>
      <c r="G234" s="28" t="s">
        <v>1095</v>
      </c>
      <c r="H234" s="28" t="s">
        <v>1255</v>
      </c>
      <c r="I234" s="28" t="s">
        <v>123</v>
      </c>
      <c r="J234" s="28" t="s">
        <v>78</v>
      </c>
      <c r="M234" s="28" t="s">
        <v>81</v>
      </c>
      <c r="O234" s="29"/>
      <c r="P234" s="28"/>
      <c r="T234" s="35"/>
      <c r="U234" s="35"/>
      <c r="V234" s="35"/>
      <c r="W234" s="28"/>
      <c r="Y234" s="29"/>
      <c r="Z234" s="29"/>
      <c r="AA234" s="29"/>
      <c r="AB234" s="29"/>
      <c r="AE234" s="28" t="s">
        <v>31</v>
      </c>
      <c r="AF234" s="28" t="s">
        <v>79</v>
      </c>
      <c r="AG234" s="28" t="s">
        <v>80</v>
      </c>
      <c r="AH234" s="28" t="s">
        <v>413</v>
      </c>
      <c r="AJ234" s="29"/>
      <c r="AK234" s="29"/>
      <c r="AM234" s="28" t="str">
        <f>IF(ISBLANK(AL234),  "", _xlfn.CONCAT("haas/entity/sensor/", LOWER(C234), "/", E234, "/config"))</f>
        <v/>
      </c>
      <c r="AN234" s="28" t="str">
        <f>IF(ISBLANK(AL234),  "", _xlfn.CONCAT(LOWER(C234), "/", E234))</f>
        <v/>
      </c>
      <c r="AV234" s="28"/>
      <c r="AW234" s="30"/>
      <c r="AX234" s="38"/>
      <c r="AY234" s="28"/>
      <c r="BA2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4" s="28" t="str">
        <f>IF(ISBLANK(Table2[[#This Row],[device_model]]), "", Table2[[#This Row],[device_suggested_area]])</f>
        <v/>
      </c>
      <c r="BI234" s="29"/>
      <c r="BJ234" s="28" t="s">
        <v>523</v>
      </c>
      <c r="BK234" s="28" t="s">
        <v>374</v>
      </c>
      <c r="BL234" s="28" t="s">
        <v>374</v>
      </c>
      <c r="BO234" s="28"/>
      <c r="BQ2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9" ht="16" customHeight="1" x14ac:dyDescent="0.2">
      <c r="A235" s="28">
        <v>2100</v>
      </c>
      <c r="B235" s="28" t="s">
        <v>26</v>
      </c>
      <c r="C235" s="28" t="s">
        <v>725</v>
      </c>
      <c r="D235" s="28" t="s">
        <v>27</v>
      </c>
      <c r="E235" s="28" t="s">
        <v>220</v>
      </c>
      <c r="F235" s="34" t="str">
        <f>IF(ISBLANK(Table2[[#This Row],[unique_id]]), "", PROPER(SUBSTITUTE(Table2[[#This Row],[unique_id]], "_", " ")))</f>
        <v>Home Power</v>
      </c>
      <c r="G235" s="28" t="s">
        <v>295</v>
      </c>
      <c r="H235" s="28" t="s">
        <v>227</v>
      </c>
      <c r="I235" s="28" t="s">
        <v>132</v>
      </c>
      <c r="M235" s="28" t="s">
        <v>81</v>
      </c>
      <c r="O235" s="29"/>
      <c r="P235" s="28"/>
      <c r="T235" s="35"/>
      <c r="U235" s="35"/>
      <c r="V235" s="35"/>
      <c r="W235" s="28" t="s">
        <v>1528</v>
      </c>
      <c r="Y235" s="29"/>
      <c r="Z235" s="29"/>
      <c r="AA235" s="29"/>
      <c r="AB235" s="29"/>
      <c r="AF235" s="28" t="s">
        <v>298</v>
      </c>
      <c r="AH235" s="28" t="s">
        <v>228</v>
      </c>
      <c r="AJ235" s="29"/>
      <c r="AK235" s="29"/>
      <c r="AV235" s="28"/>
      <c r="AW235" s="38"/>
      <c r="AX235" s="29"/>
      <c r="AY2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5" s="28" t="str">
        <f>IF(ISBLANK(Table2[[#This Row],[device_model]]), "", Table2[[#This Row],[device_suggested_area]])</f>
        <v/>
      </c>
      <c r="BI235" s="29"/>
      <c r="BO235" s="28"/>
      <c r="BQ2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9" ht="16" customHeight="1" x14ac:dyDescent="0.2">
      <c r="A236" s="28">
        <v>2101</v>
      </c>
      <c r="B236" s="28" t="s">
        <v>26</v>
      </c>
      <c r="C236" s="28" t="s">
        <v>725</v>
      </c>
      <c r="D236" s="28" t="s">
        <v>27</v>
      </c>
      <c r="E236" s="28" t="s">
        <v>292</v>
      </c>
      <c r="F236" s="34" t="str">
        <f>IF(ISBLANK(Table2[[#This Row],[unique_id]]), "", PROPER(SUBSTITUTE(Table2[[#This Row],[unique_id]], "_", " ")))</f>
        <v>Home Base Power</v>
      </c>
      <c r="G236" s="28" t="s">
        <v>293</v>
      </c>
      <c r="H236" s="28" t="s">
        <v>227</v>
      </c>
      <c r="I236" s="28" t="s">
        <v>132</v>
      </c>
      <c r="M236" s="28" t="s">
        <v>81</v>
      </c>
      <c r="O236" s="29"/>
      <c r="P236" s="28"/>
      <c r="T236" s="35"/>
      <c r="U236" s="35"/>
      <c r="V236" s="35"/>
      <c r="W236" s="28" t="s">
        <v>1528</v>
      </c>
      <c r="Y236" s="29"/>
      <c r="Z236" s="29"/>
      <c r="AA236" s="29"/>
      <c r="AB236" s="29"/>
      <c r="AF236" s="28" t="s">
        <v>298</v>
      </c>
      <c r="AH236" s="28" t="s">
        <v>228</v>
      </c>
      <c r="AJ236" s="29"/>
      <c r="AK236" s="29"/>
      <c r="AV236" s="28"/>
      <c r="AW236" s="38"/>
      <c r="AX236" s="29"/>
      <c r="AY2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6" s="28" t="str">
        <f>IF(ISBLANK(Table2[[#This Row],[device_model]]), "", Table2[[#This Row],[device_suggested_area]])</f>
        <v/>
      </c>
      <c r="BI236" s="29"/>
      <c r="BO236" s="28"/>
      <c r="BQ2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9" ht="16" customHeight="1" x14ac:dyDescent="0.2">
      <c r="A237" s="28">
        <v>2102</v>
      </c>
      <c r="B237" s="28" t="s">
        <v>26</v>
      </c>
      <c r="C237" s="28" t="s">
        <v>725</v>
      </c>
      <c r="D237" s="28" t="s">
        <v>27</v>
      </c>
      <c r="E237" s="28" t="s">
        <v>291</v>
      </c>
      <c r="F237" s="34" t="str">
        <f>IF(ISBLANK(Table2[[#This Row],[unique_id]]), "", PROPER(SUBSTITUTE(Table2[[#This Row],[unique_id]], "_", " ")))</f>
        <v>Home Peak Power</v>
      </c>
      <c r="G237" s="28" t="s">
        <v>294</v>
      </c>
      <c r="H237" s="28" t="s">
        <v>227</v>
      </c>
      <c r="I237" s="28" t="s">
        <v>132</v>
      </c>
      <c r="M237" s="28" t="s">
        <v>81</v>
      </c>
      <c r="O237" s="29"/>
      <c r="P237" s="28"/>
      <c r="T237" s="35"/>
      <c r="U237" s="35"/>
      <c r="V237" s="35"/>
      <c r="W237" s="28" t="s">
        <v>1528</v>
      </c>
      <c r="Y237" s="29"/>
      <c r="Z237" s="29"/>
      <c r="AA237" s="29"/>
      <c r="AB237" s="29"/>
      <c r="AF237" s="28" t="s">
        <v>298</v>
      </c>
      <c r="AH237" s="28" t="s">
        <v>228</v>
      </c>
      <c r="AJ237" s="29"/>
      <c r="AK237" s="29"/>
      <c r="AV237" s="28"/>
      <c r="AW237" s="38"/>
      <c r="AX237" s="29"/>
      <c r="AY2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7" s="28" t="str">
        <f>IF(ISBLANK(Table2[[#This Row],[device_model]]), "", Table2[[#This Row],[device_suggested_area]])</f>
        <v/>
      </c>
      <c r="BI237" s="29"/>
      <c r="BO237" s="28"/>
      <c r="BQ2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9" ht="16" customHeight="1" x14ac:dyDescent="0.2">
      <c r="A238" s="28">
        <v>2103</v>
      </c>
      <c r="B238" s="28" t="s">
        <v>26</v>
      </c>
      <c r="C238" s="28" t="s">
        <v>409</v>
      </c>
      <c r="D238" s="28" t="s">
        <v>304</v>
      </c>
      <c r="E238" s="28" t="s">
        <v>407</v>
      </c>
      <c r="F238" s="34" t="str">
        <f>IF(ISBLANK(Table2[[#This Row],[unique_id]]), "", PROPER(SUBSTITUTE(Table2[[#This Row],[unique_id]], "_", " ")))</f>
        <v>Graph Break</v>
      </c>
      <c r="G238" s="28" t="s">
        <v>408</v>
      </c>
      <c r="H238" s="28" t="s">
        <v>227</v>
      </c>
      <c r="I238" s="28" t="s">
        <v>132</v>
      </c>
      <c r="O238" s="29"/>
      <c r="P238" s="28"/>
      <c r="T238" s="35"/>
      <c r="U238" s="35"/>
      <c r="V238" s="35"/>
      <c r="W238" s="28" t="s">
        <v>1528</v>
      </c>
      <c r="Y238" s="29"/>
      <c r="Z238" s="29"/>
      <c r="AA238" s="29"/>
      <c r="AB238" s="29"/>
      <c r="AJ238" s="29"/>
      <c r="AK238" s="29"/>
      <c r="AV238" s="28"/>
      <c r="AW238" s="38"/>
      <c r="AX238" s="29"/>
      <c r="AY2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8" s="28" t="str">
        <f>IF(ISBLANK(Table2[[#This Row],[device_model]]), "", Table2[[#This Row],[device_suggested_area]])</f>
        <v/>
      </c>
      <c r="BI238" s="29"/>
      <c r="BO238" s="28"/>
      <c r="BQ2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9" ht="16" customHeight="1" x14ac:dyDescent="0.2">
      <c r="A239" s="28">
        <v>2104</v>
      </c>
      <c r="B239" s="28" t="s">
        <v>26</v>
      </c>
      <c r="C239" s="28" t="s">
        <v>725</v>
      </c>
      <c r="D239" s="28" t="s">
        <v>27</v>
      </c>
      <c r="E239" s="28" t="s">
        <v>711</v>
      </c>
      <c r="F239" s="34" t="str">
        <f>IF(ISBLANK(Table2[[#This Row],[unique_id]]), "", PROPER(SUBSTITUTE(Table2[[#This Row],[unique_id]], "_", " ")))</f>
        <v>Lights Power</v>
      </c>
      <c r="G239" s="28" t="s">
        <v>738</v>
      </c>
      <c r="H239" s="28" t="s">
        <v>227</v>
      </c>
      <c r="I239" s="28" t="s">
        <v>132</v>
      </c>
      <c r="M239" s="28" t="s">
        <v>127</v>
      </c>
      <c r="O239" s="29"/>
      <c r="P239" s="28"/>
      <c r="T239" s="35"/>
      <c r="U239" s="35"/>
      <c r="V239" s="35"/>
      <c r="W239" s="28" t="s">
        <v>1528</v>
      </c>
      <c r="Y239" s="29"/>
      <c r="Z239" s="29"/>
      <c r="AA239" s="29"/>
      <c r="AB239" s="29"/>
      <c r="AF239" s="28" t="s">
        <v>298</v>
      </c>
      <c r="AH239" s="28" t="s">
        <v>228</v>
      </c>
      <c r="AJ239" s="29"/>
      <c r="AK239" s="29"/>
      <c r="AV239" s="28"/>
      <c r="AW239" s="38"/>
      <c r="AX239" s="29"/>
      <c r="AY2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9" s="28" t="str">
        <f>IF(ISBLANK(Table2[[#This Row],[device_model]]), "", Table2[[#This Row],[device_suggested_area]])</f>
        <v/>
      </c>
      <c r="BI239" s="29"/>
      <c r="BO239" s="28"/>
      <c r="BQ2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9" ht="16" customHeight="1" x14ac:dyDescent="0.2">
      <c r="A240" s="28">
        <v>2105</v>
      </c>
      <c r="B240" s="28" t="s">
        <v>26</v>
      </c>
      <c r="C240" s="28" t="s">
        <v>725</v>
      </c>
      <c r="D240" s="28" t="s">
        <v>27</v>
      </c>
      <c r="E240" s="28" t="s">
        <v>712</v>
      </c>
      <c r="F240" s="34" t="str">
        <f>IF(ISBLANK(Table2[[#This Row],[unique_id]]), "", PROPER(SUBSTITUTE(Table2[[#This Row],[unique_id]], "_", " ")))</f>
        <v>Fans Power</v>
      </c>
      <c r="G240" s="28" t="s">
        <v>737</v>
      </c>
      <c r="H240" s="28" t="s">
        <v>227</v>
      </c>
      <c r="I240" s="28" t="s">
        <v>132</v>
      </c>
      <c r="M240" s="28" t="s">
        <v>127</v>
      </c>
      <c r="O240" s="29"/>
      <c r="P240" s="28"/>
      <c r="T240" s="35"/>
      <c r="U240" s="35"/>
      <c r="V240" s="35"/>
      <c r="W240" s="28" t="s">
        <v>1528</v>
      </c>
      <c r="Y240" s="29"/>
      <c r="Z240" s="29"/>
      <c r="AA240" s="29"/>
      <c r="AB240" s="29"/>
      <c r="AF240" s="28" t="s">
        <v>298</v>
      </c>
      <c r="AH240" s="28" t="s">
        <v>228</v>
      </c>
      <c r="AJ240" s="29"/>
      <c r="AK240" s="29"/>
      <c r="AV240" s="28"/>
      <c r="AW240" s="38"/>
      <c r="AX240" s="29"/>
      <c r="AY2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0" s="28" t="str">
        <f>IF(ISBLANK(Table2[[#This Row],[device_model]]), "", Table2[[#This Row],[device_suggested_area]])</f>
        <v/>
      </c>
      <c r="BI240" s="29"/>
      <c r="BO240" s="28"/>
      <c r="BQ2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9" ht="16" customHeight="1" x14ac:dyDescent="0.2">
      <c r="A241" s="28">
        <v>2106</v>
      </c>
      <c r="B241" s="28" t="s">
        <v>26</v>
      </c>
      <c r="C241" s="28" t="s">
        <v>725</v>
      </c>
      <c r="D241" s="28" t="s">
        <v>27</v>
      </c>
      <c r="E241" s="28" t="s">
        <v>774</v>
      </c>
      <c r="F241" s="34" t="str">
        <f>IF(ISBLANK(Table2[[#This Row],[unique_id]]), "", PROPER(SUBSTITUTE(Table2[[#This Row],[unique_id]], "_", " ")))</f>
        <v>All Standby Power</v>
      </c>
      <c r="G241" s="28" t="s">
        <v>787</v>
      </c>
      <c r="H241" s="28" t="s">
        <v>227</v>
      </c>
      <c r="I241" s="28" t="s">
        <v>132</v>
      </c>
      <c r="M241" s="28" t="s">
        <v>127</v>
      </c>
      <c r="O241" s="29"/>
      <c r="P241" s="28"/>
      <c r="T241" s="35"/>
      <c r="U241" s="35"/>
      <c r="V241" s="35"/>
      <c r="W241" s="28" t="s">
        <v>1528</v>
      </c>
      <c r="Y241" s="29"/>
      <c r="Z241" s="29"/>
      <c r="AA241" s="29"/>
      <c r="AB241" s="29"/>
      <c r="AF241" s="28" t="s">
        <v>298</v>
      </c>
      <c r="AH241" s="28" t="s">
        <v>228</v>
      </c>
      <c r="AJ241" s="29"/>
      <c r="AK241" s="29"/>
      <c r="AV241" s="28"/>
      <c r="AW241" s="38"/>
      <c r="AX241" s="29"/>
      <c r="AY2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1" s="28" t="str">
        <f>IF(ISBLANK(Table2[[#This Row],[device_model]]), "", Table2[[#This Row],[device_suggested_area]])</f>
        <v/>
      </c>
      <c r="BI241" s="29"/>
      <c r="BO241" s="28"/>
      <c r="BQ2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9" ht="16" customHeight="1" x14ac:dyDescent="0.2">
      <c r="A242" s="28">
        <v>2107</v>
      </c>
      <c r="B242" s="28" t="s">
        <v>26</v>
      </c>
      <c r="C242" s="28" t="s">
        <v>725</v>
      </c>
      <c r="D242" s="28" t="s">
        <v>27</v>
      </c>
      <c r="E242" s="28" t="s">
        <v>1018</v>
      </c>
      <c r="F242" s="34" t="str">
        <f>IF(ISBLANK(Table2[[#This Row],[unique_id]]), "", PROPER(SUBSTITUTE(Table2[[#This Row],[unique_id]], "_", " ")))</f>
        <v>Coffee Machine Power</v>
      </c>
      <c r="G242" s="28" t="s">
        <v>126</v>
      </c>
      <c r="H242" s="28" t="s">
        <v>227</v>
      </c>
      <c r="I242" s="28" t="s">
        <v>132</v>
      </c>
      <c r="M242" s="28" t="s">
        <v>127</v>
      </c>
      <c r="O242" s="29"/>
      <c r="P242" s="28"/>
      <c r="T242" s="35"/>
      <c r="U242" s="35"/>
      <c r="V242" s="35"/>
      <c r="W242" s="28" t="s">
        <v>1528</v>
      </c>
      <c r="Y242" s="29"/>
      <c r="Z242" s="29"/>
      <c r="AA242" s="29"/>
      <c r="AB242" s="29"/>
      <c r="AF242" s="28" t="s">
        <v>298</v>
      </c>
      <c r="AH242" s="28" t="s">
        <v>228</v>
      </c>
      <c r="AJ242" s="29"/>
      <c r="AK242" s="29"/>
      <c r="AV242" s="28"/>
      <c r="AW242" s="38"/>
      <c r="AX242" s="29"/>
      <c r="AY2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2" s="28" t="str">
        <f>IF(ISBLANK(Table2[[#This Row],[device_model]]), "", Table2[[#This Row],[device_suggested_area]])</f>
        <v/>
      </c>
      <c r="BI242" s="29"/>
      <c r="BO242" s="28"/>
      <c r="BQ2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9" ht="16" customHeight="1" x14ac:dyDescent="0.2">
      <c r="A243" s="28">
        <v>2108</v>
      </c>
      <c r="B243" s="28" t="s">
        <v>543</v>
      </c>
      <c r="C243" s="28" t="s">
        <v>725</v>
      </c>
      <c r="D243" s="28" t="s">
        <v>27</v>
      </c>
      <c r="E243" s="28" t="s">
        <v>1019</v>
      </c>
      <c r="F243" s="34" t="str">
        <f>IF(ISBLANK(Table2[[#This Row],[unique_id]]), "", PROPER(SUBSTITUTE(Table2[[#This Row],[unique_id]], "_", " ")))</f>
        <v>Battery Charger Power</v>
      </c>
      <c r="G243" s="28" t="s">
        <v>219</v>
      </c>
      <c r="H243" s="28" t="s">
        <v>227</v>
      </c>
      <c r="I243" s="28" t="s">
        <v>132</v>
      </c>
      <c r="M243" s="28" t="s">
        <v>127</v>
      </c>
      <c r="O243" s="29"/>
      <c r="P243" s="28"/>
      <c r="T243" s="35"/>
      <c r="U243" s="35"/>
      <c r="V243" s="35"/>
      <c r="W243" s="28" t="s">
        <v>1528</v>
      </c>
      <c r="Y243" s="29"/>
      <c r="Z243" s="29"/>
      <c r="AA243" s="29"/>
      <c r="AB243" s="29"/>
      <c r="AF243" s="28" t="s">
        <v>298</v>
      </c>
      <c r="AH243" s="28" t="s">
        <v>228</v>
      </c>
      <c r="AJ243" s="29"/>
      <c r="AK243" s="29"/>
      <c r="AV243" s="28"/>
      <c r="AW243" s="38"/>
      <c r="AX243" s="29"/>
      <c r="AY2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3" s="28" t="str">
        <f>IF(ISBLANK(Table2[[#This Row],[device_model]]), "", Table2[[#This Row],[device_suggested_area]])</f>
        <v/>
      </c>
      <c r="BI243" s="29"/>
      <c r="BO243" s="28"/>
      <c r="BQ2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9" ht="16" customHeight="1" x14ac:dyDescent="0.2">
      <c r="A244" s="28">
        <v>2109</v>
      </c>
      <c r="B244" s="28" t="s">
        <v>543</v>
      </c>
      <c r="C244" s="28" t="s">
        <v>725</v>
      </c>
      <c r="D244" s="28" t="s">
        <v>27</v>
      </c>
      <c r="E244" s="28" t="s">
        <v>1020</v>
      </c>
      <c r="F244" s="34" t="str">
        <f>IF(ISBLANK(Table2[[#This Row],[unique_id]]), "", PROPER(SUBSTITUTE(Table2[[#This Row],[unique_id]], "_", " ")))</f>
        <v>Vacuum Charger Power</v>
      </c>
      <c r="G244" s="28" t="s">
        <v>218</v>
      </c>
      <c r="H244" s="28" t="s">
        <v>227</v>
      </c>
      <c r="I244" s="28" t="s">
        <v>132</v>
      </c>
      <c r="M244" s="28" t="s">
        <v>127</v>
      </c>
      <c r="O244" s="29"/>
      <c r="P244" s="28"/>
      <c r="T244" s="35"/>
      <c r="U244" s="35"/>
      <c r="V244" s="35"/>
      <c r="W244" s="28" t="s">
        <v>1528</v>
      </c>
      <c r="Y244" s="29"/>
      <c r="Z244" s="29"/>
      <c r="AA244" s="29"/>
      <c r="AB244" s="29"/>
      <c r="AF244" s="28" t="s">
        <v>298</v>
      </c>
      <c r="AH244" s="28" t="s">
        <v>228</v>
      </c>
      <c r="AJ244" s="29"/>
      <c r="AK244" s="29"/>
      <c r="AV244" s="28"/>
      <c r="AW244" s="38"/>
      <c r="AX244" s="29"/>
      <c r="AY2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4" s="28" t="str">
        <f>IF(ISBLANK(Table2[[#This Row],[device_model]]), "", Table2[[#This Row],[device_suggested_area]])</f>
        <v/>
      </c>
      <c r="BI244" s="29"/>
      <c r="BO244" s="28"/>
      <c r="BQ2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9" ht="16" customHeight="1" x14ac:dyDescent="0.2">
      <c r="A245" s="28">
        <v>2110</v>
      </c>
      <c r="B245" s="28" t="s">
        <v>26</v>
      </c>
      <c r="C245" s="28" t="s">
        <v>725</v>
      </c>
      <c r="D245" s="28" t="s">
        <v>27</v>
      </c>
      <c r="E245" s="28" t="s">
        <v>1021</v>
      </c>
      <c r="F245" s="34" t="str">
        <f>IF(ISBLANK(Table2[[#This Row],[unique_id]]), "", PROPER(SUBSTITUTE(Table2[[#This Row],[unique_id]], "_", " ")))</f>
        <v>Pool Filter Power</v>
      </c>
      <c r="G245" s="28" t="s">
        <v>290</v>
      </c>
      <c r="H245" s="28" t="s">
        <v>227</v>
      </c>
      <c r="I245" s="28" t="s">
        <v>132</v>
      </c>
      <c r="M245" s="28" t="s">
        <v>127</v>
      </c>
      <c r="O245" s="29"/>
      <c r="P245" s="28"/>
      <c r="T245" s="35"/>
      <c r="U245" s="35"/>
      <c r="V245" s="35"/>
      <c r="W245" s="28" t="s">
        <v>1528</v>
      </c>
      <c r="Y245" s="29"/>
      <c r="Z245" s="29"/>
      <c r="AA245" s="29"/>
      <c r="AB245" s="29"/>
      <c r="AF245" s="28" t="s">
        <v>298</v>
      </c>
      <c r="AH245" s="28" t="s">
        <v>228</v>
      </c>
      <c r="AJ245" s="29"/>
      <c r="AK245" s="29"/>
      <c r="AV245" s="28"/>
      <c r="AW245" s="38"/>
      <c r="AX245" s="29"/>
      <c r="AY2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5" s="28" t="str">
        <f>IF(ISBLANK(Table2[[#This Row],[device_model]]), "", Table2[[#This Row],[device_suggested_area]])</f>
        <v/>
      </c>
      <c r="BI245" s="29"/>
      <c r="BO245" s="28"/>
      <c r="BQ2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9" ht="16" customHeight="1" x14ac:dyDescent="0.2">
      <c r="A246" s="28">
        <v>2111</v>
      </c>
      <c r="B246" s="28" t="s">
        <v>26</v>
      </c>
      <c r="C246" s="28" t="s">
        <v>725</v>
      </c>
      <c r="D246" s="28" t="s">
        <v>27</v>
      </c>
      <c r="E246" s="28" t="s">
        <v>1022</v>
      </c>
      <c r="F246" s="34" t="str">
        <f>IF(ISBLANK(Table2[[#This Row],[unique_id]]), "", PROPER(SUBSTITUTE(Table2[[#This Row],[unique_id]], "_", " ")))</f>
        <v>Water Booster Power</v>
      </c>
      <c r="G246" s="28" t="s">
        <v>1104</v>
      </c>
      <c r="H246" s="28" t="s">
        <v>227</v>
      </c>
      <c r="I246" s="28" t="s">
        <v>132</v>
      </c>
      <c r="M246" s="28" t="s">
        <v>127</v>
      </c>
      <c r="O246" s="29"/>
      <c r="P246" s="28"/>
      <c r="T246" s="35"/>
      <c r="U246" s="35"/>
      <c r="V246" s="35"/>
      <c r="W246" s="28" t="s">
        <v>1528</v>
      </c>
      <c r="Y246" s="29"/>
      <c r="Z246" s="29"/>
      <c r="AA246" s="29"/>
      <c r="AB246" s="29"/>
      <c r="AF246" s="28" t="s">
        <v>298</v>
      </c>
      <c r="AH246" s="28" t="s">
        <v>228</v>
      </c>
      <c r="AJ246" s="29"/>
      <c r="AK246" s="29"/>
      <c r="AV246" s="28"/>
      <c r="AW246" s="38"/>
      <c r="AX246" s="29"/>
      <c r="AY2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6" s="28" t="str">
        <f>IF(ISBLANK(Table2[[#This Row],[device_model]]), "", Table2[[#This Row],[device_suggested_area]])</f>
        <v/>
      </c>
      <c r="BI246" s="29"/>
      <c r="BO246" s="28"/>
      <c r="BQ2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9" ht="16" customHeight="1" x14ac:dyDescent="0.2">
      <c r="A247" s="28">
        <v>2112</v>
      </c>
      <c r="B247" s="28" t="s">
        <v>26</v>
      </c>
      <c r="C247" s="28" t="s">
        <v>725</v>
      </c>
      <c r="D247" s="28" t="s">
        <v>27</v>
      </c>
      <c r="E247" s="28" t="s">
        <v>1023</v>
      </c>
      <c r="F247" s="34" t="str">
        <f>IF(ISBLANK(Table2[[#This Row],[unique_id]]), "", PROPER(SUBSTITUTE(Table2[[#This Row],[unique_id]], "_", " ")))</f>
        <v>Dish Washer Power</v>
      </c>
      <c r="G247" s="28" t="s">
        <v>216</v>
      </c>
      <c r="H247" s="28" t="s">
        <v>227</v>
      </c>
      <c r="I247" s="28" t="s">
        <v>132</v>
      </c>
      <c r="M247" s="28" t="s">
        <v>127</v>
      </c>
      <c r="O247" s="29"/>
      <c r="P247" s="28"/>
      <c r="T247" s="35"/>
      <c r="U247" s="35"/>
      <c r="V247" s="35"/>
      <c r="W247" s="28" t="s">
        <v>1528</v>
      </c>
      <c r="Y247" s="29"/>
      <c r="Z247" s="29"/>
      <c r="AA247" s="29"/>
      <c r="AB247" s="29"/>
      <c r="AF247" s="28" t="s">
        <v>298</v>
      </c>
      <c r="AH247" s="28" t="s">
        <v>228</v>
      </c>
      <c r="AJ247" s="29"/>
      <c r="AK247" s="29"/>
      <c r="AV247" s="28"/>
      <c r="AW247" s="38"/>
      <c r="AX247" s="29"/>
      <c r="AY2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7" s="28" t="str">
        <f>IF(ISBLANK(Table2[[#This Row],[device_model]]), "", Table2[[#This Row],[device_suggested_area]])</f>
        <v/>
      </c>
      <c r="BI247" s="29"/>
      <c r="BO247" s="28"/>
      <c r="BQ2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9" ht="16" customHeight="1" x14ac:dyDescent="0.2">
      <c r="A248" s="28">
        <v>2113</v>
      </c>
      <c r="B248" s="28" t="s">
        <v>543</v>
      </c>
      <c r="C248" s="28" t="s">
        <v>725</v>
      </c>
      <c r="D248" s="28" t="s">
        <v>27</v>
      </c>
      <c r="E248" s="28" t="s">
        <v>1024</v>
      </c>
      <c r="F248" s="34" t="str">
        <f>IF(ISBLANK(Table2[[#This Row],[unique_id]]), "", PROPER(SUBSTITUTE(Table2[[#This Row],[unique_id]], "_", " ")))</f>
        <v>Clothes Dryer Power</v>
      </c>
      <c r="G248" s="28" t="s">
        <v>217</v>
      </c>
      <c r="H248" s="28" t="s">
        <v>227</v>
      </c>
      <c r="I248" s="28" t="s">
        <v>132</v>
      </c>
      <c r="M248" s="28" t="s">
        <v>127</v>
      </c>
      <c r="O248" s="29"/>
      <c r="P248" s="28"/>
      <c r="T248" s="35"/>
      <c r="U248" s="35"/>
      <c r="V248" s="35"/>
      <c r="W248" s="28" t="s">
        <v>1528</v>
      </c>
      <c r="Y248" s="29"/>
      <c r="Z248" s="29"/>
      <c r="AA248" s="29"/>
      <c r="AB248" s="29"/>
      <c r="AF248" s="28" t="s">
        <v>298</v>
      </c>
      <c r="AH248" s="28" t="s">
        <v>228</v>
      </c>
      <c r="AJ248" s="29"/>
      <c r="AK248" s="29"/>
      <c r="AV248" s="28"/>
      <c r="AW248" s="38"/>
      <c r="AX248" s="29"/>
      <c r="AY2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8" s="28" t="str">
        <f>IF(ISBLANK(Table2[[#This Row],[device_model]]), "", Table2[[#This Row],[device_suggested_area]])</f>
        <v/>
      </c>
      <c r="BI248" s="29"/>
      <c r="BO248" s="28"/>
      <c r="BQ2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9" ht="16" customHeight="1" x14ac:dyDescent="0.2">
      <c r="A249" s="28">
        <v>2114</v>
      </c>
      <c r="B249" s="28" t="s">
        <v>543</v>
      </c>
      <c r="C249" s="28" t="s">
        <v>725</v>
      </c>
      <c r="D249" s="28" t="s">
        <v>27</v>
      </c>
      <c r="E249" s="28" t="s">
        <v>1025</v>
      </c>
      <c r="F249" s="34" t="str">
        <f>IF(ISBLANK(Table2[[#This Row],[unique_id]]), "", PROPER(SUBSTITUTE(Table2[[#This Row],[unique_id]], "_", " ")))</f>
        <v>Washing Machine Power</v>
      </c>
      <c r="G249" s="28" t="s">
        <v>215</v>
      </c>
      <c r="H249" s="28" t="s">
        <v>227</v>
      </c>
      <c r="I249" s="28" t="s">
        <v>132</v>
      </c>
      <c r="M249" s="28" t="s">
        <v>127</v>
      </c>
      <c r="O249" s="29"/>
      <c r="P249" s="28"/>
      <c r="T249" s="35"/>
      <c r="U249" s="35"/>
      <c r="V249" s="35"/>
      <c r="W249" s="28" t="s">
        <v>1528</v>
      </c>
      <c r="Y249" s="29"/>
      <c r="Z249" s="29"/>
      <c r="AA249" s="29"/>
      <c r="AB249" s="29"/>
      <c r="AF249" s="28" t="s">
        <v>298</v>
      </c>
      <c r="AH249" s="28" t="s">
        <v>228</v>
      </c>
      <c r="AJ249" s="29"/>
      <c r="AK249" s="29"/>
      <c r="AV249" s="28"/>
      <c r="AW249" s="38"/>
      <c r="AX249" s="29"/>
      <c r="AY2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9" s="28" t="str">
        <f>IF(ISBLANK(Table2[[#This Row],[device_model]]), "", Table2[[#This Row],[device_suggested_area]])</f>
        <v/>
      </c>
      <c r="BI249" s="29"/>
      <c r="BO249" s="28"/>
      <c r="BQ2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9" ht="16" customHeight="1" x14ac:dyDescent="0.2">
      <c r="A250" s="28">
        <v>2115</v>
      </c>
      <c r="B250" s="28" t="s">
        <v>26</v>
      </c>
      <c r="C250" s="28" t="s">
        <v>725</v>
      </c>
      <c r="D250" s="28" t="s">
        <v>27</v>
      </c>
      <c r="E250" s="28" t="s">
        <v>726</v>
      </c>
      <c r="F250" s="34" t="str">
        <f>IF(ISBLANK(Table2[[#This Row],[unique_id]]), "", PROPER(SUBSTITUTE(Table2[[#This Row],[unique_id]], "_", " ")))</f>
        <v>Kitchen Fridge Power</v>
      </c>
      <c r="G250" s="28" t="s">
        <v>211</v>
      </c>
      <c r="H250" s="28" t="s">
        <v>227</v>
      </c>
      <c r="I250" s="28" t="s">
        <v>132</v>
      </c>
      <c r="M250" s="28" t="s">
        <v>127</v>
      </c>
      <c r="O250" s="29"/>
      <c r="P250" s="28"/>
      <c r="T250" s="35"/>
      <c r="U250" s="35"/>
      <c r="V250" s="35"/>
      <c r="W250" s="28" t="s">
        <v>1528</v>
      </c>
      <c r="Y250" s="29"/>
      <c r="Z250" s="29"/>
      <c r="AA250" s="29"/>
      <c r="AB250" s="29"/>
      <c r="AF250" s="28" t="s">
        <v>298</v>
      </c>
      <c r="AH250" s="28" t="s">
        <v>228</v>
      </c>
      <c r="AJ250" s="29"/>
      <c r="AK250" s="29"/>
      <c r="AV250" s="28"/>
      <c r="AW250" s="38"/>
      <c r="AX250" s="29"/>
      <c r="AY2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0" s="28" t="str">
        <f>IF(ISBLANK(Table2[[#This Row],[device_model]]), "", Table2[[#This Row],[device_suggested_area]])</f>
        <v/>
      </c>
      <c r="BI250" s="29"/>
      <c r="BO250" s="28"/>
      <c r="BQ2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9" ht="16" customHeight="1" x14ac:dyDescent="0.2">
      <c r="A251" s="28">
        <v>2116</v>
      </c>
      <c r="B251" s="28" t="s">
        <v>26</v>
      </c>
      <c r="C251" s="28" t="s">
        <v>725</v>
      </c>
      <c r="D251" s="28" t="s">
        <v>27</v>
      </c>
      <c r="E251" s="28" t="s">
        <v>727</v>
      </c>
      <c r="F251" s="34" t="str">
        <f>IF(ISBLANK(Table2[[#This Row],[unique_id]]), "", PROPER(SUBSTITUTE(Table2[[#This Row],[unique_id]], "_", " ")))</f>
        <v>Deck Freezer Power</v>
      </c>
      <c r="G251" s="28" t="s">
        <v>212</v>
      </c>
      <c r="H251" s="28" t="s">
        <v>227</v>
      </c>
      <c r="I251" s="28" t="s">
        <v>132</v>
      </c>
      <c r="M251" s="28" t="s">
        <v>127</v>
      </c>
      <c r="O251" s="29"/>
      <c r="P251" s="28"/>
      <c r="T251" s="35"/>
      <c r="U251" s="35"/>
      <c r="V251" s="35"/>
      <c r="W251" s="28" t="s">
        <v>1528</v>
      </c>
      <c r="Y251" s="29"/>
      <c r="Z251" s="29"/>
      <c r="AA251" s="29"/>
      <c r="AB251" s="29"/>
      <c r="AF251" s="28" t="s">
        <v>298</v>
      </c>
      <c r="AH251" s="28" t="s">
        <v>228</v>
      </c>
      <c r="AJ251" s="29"/>
      <c r="AK251" s="29"/>
      <c r="AV251" s="28"/>
      <c r="AW251" s="38"/>
      <c r="AX251" s="29"/>
      <c r="AY2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1" s="28" t="str">
        <f>IF(ISBLANK(Table2[[#This Row],[device_model]]), "", Table2[[#This Row],[device_suggested_area]])</f>
        <v/>
      </c>
      <c r="BI251" s="29"/>
      <c r="BO251" s="28"/>
      <c r="BQ2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9" ht="16" customHeight="1" x14ac:dyDescent="0.2">
      <c r="A252" s="28">
        <v>2117</v>
      </c>
      <c r="B252" s="28" t="s">
        <v>26</v>
      </c>
      <c r="C252" s="28" t="s">
        <v>725</v>
      </c>
      <c r="D252" s="28" t="s">
        <v>27</v>
      </c>
      <c r="E252" s="28" t="s">
        <v>1026</v>
      </c>
      <c r="F252" s="34" t="str">
        <f>IF(ISBLANK(Table2[[#This Row],[unique_id]]), "", PROPER(SUBSTITUTE(Table2[[#This Row],[unique_id]], "_", " ")))</f>
        <v>Towel Rails Power</v>
      </c>
      <c r="G252" s="28" t="s">
        <v>417</v>
      </c>
      <c r="H252" s="28" t="s">
        <v>227</v>
      </c>
      <c r="I252" s="28" t="s">
        <v>132</v>
      </c>
      <c r="M252" s="28" t="s">
        <v>127</v>
      </c>
      <c r="O252" s="29"/>
      <c r="P252" s="28"/>
      <c r="T252" s="35"/>
      <c r="U252" s="35"/>
      <c r="V252" s="35"/>
      <c r="W252" s="28" t="s">
        <v>1528</v>
      </c>
      <c r="Y252" s="29"/>
      <c r="Z252" s="29"/>
      <c r="AA252" s="29"/>
      <c r="AB252" s="29"/>
      <c r="AF252" s="28" t="s">
        <v>298</v>
      </c>
      <c r="AH252" s="28" t="s">
        <v>228</v>
      </c>
      <c r="AJ252" s="29"/>
      <c r="AK252" s="29"/>
      <c r="AV252" s="28"/>
      <c r="AW252" s="38"/>
      <c r="AX252" s="29"/>
      <c r="AY2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2" s="28" t="str">
        <f>IF(ISBLANK(Table2[[#This Row],[device_model]]), "", Table2[[#This Row],[device_suggested_area]])</f>
        <v/>
      </c>
      <c r="BI252" s="29"/>
      <c r="BO252" s="28"/>
      <c r="BQ2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9" ht="16" customHeight="1" x14ac:dyDescent="0.2">
      <c r="A253" s="28">
        <v>2118</v>
      </c>
      <c r="B253" s="28" t="s">
        <v>543</v>
      </c>
      <c r="C253" s="28" t="s">
        <v>725</v>
      </c>
      <c r="D253" s="28" t="s">
        <v>27</v>
      </c>
      <c r="E253" s="28" t="s">
        <v>728</v>
      </c>
      <c r="F253" s="34" t="str">
        <f>IF(ISBLANK(Table2[[#This Row],[unique_id]]), "", PROPER(SUBSTITUTE(Table2[[#This Row],[unique_id]], "_", " ")))</f>
        <v>Study Outlet Power</v>
      </c>
      <c r="G253" s="28" t="s">
        <v>214</v>
      </c>
      <c r="H253" s="28" t="s">
        <v>227</v>
      </c>
      <c r="I253" s="28" t="s">
        <v>132</v>
      </c>
      <c r="M253" s="28" t="s">
        <v>127</v>
      </c>
      <c r="O253" s="29"/>
      <c r="P253" s="28"/>
      <c r="T253" s="35"/>
      <c r="U253" s="35"/>
      <c r="V253" s="35"/>
      <c r="W253" s="28" t="s">
        <v>1528</v>
      </c>
      <c r="Y253" s="29"/>
      <c r="Z253" s="29"/>
      <c r="AA253" s="29"/>
      <c r="AB253" s="29"/>
      <c r="AF253" s="28" t="s">
        <v>298</v>
      </c>
      <c r="AH253" s="28" t="s">
        <v>228</v>
      </c>
      <c r="AJ253" s="29"/>
      <c r="AK253" s="29"/>
      <c r="AV253" s="28"/>
      <c r="AW253" s="38"/>
      <c r="AX253" s="29"/>
      <c r="AY2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3" s="28" t="str">
        <f>IF(ISBLANK(Table2[[#This Row],[device_model]]), "", Table2[[#This Row],[device_suggested_area]])</f>
        <v/>
      </c>
      <c r="BI253" s="29"/>
      <c r="BO253" s="28"/>
      <c r="BQ2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9" ht="16" customHeight="1" x14ac:dyDescent="0.2">
      <c r="A254" s="28">
        <v>2119</v>
      </c>
      <c r="B254" s="28" t="s">
        <v>543</v>
      </c>
      <c r="C254" s="28" t="s">
        <v>725</v>
      </c>
      <c r="D254" s="28" t="s">
        <v>27</v>
      </c>
      <c r="E254" s="28" t="s">
        <v>729</v>
      </c>
      <c r="F254" s="34" t="str">
        <f>IF(ISBLANK(Table2[[#This Row],[unique_id]]), "", PROPER(SUBSTITUTE(Table2[[#This Row],[unique_id]], "_", " ")))</f>
        <v>Office Outlet Power</v>
      </c>
      <c r="G254" s="28" t="s">
        <v>213</v>
      </c>
      <c r="H254" s="28" t="s">
        <v>227</v>
      </c>
      <c r="I254" s="28" t="s">
        <v>132</v>
      </c>
      <c r="M254" s="28" t="s">
        <v>127</v>
      </c>
      <c r="O254" s="29"/>
      <c r="P254" s="28"/>
      <c r="T254" s="35"/>
      <c r="U254" s="35"/>
      <c r="V254" s="35"/>
      <c r="W254" s="28" t="s">
        <v>1528</v>
      </c>
      <c r="Y254" s="29"/>
      <c r="Z254" s="29"/>
      <c r="AA254" s="29"/>
      <c r="AB254" s="29"/>
      <c r="AF254" s="28" t="s">
        <v>298</v>
      </c>
      <c r="AH254" s="28" t="s">
        <v>228</v>
      </c>
      <c r="AJ254" s="29"/>
      <c r="AK254" s="29"/>
      <c r="AV254" s="28"/>
      <c r="AW254" s="38"/>
      <c r="AX254" s="29"/>
      <c r="AY2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4" s="28" t="str">
        <f>IF(ISBLANK(Table2[[#This Row],[device_model]]), "", Table2[[#This Row],[device_suggested_area]])</f>
        <v/>
      </c>
      <c r="BI254" s="29"/>
      <c r="BO254" s="28"/>
      <c r="BQ2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9" ht="16" customHeight="1" x14ac:dyDescent="0.2">
      <c r="A255" s="28">
        <v>2120</v>
      </c>
      <c r="B255" s="28" t="s">
        <v>26</v>
      </c>
      <c r="C255" s="28" t="s">
        <v>725</v>
      </c>
      <c r="D255" s="28" t="s">
        <v>27</v>
      </c>
      <c r="E255" s="28" t="s">
        <v>742</v>
      </c>
      <c r="F255" s="34" t="str">
        <f>IF(ISBLANK(Table2[[#This Row],[unique_id]]), "", PROPER(SUBSTITUTE(Table2[[#This Row],[unique_id]], "_", " ")))</f>
        <v>Audio Visual Devices Power</v>
      </c>
      <c r="G255" s="28" t="s">
        <v>743</v>
      </c>
      <c r="H255" s="28" t="s">
        <v>227</v>
      </c>
      <c r="I255" s="28" t="s">
        <v>132</v>
      </c>
      <c r="M255" s="28" t="s">
        <v>127</v>
      </c>
      <c r="O255" s="29"/>
      <c r="P255" s="28"/>
      <c r="T255" s="35"/>
      <c r="U255" s="35"/>
      <c r="V255" s="35"/>
      <c r="W255" s="28" t="s">
        <v>1528</v>
      </c>
      <c r="Y255" s="29"/>
      <c r="Z255" s="29"/>
      <c r="AA255" s="29"/>
      <c r="AB255" s="29"/>
      <c r="AF255" s="28" t="s">
        <v>298</v>
      </c>
      <c r="AH255" s="28" t="s">
        <v>228</v>
      </c>
      <c r="AJ255" s="29"/>
      <c r="AK255" s="29"/>
      <c r="AV255" s="28"/>
      <c r="AW255" s="38"/>
      <c r="AX255" s="29"/>
      <c r="AY2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5" s="28" t="str">
        <f>IF(ISBLANK(Table2[[#This Row],[device_model]]), "", Table2[[#This Row],[device_suggested_area]])</f>
        <v/>
      </c>
      <c r="BI255" s="29"/>
      <c r="BO255" s="28"/>
      <c r="BQ2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9" ht="16" customHeight="1" x14ac:dyDescent="0.2">
      <c r="A256" s="28">
        <v>2121</v>
      </c>
      <c r="B256" s="28" t="s">
        <v>26</v>
      </c>
      <c r="C256" s="28" t="s">
        <v>725</v>
      </c>
      <c r="D256" s="28" t="s">
        <v>27</v>
      </c>
      <c r="E256" s="28" t="s">
        <v>716</v>
      </c>
      <c r="F256" s="34" t="str">
        <f>IF(ISBLANK(Table2[[#This Row],[unique_id]]), "", PROPER(SUBSTITUTE(Table2[[#This Row],[unique_id]], "_", " ")))</f>
        <v>Servers Network Power</v>
      </c>
      <c r="G256" s="28" t="s">
        <v>710</v>
      </c>
      <c r="H256" s="28" t="s">
        <v>227</v>
      </c>
      <c r="I256" s="28" t="s">
        <v>132</v>
      </c>
      <c r="M256" s="28" t="s">
        <v>127</v>
      </c>
      <c r="O256" s="29"/>
      <c r="P256" s="28"/>
      <c r="T256" s="35"/>
      <c r="U256" s="35"/>
      <c r="V256" s="35"/>
      <c r="W256" s="28" t="s">
        <v>1528</v>
      </c>
      <c r="Y256" s="29"/>
      <c r="Z256" s="29"/>
      <c r="AA256" s="29"/>
      <c r="AB256" s="29"/>
      <c r="AF256" s="28" t="s">
        <v>298</v>
      </c>
      <c r="AH256" s="28" t="s">
        <v>228</v>
      </c>
      <c r="AJ256" s="29"/>
      <c r="AK256" s="29"/>
      <c r="AV256" s="28"/>
      <c r="AW256" s="38"/>
      <c r="AX256" s="29"/>
      <c r="AY2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6" s="28" t="str">
        <f>IF(ISBLANK(Table2[[#This Row],[device_model]]), "", Table2[[#This Row],[device_suggested_area]])</f>
        <v/>
      </c>
      <c r="BI256" s="29"/>
      <c r="BO256" s="28"/>
      <c r="BQ2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9" ht="16" customHeight="1" x14ac:dyDescent="0.2">
      <c r="A257" s="28">
        <v>2122</v>
      </c>
      <c r="B257" s="28" t="s">
        <v>26</v>
      </c>
      <c r="C257" s="28" t="s">
        <v>409</v>
      </c>
      <c r="D257" s="28" t="s">
        <v>304</v>
      </c>
      <c r="E257" s="28" t="s">
        <v>303</v>
      </c>
      <c r="F257" s="34" t="str">
        <f>IF(ISBLANK(Table2[[#This Row],[unique_id]]), "", PROPER(SUBSTITUTE(Table2[[#This Row],[unique_id]], "_", " ")))</f>
        <v>Column Break</v>
      </c>
      <c r="G257" s="28" t="s">
        <v>300</v>
      </c>
      <c r="H257" s="28" t="s">
        <v>227</v>
      </c>
      <c r="I257" s="28" t="s">
        <v>132</v>
      </c>
      <c r="M257" s="28" t="s">
        <v>301</v>
      </c>
      <c r="N257" s="28" t="s">
        <v>302</v>
      </c>
      <c r="O257" s="29"/>
      <c r="P257" s="28"/>
      <c r="T257" s="35"/>
      <c r="U257" s="35"/>
      <c r="V257" s="35"/>
      <c r="W257" s="28"/>
      <c r="Y257" s="29"/>
      <c r="Z257" s="29"/>
      <c r="AA257" s="29"/>
      <c r="AB257" s="29"/>
      <c r="AJ257" s="29"/>
      <c r="AK257" s="29"/>
      <c r="AV257" s="28"/>
      <c r="AW257" s="38"/>
      <c r="AX257" s="29"/>
      <c r="AY2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7" s="28" t="str">
        <f>IF(ISBLANK(Table2[[#This Row],[device_model]]), "", Table2[[#This Row],[device_suggested_area]])</f>
        <v/>
      </c>
      <c r="BI257" s="29"/>
      <c r="BO257" s="28"/>
      <c r="BQ2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9" ht="16" customHeight="1" x14ac:dyDescent="0.2">
      <c r="A258" s="28">
        <v>2123</v>
      </c>
      <c r="B258" s="28" t="s">
        <v>26</v>
      </c>
      <c r="C258" s="28" t="s">
        <v>725</v>
      </c>
      <c r="D258" s="28" t="s">
        <v>27</v>
      </c>
      <c r="E258" s="28" t="s">
        <v>226</v>
      </c>
      <c r="F258" s="34" t="str">
        <f>IF(ISBLANK(Table2[[#This Row],[unique_id]]), "", PROPER(SUBSTITUTE(Table2[[#This Row],[unique_id]], "_", " ")))</f>
        <v>Home Energy Daily</v>
      </c>
      <c r="G258" s="28" t="s">
        <v>295</v>
      </c>
      <c r="H258" s="28" t="s">
        <v>207</v>
      </c>
      <c r="I258" s="28" t="s">
        <v>132</v>
      </c>
      <c r="M258" s="28" t="s">
        <v>81</v>
      </c>
      <c r="O258" s="29"/>
      <c r="P258" s="28"/>
      <c r="T258" s="35"/>
      <c r="U258" s="35"/>
      <c r="V258" s="35"/>
      <c r="W258" s="28" t="s">
        <v>1527</v>
      </c>
      <c r="Y258" s="29"/>
      <c r="Z258" s="29"/>
      <c r="AA258" s="29"/>
      <c r="AB258" s="29"/>
      <c r="AF258" s="28" t="s">
        <v>299</v>
      </c>
      <c r="AH258" s="28" t="s">
        <v>229</v>
      </c>
      <c r="AJ258" s="29"/>
      <c r="AK258" s="29"/>
      <c r="AV258" s="28"/>
      <c r="AW258" s="38"/>
      <c r="AX258" s="29"/>
      <c r="AY2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8" s="28" t="str">
        <f>IF(ISBLANK(Table2[[#This Row],[device_model]]), "", Table2[[#This Row],[device_suggested_area]])</f>
        <v/>
      </c>
      <c r="BI258" s="29"/>
      <c r="BO258" s="28"/>
      <c r="BQ2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9" ht="16" customHeight="1" x14ac:dyDescent="0.2">
      <c r="A259" s="28">
        <v>2124</v>
      </c>
      <c r="B259" s="28" t="s">
        <v>26</v>
      </c>
      <c r="C259" s="28" t="s">
        <v>725</v>
      </c>
      <c r="D259" s="28" t="s">
        <v>27</v>
      </c>
      <c r="E259" s="28" t="s">
        <v>297</v>
      </c>
      <c r="F259" s="34" t="str">
        <f>IF(ISBLANK(Table2[[#This Row],[unique_id]]), "", PROPER(SUBSTITUTE(Table2[[#This Row],[unique_id]], "_", " ")))</f>
        <v>Home Base Energy Daily</v>
      </c>
      <c r="G259" s="28" t="s">
        <v>293</v>
      </c>
      <c r="H259" s="28" t="s">
        <v>207</v>
      </c>
      <c r="I259" s="28" t="s">
        <v>132</v>
      </c>
      <c r="M259" s="28" t="s">
        <v>81</v>
      </c>
      <c r="O259" s="29"/>
      <c r="P259" s="28"/>
      <c r="T259" s="35"/>
      <c r="U259" s="35"/>
      <c r="V259" s="35"/>
      <c r="W259" s="28" t="s">
        <v>1527</v>
      </c>
      <c r="Y259" s="29"/>
      <c r="Z259" s="29"/>
      <c r="AA259" s="29"/>
      <c r="AB259" s="29"/>
      <c r="AF259" s="28" t="s">
        <v>299</v>
      </c>
      <c r="AH259" s="28" t="s">
        <v>229</v>
      </c>
      <c r="AJ259" s="29"/>
      <c r="AK259" s="29"/>
      <c r="AV259" s="28"/>
      <c r="AW259" s="38"/>
      <c r="AX259" s="29"/>
      <c r="AY2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9" s="28" t="str">
        <f>IF(ISBLANK(Table2[[#This Row],[device_model]]), "", Table2[[#This Row],[device_suggested_area]])</f>
        <v/>
      </c>
      <c r="BI259" s="29"/>
      <c r="BO259" s="28"/>
      <c r="BQ2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9" ht="16" customHeight="1" x14ac:dyDescent="0.2">
      <c r="A260" s="28">
        <v>2125</v>
      </c>
      <c r="B260" s="28" t="s">
        <v>26</v>
      </c>
      <c r="C260" s="28" t="s">
        <v>725</v>
      </c>
      <c r="D260" s="28" t="s">
        <v>27</v>
      </c>
      <c r="E260" s="28" t="s">
        <v>296</v>
      </c>
      <c r="F260" s="34" t="str">
        <f>IF(ISBLANK(Table2[[#This Row],[unique_id]]), "", PROPER(SUBSTITUTE(Table2[[#This Row],[unique_id]], "_", " ")))</f>
        <v>Home Peak Energy Daily</v>
      </c>
      <c r="G260" s="28" t="s">
        <v>294</v>
      </c>
      <c r="H260" s="28" t="s">
        <v>207</v>
      </c>
      <c r="I260" s="28" t="s">
        <v>132</v>
      </c>
      <c r="M260" s="28" t="s">
        <v>81</v>
      </c>
      <c r="O260" s="29"/>
      <c r="P260" s="28"/>
      <c r="T260" s="35"/>
      <c r="U260" s="35"/>
      <c r="V260" s="35"/>
      <c r="W260" s="28" t="s">
        <v>1527</v>
      </c>
      <c r="Y260" s="29"/>
      <c r="Z260" s="29"/>
      <c r="AA260" s="29"/>
      <c r="AB260" s="29"/>
      <c r="AF260" s="28" t="s">
        <v>299</v>
      </c>
      <c r="AH260" s="28" t="s">
        <v>229</v>
      </c>
      <c r="AJ260" s="29"/>
      <c r="AK260" s="29"/>
      <c r="AV260" s="28"/>
      <c r="AW260" s="38"/>
      <c r="AX260" s="29"/>
      <c r="AY2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0" s="28" t="str">
        <f>IF(ISBLANK(Table2[[#This Row],[device_model]]), "", Table2[[#This Row],[device_suggested_area]])</f>
        <v/>
      </c>
      <c r="BI260" s="29"/>
      <c r="BO260" s="28"/>
      <c r="BQ2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9" ht="16" customHeight="1" x14ac:dyDescent="0.2">
      <c r="A261" s="28">
        <v>2126</v>
      </c>
      <c r="B261" s="28" t="s">
        <v>26</v>
      </c>
      <c r="C261" s="28" t="s">
        <v>409</v>
      </c>
      <c r="D261" s="28" t="s">
        <v>304</v>
      </c>
      <c r="E261" s="28" t="s">
        <v>407</v>
      </c>
      <c r="F261" s="34" t="str">
        <f>IF(ISBLANK(Table2[[#This Row],[unique_id]]), "", PROPER(SUBSTITUTE(Table2[[#This Row],[unique_id]], "_", " ")))</f>
        <v>Graph Break</v>
      </c>
      <c r="G261" s="28" t="s">
        <v>408</v>
      </c>
      <c r="H261" s="28" t="s">
        <v>207</v>
      </c>
      <c r="I261" s="28" t="s">
        <v>132</v>
      </c>
      <c r="O261" s="29"/>
      <c r="P261" s="28"/>
      <c r="T261" s="35"/>
      <c r="U261" s="35"/>
      <c r="V261" s="35"/>
      <c r="W261" s="28" t="s">
        <v>1527</v>
      </c>
      <c r="Y261" s="29"/>
      <c r="Z261" s="29"/>
      <c r="AA261" s="29"/>
      <c r="AB261" s="29"/>
      <c r="AJ261" s="29"/>
      <c r="AK261" s="29"/>
      <c r="AV261" s="28"/>
      <c r="AW261" s="38"/>
      <c r="AX261" s="29"/>
      <c r="AY2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1" s="28" t="str">
        <f>IF(ISBLANK(Table2[[#This Row],[device_model]]), "", Table2[[#This Row],[device_suggested_area]])</f>
        <v/>
      </c>
      <c r="BI261" s="29"/>
      <c r="BO261" s="28"/>
      <c r="BQ2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9" ht="16" customHeight="1" x14ac:dyDescent="0.2">
      <c r="A262" s="28">
        <v>2127</v>
      </c>
      <c r="B262" s="28" t="s">
        <v>26</v>
      </c>
      <c r="C262" s="28" t="s">
        <v>725</v>
      </c>
      <c r="D262" s="28" t="s">
        <v>27</v>
      </c>
      <c r="E262" s="28" t="s">
        <v>713</v>
      </c>
      <c r="F262" s="34" t="str">
        <f>IF(ISBLANK(Table2[[#This Row],[unique_id]]), "", PROPER(SUBSTITUTE(Table2[[#This Row],[unique_id]], "_", " ")))</f>
        <v>Lights Energy Daily</v>
      </c>
      <c r="G262" s="28" t="s">
        <v>738</v>
      </c>
      <c r="H262" s="28" t="s">
        <v>207</v>
      </c>
      <c r="I262" s="28" t="s">
        <v>132</v>
      </c>
      <c r="M262" s="28" t="s">
        <v>127</v>
      </c>
      <c r="O262" s="29"/>
      <c r="P262" s="28"/>
      <c r="T262" s="35"/>
      <c r="U262" s="35"/>
      <c r="V262" s="35"/>
      <c r="W262" s="28" t="s">
        <v>1527</v>
      </c>
      <c r="Y262" s="29"/>
      <c r="Z262" s="29"/>
      <c r="AA262" s="29"/>
      <c r="AB262" s="29"/>
      <c r="AF262" s="28" t="s">
        <v>299</v>
      </c>
      <c r="AH262" s="28" t="s">
        <v>229</v>
      </c>
      <c r="AJ262" s="29"/>
      <c r="AK262" s="29"/>
      <c r="AV262" s="28"/>
      <c r="AW262" s="38"/>
      <c r="AX262" s="29"/>
      <c r="AY2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2" s="28" t="str">
        <f>IF(ISBLANK(Table2[[#This Row],[device_model]]), "", Table2[[#This Row],[device_suggested_area]])</f>
        <v/>
      </c>
      <c r="BI262" s="29"/>
      <c r="BO262" s="28"/>
      <c r="BQ2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9" ht="16" customHeight="1" x14ac:dyDescent="0.2">
      <c r="A263" s="28">
        <v>2128</v>
      </c>
      <c r="B263" s="28" t="s">
        <v>26</v>
      </c>
      <c r="C263" s="28" t="s">
        <v>725</v>
      </c>
      <c r="D263" s="28" t="s">
        <v>27</v>
      </c>
      <c r="E263" s="28" t="s">
        <v>714</v>
      </c>
      <c r="F263" s="34" t="str">
        <f>IF(ISBLANK(Table2[[#This Row],[unique_id]]), "", PROPER(SUBSTITUTE(Table2[[#This Row],[unique_id]], "_", " ")))</f>
        <v>Fans Energy Daily</v>
      </c>
      <c r="G263" s="28" t="s">
        <v>737</v>
      </c>
      <c r="H263" s="28" t="s">
        <v>207</v>
      </c>
      <c r="I263" s="28" t="s">
        <v>132</v>
      </c>
      <c r="M263" s="28" t="s">
        <v>127</v>
      </c>
      <c r="O263" s="29"/>
      <c r="P263" s="28"/>
      <c r="T263" s="35"/>
      <c r="U263" s="35"/>
      <c r="V263" s="35"/>
      <c r="W263" s="28" t="s">
        <v>1527</v>
      </c>
      <c r="Y263" s="29"/>
      <c r="Z263" s="29"/>
      <c r="AA263" s="29"/>
      <c r="AB263" s="29"/>
      <c r="AF263" s="28" t="s">
        <v>299</v>
      </c>
      <c r="AH263" s="28" t="s">
        <v>229</v>
      </c>
      <c r="AJ263" s="29"/>
      <c r="AK263" s="29"/>
      <c r="AV263" s="28"/>
      <c r="AW263" s="38"/>
      <c r="AX263" s="29"/>
      <c r="AY2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3" s="28" t="str">
        <f>IF(ISBLANK(Table2[[#This Row],[device_model]]), "", Table2[[#This Row],[device_suggested_area]])</f>
        <v/>
      </c>
      <c r="BI263" s="29"/>
      <c r="BO263" s="28"/>
      <c r="BQ2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9" ht="16" customHeight="1" x14ac:dyDescent="0.2">
      <c r="A264" s="28">
        <v>2129</v>
      </c>
      <c r="B264" s="28" t="s">
        <v>26</v>
      </c>
      <c r="C264" s="28" t="s">
        <v>725</v>
      </c>
      <c r="D264" s="28" t="s">
        <v>27</v>
      </c>
      <c r="E264" s="28" t="s">
        <v>778</v>
      </c>
      <c r="F264" s="34" t="str">
        <f>IF(ISBLANK(Table2[[#This Row],[unique_id]]), "", PROPER(SUBSTITUTE(Table2[[#This Row],[unique_id]], "_", " ")))</f>
        <v>All Standby Energy Daily</v>
      </c>
      <c r="G264" s="28" t="s">
        <v>787</v>
      </c>
      <c r="H264" s="28" t="s">
        <v>207</v>
      </c>
      <c r="I264" s="28" t="s">
        <v>132</v>
      </c>
      <c r="M264" s="28" t="s">
        <v>127</v>
      </c>
      <c r="O264" s="29"/>
      <c r="P264" s="28"/>
      <c r="T264" s="35"/>
      <c r="U264" s="35"/>
      <c r="V264" s="35"/>
      <c r="W264" s="28" t="s">
        <v>1527</v>
      </c>
      <c r="Y264" s="29"/>
      <c r="Z264" s="29"/>
      <c r="AA264" s="29"/>
      <c r="AB264" s="29"/>
      <c r="AF264" s="28" t="s">
        <v>299</v>
      </c>
      <c r="AH264" s="28" t="s">
        <v>229</v>
      </c>
      <c r="AJ264" s="29"/>
      <c r="AK264" s="29"/>
      <c r="AV264" s="28"/>
      <c r="AW264" s="38"/>
      <c r="AX264" s="29"/>
      <c r="AY2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4" s="28" t="str">
        <f>IF(ISBLANK(Table2[[#This Row],[device_model]]), "", Table2[[#This Row],[device_suggested_area]])</f>
        <v/>
      </c>
      <c r="BI264" s="29"/>
      <c r="BO264" s="28"/>
      <c r="BQ2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9" ht="16" customHeight="1" x14ac:dyDescent="0.2">
      <c r="A265" s="28">
        <v>2130</v>
      </c>
      <c r="B265" s="28" t="s">
        <v>26</v>
      </c>
      <c r="C265" s="28" t="s">
        <v>725</v>
      </c>
      <c r="D265" s="28" t="s">
        <v>27</v>
      </c>
      <c r="E265" s="28" t="s">
        <v>1027</v>
      </c>
      <c r="F265" s="34" t="str">
        <f>IF(ISBLANK(Table2[[#This Row],[unique_id]]), "", PROPER(SUBSTITUTE(Table2[[#This Row],[unique_id]], "_", " ")))</f>
        <v>Coffee Machine Energy Daily</v>
      </c>
      <c r="G265" s="28" t="s">
        <v>126</v>
      </c>
      <c r="H265" s="28" t="s">
        <v>207</v>
      </c>
      <c r="I265" s="28" t="s">
        <v>132</v>
      </c>
      <c r="M265" s="28" t="s">
        <v>127</v>
      </c>
      <c r="O265" s="29"/>
      <c r="P265" s="28"/>
      <c r="T265" s="35"/>
      <c r="U265" s="35"/>
      <c r="V265" s="35"/>
      <c r="W265" s="28" t="s">
        <v>1527</v>
      </c>
      <c r="Y265" s="29"/>
      <c r="Z265" s="29"/>
      <c r="AA265" s="29"/>
      <c r="AB265" s="29"/>
      <c r="AF265" s="28" t="s">
        <v>299</v>
      </c>
      <c r="AH265" s="28" t="s">
        <v>229</v>
      </c>
      <c r="AJ265" s="29"/>
      <c r="AK265" s="29"/>
      <c r="AV265" s="28"/>
      <c r="AW265" s="38"/>
      <c r="AX265" s="29"/>
      <c r="AY2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5" s="28" t="str">
        <f>IF(ISBLANK(Table2[[#This Row],[device_model]]), "", Table2[[#This Row],[device_suggested_area]])</f>
        <v/>
      </c>
      <c r="BI265" s="29"/>
      <c r="BO265" s="28"/>
      <c r="BQ2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9" ht="16" customHeight="1" x14ac:dyDescent="0.2">
      <c r="A266" s="28">
        <v>2131</v>
      </c>
      <c r="B266" s="28" t="s">
        <v>543</v>
      </c>
      <c r="C266" s="28" t="s">
        <v>725</v>
      </c>
      <c r="D266" s="28" t="s">
        <v>27</v>
      </c>
      <c r="E266" s="28" t="s">
        <v>1028</v>
      </c>
      <c r="F266" s="34" t="str">
        <f>IF(ISBLANK(Table2[[#This Row],[unique_id]]), "", PROPER(SUBSTITUTE(Table2[[#This Row],[unique_id]], "_", " ")))</f>
        <v>Battery Charger Energy Daily</v>
      </c>
      <c r="G266" s="28" t="s">
        <v>219</v>
      </c>
      <c r="H266" s="28" t="s">
        <v>207</v>
      </c>
      <c r="I266" s="28" t="s">
        <v>132</v>
      </c>
      <c r="M266" s="28" t="s">
        <v>127</v>
      </c>
      <c r="O266" s="29"/>
      <c r="P266" s="28"/>
      <c r="T266" s="35"/>
      <c r="U266" s="35"/>
      <c r="V266" s="35"/>
      <c r="W266" s="28" t="s">
        <v>1527</v>
      </c>
      <c r="Y266" s="29"/>
      <c r="Z266" s="29"/>
      <c r="AA266" s="29"/>
      <c r="AB266" s="29"/>
      <c r="AF266" s="28" t="s">
        <v>299</v>
      </c>
      <c r="AH266" s="28" t="s">
        <v>229</v>
      </c>
      <c r="AJ266" s="29"/>
      <c r="AK266" s="29"/>
      <c r="AV266" s="28"/>
      <c r="AW266" s="38"/>
      <c r="AX266" s="29"/>
      <c r="AY2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6" s="28" t="str">
        <f>IF(ISBLANK(Table2[[#This Row],[device_model]]), "", Table2[[#This Row],[device_suggested_area]])</f>
        <v/>
      </c>
      <c r="BI266" s="29"/>
      <c r="BO266" s="28"/>
      <c r="BQ2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9" ht="16" customHeight="1" x14ac:dyDescent="0.2">
      <c r="A267" s="28">
        <v>2132</v>
      </c>
      <c r="B267" s="28" t="s">
        <v>543</v>
      </c>
      <c r="C267" s="28" t="s">
        <v>725</v>
      </c>
      <c r="D267" s="28" t="s">
        <v>27</v>
      </c>
      <c r="E267" s="28" t="s">
        <v>1029</v>
      </c>
      <c r="F267" s="34" t="str">
        <f>IF(ISBLANK(Table2[[#This Row],[unique_id]]), "", PROPER(SUBSTITUTE(Table2[[#This Row],[unique_id]], "_", " ")))</f>
        <v>Vacuum Charger Energy Daily</v>
      </c>
      <c r="G267" s="28" t="s">
        <v>218</v>
      </c>
      <c r="H267" s="28" t="s">
        <v>207</v>
      </c>
      <c r="I267" s="28" t="s">
        <v>132</v>
      </c>
      <c r="M267" s="28" t="s">
        <v>127</v>
      </c>
      <c r="O267" s="29"/>
      <c r="P267" s="28"/>
      <c r="T267" s="35"/>
      <c r="U267" s="35"/>
      <c r="V267" s="35"/>
      <c r="W267" s="28" t="s">
        <v>1527</v>
      </c>
      <c r="Y267" s="29"/>
      <c r="Z267" s="29"/>
      <c r="AA267" s="29"/>
      <c r="AB267" s="29"/>
      <c r="AF267" s="28" t="s">
        <v>299</v>
      </c>
      <c r="AH267" s="28" t="s">
        <v>229</v>
      </c>
      <c r="AJ267" s="29"/>
      <c r="AK267" s="29"/>
      <c r="AV267" s="28"/>
      <c r="AW267" s="38"/>
      <c r="AX267" s="29"/>
      <c r="AY2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7" s="28" t="str">
        <f>IF(ISBLANK(Table2[[#This Row],[device_model]]), "", Table2[[#This Row],[device_suggested_area]])</f>
        <v/>
      </c>
      <c r="BI267" s="29"/>
      <c r="BO267" s="28"/>
      <c r="BQ2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9" ht="16" customHeight="1" x14ac:dyDescent="0.2">
      <c r="A268" s="28">
        <v>2133</v>
      </c>
      <c r="B268" s="28" t="s">
        <v>26</v>
      </c>
      <c r="C268" s="28" t="s">
        <v>725</v>
      </c>
      <c r="D268" s="28" t="s">
        <v>27</v>
      </c>
      <c r="E268" s="28" t="s">
        <v>1030</v>
      </c>
      <c r="F268" s="34" t="str">
        <f>IF(ISBLANK(Table2[[#This Row],[unique_id]]), "", PROPER(SUBSTITUTE(Table2[[#This Row],[unique_id]], "_", " ")))</f>
        <v>Pool Filter Energy Daily</v>
      </c>
      <c r="G268" s="28" t="s">
        <v>290</v>
      </c>
      <c r="H268" s="28" t="s">
        <v>207</v>
      </c>
      <c r="I268" s="28" t="s">
        <v>132</v>
      </c>
      <c r="M268" s="28" t="s">
        <v>127</v>
      </c>
      <c r="O268" s="29"/>
      <c r="P268" s="28"/>
      <c r="T268" s="35"/>
      <c r="U268" s="35"/>
      <c r="V268" s="35"/>
      <c r="W268" s="28" t="s">
        <v>1527</v>
      </c>
      <c r="Y268" s="29"/>
      <c r="Z268" s="29"/>
      <c r="AA268" s="29"/>
      <c r="AB268" s="29"/>
      <c r="AF268" s="28" t="s">
        <v>299</v>
      </c>
      <c r="AH268" s="28" t="s">
        <v>229</v>
      </c>
      <c r="AJ268" s="29"/>
      <c r="AK268" s="29"/>
      <c r="AV268" s="28"/>
      <c r="AW268" s="38"/>
      <c r="AX268" s="29"/>
      <c r="AY2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8" s="28" t="str">
        <f>IF(ISBLANK(Table2[[#This Row],[device_model]]), "", Table2[[#This Row],[device_suggested_area]])</f>
        <v/>
      </c>
      <c r="BI268" s="29"/>
      <c r="BO268" s="28"/>
      <c r="BQ2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9" ht="16" customHeight="1" x14ac:dyDescent="0.2">
      <c r="A269" s="28">
        <v>2134</v>
      </c>
      <c r="B269" s="28" t="s">
        <v>26</v>
      </c>
      <c r="C269" s="28" t="s">
        <v>725</v>
      </c>
      <c r="D269" s="28" t="s">
        <v>27</v>
      </c>
      <c r="E269" s="28" t="s">
        <v>1031</v>
      </c>
      <c r="F269" s="34" t="str">
        <f>IF(ISBLANK(Table2[[#This Row],[unique_id]]), "", PROPER(SUBSTITUTE(Table2[[#This Row],[unique_id]], "_", " ")))</f>
        <v>Water Booster Energy Daily</v>
      </c>
      <c r="G269" s="28" t="s">
        <v>1104</v>
      </c>
      <c r="H269" s="28" t="s">
        <v>207</v>
      </c>
      <c r="I269" s="28" t="s">
        <v>132</v>
      </c>
      <c r="M269" s="28" t="s">
        <v>127</v>
      </c>
      <c r="O269" s="29"/>
      <c r="P269" s="28"/>
      <c r="T269" s="35"/>
      <c r="U269" s="35"/>
      <c r="V269" s="35"/>
      <c r="W269" s="28" t="s">
        <v>1527</v>
      </c>
      <c r="Y269" s="29"/>
      <c r="Z269" s="29"/>
      <c r="AA269" s="29"/>
      <c r="AB269" s="29"/>
      <c r="AF269" s="28" t="s">
        <v>299</v>
      </c>
      <c r="AH269" s="28" t="s">
        <v>229</v>
      </c>
      <c r="AJ269" s="29"/>
      <c r="AK269" s="29"/>
      <c r="AV269" s="28"/>
      <c r="AW269" s="38"/>
      <c r="AX269" s="29"/>
      <c r="AY2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9" s="28" t="str">
        <f>IF(ISBLANK(Table2[[#This Row],[device_model]]), "", Table2[[#This Row],[device_suggested_area]])</f>
        <v/>
      </c>
      <c r="BI269" s="29"/>
      <c r="BO269" s="28"/>
      <c r="BQ2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9" ht="16" customHeight="1" x14ac:dyDescent="0.2">
      <c r="A270" s="28">
        <v>2135</v>
      </c>
      <c r="B270" s="28" t="s">
        <v>26</v>
      </c>
      <c r="C270" s="28" t="s">
        <v>725</v>
      </c>
      <c r="D270" s="28" t="s">
        <v>27</v>
      </c>
      <c r="E270" s="28" t="s">
        <v>1032</v>
      </c>
      <c r="F270" s="34" t="str">
        <f>IF(ISBLANK(Table2[[#This Row],[unique_id]]), "", PROPER(SUBSTITUTE(Table2[[#This Row],[unique_id]], "_", " ")))</f>
        <v>Dish Washer Energy Daily</v>
      </c>
      <c r="G270" s="28" t="s">
        <v>216</v>
      </c>
      <c r="H270" s="28" t="s">
        <v>207</v>
      </c>
      <c r="I270" s="28" t="s">
        <v>132</v>
      </c>
      <c r="M270" s="28" t="s">
        <v>127</v>
      </c>
      <c r="O270" s="29"/>
      <c r="P270" s="28"/>
      <c r="T270" s="35"/>
      <c r="U270" s="35"/>
      <c r="V270" s="35"/>
      <c r="W270" s="28" t="s">
        <v>1527</v>
      </c>
      <c r="Y270" s="29"/>
      <c r="Z270" s="29"/>
      <c r="AA270" s="29"/>
      <c r="AB270" s="29"/>
      <c r="AF270" s="28" t="s">
        <v>299</v>
      </c>
      <c r="AH270" s="28" t="s">
        <v>229</v>
      </c>
      <c r="AJ270" s="29"/>
      <c r="AK270" s="29"/>
      <c r="AV270" s="28"/>
      <c r="AW270" s="38"/>
      <c r="AX270" s="29"/>
      <c r="AY2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0" s="28" t="str">
        <f>IF(ISBLANK(Table2[[#This Row],[device_model]]), "", Table2[[#This Row],[device_suggested_area]])</f>
        <v/>
      </c>
      <c r="BI270" s="29"/>
      <c r="BO270" s="28"/>
      <c r="BQ2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9" ht="16" customHeight="1" x14ac:dyDescent="0.2">
      <c r="A271" s="28">
        <v>2136</v>
      </c>
      <c r="B271" s="28" t="s">
        <v>543</v>
      </c>
      <c r="C271" s="28" t="s">
        <v>725</v>
      </c>
      <c r="D271" s="28" t="s">
        <v>27</v>
      </c>
      <c r="E271" s="28" t="s">
        <v>1033</v>
      </c>
      <c r="F271" s="34" t="str">
        <f>IF(ISBLANK(Table2[[#This Row],[unique_id]]), "", PROPER(SUBSTITUTE(Table2[[#This Row],[unique_id]], "_", " ")))</f>
        <v>Clothes Dryer Energy Daily</v>
      </c>
      <c r="G271" s="28" t="s">
        <v>217</v>
      </c>
      <c r="H271" s="28" t="s">
        <v>207</v>
      </c>
      <c r="I271" s="28" t="s">
        <v>132</v>
      </c>
      <c r="M271" s="28" t="s">
        <v>127</v>
      </c>
      <c r="O271" s="29"/>
      <c r="P271" s="28"/>
      <c r="T271" s="35"/>
      <c r="U271" s="35"/>
      <c r="V271" s="35"/>
      <c r="W271" s="28" t="s">
        <v>1527</v>
      </c>
      <c r="Y271" s="29"/>
      <c r="Z271" s="29"/>
      <c r="AA271" s="29"/>
      <c r="AB271" s="29"/>
      <c r="AF271" s="28" t="s">
        <v>299</v>
      </c>
      <c r="AH271" s="28" t="s">
        <v>229</v>
      </c>
      <c r="AJ271" s="29"/>
      <c r="AK271" s="29"/>
      <c r="AV271" s="28"/>
      <c r="AW271" s="38"/>
      <c r="AX271" s="29"/>
      <c r="AY2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1" s="28" t="str">
        <f>IF(ISBLANK(Table2[[#This Row],[device_model]]), "", Table2[[#This Row],[device_suggested_area]])</f>
        <v/>
      </c>
      <c r="BI271" s="29"/>
      <c r="BO271" s="28"/>
      <c r="BQ2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9" ht="16" customHeight="1" x14ac:dyDescent="0.2">
      <c r="A272" s="28">
        <v>2137</v>
      </c>
      <c r="B272" s="28" t="s">
        <v>543</v>
      </c>
      <c r="C272" s="28" t="s">
        <v>725</v>
      </c>
      <c r="D272" s="28" t="s">
        <v>27</v>
      </c>
      <c r="E272" s="28" t="s">
        <v>1034</v>
      </c>
      <c r="F272" s="34" t="str">
        <f>IF(ISBLANK(Table2[[#This Row],[unique_id]]), "", PROPER(SUBSTITUTE(Table2[[#This Row],[unique_id]], "_", " ")))</f>
        <v>Washing Machine Energy Daily</v>
      </c>
      <c r="G272" s="28" t="s">
        <v>215</v>
      </c>
      <c r="H272" s="28" t="s">
        <v>207</v>
      </c>
      <c r="I272" s="28" t="s">
        <v>132</v>
      </c>
      <c r="M272" s="28" t="s">
        <v>127</v>
      </c>
      <c r="O272" s="29"/>
      <c r="P272" s="28"/>
      <c r="T272" s="35"/>
      <c r="U272" s="35"/>
      <c r="V272" s="35"/>
      <c r="W272" s="28" t="s">
        <v>1527</v>
      </c>
      <c r="Y272" s="29"/>
      <c r="Z272" s="29"/>
      <c r="AA272" s="29"/>
      <c r="AB272" s="29"/>
      <c r="AF272" s="28" t="s">
        <v>299</v>
      </c>
      <c r="AH272" s="28" t="s">
        <v>229</v>
      </c>
      <c r="AJ272" s="29"/>
      <c r="AK272" s="29"/>
      <c r="AV272" s="28"/>
      <c r="AW272" s="38"/>
      <c r="AX272" s="29"/>
      <c r="AY2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2" s="28" t="str">
        <f>IF(ISBLANK(Table2[[#This Row],[device_model]]), "", Table2[[#This Row],[device_suggested_area]])</f>
        <v/>
      </c>
      <c r="BI272" s="29"/>
      <c r="BO272" s="28"/>
      <c r="BQ2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9" ht="16" customHeight="1" x14ac:dyDescent="0.2">
      <c r="A273" s="28">
        <v>2138</v>
      </c>
      <c r="B273" s="28" t="s">
        <v>26</v>
      </c>
      <c r="C273" s="28" t="s">
        <v>725</v>
      </c>
      <c r="D273" s="28" t="s">
        <v>27</v>
      </c>
      <c r="E273" s="28" t="s">
        <v>730</v>
      </c>
      <c r="F273" s="34" t="str">
        <f>IF(ISBLANK(Table2[[#This Row],[unique_id]]), "", PROPER(SUBSTITUTE(Table2[[#This Row],[unique_id]], "_", " ")))</f>
        <v>Kitchen Fridge Energy Daily</v>
      </c>
      <c r="G273" s="28" t="s">
        <v>211</v>
      </c>
      <c r="H273" s="28" t="s">
        <v>207</v>
      </c>
      <c r="I273" s="28" t="s">
        <v>132</v>
      </c>
      <c r="M273" s="28" t="s">
        <v>127</v>
      </c>
      <c r="O273" s="29"/>
      <c r="P273" s="28"/>
      <c r="T273" s="35"/>
      <c r="U273" s="35"/>
      <c r="V273" s="35"/>
      <c r="W273" s="28" t="s">
        <v>1527</v>
      </c>
      <c r="Y273" s="29"/>
      <c r="Z273" s="29"/>
      <c r="AA273" s="29"/>
      <c r="AB273" s="29"/>
      <c r="AF273" s="28" t="s">
        <v>299</v>
      </c>
      <c r="AH273" s="28" t="s">
        <v>229</v>
      </c>
      <c r="AJ273" s="29"/>
      <c r="AK273" s="29"/>
      <c r="AV273" s="28"/>
      <c r="AW273" s="38"/>
      <c r="AX273" s="29"/>
      <c r="AY2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3" s="28" t="str">
        <f>IF(ISBLANK(Table2[[#This Row],[device_model]]), "", Table2[[#This Row],[device_suggested_area]])</f>
        <v/>
      </c>
      <c r="BI273" s="29"/>
      <c r="BO273" s="28"/>
      <c r="BQ2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9" ht="16" customHeight="1" x14ac:dyDescent="0.2">
      <c r="A274" s="28">
        <v>2139</v>
      </c>
      <c r="B274" s="28" t="s">
        <v>26</v>
      </c>
      <c r="C274" s="28" t="s">
        <v>725</v>
      </c>
      <c r="D274" s="28" t="s">
        <v>27</v>
      </c>
      <c r="E274" s="28" t="s">
        <v>731</v>
      </c>
      <c r="F274" s="34" t="str">
        <f>IF(ISBLANK(Table2[[#This Row],[unique_id]]), "", PROPER(SUBSTITUTE(Table2[[#This Row],[unique_id]], "_", " ")))</f>
        <v>Deck Freezer Energy Daily</v>
      </c>
      <c r="G274" s="28" t="s">
        <v>212</v>
      </c>
      <c r="H274" s="28" t="s">
        <v>207</v>
      </c>
      <c r="I274" s="28" t="s">
        <v>132</v>
      </c>
      <c r="M274" s="28" t="s">
        <v>127</v>
      </c>
      <c r="O274" s="29"/>
      <c r="P274" s="28"/>
      <c r="T274" s="35"/>
      <c r="U274" s="35"/>
      <c r="V274" s="35"/>
      <c r="W274" s="28" t="s">
        <v>1527</v>
      </c>
      <c r="Y274" s="29"/>
      <c r="Z274" s="29"/>
      <c r="AA274" s="29"/>
      <c r="AB274" s="29"/>
      <c r="AF274" s="28" t="s">
        <v>299</v>
      </c>
      <c r="AH274" s="28" t="s">
        <v>229</v>
      </c>
      <c r="AJ274" s="29"/>
      <c r="AK274" s="29"/>
      <c r="AV274" s="28"/>
      <c r="AW274" s="38"/>
      <c r="AX274" s="29"/>
      <c r="AY2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4" s="28" t="str">
        <f>IF(ISBLANK(Table2[[#This Row],[device_model]]), "", Table2[[#This Row],[device_suggested_area]])</f>
        <v/>
      </c>
      <c r="BI274" s="29"/>
      <c r="BO274" s="28"/>
      <c r="BQ2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9" ht="16" customHeight="1" x14ac:dyDescent="0.2">
      <c r="A275" s="28">
        <v>2140</v>
      </c>
      <c r="B275" s="28" t="s">
        <v>26</v>
      </c>
      <c r="C275" s="28" t="s">
        <v>725</v>
      </c>
      <c r="D275" s="28" t="s">
        <v>27</v>
      </c>
      <c r="E275" s="28" t="s">
        <v>1035</v>
      </c>
      <c r="F275" s="34" t="str">
        <f>IF(ISBLANK(Table2[[#This Row],[unique_id]]), "", PROPER(SUBSTITUTE(Table2[[#This Row],[unique_id]], "_", " ")))</f>
        <v>Towel Rails Energy Daily</v>
      </c>
      <c r="G275" s="28" t="s">
        <v>417</v>
      </c>
      <c r="H275" s="28" t="s">
        <v>207</v>
      </c>
      <c r="I275" s="28" t="s">
        <v>132</v>
      </c>
      <c r="M275" s="28" t="s">
        <v>127</v>
      </c>
      <c r="O275" s="29"/>
      <c r="P275" s="28"/>
      <c r="T275" s="35"/>
      <c r="U275" s="35"/>
      <c r="V275" s="35"/>
      <c r="W275" s="28" t="s">
        <v>1527</v>
      </c>
      <c r="Y275" s="29"/>
      <c r="Z275" s="29"/>
      <c r="AA275" s="29"/>
      <c r="AB275" s="29"/>
      <c r="AF275" s="28" t="s">
        <v>299</v>
      </c>
      <c r="AH275" s="28" t="s">
        <v>229</v>
      </c>
      <c r="AJ275" s="29"/>
      <c r="AK275" s="29"/>
      <c r="AV275" s="28"/>
      <c r="AW275" s="38"/>
      <c r="AX275" s="29"/>
      <c r="AY2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5" s="28" t="str">
        <f>IF(ISBLANK(Table2[[#This Row],[device_model]]), "", Table2[[#This Row],[device_suggested_area]])</f>
        <v/>
      </c>
      <c r="BI275" s="29"/>
      <c r="BO275" s="28"/>
      <c r="BQ2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9" ht="16" customHeight="1" x14ac:dyDescent="0.2">
      <c r="A276" s="28">
        <v>2141</v>
      </c>
      <c r="B276" s="28" t="s">
        <v>543</v>
      </c>
      <c r="C276" s="28" t="s">
        <v>725</v>
      </c>
      <c r="D276" s="28" t="s">
        <v>27</v>
      </c>
      <c r="E276" s="28" t="s">
        <v>732</v>
      </c>
      <c r="F276" s="34" t="str">
        <f>IF(ISBLANK(Table2[[#This Row],[unique_id]]), "", PROPER(SUBSTITUTE(Table2[[#This Row],[unique_id]], "_", " ")))</f>
        <v>Study Outlet Energy Daily</v>
      </c>
      <c r="G276" s="28" t="s">
        <v>214</v>
      </c>
      <c r="H276" s="28" t="s">
        <v>207</v>
      </c>
      <c r="I276" s="28" t="s">
        <v>132</v>
      </c>
      <c r="M276" s="28" t="s">
        <v>127</v>
      </c>
      <c r="O276" s="29"/>
      <c r="P276" s="28"/>
      <c r="T276" s="35"/>
      <c r="U276" s="35"/>
      <c r="V276" s="35"/>
      <c r="W276" s="28" t="s">
        <v>1527</v>
      </c>
      <c r="Y276" s="29"/>
      <c r="Z276" s="29"/>
      <c r="AA276" s="29"/>
      <c r="AB276" s="29"/>
      <c r="AF276" s="28" t="s">
        <v>299</v>
      </c>
      <c r="AH276" s="28" t="s">
        <v>229</v>
      </c>
      <c r="AJ276" s="29"/>
      <c r="AK276" s="29"/>
      <c r="AV276" s="28"/>
      <c r="AW276" s="38"/>
      <c r="AX276" s="29"/>
      <c r="AY2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6" s="28" t="str">
        <f>IF(ISBLANK(Table2[[#This Row],[device_model]]), "", Table2[[#This Row],[device_suggested_area]])</f>
        <v/>
      </c>
      <c r="BI276" s="29"/>
      <c r="BO276" s="28"/>
      <c r="BQ2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9" ht="16" customHeight="1" x14ac:dyDescent="0.2">
      <c r="A277" s="28">
        <v>2142</v>
      </c>
      <c r="B277" s="28" t="s">
        <v>543</v>
      </c>
      <c r="C277" s="28" t="s">
        <v>725</v>
      </c>
      <c r="D277" s="28" t="s">
        <v>27</v>
      </c>
      <c r="E277" s="28" t="s">
        <v>733</v>
      </c>
      <c r="F277" s="34" t="str">
        <f>IF(ISBLANK(Table2[[#This Row],[unique_id]]), "", PROPER(SUBSTITUTE(Table2[[#This Row],[unique_id]], "_", " ")))</f>
        <v>Office Outlet Energy Daily</v>
      </c>
      <c r="G277" s="28" t="s">
        <v>213</v>
      </c>
      <c r="H277" s="28" t="s">
        <v>207</v>
      </c>
      <c r="I277" s="28" t="s">
        <v>132</v>
      </c>
      <c r="M277" s="28" t="s">
        <v>127</v>
      </c>
      <c r="O277" s="29"/>
      <c r="P277" s="28"/>
      <c r="T277" s="35"/>
      <c r="U277" s="35"/>
      <c r="V277" s="35"/>
      <c r="W277" s="28" t="s">
        <v>1527</v>
      </c>
      <c r="Y277" s="29"/>
      <c r="Z277" s="29"/>
      <c r="AA277" s="29"/>
      <c r="AB277" s="29"/>
      <c r="AF277" s="28" t="s">
        <v>299</v>
      </c>
      <c r="AH277" s="28" t="s">
        <v>229</v>
      </c>
      <c r="AJ277" s="29"/>
      <c r="AK277" s="29"/>
      <c r="AV277" s="28"/>
      <c r="AW277" s="38"/>
      <c r="AX277" s="29"/>
      <c r="AY2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7" s="28" t="str">
        <f>IF(ISBLANK(Table2[[#This Row],[device_model]]), "", Table2[[#This Row],[device_suggested_area]])</f>
        <v/>
      </c>
      <c r="BI277" s="29"/>
      <c r="BO277" s="28"/>
      <c r="BQ2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9" ht="16" customHeight="1" x14ac:dyDescent="0.2">
      <c r="A278" s="28">
        <v>2143</v>
      </c>
      <c r="B278" s="28" t="s">
        <v>26</v>
      </c>
      <c r="C278" s="28" t="s">
        <v>725</v>
      </c>
      <c r="D278" s="28" t="s">
        <v>27</v>
      </c>
      <c r="E278" s="28" t="s">
        <v>744</v>
      </c>
      <c r="F278" s="34" t="str">
        <f>IF(ISBLANK(Table2[[#This Row],[unique_id]]), "", PROPER(SUBSTITUTE(Table2[[#This Row],[unique_id]], "_", " ")))</f>
        <v>Audio Visual Devices Energy Daily</v>
      </c>
      <c r="G278" s="28" t="s">
        <v>743</v>
      </c>
      <c r="H278" s="28" t="s">
        <v>207</v>
      </c>
      <c r="I278" s="28" t="s">
        <v>132</v>
      </c>
      <c r="M278" s="28" t="s">
        <v>127</v>
      </c>
      <c r="O278" s="29"/>
      <c r="P278" s="28"/>
      <c r="T278" s="35"/>
      <c r="U278" s="35"/>
      <c r="V278" s="35"/>
      <c r="W278" s="28" t="s">
        <v>1527</v>
      </c>
      <c r="Y278" s="29"/>
      <c r="Z278" s="29"/>
      <c r="AA278" s="29"/>
      <c r="AB278" s="29"/>
      <c r="AF278" s="28" t="s">
        <v>299</v>
      </c>
      <c r="AH278" s="28" t="s">
        <v>229</v>
      </c>
      <c r="AJ278" s="29"/>
      <c r="AK278" s="29"/>
      <c r="AV278" s="28"/>
      <c r="AW278" s="38"/>
      <c r="AX278" s="29"/>
      <c r="AY2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8" s="28" t="str">
        <f>IF(ISBLANK(Table2[[#This Row],[device_model]]), "", Table2[[#This Row],[device_suggested_area]])</f>
        <v/>
      </c>
      <c r="BI278" s="29"/>
      <c r="BO278" s="28"/>
      <c r="BQ2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9" ht="16" customHeight="1" x14ac:dyDescent="0.2">
      <c r="A279" s="28">
        <v>2144</v>
      </c>
      <c r="B279" s="28" t="s">
        <v>26</v>
      </c>
      <c r="C279" s="28" t="s">
        <v>725</v>
      </c>
      <c r="D279" s="28" t="s">
        <v>27</v>
      </c>
      <c r="E279" s="28" t="s">
        <v>717</v>
      </c>
      <c r="F279" s="34" t="str">
        <f>IF(ISBLANK(Table2[[#This Row],[unique_id]]), "", PROPER(SUBSTITUTE(Table2[[#This Row],[unique_id]], "_", " ")))</f>
        <v>Servers Network Energy Daily</v>
      </c>
      <c r="G279" s="28" t="s">
        <v>710</v>
      </c>
      <c r="H279" s="28" t="s">
        <v>207</v>
      </c>
      <c r="I279" s="28" t="s">
        <v>132</v>
      </c>
      <c r="M279" s="28" t="s">
        <v>127</v>
      </c>
      <c r="O279" s="29"/>
      <c r="P279" s="28"/>
      <c r="T279" s="35"/>
      <c r="U279" s="35"/>
      <c r="V279" s="35"/>
      <c r="W279" s="28" t="s">
        <v>1527</v>
      </c>
      <c r="Y279" s="29"/>
      <c r="Z279" s="29"/>
      <c r="AA279" s="29"/>
      <c r="AB279" s="29"/>
      <c r="AF279" s="28" t="s">
        <v>299</v>
      </c>
      <c r="AH279" s="28" t="s">
        <v>229</v>
      </c>
      <c r="AJ279" s="29"/>
      <c r="AK279" s="29"/>
      <c r="AV279" s="28"/>
      <c r="AW279" s="38"/>
      <c r="AX279" s="29"/>
      <c r="AY2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9" s="28" t="str">
        <f>IF(ISBLANK(Table2[[#This Row],[device_model]]), "", Table2[[#This Row],[device_suggested_area]])</f>
        <v/>
      </c>
      <c r="BI279" s="29"/>
      <c r="BO279" s="28"/>
      <c r="BQ2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9" ht="16" customHeight="1" x14ac:dyDescent="0.2">
      <c r="A280" s="28">
        <v>2145</v>
      </c>
      <c r="B280" s="28" t="s">
        <v>26</v>
      </c>
      <c r="C280" s="28" t="s">
        <v>409</v>
      </c>
      <c r="D280" s="28" t="s">
        <v>304</v>
      </c>
      <c r="E280" s="28" t="s">
        <v>303</v>
      </c>
      <c r="F280" s="34" t="str">
        <f>IF(ISBLANK(Table2[[#This Row],[unique_id]]), "", PROPER(SUBSTITUTE(Table2[[#This Row],[unique_id]], "_", " ")))</f>
        <v>Column Break</v>
      </c>
      <c r="G280" s="28" t="s">
        <v>300</v>
      </c>
      <c r="H280" s="28" t="s">
        <v>207</v>
      </c>
      <c r="I280" s="28" t="s">
        <v>132</v>
      </c>
      <c r="M280" s="28" t="s">
        <v>301</v>
      </c>
      <c r="N280" s="28" t="s">
        <v>302</v>
      </c>
      <c r="O280" s="29"/>
      <c r="P280" s="28"/>
      <c r="T280" s="35"/>
      <c r="U280" s="35"/>
      <c r="V280" s="35"/>
      <c r="W280" s="28"/>
      <c r="Y280" s="29"/>
      <c r="Z280" s="29"/>
      <c r="AA280" s="29"/>
      <c r="AB280" s="29"/>
      <c r="AJ280" s="29"/>
      <c r="AK280" s="29"/>
      <c r="AV280" s="28"/>
      <c r="AW280" s="38"/>
      <c r="AX280" s="29"/>
      <c r="AY2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0" s="28" t="str">
        <f>IF(ISBLANK(Table2[[#This Row],[device_model]]), "", Table2[[#This Row],[device_suggested_area]])</f>
        <v/>
      </c>
      <c r="BI280" s="29"/>
      <c r="BO280" s="28"/>
      <c r="BQ2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9" ht="16" customHeight="1" x14ac:dyDescent="0.2">
      <c r="A281" s="28">
        <v>2400</v>
      </c>
      <c r="B281" s="28" t="s">
        <v>26</v>
      </c>
      <c r="C281" s="28" t="s">
        <v>170</v>
      </c>
      <c r="D281" s="28" t="s">
        <v>27</v>
      </c>
      <c r="E281" s="28" t="s">
        <v>133</v>
      </c>
      <c r="F281" s="34" t="str">
        <f>IF(ISBLANK(Table2[[#This Row],[unique_id]]), "", PROPER(SUBSTITUTE(Table2[[#This Row],[unique_id]], "_", " ")))</f>
        <v>Withings Weight Kg Graham</v>
      </c>
      <c r="G281" s="28" t="s">
        <v>264</v>
      </c>
      <c r="H281" s="28" t="s">
        <v>265</v>
      </c>
      <c r="I281" s="28" t="s">
        <v>134</v>
      </c>
      <c r="O281" s="29"/>
      <c r="P281" s="28"/>
      <c r="T281" s="35"/>
      <c r="U281" s="35"/>
      <c r="V281" s="35"/>
      <c r="W281" s="28"/>
      <c r="Y281" s="29"/>
      <c r="Z281" s="29"/>
      <c r="AA281" s="29"/>
      <c r="AB281" s="29"/>
      <c r="AJ281" s="29"/>
      <c r="AK281" s="29"/>
      <c r="AV281" s="28"/>
      <c r="AW281" s="38"/>
      <c r="AY2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Z2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BA2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1" s="28" t="str">
        <f>IF(ISBLANK(Table2[[#This Row],[device_model]]), "", Table2[[#This Row],[device_suggested_area]])</f>
        <v>Ensuite</v>
      </c>
      <c r="BE281" s="28" t="s">
        <v>976</v>
      </c>
      <c r="BF281" s="28" t="s">
        <v>366</v>
      </c>
      <c r="BG281" s="28" t="s">
        <v>170</v>
      </c>
      <c r="BI281" s="28" t="s">
        <v>367</v>
      </c>
      <c r="BJ281" s="28" t="s">
        <v>365</v>
      </c>
      <c r="BN281" s="28" t="s">
        <v>1185</v>
      </c>
      <c r="BO281" s="39" t="s">
        <v>402</v>
      </c>
      <c r="BQ2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9" ht="16" customHeight="1" x14ac:dyDescent="0.2">
      <c r="A282" s="28">
        <v>2500</v>
      </c>
      <c r="B282" s="28" t="s">
        <v>26</v>
      </c>
      <c r="C282" s="28" t="s">
        <v>750</v>
      </c>
      <c r="D282" s="28" t="s">
        <v>125</v>
      </c>
      <c r="E282" s="28" t="s">
        <v>1472</v>
      </c>
      <c r="F282" s="28" t="str">
        <f>IF(ISBLANK(Table2[[#This Row],[unique_id]]), "", PROPER(SUBSTITUTE(Table2[[#This Row],[unique_id]], "_", " ")))</f>
        <v>Network Internet</v>
      </c>
      <c r="G282" s="28" t="str">
        <f>TRIM(RIGHT(SUBSTITUTE(TRIM(F282)," ",REPT(" ",100)),100))</f>
        <v>Internet</v>
      </c>
      <c r="H282" s="28" t="s">
        <v>1473</v>
      </c>
      <c r="I282" s="28" t="s">
        <v>262</v>
      </c>
      <c r="M282" s="28" t="s">
        <v>244</v>
      </c>
      <c r="O282" s="29"/>
      <c r="P282" s="28"/>
      <c r="T282" s="35"/>
      <c r="U282" s="35"/>
      <c r="V282" s="35"/>
      <c r="W282" s="28"/>
      <c r="Y282" s="29"/>
      <c r="Z282" s="29"/>
      <c r="AA282" s="29"/>
      <c r="AB282" s="29"/>
      <c r="AH282" s="28" t="s">
        <v>1475</v>
      </c>
      <c r="AI282" s="28">
        <f t="shared" ref="AI282:AI288" si="0">15*60</f>
        <v>900</v>
      </c>
      <c r="AJ282" s="29" t="s">
        <v>34</v>
      </c>
      <c r="AK282" s="29"/>
      <c r="AL282" s="28" t="s">
        <v>1476</v>
      </c>
      <c r="AM282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N282" s="28" t="str">
        <f>IF(ISBLANK(Table2[[#This Row],[index]]),  "", _xlfn.CONCAT(LOWER(Table2[[#This Row],[device_via_device]]), "/data/", SUBSTITUTE(LOWER(Table2[[#This Row],[unique_id]]), "network_", "")))</f>
        <v>network/data/internet</v>
      </c>
      <c r="AO282" s="28" t="str">
        <f>IF(ISBLANK(Table2[[#This Row],[index]]),  "", _xlfn.CONCAT(LOWER(Table2[[#This Row],[device_via_device]]), "/command/", SUBSTITUTE(LOWER(Table2[[#This Row],[unique_id]]), "network_", "")))</f>
        <v>network/command/internet</v>
      </c>
      <c r="AP282" s="28" t="str">
        <f>IF(ISBLANK(Table2[[#This Row],[index]]),  "", _xlfn.CONCAT(LOWER(Table2[[#This Row],[device_via_device]]), "/status"))</f>
        <v>network/status</v>
      </c>
      <c r="AU282" s="28" t="s">
        <v>1477</v>
      </c>
      <c r="AV282" s="28">
        <v>1</v>
      </c>
      <c r="AW282" s="30"/>
      <c r="AY2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BB2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2" s="28" t="str">
        <f>IF(ISBLANK(Table2[[#This Row],[device_model]]), "", Table2[[#This Row],[device_suggested_area]])</f>
        <v>Rack</v>
      </c>
      <c r="BE282" s="28" t="s">
        <v>750</v>
      </c>
      <c r="BF282" s="28" t="s">
        <v>1437</v>
      </c>
      <c r="BG282" s="28" t="s">
        <v>1061</v>
      </c>
      <c r="BI282" s="28" t="s">
        <v>936</v>
      </c>
      <c r="BJ282" s="28" t="s">
        <v>28</v>
      </c>
      <c r="BO282" s="39"/>
      <c r="BQ2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9" ht="16" customHeight="1" x14ac:dyDescent="0.2">
      <c r="A283" s="28">
        <v>2501</v>
      </c>
      <c r="B283" s="28" t="s">
        <v>26</v>
      </c>
      <c r="C283" s="28" t="s">
        <v>750</v>
      </c>
      <c r="D283" s="28" t="s">
        <v>125</v>
      </c>
      <c r="E283" s="28" t="s">
        <v>1479</v>
      </c>
      <c r="F283" s="28" t="str">
        <f>IF(ISBLANK(Table2[[#This Row],[unique_id]]), "", PROPER(SUBSTITUTE(Table2[[#This Row],[unique_id]], "_", " ")))</f>
        <v>Network Wireless</v>
      </c>
      <c r="G283" s="28" t="str">
        <f>TRIM(RIGHT(SUBSTITUTE(TRIM(F283)," ",REPT(" ",100)),100))</f>
        <v>Wireless</v>
      </c>
      <c r="H283" s="28" t="s">
        <v>1473</v>
      </c>
      <c r="I283" s="28" t="s">
        <v>262</v>
      </c>
      <c r="M283" s="28" t="s">
        <v>244</v>
      </c>
      <c r="O283" s="29"/>
      <c r="P283" s="28"/>
      <c r="T283" s="35"/>
      <c r="U283" s="35"/>
      <c r="V283" s="35"/>
      <c r="W283" s="28"/>
      <c r="Y283" s="29"/>
      <c r="Z283" s="29"/>
      <c r="AA283" s="29"/>
      <c r="AB283" s="29"/>
      <c r="AH283" s="28" t="s">
        <v>1482</v>
      </c>
      <c r="AI283" s="28">
        <f t="shared" si="0"/>
        <v>900</v>
      </c>
      <c r="AJ283" s="29" t="s">
        <v>34</v>
      </c>
      <c r="AK283" s="29"/>
      <c r="AL283" s="28" t="s">
        <v>1476</v>
      </c>
      <c r="AM283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N283" s="28" t="str">
        <f>IF(ISBLANK(Table2[[#This Row],[index]]),  "", _xlfn.CONCAT(LOWER(Table2[[#This Row],[device_via_device]]), "/data/", SUBSTITUTE(LOWER(Table2[[#This Row],[unique_id]]), "network_", "")))</f>
        <v>network/data/wireless</v>
      </c>
      <c r="AO283" s="28" t="str">
        <f>IF(ISBLANK(Table2[[#This Row],[index]]),  "", _xlfn.CONCAT(LOWER(Table2[[#This Row],[device_via_device]]), "/command/", SUBSTITUTE(LOWER(Table2[[#This Row],[unique_id]]), "network_", "")))</f>
        <v>network/command/wireless</v>
      </c>
      <c r="AP283" s="28" t="str">
        <f>IF(ISBLANK(Table2[[#This Row],[index]]),  "", _xlfn.CONCAT(LOWER(Table2[[#This Row],[device_via_device]]), "/status"))</f>
        <v>network/status</v>
      </c>
      <c r="AU283" s="28" t="s">
        <v>1477</v>
      </c>
      <c r="AV283" s="28">
        <v>1</v>
      </c>
      <c r="AW283" s="30"/>
      <c r="AY2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BB2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3" s="28" t="str">
        <f>IF(ISBLANK(Table2[[#This Row],[device_model]]), "", Table2[[#This Row],[device_suggested_area]])</f>
        <v>Rack</v>
      </c>
      <c r="BE283" s="28" t="s">
        <v>750</v>
      </c>
      <c r="BF283" s="28" t="s">
        <v>1437</v>
      </c>
      <c r="BG283" s="28" t="s">
        <v>1061</v>
      </c>
      <c r="BI283" s="28" t="s">
        <v>936</v>
      </c>
      <c r="BJ283" s="28" t="s">
        <v>28</v>
      </c>
      <c r="BO283" s="39"/>
      <c r="BQ2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9" ht="16" customHeight="1" x14ac:dyDescent="0.2">
      <c r="A284" s="28">
        <v>2502</v>
      </c>
      <c r="B284" s="28" t="s">
        <v>26</v>
      </c>
      <c r="C284" s="28" t="s">
        <v>750</v>
      </c>
      <c r="D284" s="28" t="s">
        <v>125</v>
      </c>
      <c r="E284" s="28" t="s">
        <v>1480</v>
      </c>
      <c r="F284" s="28" t="str">
        <f>IF(ISBLANK(Table2[[#This Row],[unique_id]]), "", PROPER(SUBSTITUTE(Table2[[#This Row],[unique_id]], "_", " ")))</f>
        <v>Network Zigbee</v>
      </c>
      <c r="G284" s="28" t="str">
        <f>TRIM(RIGHT(SUBSTITUTE(TRIM(F284)," ",REPT(" ",100)),100))</f>
        <v>Zigbee</v>
      </c>
      <c r="H284" s="28" t="s">
        <v>1473</v>
      </c>
      <c r="I284" s="28" t="s">
        <v>262</v>
      </c>
      <c r="M284" s="28" t="s">
        <v>244</v>
      </c>
      <c r="O284" s="29"/>
      <c r="P284" s="28"/>
      <c r="T284" s="35"/>
      <c r="U284" s="35"/>
      <c r="V284" s="35"/>
      <c r="W284" s="28"/>
      <c r="Y284" s="29"/>
      <c r="Z284" s="29"/>
      <c r="AA284" s="29"/>
      <c r="AB284" s="29"/>
      <c r="AH284" s="28" t="s">
        <v>1486</v>
      </c>
      <c r="AI284" s="28">
        <f t="shared" si="0"/>
        <v>900</v>
      </c>
      <c r="AJ284" s="29" t="s">
        <v>34</v>
      </c>
      <c r="AK284" s="29"/>
      <c r="AL284" s="28" t="s">
        <v>1476</v>
      </c>
      <c r="AM284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N284" s="28" t="str">
        <f>IF(ISBLANK(Table2[[#This Row],[index]]),  "", _xlfn.CONCAT(LOWER(Table2[[#This Row],[device_via_device]]), "/data/", SUBSTITUTE(LOWER(Table2[[#This Row],[unique_id]]), "network_", "")))</f>
        <v>network/data/zigbee</v>
      </c>
      <c r="AO284" s="28" t="str">
        <f>IF(ISBLANK(Table2[[#This Row],[index]]),  "", _xlfn.CONCAT(LOWER(Table2[[#This Row],[device_via_device]]), "/command/", SUBSTITUTE(LOWER(Table2[[#This Row],[unique_id]]), "network_", "")))</f>
        <v>network/command/zigbee</v>
      </c>
      <c r="AP284" s="28" t="str">
        <f>IF(ISBLANK(Table2[[#This Row],[index]]),  "", _xlfn.CONCAT(LOWER(Table2[[#This Row],[device_via_device]]), "/status"))</f>
        <v>network/status</v>
      </c>
      <c r="AU284" s="28" t="s">
        <v>1477</v>
      </c>
      <c r="AV284" s="28">
        <v>1</v>
      </c>
      <c r="AW284" s="30"/>
      <c r="AY2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BB2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4" s="28" t="str">
        <f>IF(ISBLANK(Table2[[#This Row],[device_model]]), "", Table2[[#This Row],[device_suggested_area]])</f>
        <v>Rack</v>
      </c>
      <c r="BE284" s="28" t="s">
        <v>750</v>
      </c>
      <c r="BF284" s="28" t="s">
        <v>1437</v>
      </c>
      <c r="BG284" s="28" t="s">
        <v>1061</v>
      </c>
      <c r="BI284" s="28" t="s">
        <v>936</v>
      </c>
      <c r="BJ284" s="28" t="s">
        <v>28</v>
      </c>
      <c r="BO284" s="39"/>
      <c r="BQ2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9" ht="16" customHeight="1" x14ac:dyDescent="0.2">
      <c r="A285" s="28">
        <v>2503</v>
      </c>
      <c r="B285" s="28" t="s">
        <v>26</v>
      </c>
      <c r="C285" s="28" t="s">
        <v>750</v>
      </c>
      <c r="D285" s="28" t="s">
        <v>125</v>
      </c>
      <c r="E285" s="28" t="s">
        <v>1481</v>
      </c>
      <c r="F285" s="28" t="str">
        <f>IF(ISBLANK(Table2[[#This Row],[unique_id]]), "", PROPER(SUBSTITUTE(Table2[[#This Row],[unique_id]], "_", " ")))</f>
        <v>Network Weewx</v>
      </c>
      <c r="G285" s="28" t="s">
        <v>39</v>
      </c>
      <c r="H285" s="28" t="s">
        <v>1473</v>
      </c>
      <c r="I285" s="28" t="s">
        <v>262</v>
      </c>
      <c r="M285" s="28" t="s">
        <v>244</v>
      </c>
      <c r="O285" s="29"/>
      <c r="P285" s="28"/>
      <c r="T285" s="35"/>
      <c r="U285" s="35"/>
      <c r="V285" s="35"/>
      <c r="W285" s="28"/>
      <c r="Y285" s="29"/>
      <c r="Z285" s="29"/>
      <c r="AA285" s="29"/>
      <c r="AB285" s="29"/>
      <c r="AH285" s="28" t="s">
        <v>1483</v>
      </c>
      <c r="AI285" s="28">
        <f t="shared" si="0"/>
        <v>900</v>
      </c>
      <c r="AJ285" s="29" t="s">
        <v>34</v>
      </c>
      <c r="AK285" s="29"/>
      <c r="AL285" s="28" t="s">
        <v>1476</v>
      </c>
      <c r="AM285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N285" s="28" t="str">
        <f>IF(ISBLANK(Table2[[#This Row],[index]]),  "", _xlfn.CONCAT(LOWER(Table2[[#This Row],[device_via_device]]), "/data/", SUBSTITUTE(LOWER(Table2[[#This Row],[unique_id]]), "network_", "")))</f>
        <v>network/data/weewx</v>
      </c>
      <c r="AO285" s="28" t="str">
        <f>IF(ISBLANK(Table2[[#This Row],[index]]),  "", _xlfn.CONCAT(LOWER(Table2[[#This Row],[device_via_device]]), "/command/", SUBSTITUTE(LOWER(Table2[[#This Row],[unique_id]]), "network_", "")))</f>
        <v>network/command/weewx</v>
      </c>
      <c r="AP285" s="28" t="str">
        <f>IF(ISBLANK(Table2[[#This Row],[index]]),  "", _xlfn.CONCAT(LOWER(Table2[[#This Row],[device_via_device]]), "/status"))</f>
        <v>network/status</v>
      </c>
      <c r="AU285" s="28" t="s">
        <v>1477</v>
      </c>
      <c r="AV285" s="28">
        <v>1</v>
      </c>
      <c r="AW285" s="30"/>
      <c r="AY2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BB2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5" s="28" t="str">
        <f>IF(ISBLANK(Table2[[#This Row],[device_model]]), "", Table2[[#This Row],[device_suggested_area]])</f>
        <v>Rack</v>
      </c>
      <c r="BE285" s="28" t="s">
        <v>750</v>
      </c>
      <c r="BF285" s="28" t="s">
        <v>1437</v>
      </c>
      <c r="BG285" s="28" t="s">
        <v>1061</v>
      </c>
      <c r="BI285" s="28" t="s">
        <v>936</v>
      </c>
      <c r="BJ285" s="28" t="s">
        <v>28</v>
      </c>
      <c r="BO285" s="39"/>
      <c r="BQ2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9" ht="16" customHeight="1" x14ac:dyDescent="0.2">
      <c r="A286" s="28">
        <v>2504</v>
      </c>
      <c r="B286" s="28" t="s">
        <v>26</v>
      </c>
      <c r="C286" s="28" t="s">
        <v>750</v>
      </c>
      <c r="D286" s="28" t="s">
        <v>125</v>
      </c>
      <c r="E286" s="28" t="s">
        <v>1478</v>
      </c>
      <c r="F286" s="28" t="str">
        <f>IF(ISBLANK(Table2[[#This Row],[unique_id]]), "", PROPER(SUBSTITUTE(Table2[[#This Row],[unique_id]], "_", " ")))</f>
        <v>Network Ethernet</v>
      </c>
      <c r="G286" s="28" t="str">
        <f>TRIM(RIGHT(SUBSTITUTE(TRIM(F286)," ",REPT(" ",100)),100))</f>
        <v>Ethernet</v>
      </c>
      <c r="H286" s="28" t="s">
        <v>1473</v>
      </c>
      <c r="I286" s="28" t="s">
        <v>262</v>
      </c>
      <c r="M286" s="28" t="s">
        <v>244</v>
      </c>
      <c r="O286" s="29"/>
      <c r="P286" s="28"/>
      <c r="T286" s="35"/>
      <c r="U286" s="35"/>
      <c r="V286" s="35"/>
      <c r="W286" s="28"/>
      <c r="Y286" s="29"/>
      <c r="Z286" s="29"/>
      <c r="AA286" s="29"/>
      <c r="AB286" s="29"/>
      <c r="AH286" s="28" t="s">
        <v>1484</v>
      </c>
      <c r="AI286" s="28">
        <f t="shared" si="0"/>
        <v>900</v>
      </c>
      <c r="AJ286" s="29" t="s">
        <v>34</v>
      </c>
      <c r="AK286" s="29"/>
      <c r="AL286" s="28" t="s">
        <v>1476</v>
      </c>
      <c r="AM28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N286" s="28" t="str">
        <f>IF(ISBLANK(Table2[[#This Row],[index]]),  "", _xlfn.CONCAT(LOWER(Table2[[#This Row],[device_via_device]]), "/data/", SUBSTITUTE(LOWER(Table2[[#This Row],[unique_id]]), "network_", "")))</f>
        <v>network/data/ethernet</v>
      </c>
      <c r="AO286" s="28" t="str">
        <f>IF(ISBLANK(Table2[[#This Row],[index]]),  "", _xlfn.CONCAT(LOWER(Table2[[#This Row],[device_via_device]]), "/command/", SUBSTITUTE(LOWER(Table2[[#This Row],[unique_id]]), "network_", "")))</f>
        <v>network/command/ethernet</v>
      </c>
      <c r="AP286" s="28" t="str">
        <f>IF(ISBLANK(Table2[[#This Row],[index]]),  "", _xlfn.CONCAT(LOWER(Table2[[#This Row],[device_via_device]]), "/status"))</f>
        <v>network/status</v>
      </c>
      <c r="AU286" s="28" t="s">
        <v>1477</v>
      </c>
      <c r="AV286" s="28">
        <v>1</v>
      </c>
      <c r="AW286" s="30"/>
      <c r="AY2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BB2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6" s="28" t="str">
        <f>IF(ISBLANK(Table2[[#This Row],[device_model]]), "", Table2[[#This Row],[device_suggested_area]])</f>
        <v>Rack</v>
      </c>
      <c r="BE286" s="28" t="s">
        <v>750</v>
      </c>
      <c r="BF286" s="28" t="s">
        <v>1437</v>
      </c>
      <c r="BG286" s="28" t="s">
        <v>1061</v>
      </c>
      <c r="BI286" s="28" t="s">
        <v>936</v>
      </c>
      <c r="BJ286" s="28" t="s">
        <v>28</v>
      </c>
      <c r="BO286" s="39"/>
      <c r="BQ2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9" ht="16" customHeight="1" x14ac:dyDescent="0.2">
      <c r="A287" s="28">
        <v>2505</v>
      </c>
      <c r="B287" s="28" t="s">
        <v>26</v>
      </c>
      <c r="C287" s="28" t="s">
        <v>750</v>
      </c>
      <c r="D287" s="28" t="s">
        <v>125</v>
      </c>
      <c r="E287" s="28" t="s">
        <v>1491</v>
      </c>
      <c r="F287" s="28" t="str">
        <f>IF(ISBLANK(Table2[[#This Row],[unique_id]]), "", PROPER(SUBSTITUTE(Table2[[#This Row],[unique_id]], "_", " ")))</f>
        <v>Network Certificate</v>
      </c>
      <c r="G287" s="28" t="s">
        <v>1490</v>
      </c>
      <c r="H287" s="28" t="s">
        <v>1473</v>
      </c>
      <c r="I287" s="28" t="s">
        <v>262</v>
      </c>
      <c r="M287" s="28" t="s">
        <v>244</v>
      </c>
      <c r="O287" s="29"/>
      <c r="P287" s="28"/>
      <c r="T287" s="35"/>
      <c r="U287" s="35"/>
      <c r="V287" s="35"/>
      <c r="W287" s="28"/>
      <c r="Y287" s="29"/>
      <c r="Z287" s="29"/>
      <c r="AA287" s="29"/>
      <c r="AB287" s="29"/>
      <c r="AH287" s="28" t="s">
        <v>1485</v>
      </c>
      <c r="AI287" s="28">
        <f t="shared" si="0"/>
        <v>900</v>
      </c>
      <c r="AJ287" s="29" t="s">
        <v>34</v>
      </c>
      <c r="AK287" s="29"/>
      <c r="AL287" s="28" t="s">
        <v>1476</v>
      </c>
      <c r="AM287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N287" s="28" t="str">
        <f>IF(ISBLANK(Table2[[#This Row],[index]]),  "", _xlfn.CONCAT(LOWER(Table2[[#This Row],[device_via_device]]), "/data/", SUBSTITUTE(LOWER(Table2[[#This Row],[unique_id]]), "network_", "")))</f>
        <v>network/data/certificate</v>
      </c>
      <c r="AO287" s="28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P287" s="28" t="str">
        <f>IF(ISBLANK(Table2[[#This Row],[index]]),  "", _xlfn.CONCAT(LOWER(Table2[[#This Row],[device_via_device]]), "/status"))</f>
        <v>network/status</v>
      </c>
      <c r="AU287" s="28" t="s">
        <v>1477</v>
      </c>
      <c r="AV287" s="28">
        <v>1</v>
      </c>
      <c r="AW287" s="30"/>
      <c r="AY2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BB2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7" s="28" t="str">
        <f>IF(ISBLANK(Table2[[#This Row],[device_model]]), "", Table2[[#This Row],[device_suggested_area]])</f>
        <v>Rack</v>
      </c>
      <c r="BE287" s="28" t="s">
        <v>750</v>
      </c>
      <c r="BF287" s="28" t="s">
        <v>1437</v>
      </c>
      <c r="BG287" s="28" t="s">
        <v>1061</v>
      </c>
      <c r="BI287" s="28" t="s">
        <v>936</v>
      </c>
      <c r="BJ287" s="28" t="s">
        <v>28</v>
      </c>
      <c r="BO287" s="39"/>
      <c r="BQ2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9" ht="16" customHeight="1" x14ac:dyDescent="0.2">
      <c r="A288" s="28">
        <v>2506</v>
      </c>
      <c r="B288" s="28" t="s">
        <v>26</v>
      </c>
      <c r="C288" s="28" t="s">
        <v>750</v>
      </c>
      <c r="D288" s="28" t="s">
        <v>125</v>
      </c>
      <c r="E288" s="28" t="s">
        <v>1488</v>
      </c>
      <c r="F288" s="28" t="str">
        <f>IF(ISBLANK(Table2[[#This Row],[unique_id]]), "", PROPER(SUBSTITUTE(Table2[[#This Row],[unique_id]], "_", " ")))</f>
        <v>Network Domain</v>
      </c>
      <c r="G288" s="28" t="str">
        <f>TRIM(RIGHT(SUBSTITUTE(TRIM(F288)," ",REPT(" ",100)),100))</f>
        <v>Domain</v>
      </c>
      <c r="H288" s="28" t="s">
        <v>1473</v>
      </c>
      <c r="I288" s="28" t="s">
        <v>262</v>
      </c>
      <c r="M288" s="28" t="s">
        <v>244</v>
      </c>
      <c r="O288" s="29"/>
      <c r="P288" s="28"/>
      <c r="T288" s="35"/>
      <c r="U288" s="35"/>
      <c r="V288" s="35"/>
      <c r="W288" s="28"/>
      <c r="Y288" s="29"/>
      <c r="Z288" s="29"/>
      <c r="AA288" s="29"/>
      <c r="AB288" s="29"/>
      <c r="AH288" s="28" t="s">
        <v>1489</v>
      </c>
      <c r="AI288" s="28">
        <f t="shared" si="0"/>
        <v>900</v>
      </c>
      <c r="AJ288" s="29" t="s">
        <v>34</v>
      </c>
      <c r="AK288" s="29"/>
      <c r="AL288" s="28" t="s">
        <v>1476</v>
      </c>
      <c r="AM288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N288" s="28" t="str">
        <f>IF(ISBLANK(Table2[[#This Row],[index]]),  "", _xlfn.CONCAT(LOWER(Table2[[#This Row],[device_via_device]]), "/data/", SUBSTITUTE(LOWER(Table2[[#This Row],[unique_id]]), "network_", "")))</f>
        <v>network/data/domain</v>
      </c>
      <c r="AO288" s="28" t="str">
        <f>IF(ISBLANK(Table2[[#This Row],[index]]),  "", _xlfn.CONCAT(LOWER(Table2[[#This Row],[device_via_device]]), "/command/", SUBSTITUTE(LOWER(Table2[[#This Row],[unique_id]]), "network_", "")))</f>
        <v>network/command/domain</v>
      </c>
      <c r="AP288" s="28" t="str">
        <f>IF(ISBLANK(Table2[[#This Row],[index]]),  "", _xlfn.CONCAT(LOWER(Table2[[#This Row],[device_via_device]]), "/status"))</f>
        <v>network/status</v>
      </c>
      <c r="AU288" s="28" t="s">
        <v>1477</v>
      </c>
      <c r="AV288" s="28">
        <v>1</v>
      </c>
      <c r="AW288" s="30"/>
      <c r="AX288" s="38"/>
      <c r="AY2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BB2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8" s="28" t="str">
        <f>IF(ISBLANK(Table2[[#This Row],[device_model]]), "", Table2[[#This Row],[device_suggested_area]])</f>
        <v>Rack</v>
      </c>
      <c r="BE288" s="28" t="s">
        <v>750</v>
      </c>
      <c r="BF288" s="28" t="s">
        <v>1437</v>
      </c>
      <c r="BG288" s="28" t="s">
        <v>1061</v>
      </c>
      <c r="BI288" s="28" t="s">
        <v>936</v>
      </c>
      <c r="BJ288" s="28" t="s">
        <v>28</v>
      </c>
      <c r="BO288" s="39"/>
      <c r="BQ2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9" ht="16" customHeight="1" x14ac:dyDescent="0.2">
      <c r="A289" s="28">
        <v>2507</v>
      </c>
      <c r="B289" s="28" t="s">
        <v>26</v>
      </c>
      <c r="C289" s="28" t="s">
        <v>1127</v>
      </c>
      <c r="D289" s="28" t="s">
        <v>125</v>
      </c>
      <c r="E289" s="28" t="s">
        <v>1515</v>
      </c>
      <c r="F289" s="28" t="str">
        <f>IF(ISBLANK(Table2[[#This Row],[unique_id]]), "", PROPER(SUBSTITUTE(Table2[[#This Row],[unique_id]], "_", " ")))</f>
        <v>Host All</v>
      </c>
      <c r="G289" s="28" t="str">
        <f t="shared" ref="G289" si="1">TRIM(RIGHT(SUBSTITUTE(TRIM(F289)," ",REPT(" ",100)),100))</f>
        <v>All</v>
      </c>
      <c r="H289" s="28" t="s">
        <v>1508</v>
      </c>
      <c r="I289" s="28" t="s">
        <v>262</v>
      </c>
      <c r="O289" s="29"/>
      <c r="P289" s="28"/>
      <c r="T289" s="35"/>
      <c r="U289" s="35"/>
      <c r="V289" s="35"/>
      <c r="W289" s="28"/>
      <c r="Y289" s="29"/>
      <c r="Z289" s="29"/>
      <c r="AA289" s="29"/>
      <c r="AB289" s="29"/>
      <c r="AI289" s="28">
        <v>6</v>
      </c>
      <c r="AJ289" s="29" t="s">
        <v>34</v>
      </c>
      <c r="AK289" s="29"/>
      <c r="AL289" s="28" t="s">
        <v>1514</v>
      </c>
      <c r="AM28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homeassistant/switch/supervisor_all/host_all/config</v>
      </c>
      <c r="AN289" s="28" t="str">
        <f>IF(ISBLANK(Table2[[#This Row],[index]]),"",_xlfn.CONCAT("supervisor/",Table2[[#This Row],[unique_id_device]],"/data/cluster"))</f>
        <v>supervisor/all/data/cluster</v>
      </c>
      <c r="AO289" s="28" t="str">
        <f>IF(ISBLANK(Table2[[#This Row],[index]]),"",_xlfn.CONCAT("supervisor/",Table2[[#This Row],[unique_id_device]],"/command/cluster"))</f>
        <v>supervisor/all/command/cluster</v>
      </c>
      <c r="AP289" s="28" t="s">
        <v>1513</v>
      </c>
      <c r="AU289" s="28" t="s">
        <v>1465</v>
      </c>
      <c r="AV289" s="28">
        <v>1</v>
      </c>
      <c r="AW289" s="30"/>
      <c r="AY2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All</v>
      </c>
      <c r="BB2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9" s="28" t="str">
        <f>IF(ISBLANK(Table2[[#This Row],[device_model]]), "", Table2[[#This Row],[device_suggested_area]])</f>
        <v>Rack</v>
      </c>
      <c r="BE289" s="28" t="s">
        <v>1127</v>
      </c>
      <c r="BF289" s="28" t="s">
        <v>1437</v>
      </c>
      <c r="BG289" s="28" t="s">
        <v>1061</v>
      </c>
      <c r="BI289" s="28" t="s">
        <v>936</v>
      </c>
      <c r="BJ289" s="28" t="s">
        <v>28</v>
      </c>
      <c r="BO289" s="39"/>
      <c r="BQ2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9" ht="16" customHeight="1" x14ac:dyDescent="0.2">
      <c r="A290" s="28">
        <v>2508</v>
      </c>
      <c r="B290" s="28" t="s">
        <v>26</v>
      </c>
      <c r="C290" s="28" t="s">
        <v>1127</v>
      </c>
      <c r="D290" s="28" t="s">
        <v>125</v>
      </c>
      <c r="E290" s="28" t="s">
        <v>1507</v>
      </c>
      <c r="F290" s="28" t="str">
        <f>IF(ISBLANK(Table2[[#This Row],[unique_id]]), "", PROPER(SUBSTITUTE(Table2[[#This Row],[unique_id]], "_", " ")))</f>
        <v>Host Mad</v>
      </c>
      <c r="G290" s="28" t="str">
        <f t="shared" ref="G290:G294" si="2">TRIM(RIGHT(SUBSTITUTE(TRIM(F290)," ",REPT(" ",100)),100))</f>
        <v>Mad</v>
      </c>
      <c r="H290" s="28" t="s">
        <v>1508</v>
      </c>
      <c r="I290" s="28" t="s">
        <v>262</v>
      </c>
      <c r="M290" s="28" t="s">
        <v>244</v>
      </c>
      <c r="O290" s="29"/>
      <c r="P290" s="28"/>
      <c r="T290" s="35"/>
      <c r="U290" s="35"/>
      <c r="V290" s="35"/>
      <c r="W290" s="28"/>
      <c r="Y290" s="29"/>
      <c r="Z290" s="29"/>
      <c r="AA290" s="29"/>
      <c r="AB290" s="29"/>
      <c r="AH290" s="28" t="s">
        <v>1466</v>
      </c>
      <c r="AI290" s="28">
        <v>6</v>
      </c>
      <c r="AJ290" s="29" t="s">
        <v>34</v>
      </c>
      <c r="AK290" s="29"/>
      <c r="AL290" s="28" t="s">
        <v>1402</v>
      </c>
      <c r="AM29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N290" s="28" t="str">
        <f>IF(ISBLANK(Table2[[#This Row],[index]]), "", _xlfn.CONCAT("supervisor/", Table2[[#This Row],[unique_id_device]], "/data/host"))</f>
        <v>supervisor/macmini-mad/data/host</v>
      </c>
      <c r="AO290" s="28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P290" s="28" t="str">
        <f>IF(ISBLANK(Table2[[#This Row],[index]]),  "", _xlfn.CONCAT("supervisor/", Table2[[#This Row],[unique_id_device]], "/status"))</f>
        <v>supervisor/macmini-mad/status</v>
      </c>
      <c r="AU290" s="28" t="s">
        <v>1465</v>
      </c>
      <c r="AV290" s="28">
        <v>1</v>
      </c>
      <c r="AW290" s="30"/>
      <c r="AY2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BB2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0" s="28" t="str">
        <f>IF(ISBLANK(Table2[[#This Row],[device_model]]), "", Table2[[#This Row],[device_suggested_area]])</f>
        <v>Rack</v>
      </c>
      <c r="BE290" s="28" t="s">
        <v>1127</v>
      </c>
      <c r="BF290" s="28" t="s">
        <v>1437</v>
      </c>
      <c r="BG290" s="28" t="s">
        <v>1061</v>
      </c>
      <c r="BI290" s="28" t="s">
        <v>936</v>
      </c>
      <c r="BJ290" s="28" t="s">
        <v>28</v>
      </c>
      <c r="BO290" s="39"/>
      <c r="BQ2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9" ht="16" customHeight="1" x14ac:dyDescent="0.2">
      <c r="A291" s="28">
        <v>2509</v>
      </c>
      <c r="B291" s="28" t="s">
        <v>26</v>
      </c>
      <c r="C291" s="28" t="s">
        <v>1127</v>
      </c>
      <c r="D291" s="28" t="s">
        <v>125</v>
      </c>
      <c r="E291" s="28" t="s">
        <v>1509</v>
      </c>
      <c r="F291" s="28" t="str">
        <f>IF(ISBLANK(Table2[[#This Row],[unique_id]]), "", PROPER(SUBSTITUTE(Table2[[#This Row],[unique_id]], "_", " ")))</f>
        <v>Host Max</v>
      </c>
      <c r="G291" s="28" t="str">
        <f t="shared" si="2"/>
        <v>Max</v>
      </c>
      <c r="H291" s="28" t="s">
        <v>1508</v>
      </c>
      <c r="I291" s="28" t="s">
        <v>262</v>
      </c>
      <c r="M291" s="28" t="s">
        <v>244</v>
      </c>
      <c r="O291" s="29"/>
      <c r="P291" s="28"/>
      <c r="T291" s="35"/>
      <c r="U291" s="35"/>
      <c r="V291" s="35"/>
      <c r="W291" s="28"/>
      <c r="Y291" s="29"/>
      <c r="Z291" s="29"/>
      <c r="AA291" s="29"/>
      <c r="AB291" s="29"/>
      <c r="AH291" s="28" t="s">
        <v>1466</v>
      </c>
      <c r="AI291" s="28">
        <v>6</v>
      </c>
      <c r="AJ291" s="29" t="s">
        <v>34</v>
      </c>
      <c r="AK291" s="29"/>
      <c r="AL291" s="28" t="s">
        <v>1403</v>
      </c>
      <c r="AM29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N291" s="28" t="str">
        <f>IF(ISBLANK(Table2[[#This Row],[index]]), "", _xlfn.CONCAT("supervisor/", Table2[[#This Row],[unique_id_device]], "/data/host"))</f>
        <v>supervisor/macmini-max/data/host</v>
      </c>
      <c r="AO291" s="28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P291" s="28" t="str">
        <f>IF(ISBLANK(Table2[[#This Row],[index]]),  "", _xlfn.CONCAT("supervisor/", Table2[[#This Row],[unique_id_device]], "/status"))</f>
        <v>supervisor/macmini-max/status</v>
      </c>
      <c r="AU291" s="28" t="s">
        <v>1465</v>
      </c>
      <c r="AV291" s="28">
        <v>1</v>
      </c>
      <c r="AW291" s="30"/>
      <c r="AY2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BB2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1" s="28" t="str">
        <f>IF(ISBLANK(Table2[[#This Row],[device_model]]), "", Table2[[#This Row],[device_suggested_area]])</f>
        <v>Rack</v>
      </c>
      <c r="BE291" s="28" t="s">
        <v>1127</v>
      </c>
      <c r="BF291" s="28" t="s">
        <v>1437</v>
      </c>
      <c r="BG291" s="28" t="s">
        <v>1061</v>
      </c>
      <c r="BI291" s="28" t="s">
        <v>936</v>
      </c>
      <c r="BJ291" s="28" t="s">
        <v>28</v>
      </c>
      <c r="BO291" s="39"/>
      <c r="BQ2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9" ht="16" customHeight="1" x14ac:dyDescent="0.2">
      <c r="A292" s="28">
        <v>2510</v>
      </c>
      <c r="B292" s="28" t="s">
        <v>26</v>
      </c>
      <c r="C292" s="28" t="s">
        <v>1127</v>
      </c>
      <c r="D292" s="28" t="s">
        <v>125</v>
      </c>
      <c r="E292" s="28" t="s">
        <v>1510</v>
      </c>
      <c r="F292" s="28" t="str">
        <f>IF(ISBLANK(Table2[[#This Row],[unique_id]]), "", PROPER(SUBSTITUTE(Table2[[#This Row],[unique_id]], "_", " ")))</f>
        <v>Host May</v>
      </c>
      <c r="G292" s="28" t="str">
        <f t="shared" si="2"/>
        <v>May</v>
      </c>
      <c r="H292" s="28" t="s">
        <v>1508</v>
      </c>
      <c r="I292" s="28" t="s">
        <v>262</v>
      </c>
      <c r="M292" s="28" t="s">
        <v>244</v>
      </c>
      <c r="O292" s="29"/>
      <c r="P292" s="28"/>
      <c r="T292" s="35"/>
      <c r="U292" s="35"/>
      <c r="V292" s="35"/>
      <c r="W292" s="28"/>
      <c r="Y292" s="29"/>
      <c r="Z292" s="29"/>
      <c r="AA292" s="29"/>
      <c r="AB292" s="29"/>
      <c r="AH292" s="28" t="s">
        <v>1466</v>
      </c>
      <c r="AI292" s="28">
        <v>6</v>
      </c>
      <c r="AJ292" s="29" t="s">
        <v>34</v>
      </c>
      <c r="AK292" s="29"/>
      <c r="AL292" s="28" t="s">
        <v>1367</v>
      </c>
      <c r="AM29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N292" s="28" t="str">
        <f>IF(ISBLANK(Table2[[#This Row],[index]]), "", _xlfn.CONCAT("supervisor/", Table2[[#This Row],[unique_id_device]], "/data/host"))</f>
        <v>supervisor/macmini-may/data/host</v>
      </c>
      <c r="AO292" s="28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P292" s="28" t="str">
        <f>IF(ISBLANK(Table2[[#This Row],[index]]),  "", _xlfn.CONCAT("supervisor/", Table2[[#This Row],[unique_id_device]], "/status"))</f>
        <v>supervisor/macmini-may/status</v>
      </c>
      <c r="AU292" s="28" t="s">
        <v>1465</v>
      </c>
      <c r="AV292" s="28">
        <v>1</v>
      </c>
      <c r="AW292" s="30"/>
      <c r="AY2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BB2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2" s="28" t="str">
        <f>IF(ISBLANK(Table2[[#This Row],[device_model]]), "", Table2[[#This Row],[device_suggested_area]])</f>
        <v>Rack</v>
      </c>
      <c r="BE292" s="28" t="s">
        <v>1127</v>
      </c>
      <c r="BF292" s="28" t="s">
        <v>1437</v>
      </c>
      <c r="BG292" s="28" t="s">
        <v>1061</v>
      </c>
      <c r="BI292" s="28" t="s">
        <v>936</v>
      </c>
      <c r="BJ292" s="28" t="s">
        <v>28</v>
      </c>
      <c r="BO292" s="39"/>
      <c r="BQ2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9" ht="16" customHeight="1" x14ac:dyDescent="0.2">
      <c r="A293" s="28">
        <v>2511</v>
      </c>
      <c r="B293" s="28" t="s">
        <v>26</v>
      </c>
      <c r="C293" s="28" t="s">
        <v>1127</v>
      </c>
      <c r="D293" s="28" t="s">
        <v>125</v>
      </c>
      <c r="E293" s="28" t="s">
        <v>1511</v>
      </c>
      <c r="F293" s="28" t="str">
        <f>IF(ISBLANK(Table2[[#This Row],[unique_id]]), "", PROPER(SUBSTITUTE(Table2[[#This Row],[unique_id]], "_", " ")))</f>
        <v>Host Meg</v>
      </c>
      <c r="G293" s="28" t="str">
        <f t="shared" si="2"/>
        <v>Meg</v>
      </c>
      <c r="H293" s="28" t="s">
        <v>1508</v>
      </c>
      <c r="I293" s="28" t="s">
        <v>262</v>
      </c>
      <c r="M293" s="28" t="s">
        <v>244</v>
      </c>
      <c r="O293" s="29"/>
      <c r="P293" s="28"/>
      <c r="T293" s="35"/>
      <c r="U293" s="35"/>
      <c r="V293" s="35"/>
      <c r="W293" s="28"/>
      <c r="Y293" s="29"/>
      <c r="Z293" s="29"/>
      <c r="AA293" s="29"/>
      <c r="AB293" s="29"/>
      <c r="AH293" s="28" t="s">
        <v>1466</v>
      </c>
      <c r="AI293" s="28">
        <v>6</v>
      </c>
      <c r="AJ293" s="29" t="s">
        <v>34</v>
      </c>
      <c r="AK293" s="29"/>
      <c r="AL293" s="28" t="s">
        <v>1078</v>
      </c>
      <c r="AM29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N293" s="28" t="str">
        <f>IF(ISBLANK(Table2[[#This Row],[index]]), "", _xlfn.CONCAT("supervisor/", Table2[[#This Row],[unique_id_device]], "/data/host"))</f>
        <v>supervisor/macmini-meg/data/host</v>
      </c>
      <c r="AO293" s="28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P293" s="28" t="str">
        <f>IF(ISBLANK(Table2[[#This Row],[index]]),  "", _xlfn.CONCAT("supervisor/", Table2[[#This Row],[unique_id_device]], "/status"))</f>
        <v>supervisor/macmini-meg/status</v>
      </c>
      <c r="AU293" s="28" t="s">
        <v>1465</v>
      </c>
      <c r="AV293" s="28">
        <v>1</v>
      </c>
      <c r="AW293" s="30"/>
      <c r="AY2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BB2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3" s="28" t="str">
        <f>IF(ISBLANK(Table2[[#This Row],[device_model]]), "", Table2[[#This Row],[device_suggested_area]])</f>
        <v>Rack</v>
      </c>
      <c r="BE293" s="28" t="s">
        <v>1127</v>
      </c>
      <c r="BF293" s="28" t="s">
        <v>1437</v>
      </c>
      <c r="BG293" s="28" t="s">
        <v>1061</v>
      </c>
      <c r="BI293" s="28" t="s">
        <v>936</v>
      </c>
      <c r="BJ293" s="28" t="s">
        <v>28</v>
      </c>
      <c r="BO293" s="39"/>
      <c r="BQ2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9" ht="16" customHeight="1" x14ac:dyDescent="0.2">
      <c r="A294" s="28">
        <v>2512</v>
      </c>
      <c r="B294" s="28" t="s">
        <v>26</v>
      </c>
      <c r="C294" s="28" t="s">
        <v>1127</v>
      </c>
      <c r="D294" s="28" t="s">
        <v>125</v>
      </c>
      <c r="E294" s="28" t="s">
        <v>1512</v>
      </c>
      <c r="F294" s="28" t="str">
        <f>IF(ISBLANK(Table2[[#This Row],[unique_id]]), "", PROPER(SUBSTITUTE(Table2[[#This Row],[unique_id]], "_", " ")))</f>
        <v>Host Jen</v>
      </c>
      <c r="G294" s="28" t="str">
        <f t="shared" si="2"/>
        <v>Jen</v>
      </c>
      <c r="H294" s="28" t="s">
        <v>1508</v>
      </c>
      <c r="I294" s="28" t="s">
        <v>262</v>
      </c>
      <c r="M294" s="28" t="s">
        <v>244</v>
      </c>
      <c r="O294" s="29"/>
      <c r="P294" s="28"/>
      <c r="T294" s="35"/>
      <c r="U294" s="35"/>
      <c r="V294" s="35"/>
      <c r="W294" s="28"/>
      <c r="Y294" s="29"/>
      <c r="Z294" s="29"/>
      <c r="AA294" s="29"/>
      <c r="AB294" s="29"/>
      <c r="AH294" s="28" t="s">
        <v>1466</v>
      </c>
      <c r="AI294" s="28">
        <v>6</v>
      </c>
      <c r="AJ294" s="29" t="s">
        <v>34</v>
      </c>
      <c r="AK294" s="29"/>
      <c r="AL294" s="28" t="s">
        <v>1370</v>
      </c>
      <c r="AM29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N294" s="28" t="str">
        <f>IF(ISBLANK(Table2[[#This Row],[index]]), "", _xlfn.CONCAT("supervisor/", Table2[[#This Row],[unique_id_device]], "/data/host"))</f>
        <v>supervisor/raspbpi-jen/data/host</v>
      </c>
      <c r="AO294" s="28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P294" s="28" t="str">
        <f>IF(ISBLANK(Table2[[#This Row],[index]]),  "", _xlfn.CONCAT("supervisor/", Table2[[#This Row],[unique_id_device]], "/status"))</f>
        <v>supervisor/raspbpi-jen/status</v>
      </c>
      <c r="AU294" s="28" t="s">
        <v>1465</v>
      </c>
      <c r="AV294" s="28">
        <v>1</v>
      </c>
      <c r="AW294" s="30"/>
      <c r="AY2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BB2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4" s="28" t="str">
        <f>IF(ISBLANK(Table2[[#This Row],[device_model]]), "", Table2[[#This Row],[device_suggested_area]])</f>
        <v>Rack</v>
      </c>
      <c r="BE294" s="28" t="s">
        <v>1127</v>
      </c>
      <c r="BF294" s="28" t="s">
        <v>1437</v>
      </c>
      <c r="BG294" s="28" t="s">
        <v>1061</v>
      </c>
      <c r="BI294" s="28" t="s">
        <v>936</v>
      </c>
      <c r="BJ294" s="28" t="s">
        <v>28</v>
      </c>
      <c r="BO294" s="39"/>
      <c r="BQ2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9" ht="16" customHeight="1" x14ac:dyDescent="0.2">
      <c r="A295" s="28">
        <v>2513</v>
      </c>
      <c r="B295" s="28" t="s">
        <v>26</v>
      </c>
      <c r="C295" s="28" t="s">
        <v>409</v>
      </c>
      <c r="D295" s="28" t="s">
        <v>304</v>
      </c>
      <c r="E295" s="28" t="s">
        <v>303</v>
      </c>
      <c r="F295" s="34" t="str">
        <f>IF(ISBLANK(Table2[[#This Row],[unique_id]]), "", PROPER(SUBSTITUTE(Table2[[#This Row],[unique_id]], "_", " ")))</f>
        <v>Column Break</v>
      </c>
      <c r="G295" s="28" t="s">
        <v>300</v>
      </c>
      <c r="H295" s="28" t="s">
        <v>1508</v>
      </c>
      <c r="I295" s="28" t="s">
        <v>262</v>
      </c>
      <c r="M295" s="28" t="s">
        <v>301</v>
      </c>
      <c r="N295" s="28" t="s">
        <v>302</v>
      </c>
      <c r="O295" s="29"/>
      <c r="P295" s="28"/>
      <c r="T295" s="35"/>
      <c r="U295" s="35"/>
      <c r="V295" s="35"/>
      <c r="W295" s="28"/>
      <c r="Y295" s="29"/>
      <c r="Z295" s="29"/>
      <c r="AA295" s="29"/>
      <c r="AB295" s="29"/>
      <c r="AJ295" s="29"/>
      <c r="AK295" s="29"/>
      <c r="AU295" s="37"/>
      <c r="AV295" s="28"/>
      <c r="AW295" s="30"/>
      <c r="AX295" s="29"/>
      <c r="AY2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5" s="28" t="str">
        <f>IF(ISBLANK(Table2[[#This Row],[device_model]]), "", Table2[[#This Row],[device_suggested_area]])</f>
        <v/>
      </c>
      <c r="BI295" s="29"/>
      <c r="BO295" s="28"/>
      <c r="BQ2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9" ht="16" customHeight="1" x14ac:dyDescent="0.2">
      <c r="A296" s="28">
        <v>2514</v>
      </c>
      <c r="B296" s="28" t="s">
        <v>26</v>
      </c>
      <c r="C296" s="28" t="s">
        <v>1127</v>
      </c>
      <c r="D296" s="28" t="s">
        <v>125</v>
      </c>
      <c r="E296" s="28" t="s">
        <v>1492</v>
      </c>
      <c r="F296" s="28" t="str">
        <f>IF(ISBLANK(Table2[[#This Row],[unique_id]]), "", PROPER(SUBSTITUTE(Table2[[#This Row],[unique_id]], "_", " ")))</f>
        <v>Service Network</v>
      </c>
      <c r="G296" s="28" t="s">
        <v>750</v>
      </c>
      <c r="H296" s="28" t="s">
        <v>1474</v>
      </c>
      <c r="I296" s="28" t="s">
        <v>262</v>
      </c>
      <c r="M296" s="28" t="s">
        <v>244</v>
      </c>
      <c r="O296" s="29"/>
      <c r="P296" s="28"/>
      <c r="T296" s="35"/>
      <c r="U296" s="35"/>
      <c r="V296" s="35"/>
      <c r="W296" s="28"/>
      <c r="Y296" s="29"/>
      <c r="Z296" s="29"/>
      <c r="AA296" s="29"/>
      <c r="AB296" s="29"/>
      <c r="AH296" s="28" t="s">
        <v>1466</v>
      </c>
      <c r="AI296" s="28">
        <v>6</v>
      </c>
      <c r="AJ296" s="29" t="s">
        <v>34</v>
      </c>
      <c r="AK296" s="29"/>
      <c r="AL296" s="28" t="s">
        <v>1402</v>
      </c>
      <c r="AM29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N296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O296" s="28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P296" s="28" t="str">
        <f>IF(ISBLANK(Table2[[#This Row],[index]]),  "", _xlfn.CONCAT("supervisor/", Table2[[#This Row],[unique_id_device]], "/status"))</f>
        <v>supervisor/macmini-mad/status</v>
      </c>
      <c r="AU296" s="28" t="s">
        <v>1465</v>
      </c>
      <c r="AV296" s="28">
        <v>1</v>
      </c>
      <c r="AW296" s="30"/>
      <c r="AY2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BB2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6" s="28" t="str">
        <f>IF(ISBLANK(Table2[[#This Row],[device_model]]), "", Table2[[#This Row],[device_suggested_area]])</f>
        <v>Rack</v>
      </c>
      <c r="BE296" s="28" t="s">
        <v>1127</v>
      </c>
      <c r="BF296" s="28" t="s">
        <v>1437</v>
      </c>
      <c r="BG296" s="28" t="s">
        <v>1061</v>
      </c>
      <c r="BI296" s="28" t="s">
        <v>936</v>
      </c>
      <c r="BJ296" s="28" t="s">
        <v>28</v>
      </c>
      <c r="BO296" s="39"/>
      <c r="BQ2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9" ht="16" customHeight="1" x14ac:dyDescent="0.2">
      <c r="A297" s="28">
        <v>2515</v>
      </c>
      <c r="B297" s="28" t="s">
        <v>26</v>
      </c>
      <c r="C297" s="28" t="s">
        <v>1127</v>
      </c>
      <c r="D297" s="28" t="s">
        <v>125</v>
      </c>
      <c r="E297" s="28" t="s">
        <v>1439</v>
      </c>
      <c r="F297" s="28" t="str">
        <f>IF(ISBLANK(Table2[[#This Row],[unique_id]]), "", PROPER(SUBSTITUTE(Table2[[#This Row],[unique_id]], "_", " ")))</f>
        <v>Service Plex</v>
      </c>
      <c r="G297" s="28" t="s">
        <v>1128</v>
      </c>
      <c r="H297" s="28" t="s">
        <v>1474</v>
      </c>
      <c r="I297" s="28" t="s">
        <v>262</v>
      </c>
      <c r="M297" s="28" t="s">
        <v>244</v>
      </c>
      <c r="O297" s="29"/>
      <c r="P297" s="28"/>
      <c r="T297" s="35"/>
      <c r="U297" s="35"/>
      <c r="V297" s="35"/>
      <c r="W297" s="28"/>
      <c r="Y297" s="29"/>
      <c r="Z297" s="29"/>
      <c r="AA297" s="29"/>
      <c r="AB297" s="29"/>
      <c r="AH297" s="28" t="s">
        <v>1466</v>
      </c>
      <c r="AI297" s="28">
        <v>6</v>
      </c>
      <c r="AJ297" s="29" t="s">
        <v>34</v>
      </c>
      <c r="AK297" s="29"/>
      <c r="AL297" s="28" t="s">
        <v>1402</v>
      </c>
      <c r="AM29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N297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O297" s="28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P297" s="28" t="str">
        <f>IF(ISBLANK(Table2[[#This Row],[index]]),  "", _xlfn.CONCAT("supervisor/", Table2[[#This Row],[unique_id_device]], "/status"))</f>
        <v>supervisor/macmini-mad/status</v>
      </c>
      <c r="AU297" s="28" t="s">
        <v>1465</v>
      </c>
      <c r="AV297" s="28">
        <v>1</v>
      </c>
      <c r="AW297" s="30"/>
      <c r="AY2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BB2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7" s="28" t="str">
        <f>IF(ISBLANK(Table2[[#This Row],[device_model]]), "", Table2[[#This Row],[device_suggested_area]])</f>
        <v>Rack</v>
      </c>
      <c r="BE297" s="28" t="s">
        <v>1127</v>
      </c>
      <c r="BF297" s="28" t="s">
        <v>1437</v>
      </c>
      <c r="BG297" s="28" t="s">
        <v>1061</v>
      </c>
      <c r="BI297" s="28" t="s">
        <v>936</v>
      </c>
      <c r="BJ297" s="28" t="s">
        <v>28</v>
      </c>
      <c r="BO297" s="39"/>
      <c r="BQ2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9" ht="16" customHeight="1" x14ac:dyDescent="0.2">
      <c r="A298" s="28">
        <v>2516</v>
      </c>
      <c r="B298" s="28" t="s">
        <v>26</v>
      </c>
      <c r="C298" s="28" t="s">
        <v>1127</v>
      </c>
      <c r="D298" s="28" t="s">
        <v>125</v>
      </c>
      <c r="E298" s="28" t="s">
        <v>1451</v>
      </c>
      <c r="F298" s="28" t="str">
        <f>IF(ISBLANK(Table2[[#This Row],[unique_id]]), "", PROPER(SUBSTITUTE(Table2[[#This Row],[unique_id]], "_", " ")))</f>
        <v>Service Postgres</v>
      </c>
      <c r="G298" s="28" t="s">
        <v>1132</v>
      </c>
      <c r="H298" s="28" t="s">
        <v>1474</v>
      </c>
      <c r="I298" s="28" t="s">
        <v>262</v>
      </c>
      <c r="M298" s="28" t="s">
        <v>244</v>
      </c>
      <c r="O298" s="29"/>
      <c r="P298" s="28"/>
      <c r="T298" s="35"/>
      <c r="U298" s="35"/>
      <c r="V298" s="35"/>
      <c r="W298" s="28"/>
      <c r="Y298" s="29"/>
      <c r="Z298" s="29"/>
      <c r="AA298" s="29"/>
      <c r="AB298" s="29"/>
      <c r="AH298" s="28" t="s">
        <v>1466</v>
      </c>
      <c r="AI298" s="28">
        <v>6</v>
      </c>
      <c r="AJ298" s="29" t="s">
        <v>34</v>
      </c>
      <c r="AK298" s="29"/>
      <c r="AL298" s="28" t="s">
        <v>1402</v>
      </c>
      <c r="AM29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N298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O298" s="28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P298" s="28" t="str">
        <f>IF(ISBLANK(Table2[[#This Row],[index]]),  "", _xlfn.CONCAT("supervisor/", Table2[[#This Row],[unique_id_device]], "/status"))</f>
        <v>supervisor/macmini-mad/status</v>
      </c>
      <c r="AU298" s="28" t="s">
        <v>1465</v>
      </c>
      <c r="AV298" s="28">
        <v>1</v>
      </c>
      <c r="AW298" s="30"/>
      <c r="AY2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BB2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8" s="28" t="str">
        <f>IF(ISBLANK(Table2[[#This Row],[device_model]]), "", Table2[[#This Row],[device_suggested_area]])</f>
        <v>Rack</v>
      </c>
      <c r="BE298" s="28" t="s">
        <v>1127</v>
      </c>
      <c r="BF298" s="28" t="s">
        <v>1437</v>
      </c>
      <c r="BG298" s="28" t="s">
        <v>1061</v>
      </c>
      <c r="BI298" s="28" t="s">
        <v>936</v>
      </c>
      <c r="BJ298" s="28" t="s">
        <v>28</v>
      </c>
      <c r="BO298" s="39"/>
      <c r="BQ2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9" ht="16" customHeight="1" x14ac:dyDescent="0.2">
      <c r="A299" s="28">
        <v>2517</v>
      </c>
      <c r="B299" s="28" t="s">
        <v>26</v>
      </c>
      <c r="C299" s="28" t="s">
        <v>1127</v>
      </c>
      <c r="D299" s="28" t="s">
        <v>125</v>
      </c>
      <c r="E299" s="28" t="s">
        <v>1440</v>
      </c>
      <c r="F299" s="28" t="str">
        <f>IF(ISBLANK(Table2[[#This Row],[unique_id]]), "", PROPER(SUBSTITUTE(Table2[[#This Row],[unique_id]], "_", " ")))</f>
        <v>Service Sabnzbd</v>
      </c>
      <c r="G299" s="28" t="s">
        <v>1457</v>
      </c>
      <c r="H299" s="28" t="s">
        <v>1474</v>
      </c>
      <c r="I299" s="28" t="s">
        <v>262</v>
      </c>
      <c r="M299" s="28" t="s">
        <v>244</v>
      </c>
      <c r="O299" s="29"/>
      <c r="P299" s="28"/>
      <c r="T299" s="35"/>
      <c r="U299" s="35"/>
      <c r="V299" s="35"/>
      <c r="W299" s="28"/>
      <c r="Y299" s="29"/>
      <c r="Z299" s="29"/>
      <c r="AA299" s="29"/>
      <c r="AB299" s="29"/>
      <c r="AH299" s="28" t="s">
        <v>1466</v>
      </c>
      <c r="AI299" s="28">
        <v>6</v>
      </c>
      <c r="AJ299" s="29" t="s">
        <v>34</v>
      </c>
      <c r="AK299" s="29"/>
      <c r="AL299" s="28" t="s">
        <v>1402</v>
      </c>
      <c r="AM29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N299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O299" s="28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P299" s="28" t="str">
        <f>IF(ISBLANK(Table2[[#This Row],[index]]),  "", _xlfn.CONCAT("supervisor/", Table2[[#This Row],[unique_id_device]], "/status"))</f>
        <v>supervisor/macmini-mad/status</v>
      </c>
      <c r="AU299" s="28" t="s">
        <v>1465</v>
      </c>
      <c r="AV299" s="28">
        <v>1</v>
      </c>
      <c r="AW299" s="30"/>
      <c r="AY2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BB2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9" s="28" t="str">
        <f>IF(ISBLANK(Table2[[#This Row],[device_model]]), "", Table2[[#This Row],[device_suggested_area]])</f>
        <v>Rack</v>
      </c>
      <c r="BE299" s="28" t="s">
        <v>1127</v>
      </c>
      <c r="BF299" s="28" t="s">
        <v>1437</v>
      </c>
      <c r="BG299" s="28" t="s">
        <v>1061</v>
      </c>
      <c r="BI299" s="28" t="s">
        <v>936</v>
      </c>
      <c r="BJ299" s="28" t="s">
        <v>28</v>
      </c>
      <c r="BO299" s="39"/>
      <c r="BQ2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9" ht="16" customHeight="1" x14ac:dyDescent="0.2">
      <c r="A300" s="28">
        <v>2518</v>
      </c>
      <c r="B300" s="28" t="s">
        <v>26</v>
      </c>
      <c r="C300" s="28" t="s">
        <v>1127</v>
      </c>
      <c r="D300" s="28" t="s">
        <v>125</v>
      </c>
      <c r="E300" s="28" t="s">
        <v>1448</v>
      </c>
      <c r="F300" s="28" t="str">
        <f>IF(ISBLANK(Table2[[#This Row],[unique_id]]), "", PROPER(SUBSTITUTE(Table2[[#This Row],[unique_id]], "_", " ")))</f>
        <v>Service Wrangle</v>
      </c>
      <c r="G300" s="28" t="s">
        <v>1130</v>
      </c>
      <c r="H300" s="28" t="s">
        <v>1474</v>
      </c>
      <c r="I300" s="28" t="s">
        <v>262</v>
      </c>
      <c r="M300" s="28" t="s">
        <v>244</v>
      </c>
      <c r="O300" s="29"/>
      <c r="P300" s="28"/>
      <c r="T300" s="35"/>
      <c r="U300" s="35"/>
      <c r="V300" s="35"/>
      <c r="W300" s="28"/>
      <c r="Y300" s="29"/>
      <c r="Z300" s="29"/>
      <c r="AA300" s="29"/>
      <c r="AB300" s="29"/>
      <c r="AH300" s="28" t="s">
        <v>1466</v>
      </c>
      <c r="AI300" s="28">
        <v>6</v>
      </c>
      <c r="AJ300" s="29" t="s">
        <v>34</v>
      </c>
      <c r="AK300" s="29"/>
      <c r="AL300" s="28" t="s">
        <v>1402</v>
      </c>
      <c r="AM30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N300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O300" s="28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P300" s="28" t="str">
        <f>IF(ISBLANK(Table2[[#This Row],[index]]),  "", _xlfn.CONCAT("supervisor/", Table2[[#This Row],[unique_id_device]], "/status"))</f>
        <v>supervisor/macmini-mad/status</v>
      </c>
      <c r="AU300" s="28" t="s">
        <v>1465</v>
      </c>
      <c r="AV300" s="28">
        <v>1</v>
      </c>
      <c r="AW300" s="30"/>
      <c r="AY3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BB3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0" s="28" t="str">
        <f>IF(ISBLANK(Table2[[#This Row],[device_model]]), "", Table2[[#This Row],[device_suggested_area]])</f>
        <v>Rack</v>
      </c>
      <c r="BE300" s="28" t="s">
        <v>1127</v>
      </c>
      <c r="BF300" s="28" t="s">
        <v>1437</v>
      </c>
      <c r="BG300" s="28" t="s">
        <v>1061</v>
      </c>
      <c r="BI300" s="28" t="s">
        <v>936</v>
      </c>
      <c r="BJ300" s="28" t="s">
        <v>28</v>
      </c>
      <c r="BO300" s="39"/>
      <c r="BQ3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9" ht="16" customHeight="1" x14ac:dyDescent="0.2">
      <c r="A301" s="28">
        <v>2519</v>
      </c>
      <c r="B301" s="28" t="s">
        <v>26</v>
      </c>
      <c r="C301" s="28" t="s">
        <v>1127</v>
      </c>
      <c r="D301" s="28" t="s">
        <v>125</v>
      </c>
      <c r="E301" s="28" t="s">
        <v>1497</v>
      </c>
      <c r="F301" s="28" t="str">
        <f>IF(ISBLANK(Table2[[#This Row],[unique_id]]), "", PROPER(SUBSTITUTE(Table2[[#This Row],[unique_id]], "_", " ")))</f>
        <v>Service Cloudflare</v>
      </c>
      <c r="G301" s="28" t="s">
        <v>1498</v>
      </c>
      <c r="H301" s="28" t="s">
        <v>1474</v>
      </c>
      <c r="I301" s="28" t="s">
        <v>262</v>
      </c>
      <c r="M301" s="28" t="s">
        <v>244</v>
      </c>
      <c r="O301" s="29"/>
      <c r="P301" s="28"/>
      <c r="T301" s="35"/>
      <c r="U301" s="35"/>
      <c r="V301" s="35"/>
      <c r="W301" s="28"/>
      <c r="Y301" s="29"/>
      <c r="Z301" s="29"/>
      <c r="AA301" s="29"/>
      <c r="AB301" s="29"/>
      <c r="AH301" s="28" t="s">
        <v>1466</v>
      </c>
      <c r="AI301" s="28">
        <v>6</v>
      </c>
      <c r="AJ301" s="29" t="s">
        <v>34</v>
      </c>
      <c r="AK301" s="29"/>
      <c r="AL301" s="28" t="s">
        <v>1403</v>
      </c>
      <c r="AM30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N301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O301" s="28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P301" s="28" t="str">
        <f>IF(ISBLANK(Table2[[#This Row],[index]]),  "", _xlfn.CONCAT("supervisor/", Table2[[#This Row],[unique_id_device]], "/status"))</f>
        <v>supervisor/macmini-max/status</v>
      </c>
      <c r="AU301" s="28" t="s">
        <v>1465</v>
      </c>
      <c r="AV301" s="28">
        <v>1</v>
      </c>
      <c r="AW301" s="30"/>
      <c r="AY3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BB3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1" s="28" t="str">
        <f>IF(ISBLANK(Table2[[#This Row],[device_model]]), "", Table2[[#This Row],[device_suggested_area]])</f>
        <v>Rack</v>
      </c>
      <c r="BE301" s="28" t="s">
        <v>1127</v>
      </c>
      <c r="BF301" s="28" t="s">
        <v>1437</v>
      </c>
      <c r="BG301" s="28" t="s">
        <v>1061</v>
      </c>
      <c r="BI301" s="28" t="s">
        <v>936</v>
      </c>
      <c r="BJ301" s="28" t="s">
        <v>28</v>
      </c>
      <c r="BO301" s="39"/>
      <c r="BQ3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9" ht="16" customHeight="1" x14ac:dyDescent="0.2">
      <c r="A302" s="28">
        <v>2520</v>
      </c>
      <c r="B302" s="28" t="s">
        <v>26</v>
      </c>
      <c r="C302" s="28" t="s">
        <v>1127</v>
      </c>
      <c r="D302" s="28" t="s">
        <v>125</v>
      </c>
      <c r="E302" s="28" t="s">
        <v>1445</v>
      </c>
      <c r="F302" s="28" t="str">
        <f>IF(ISBLANK(Table2[[#This Row],[unique_id]]), "", PROPER(SUBSTITUTE(Table2[[#This Row],[unique_id]], "_", " ")))</f>
        <v>Service Grafana</v>
      </c>
      <c r="G302" s="28" t="s">
        <v>1129</v>
      </c>
      <c r="H302" s="28" t="s">
        <v>1474</v>
      </c>
      <c r="I302" s="28" t="s">
        <v>262</v>
      </c>
      <c r="M302" s="28" t="s">
        <v>244</v>
      </c>
      <c r="O302" s="29"/>
      <c r="P302" s="28"/>
      <c r="T302" s="35"/>
      <c r="U302" s="35"/>
      <c r="V302" s="35"/>
      <c r="W302" s="28"/>
      <c r="Y302" s="29"/>
      <c r="Z302" s="29"/>
      <c r="AA302" s="29"/>
      <c r="AB302" s="29"/>
      <c r="AH302" s="28" t="s">
        <v>1466</v>
      </c>
      <c r="AI302" s="28">
        <v>6</v>
      </c>
      <c r="AJ302" s="29" t="s">
        <v>34</v>
      </c>
      <c r="AK302" s="29"/>
      <c r="AL302" s="28" t="s">
        <v>1403</v>
      </c>
      <c r="AM30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N302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O302" s="28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P302" s="28" t="str">
        <f>IF(ISBLANK(Table2[[#This Row],[index]]),  "", _xlfn.CONCAT("supervisor/", Table2[[#This Row],[unique_id_device]], "/status"))</f>
        <v>supervisor/macmini-max/status</v>
      </c>
      <c r="AU302" s="28" t="s">
        <v>1465</v>
      </c>
      <c r="AV302" s="28">
        <v>1</v>
      </c>
      <c r="AW302" s="30"/>
      <c r="AY3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BB3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2" s="28" t="str">
        <f>IF(ISBLANK(Table2[[#This Row],[device_model]]), "", Table2[[#This Row],[device_suggested_area]])</f>
        <v>Rack</v>
      </c>
      <c r="BE302" s="28" t="s">
        <v>1127</v>
      </c>
      <c r="BF302" s="28" t="s">
        <v>1437</v>
      </c>
      <c r="BG302" s="28" t="s">
        <v>1061</v>
      </c>
      <c r="BI302" s="28" t="s">
        <v>936</v>
      </c>
      <c r="BJ302" s="28" t="s">
        <v>28</v>
      </c>
      <c r="BO302" s="39"/>
      <c r="BQ3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9" ht="16" customHeight="1" x14ac:dyDescent="0.2">
      <c r="A303" s="28">
        <v>2521</v>
      </c>
      <c r="B303" s="28" t="s">
        <v>26</v>
      </c>
      <c r="C303" s="28" t="s">
        <v>1127</v>
      </c>
      <c r="D303" s="28" t="s">
        <v>125</v>
      </c>
      <c r="E303" s="28" t="s">
        <v>1446</v>
      </c>
      <c r="F303" s="28" t="str">
        <f>IF(ISBLANK(Table2[[#This Row],[unique_id]]), "", PROPER(SUBSTITUTE(Table2[[#This Row],[unique_id]], "_", " ")))</f>
        <v>Service Letsencrypt</v>
      </c>
      <c r="G303" s="28" t="s">
        <v>1461</v>
      </c>
      <c r="H303" s="28" t="s">
        <v>1474</v>
      </c>
      <c r="I303" s="28" t="s">
        <v>262</v>
      </c>
      <c r="M303" s="28" t="s">
        <v>244</v>
      </c>
      <c r="O303" s="29"/>
      <c r="P303" s="28"/>
      <c r="T303" s="35"/>
      <c r="U303" s="35"/>
      <c r="V303" s="35"/>
      <c r="W303" s="28"/>
      <c r="Y303" s="29"/>
      <c r="Z303" s="29"/>
      <c r="AA303" s="29"/>
      <c r="AB303" s="29"/>
      <c r="AH303" s="28" t="s">
        <v>1466</v>
      </c>
      <c r="AI303" s="28">
        <v>6</v>
      </c>
      <c r="AJ303" s="29" t="s">
        <v>34</v>
      </c>
      <c r="AK303" s="29"/>
      <c r="AL303" s="28" t="s">
        <v>1403</v>
      </c>
      <c r="AM30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N303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O303" s="28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P303" s="28" t="str">
        <f>IF(ISBLANK(Table2[[#This Row],[index]]),  "", _xlfn.CONCAT("supervisor/", Table2[[#This Row],[unique_id_device]], "/status"))</f>
        <v>supervisor/macmini-max/status</v>
      </c>
      <c r="AU303" s="28" t="s">
        <v>1465</v>
      </c>
      <c r="AV303" s="28">
        <v>1</v>
      </c>
      <c r="AW303" s="30"/>
      <c r="AY3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BB3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3" s="28" t="str">
        <f>IF(ISBLANK(Table2[[#This Row],[device_model]]), "", Table2[[#This Row],[device_suggested_area]])</f>
        <v>Rack</v>
      </c>
      <c r="BE303" s="28" t="s">
        <v>1127</v>
      </c>
      <c r="BF303" s="28" t="s">
        <v>1437</v>
      </c>
      <c r="BG303" s="28" t="s">
        <v>1061</v>
      </c>
      <c r="BI303" s="28" t="s">
        <v>936</v>
      </c>
      <c r="BJ303" s="28" t="s">
        <v>28</v>
      </c>
      <c r="BO303" s="39"/>
      <c r="BQ3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9" ht="16" customHeight="1" x14ac:dyDescent="0.2">
      <c r="A304" s="28">
        <v>2522</v>
      </c>
      <c r="B304" s="28" t="s">
        <v>543</v>
      </c>
      <c r="C304" s="28" t="s">
        <v>1127</v>
      </c>
      <c r="D304" s="28" t="s">
        <v>125</v>
      </c>
      <c r="E304" s="28" t="s">
        <v>1444</v>
      </c>
      <c r="F304" s="28" t="str">
        <f>IF(ISBLANK(Table2[[#This Row],[unique_id]]), "", PROPER(SUBSTITUTE(Table2[[#This Row],[unique_id]], "_", " ")))</f>
        <v>Service Openra</v>
      </c>
      <c r="G304" s="28" t="s">
        <v>1460</v>
      </c>
      <c r="H304" s="28" t="s">
        <v>1474</v>
      </c>
      <c r="I304" s="28" t="s">
        <v>262</v>
      </c>
      <c r="M304" s="28" t="s">
        <v>244</v>
      </c>
      <c r="O304" s="29"/>
      <c r="P304" s="28"/>
      <c r="T304" s="35"/>
      <c r="U304" s="35"/>
      <c r="V304" s="35"/>
      <c r="W304" s="28"/>
      <c r="Y304" s="29"/>
      <c r="Z304" s="29"/>
      <c r="AA304" s="29"/>
      <c r="AB304" s="29"/>
      <c r="AH304" s="28" t="s">
        <v>1466</v>
      </c>
      <c r="AI304" s="28">
        <v>6</v>
      </c>
      <c r="AJ304" s="29" t="s">
        <v>34</v>
      </c>
      <c r="AK304" s="29"/>
      <c r="AL304" s="28" t="s">
        <v>1403</v>
      </c>
      <c r="AM30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N304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O304" s="28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P304" s="28" t="str">
        <f>IF(ISBLANK(Table2[[#This Row],[index]]),  "", _xlfn.CONCAT("supervisor/", Table2[[#This Row],[unique_id_device]], "/status"))</f>
        <v>supervisor/macmini-max/status</v>
      </c>
      <c r="AU304" s="28" t="s">
        <v>1465</v>
      </c>
      <c r="AV304" s="28">
        <v>1</v>
      </c>
      <c r="AW304" s="30"/>
      <c r="AY3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BB3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4" s="28" t="str">
        <f>IF(ISBLANK(Table2[[#This Row],[device_model]]), "", Table2[[#This Row],[device_suggested_area]])</f>
        <v>Rack</v>
      </c>
      <c r="BE304" s="28" t="s">
        <v>1127</v>
      </c>
      <c r="BF304" s="28" t="s">
        <v>1437</v>
      </c>
      <c r="BG304" s="28" t="s">
        <v>1061</v>
      </c>
      <c r="BI304" s="28" t="s">
        <v>936</v>
      </c>
      <c r="BJ304" s="28" t="s">
        <v>28</v>
      </c>
      <c r="BO304" s="39"/>
      <c r="BQ3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9" ht="16" customHeight="1" x14ac:dyDescent="0.2">
      <c r="A305" s="28">
        <v>2523</v>
      </c>
      <c r="B305" s="28" t="s">
        <v>26</v>
      </c>
      <c r="C305" s="28" t="s">
        <v>1127</v>
      </c>
      <c r="D305" s="28" t="s">
        <v>125</v>
      </c>
      <c r="E305" s="28" t="s">
        <v>1441</v>
      </c>
      <c r="F305" s="28" t="str">
        <f>IF(ISBLANK(Table2[[#This Row],[unique_id]]), "", PROPER(SUBSTITUTE(Table2[[#This Row],[unique_id]], "_", " ")))</f>
        <v>Service Influxdb3</v>
      </c>
      <c r="G305" s="28" t="s">
        <v>1456</v>
      </c>
      <c r="H305" s="28" t="s">
        <v>1474</v>
      </c>
      <c r="I305" s="28" t="s">
        <v>262</v>
      </c>
      <c r="M305" s="28" t="s">
        <v>244</v>
      </c>
      <c r="O305" s="29"/>
      <c r="P305" s="28"/>
      <c r="T305" s="35"/>
      <c r="U305" s="35"/>
      <c r="V305" s="35"/>
      <c r="W305" s="28"/>
      <c r="Y305" s="29"/>
      <c r="Z305" s="29"/>
      <c r="AA305" s="29"/>
      <c r="AB305" s="29"/>
      <c r="AH305" s="28" t="s">
        <v>1466</v>
      </c>
      <c r="AI305" s="28">
        <v>6</v>
      </c>
      <c r="AJ305" s="29" t="s">
        <v>34</v>
      </c>
      <c r="AK305" s="29"/>
      <c r="AL305" s="28" t="s">
        <v>1367</v>
      </c>
      <c r="AM30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N305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O305" s="28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P305" s="28" t="str">
        <f>IF(ISBLANK(Table2[[#This Row],[index]]),  "", _xlfn.CONCAT("supervisor/", Table2[[#This Row],[unique_id_device]], "/status"))</f>
        <v>supervisor/macmini-may/status</v>
      </c>
      <c r="AU305" s="28" t="s">
        <v>1465</v>
      </c>
      <c r="AV305" s="28">
        <v>1</v>
      </c>
      <c r="AW305" s="30"/>
      <c r="AY3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BB3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5" s="28" t="str">
        <f>IF(ISBLANK(Table2[[#This Row],[device_model]]), "", Table2[[#This Row],[device_suggested_area]])</f>
        <v>Rack</v>
      </c>
      <c r="BE305" s="28" t="s">
        <v>1127</v>
      </c>
      <c r="BF305" s="28" t="s">
        <v>1437</v>
      </c>
      <c r="BG305" s="28" t="s">
        <v>1061</v>
      </c>
      <c r="BI305" s="28" t="s">
        <v>936</v>
      </c>
      <c r="BJ305" s="28" t="s">
        <v>28</v>
      </c>
      <c r="BO305" s="39"/>
      <c r="BQ3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9" ht="16" customHeight="1" x14ac:dyDescent="0.2">
      <c r="A306" s="28">
        <v>2524</v>
      </c>
      <c r="B306" s="28" t="s">
        <v>26</v>
      </c>
      <c r="C306" s="28" t="s">
        <v>1127</v>
      </c>
      <c r="D306" s="28" t="s">
        <v>125</v>
      </c>
      <c r="E306" s="28" t="s">
        <v>1442</v>
      </c>
      <c r="F306" s="28" t="str">
        <f>IF(ISBLANK(Table2[[#This Row],[unique_id]]), "", PROPER(SUBSTITUTE(Table2[[#This Row],[unique_id]], "_", " ")))</f>
        <v>Service Mlflow</v>
      </c>
      <c r="G306" s="28" t="s">
        <v>1458</v>
      </c>
      <c r="H306" s="28" t="s">
        <v>1474</v>
      </c>
      <c r="I306" s="28" t="s">
        <v>262</v>
      </c>
      <c r="M306" s="28" t="s">
        <v>244</v>
      </c>
      <c r="O306" s="29"/>
      <c r="P306" s="28"/>
      <c r="T306" s="35"/>
      <c r="U306" s="35"/>
      <c r="V306" s="35"/>
      <c r="W306" s="28"/>
      <c r="Y306" s="29"/>
      <c r="Z306" s="29"/>
      <c r="AA306" s="29"/>
      <c r="AB306" s="29"/>
      <c r="AH306" s="28" t="s">
        <v>1466</v>
      </c>
      <c r="AI306" s="28">
        <v>6</v>
      </c>
      <c r="AJ306" s="29" t="s">
        <v>34</v>
      </c>
      <c r="AK306" s="29"/>
      <c r="AL306" s="28" t="s">
        <v>1367</v>
      </c>
      <c r="AM30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N306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O306" s="28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P306" s="28" t="str">
        <f>IF(ISBLANK(Table2[[#This Row],[index]]),  "", _xlfn.CONCAT("supervisor/", Table2[[#This Row],[unique_id_device]], "/status"))</f>
        <v>supervisor/macmini-may/status</v>
      </c>
      <c r="AU306" s="28" t="s">
        <v>1465</v>
      </c>
      <c r="AV306" s="28">
        <v>1</v>
      </c>
      <c r="AW306" s="30"/>
      <c r="AY3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BB3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6" s="28" t="str">
        <f>IF(ISBLANK(Table2[[#This Row],[device_model]]), "", Table2[[#This Row],[device_suggested_area]])</f>
        <v>Rack</v>
      </c>
      <c r="BE306" s="28" t="s">
        <v>1127</v>
      </c>
      <c r="BF306" s="28" t="s">
        <v>1437</v>
      </c>
      <c r="BG306" s="28" t="s">
        <v>1061</v>
      </c>
      <c r="BI306" s="28" t="s">
        <v>936</v>
      </c>
      <c r="BJ306" s="28" t="s">
        <v>28</v>
      </c>
      <c r="BO306" s="39"/>
      <c r="BQ3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9" ht="16" customHeight="1" x14ac:dyDescent="0.2">
      <c r="A307" s="28">
        <v>2525</v>
      </c>
      <c r="B307" s="28" t="s">
        <v>26</v>
      </c>
      <c r="C307" s="28" t="s">
        <v>1127</v>
      </c>
      <c r="D307" s="28" t="s">
        <v>125</v>
      </c>
      <c r="E307" s="28" t="s">
        <v>1443</v>
      </c>
      <c r="F307" s="28" t="str">
        <f>IF(ISBLANK(Table2[[#This Row],[unique_id]]), "", PROPER(SUBSTITUTE(Table2[[#This Row],[unique_id]], "_", " ")))</f>
        <v>Service Mlserver</v>
      </c>
      <c r="G307" s="28" t="s">
        <v>1459</v>
      </c>
      <c r="H307" s="28" t="s">
        <v>1474</v>
      </c>
      <c r="I307" s="28" t="s">
        <v>262</v>
      </c>
      <c r="M307" s="28" t="s">
        <v>244</v>
      </c>
      <c r="O307" s="29"/>
      <c r="P307" s="28"/>
      <c r="T307" s="35"/>
      <c r="U307" s="35"/>
      <c r="V307" s="35"/>
      <c r="W307" s="28"/>
      <c r="Y307" s="29"/>
      <c r="Z307" s="29"/>
      <c r="AA307" s="29"/>
      <c r="AB307" s="29"/>
      <c r="AH307" s="28" t="s">
        <v>1466</v>
      </c>
      <c r="AI307" s="28">
        <v>6</v>
      </c>
      <c r="AJ307" s="29" t="s">
        <v>34</v>
      </c>
      <c r="AK307" s="29"/>
      <c r="AL307" s="28" t="s">
        <v>1367</v>
      </c>
      <c r="AM30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N307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O307" s="28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P307" s="28" t="str">
        <f>IF(ISBLANK(Table2[[#This Row],[index]]),  "", _xlfn.CONCAT("supervisor/", Table2[[#This Row],[unique_id_device]], "/status"))</f>
        <v>supervisor/macmini-may/status</v>
      </c>
      <c r="AU307" s="28" t="s">
        <v>1465</v>
      </c>
      <c r="AV307" s="28">
        <v>1</v>
      </c>
      <c r="AW307" s="30"/>
      <c r="AY3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BB3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7" s="28" t="str">
        <f>IF(ISBLANK(Table2[[#This Row],[device_model]]), "", Table2[[#This Row],[device_suggested_area]])</f>
        <v>Rack</v>
      </c>
      <c r="BE307" s="28" t="s">
        <v>1127</v>
      </c>
      <c r="BF307" s="28" t="s">
        <v>1437</v>
      </c>
      <c r="BG307" s="28" t="s">
        <v>1061</v>
      </c>
      <c r="BI307" s="28" t="s">
        <v>936</v>
      </c>
      <c r="BJ307" s="28" t="s">
        <v>28</v>
      </c>
      <c r="BO307" s="39"/>
      <c r="BQ3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9" ht="16" customHeight="1" x14ac:dyDescent="0.2">
      <c r="A308" s="28">
        <v>2526</v>
      </c>
      <c r="B308" s="28" t="s">
        <v>26</v>
      </c>
      <c r="C308" s="28" t="s">
        <v>1127</v>
      </c>
      <c r="D308" s="28" t="s">
        <v>125</v>
      </c>
      <c r="E308" s="28" t="s">
        <v>1447</v>
      </c>
      <c r="F308" s="28" t="str">
        <f>IF(ISBLANK(Table2[[#This Row],[unique_id]]), "", PROPER(SUBSTITUTE(Table2[[#This Row],[unique_id]], "_", " ")))</f>
        <v>Service Sonarr</v>
      </c>
      <c r="G308" s="28" t="s">
        <v>1455</v>
      </c>
      <c r="H308" s="28" t="s">
        <v>1474</v>
      </c>
      <c r="I308" s="28" t="s">
        <v>262</v>
      </c>
      <c r="M308" s="28" t="s">
        <v>244</v>
      </c>
      <c r="O308" s="29"/>
      <c r="P308" s="28"/>
      <c r="T308" s="35"/>
      <c r="U308" s="35"/>
      <c r="V308" s="35"/>
      <c r="W308" s="28"/>
      <c r="Y308" s="29"/>
      <c r="Z308" s="29"/>
      <c r="AA308" s="29"/>
      <c r="AB308" s="29"/>
      <c r="AH308" s="28" t="s">
        <v>1466</v>
      </c>
      <c r="AI308" s="28">
        <v>6</v>
      </c>
      <c r="AJ308" s="29" t="s">
        <v>34</v>
      </c>
      <c r="AK308" s="29"/>
      <c r="AL308" s="28" t="s">
        <v>1367</v>
      </c>
      <c r="AM30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N308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O308" s="28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P308" s="28" t="str">
        <f>IF(ISBLANK(Table2[[#This Row],[index]]),  "", _xlfn.CONCAT("supervisor/", Table2[[#This Row],[unique_id_device]], "/status"))</f>
        <v>supervisor/macmini-may/status</v>
      </c>
      <c r="AU308" s="28" t="s">
        <v>1465</v>
      </c>
      <c r="AV308" s="28">
        <v>1</v>
      </c>
      <c r="AW308" s="30"/>
      <c r="AY3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BB3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8" s="28" t="str">
        <f>IF(ISBLANK(Table2[[#This Row],[device_model]]), "", Table2[[#This Row],[device_suggested_area]])</f>
        <v>Rack</v>
      </c>
      <c r="BE308" s="28" t="s">
        <v>1127</v>
      </c>
      <c r="BF308" s="28" t="s">
        <v>1437</v>
      </c>
      <c r="BG308" s="28" t="s">
        <v>1061</v>
      </c>
      <c r="BI308" s="28" t="s">
        <v>936</v>
      </c>
      <c r="BJ308" s="28" t="s">
        <v>28</v>
      </c>
      <c r="BO308" s="39"/>
      <c r="BQ3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9" ht="16" customHeight="1" x14ac:dyDescent="0.2">
      <c r="A309" s="28">
        <v>2527</v>
      </c>
      <c r="B309" s="28" t="s">
        <v>26</v>
      </c>
      <c r="C309" s="28" t="s">
        <v>1127</v>
      </c>
      <c r="D309" s="28" t="s">
        <v>125</v>
      </c>
      <c r="E309" s="28" t="s">
        <v>1471</v>
      </c>
      <c r="F309" s="28" t="str">
        <f>IF(ISBLANK(Table2[[#This Row],[unique_id]]), "", PROPER(SUBSTITUTE(Table2[[#This Row],[unique_id]], "_", " ")))</f>
        <v>Service Tempstat</v>
      </c>
      <c r="G309" s="28" t="s">
        <v>1467</v>
      </c>
      <c r="H309" s="28" t="s">
        <v>1474</v>
      </c>
      <c r="I309" s="28" t="s">
        <v>262</v>
      </c>
      <c r="M309" s="28" t="s">
        <v>244</v>
      </c>
      <c r="O309" s="29"/>
      <c r="P309" s="28"/>
      <c r="T309" s="35"/>
      <c r="U309" s="35"/>
      <c r="V309" s="35"/>
      <c r="W309" s="28"/>
      <c r="Y309" s="29"/>
      <c r="Z309" s="29"/>
      <c r="AA309" s="29"/>
      <c r="AB309" s="29"/>
      <c r="AH309" s="28" t="s">
        <v>1466</v>
      </c>
      <c r="AI309" s="28">
        <v>6</v>
      </c>
      <c r="AJ309" s="29" t="s">
        <v>34</v>
      </c>
      <c r="AK309" s="29"/>
      <c r="AL309" s="28" t="s">
        <v>1367</v>
      </c>
      <c r="AM30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N309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O309" s="28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P309" s="28" t="str">
        <f>IF(ISBLANK(Table2[[#This Row],[index]]),  "", _xlfn.CONCAT("supervisor/", Table2[[#This Row],[unique_id_device]], "/status"))</f>
        <v>supervisor/macmini-may/status</v>
      </c>
      <c r="AU309" s="28" t="s">
        <v>1465</v>
      </c>
      <c r="AV309" s="28">
        <v>1</v>
      </c>
      <c r="AW309" s="30"/>
      <c r="AY3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BB3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9" s="28" t="str">
        <f>IF(ISBLANK(Table2[[#This Row],[device_model]]), "", Table2[[#This Row],[device_suggested_area]])</f>
        <v>Rack</v>
      </c>
      <c r="BE309" s="28" t="s">
        <v>1127</v>
      </c>
      <c r="BF309" s="28" t="s">
        <v>1437</v>
      </c>
      <c r="BG309" s="28" t="s">
        <v>1061</v>
      </c>
      <c r="BI309" s="28" t="s">
        <v>936</v>
      </c>
      <c r="BJ309" s="28" t="s">
        <v>28</v>
      </c>
      <c r="BO309" s="39"/>
      <c r="BQ3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9" ht="16" customHeight="1" x14ac:dyDescent="0.2">
      <c r="A310" s="28">
        <v>2528</v>
      </c>
      <c r="B310" s="28" t="s">
        <v>26</v>
      </c>
      <c r="C310" s="28" t="s">
        <v>1127</v>
      </c>
      <c r="D310" s="28" t="s">
        <v>125</v>
      </c>
      <c r="E310" s="28" t="s">
        <v>1438</v>
      </c>
      <c r="F310" s="28" t="str">
        <f>IF(ISBLANK(Table2[[#This Row],[unique_id]]), "", PROPER(SUBSTITUTE(Table2[[#This Row],[unique_id]], "_", " ")))</f>
        <v>Service Homeassistant</v>
      </c>
      <c r="G310" s="28" t="s">
        <v>1133</v>
      </c>
      <c r="H310" s="28" t="s">
        <v>1474</v>
      </c>
      <c r="I310" s="28" t="s">
        <v>262</v>
      </c>
      <c r="M310" s="28" t="s">
        <v>244</v>
      </c>
      <c r="O310" s="29"/>
      <c r="P310" s="28"/>
      <c r="T310" s="35"/>
      <c r="U310" s="35"/>
      <c r="V310" s="35"/>
      <c r="W310" s="28"/>
      <c r="Y310" s="29"/>
      <c r="Z310" s="29"/>
      <c r="AA310" s="29"/>
      <c r="AB310" s="29"/>
      <c r="AH310" s="28" t="s">
        <v>1466</v>
      </c>
      <c r="AI310" s="28">
        <v>6</v>
      </c>
      <c r="AJ310" s="29" t="s">
        <v>34</v>
      </c>
      <c r="AK310" s="29"/>
      <c r="AL310" s="28" t="s">
        <v>1078</v>
      </c>
      <c r="AM31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N310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O310" s="28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P310" s="28" t="str">
        <f>IF(ISBLANK(Table2[[#This Row],[index]]),  "", _xlfn.CONCAT("supervisor/", Table2[[#This Row],[unique_id_device]], "/status"))</f>
        <v>supervisor/macmini-meg/status</v>
      </c>
      <c r="AU310" s="28" t="s">
        <v>1465</v>
      </c>
      <c r="AV310" s="28">
        <v>1</v>
      </c>
      <c r="AW310" s="30"/>
      <c r="AY3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BB3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0" s="28" t="str">
        <f>IF(ISBLANK(Table2[[#This Row],[device_model]]), "", Table2[[#This Row],[device_suggested_area]])</f>
        <v>Rack</v>
      </c>
      <c r="BE310" s="28" t="s">
        <v>1127</v>
      </c>
      <c r="BF310" s="28" t="s">
        <v>1437</v>
      </c>
      <c r="BG310" s="28" t="s">
        <v>1061</v>
      </c>
      <c r="BI310" s="28" t="s">
        <v>936</v>
      </c>
      <c r="BJ310" s="28" t="s">
        <v>28</v>
      </c>
      <c r="BO310" s="39"/>
      <c r="BQ3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9" ht="16" customHeight="1" x14ac:dyDescent="0.2">
      <c r="A311" s="28">
        <v>2529</v>
      </c>
      <c r="B311" s="28" t="s">
        <v>26</v>
      </c>
      <c r="C311" s="28" t="s">
        <v>1127</v>
      </c>
      <c r="D311" s="28" t="s">
        <v>125</v>
      </c>
      <c r="E311" s="28" t="s">
        <v>1449</v>
      </c>
      <c r="F311" s="28" t="str">
        <f>IF(ISBLANK(Table2[[#This Row],[unique_id]]), "", PROPER(SUBSTITUTE(Table2[[#This Row],[unique_id]], "_", " ")))</f>
        <v>Service Mariadb</v>
      </c>
      <c r="G311" s="28" t="s">
        <v>1462</v>
      </c>
      <c r="H311" s="28" t="s">
        <v>1474</v>
      </c>
      <c r="I311" s="28" t="s">
        <v>262</v>
      </c>
      <c r="M311" s="28" t="s">
        <v>244</v>
      </c>
      <c r="O311" s="29"/>
      <c r="P311" s="28"/>
      <c r="T311" s="35"/>
      <c r="U311" s="35"/>
      <c r="V311" s="35"/>
      <c r="W311" s="28"/>
      <c r="Y311" s="29"/>
      <c r="Z311" s="29"/>
      <c r="AA311" s="29"/>
      <c r="AB311" s="29"/>
      <c r="AH311" s="28" t="s">
        <v>1466</v>
      </c>
      <c r="AI311" s="28">
        <v>6</v>
      </c>
      <c r="AJ311" s="29" t="s">
        <v>34</v>
      </c>
      <c r="AK311" s="29"/>
      <c r="AL311" s="28" t="s">
        <v>1078</v>
      </c>
      <c r="AM31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N311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O311" s="28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P311" s="28" t="str">
        <f>IF(ISBLANK(Table2[[#This Row],[index]]),  "", _xlfn.CONCAT("supervisor/", Table2[[#This Row],[unique_id_device]], "/status"))</f>
        <v>supervisor/macmini-meg/status</v>
      </c>
      <c r="AU311" s="28" t="s">
        <v>1465</v>
      </c>
      <c r="AV311" s="28">
        <v>1</v>
      </c>
      <c r="AW311" s="30"/>
      <c r="AY3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BB3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1" s="28" t="str">
        <f>IF(ISBLANK(Table2[[#This Row],[device_model]]), "", Table2[[#This Row],[device_suggested_area]])</f>
        <v>Rack</v>
      </c>
      <c r="BE311" s="28" t="s">
        <v>1127</v>
      </c>
      <c r="BF311" s="28" t="s">
        <v>1437</v>
      </c>
      <c r="BG311" s="28" t="s">
        <v>1061</v>
      </c>
      <c r="BI311" s="28" t="s">
        <v>936</v>
      </c>
      <c r="BJ311" s="28" t="s">
        <v>28</v>
      </c>
      <c r="BO311" s="39"/>
      <c r="BQ3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9" ht="16" customHeight="1" x14ac:dyDescent="0.2">
      <c r="A312" s="28">
        <v>2530</v>
      </c>
      <c r="B312" s="28" t="s">
        <v>26</v>
      </c>
      <c r="C312" s="28" t="s">
        <v>1127</v>
      </c>
      <c r="D312" s="28" t="s">
        <v>125</v>
      </c>
      <c r="E312" s="28" t="s">
        <v>1450</v>
      </c>
      <c r="F312" s="28" t="str">
        <f>IF(ISBLANK(Table2[[#This Row],[unique_id]]), "", PROPER(SUBSTITUTE(Table2[[#This Row],[unique_id]], "_", " ")))</f>
        <v>Service Nginx</v>
      </c>
      <c r="G312" s="28" t="s">
        <v>1131</v>
      </c>
      <c r="H312" s="28" t="s">
        <v>1474</v>
      </c>
      <c r="I312" s="28" t="s">
        <v>262</v>
      </c>
      <c r="M312" s="28" t="s">
        <v>244</v>
      </c>
      <c r="O312" s="29"/>
      <c r="P312" s="28"/>
      <c r="T312" s="35"/>
      <c r="U312" s="35"/>
      <c r="V312" s="35"/>
      <c r="W312" s="28"/>
      <c r="Y312" s="29"/>
      <c r="Z312" s="29"/>
      <c r="AA312" s="29"/>
      <c r="AB312" s="29"/>
      <c r="AH312" s="28" t="s">
        <v>1466</v>
      </c>
      <c r="AI312" s="28">
        <v>6</v>
      </c>
      <c r="AJ312" s="29" t="s">
        <v>34</v>
      </c>
      <c r="AK312" s="29"/>
      <c r="AL312" s="28" t="s">
        <v>1078</v>
      </c>
      <c r="AM31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N312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O312" s="28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P312" s="28" t="str">
        <f>IF(ISBLANK(Table2[[#This Row],[index]]),  "", _xlfn.CONCAT("supervisor/", Table2[[#This Row],[unique_id_device]], "/status"))</f>
        <v>supervisor/macmini-meg/status</v>
      </c>
      <c r="AU312" s="28" t="s">
        <v>1465</v>
      </c>
      <c r="AV312" s="28">
        <v>1</v>
      </c>
      <c r="AW312" s="30"/>
      <c r="AY3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BB3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2" s="28" t="str">
        <f>IF(ISBLANK(Table2[[#This Row],[device_model]]), "", Table2[[#This Row],[device_suggested_area]])</f>
        <v>Rack</v>
      </c>
      <c r="BE312" s="28" t="s">
        <v>1127</v>
      </c>
      <c r="BF312" s="28" t="s">
        <v>1437</v>
      </c>
      <c r="BG312" s="28" t="s">
        <v>1061</v>
      </c>
      <c r="BI312" s="28" t="s">
        <v>936</v>
      </c>
      <c r="BJ312" s="28" t="s">
        <v>28</v>
      </c>
      <c r="BO312" s="39"/>
      <c r="BQ3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9" ht="16" customHeight="1" x14ac:dyDescent="0.2">
      <c r="A313" s="28">
        <v>2531</v>
      </c>
      <c r="B313" s="28" t="s">
        <v>26</v>
      </c>
      <c r="C313" s="28" t="s">
        <v>1127</v>
      </c>
      <c r="D313" s="28" t="s">
        <v>125</v>
      </c>
      <c r="E313" s="28" t="s">
        <v>1499</v>
      </c>
      <c r="F313" s="28" t="str">
        <f>IF(ISBLANK(Table2[[#This Row],[unique_id]]), "", PROPER(SUBSTITUTE(Table2[[#This Row],[unique_id]], "_", " ")))</f>
        <v>Service Tasmota</v>
      </c>
      <c r="G313" s="28" t="s">
        <v>658</v>
      </c>
      <c r="H313" s="28" t="s">
        <v>1474</v>
      </c>
      <c r="I313" s="28" t="s">
        <v>262</v>
      </c>
      <c r="M313" s="28" t="s">
        <v>244</v>
      </c>
      <c r="O313" s="29"/>
      <c r="P313" s="28"/>
      <c r="T313" s="35"/>
      <c r="U313" s="35"/>
      <c r="V313" s="35"/>
      <c r="W313" s="28"/>
      <c r="Y313" s="29"/>
      <c r="Z313" s="29"/>
      <c r="AA313" s="29"/>
      <c r="AB313" s="29"/>
      <c r="AH313" s="28" t="s">
        <v>1466</v>
      </c>
      <c r="AI313" s="28">
        <v>6</v>
      </c>
      <c r="AJ313" s="29" t="s">
        <v>34</v>
      </c>
      <c r="AK313" s="29"/>
      <c r="AL313" s="28" t="s">
        <v>1078</v>
      </c>
      <c r="AM31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N313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O313" s="28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P313" s="28" t="str">
        <f>IF(ISBLANK(Table2[[#This Row],[index]]),  "", _xlfn.CONCAT("supervisor/", Table2[[#This Row],[unique_id_device]], "/status"))</f>
        <v>supervisor/macmini-meg/status</v>
      </c>
      <c r="AU313" s="28" t="s">
        <v>1465</v>
      </c>
      <c r="AV313" s="28">
        <v>1</v>
      </c>
      <c r="AW313" s="30"/>
      <c r="AY3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BB3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3" s="28" t="str">
        <f>IF(ISBLANK(Table2[[#This Row],[device_model]]), "", Table2[[#This Row],[device_suggested_area]])</f>
        <v>Rack</v>
      </c>
      <c r="BE313" s="28" t="s">
        <v>1127</v>
      </c>
      <c r="BF313" s="28" t="s">
        <v>1437</v>
      </c>
      <c r="BG313" s="28" t="s">
        <v>1061</v>
      </c>
      <c r="BI313" s="28" t="s">
        <v>936</v>
      </c>
      <c r="BJ313" s="28" t="s">
        <v>28</v>
      </c>
      <c r="BO313" s="39"/>
      <c r="BQ3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9" ht="16" customHeight="1" x14ac:dyDescent="0.2">
      <c r="A314" s="28">
        <v>2532</v>
      </c>
      <c r="B314" s="28" t="s">
        <v>26</v>
      </c>
      <c r="C314" s="28" t="s">
        <v>1127</v>
      </c>
      <c r="D314" s="28" t="s">
        <v>125</v>
      </c>
      <c r="E314" s="28" t="s">
        <v>1452</v>
      </c>
      <c r="F314" s="28" t="str">
        <f>IF(ISBLANK(Table2[[#This Row],[unique_id]]), "", PROPER(SUBSTITUTE(Table2[[#This Row],[unique_id]], "_", " ")))</f>
        <v>Service Vernemq</v>
      </c>
      <c r="G314" s="28" t="s">
        <v>1463</v>
      </c>
      <c r="H314" s="28" t="s">
        <v>1474</v>
      </c>
      <c r="I314" s="28" t="s">
        <v>262</v>
      </c>
      <c r="M314" s="28" t="s">
        <v>244</v>
      </c>
      <c r="O314" s="29"/>
      <c r="P314" s="28"/>
      <c r="T314" s="35"/>
      <c r="U314" s="35"/>
      <c r="V314" s="35"/>
      <c r="W314" s="28"/>
      <c r="Y314" s="29"/>
      <c r="Z314" s="29"/>
      <c r="AA314" s="29"/>
      <c r="AB314" s="29"/>
      <c r="AH314" s="28" t="s">
        <v>1466</v>
      </c>
      <c r="AI314" s="28">
        <v>6</v>
      </c>
      <c r="AJ314" s="29" t="s">
        <v>34</v>
      </c>
      <c r="AK314" s="29"/>
      <c r="AL314" s="28" t="s">
        <v>1078</v>
      </c>
      <c r="AM31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N314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O314" s="28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P314" s="28" t="str">
        <f>IF(ISBLANK(Table2[[#This Row],[index]]),  "", _xlfn.CONCAT("supervisor/", Table2[[#This Row],[unique_id_device]], "/status"))</f>
        <v>supervisor/macmini-meg/status</v>
      </c>
      <c r="AU314" s="28" t="s">
        <v>1465</v>
      </c>
      <c r="AV314" s="28">
        <v>1</v>
      </c>
      <c r="AW314" s="30"/>
      <c r="AY3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BB3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4" s="28" t="str">
        <f>IF(ISBLANK(Table2[[#This Row],[device_model]]), "", Table2[[#This Row],[device_suggested_area]])</f>
        <v>Rack</v>
      </c>
      <c r="BE314" s="28" t="s">
        <v>1127</v>
      </c>
      <c r="BF314" s="28" t="s">
        <v>1437</v>
      </c>
      <c r="BG314" s="28" t="s">
        <v>1061</v>
      </c>
      <c r="BI314" s="28" t="s">
        <v>936</v>
      </c>
      <c r="BJ314" s="28" t="s">
        <v>28</v>
      </c>
      <c r="BO314" s="39"/>
      <c r="BQ3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9" ht="16" customHeight="1" x14ac:dyDescent="0.2">
      <c r="A315" s="28">
        <v>2533</v>
      </c>
      <c r="B315" s="28" t="s">
        <v>26</v>
      </c>
      <c r="C315" s="28" t="s">
        <v>1127</v>
      </c>
      <c r="D315" s="28" t="s">
        <v>125</v>
      </c>
      <c r="E315" s="28" t="s">
        <v>1453</v>
      </c>
      <c r="F315" s="28" t="str">
        <f>IF(ISBLANK(Table2[[#This Row],[unique_id]]), "", PROPER(SUBSTITUTE(Table2[[#This Row],[unique_id]], "_", " ")))</f>
        <v>Service Weewx</v>
      </c>
      <c r="G315" s="28" t="s">
        <v>39</v>
      </c>
      <c r="H315" s="28" t="s">
        <v>1474</v>
      </c>
      <c r="I315" s="28" t="s">
        <v>262</v>
      </c>
      <c r="M315" s="28" t="s">
        <v>244</v>
      </c>
      <c r="O315" s="29"/>
      <c r="P315" s="28"/>
      <c r="T315" s="35"/>
      <c r="U315" s="35"/>
      <c r="V315" s="35"/>
      <c r="W315" s="28"/>
      <c r="Y315" s="29"/>
      <c r="Z315" s="29"/>
      <c r="AA315" s="29"/>
      <c r="AB315" s="29"/>
      <c r="AH315" s="28" t="s">
        <v>1466</v>
      </c>
      <c r="AI315" s="28">
        <v>6</v>
      </c>
      <c r="AJ315" s="29" t="s">
        <v>34</v>
      </c>
      <c r="AK315" s="29"/>
      <c r="AL315" s="28" t="s">
        <v>1370</v>
      </c>
      <c r="AM31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N315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O315" s="28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P315" s="28" t="str">
        <f>IF(ISBLANK(Table2[[#This Row],[index]]),  "", _xlfn.CONCAT("supervisor/", Table2[[#This Row],[unique_id_device]], "/status"))</f>
        <v>supervisor/raspbpi-jen/status</v>
      </c>
      <c r="AU315" s="28" t="s">
        <v>1465</v>
      </c>
      <c r="AV315" s="28">
        <v>1</v>
      </c>
      <c r="AW315" s="30"/>
      <c r="AY3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BB3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5" s="28" t="str">
        <f>IF(ISBLANK(Table2[[#This Row],[device_model]]), "", Table2[[#This Row],[device_suggested_area]])</f>
        <v>Rack</v>
      </c>
      <c r="BE315" s="28" t="s">
        <v>1127</v>
      </c>
      <c r="BF315" s="28" t="s">
        <v>1437</v>
      </c>
      <c r="BG315" s="28" t="s">
        <v>1061</v>
      </c>
      <c r="BI315" s="28" t="s">
        <v>936</v>
      </c>
      <c r="BJ315" s="28" t="s">
        <v>28</v>
      </c>
      <c r="BO315" s="39"/>
      <c r="BQ3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9" ht="16" customHeight="1" x14ac:dyDescent="0.2">
      <c r="A316" s="28">
        <v>2534</v>
      </c>
      <c r="B316" s="28" t="s">
        <v>26</v>
      </c>
      <c r="C316" s="28" t="s">
        <v>1127</v>
      </c>
      <c r="D316" s="28" t="s">
        <v>125</v>
      </c>
      <c r="E316" s="28" t="s">
        <v>1454</v>
      </c>
      <c r="F316" s="28" t="str">
        <f>IF(ISBLANK(Table2[[#This Row],[unique_id]]), "", PROPER(SUBSTITUTE(Table2[[#This Row],[unique_id]], "_", " ")))</f>
        <v>Service Zigbee2Mqtt</v>
      </c>
      <c r="G316" s="28" t="s">
        <v>1464</v>
      </c>
      <c r="H316" s="28" t="s">
        <v>1474</v>
      </c>
      <c r="I316" s="28" t="s">
        <v>262</v>
      </c>
      <c r="M316" s="28" t="s">
        <v>244</v>
      </c>
      <c r="O316" s="29"/>
      <c r="P316" s="28"/>
      <c r="T316" s="35"/>
      <c r="U316" s="35"/>
      <c r="V316" s="35"/>
      <c r="W316" s="28"/>
      <c r="Y316" s="29"/>
      <c r="Z316" s="29"/>
      <c r="AA316" s="29"/>
      <c r="AB316" s="29"/>
      <c r="AH316" s="28" t="s">
        <v>1466</v>
      </c>
      <c r="AI316" s="28">
        <v>6</v>
      </c>
      <c r="AJ316" s="29" t="s">
        <v>34</v>
      </c>
      <c r="AK316" s="29"/>
      <c r="AL316" s="28" t="s">
        <v>1370</v>
      </c>
      <c r="AM31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N316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O316" s="28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P316" s="28" t="str">
        <f>IF(ISBLANK(Table2[[#This Row],[index]]),  "", _xlfn.CONCAT("supervisor/", Table2[[#This Row],[unique_id_device]], "/status"))</f>
        <v>supervisor/raspbpi-jen/status</v>
      </c>
      <c r="AU316" s="28" t="s">
        <v>1465</v>
      </c>
      <c r="AV316" s="28">
        <v>1</v>
      </c>
      <c r="AW316" s="30"/>
      <c r="AY3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BB3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6" s="28" t="str">
        <f>IF(ISBLANK(Table2[[#This Row],[device_model]]), "", Table2[[#This Row],[device_suggested_area]])</f>
        <v>Rack</v>
      </c>
      <c r="BE316" s="28" t="s">
        <v>1127</v>
      </c>
      <c r="BF316" s="28" t="s">
        <v>1437</v>
      </c>
      <c r="BG316" s="28" t="s">
        <v>1061</v>
      </c>
      <c r="BI316" s="28" t="s">
        <v>936</v>
      </c>
      <c r="BJ316" s="28" t="s">
        <v>28</v>
      </c>
      <c r="BO316" s="39"/>
      <c r="BQ3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9" ht="16" customHeight="1" x14ac:dyDescent="0.2">
      <c r="A317" s="28">
        <v>2535</v>
      </c>
      <c r="B317" s="28" t="s">
        <v>26</v>
      </c>
      <c r="C317" s="28" t="s">
        <v>409</v>
      </c>
      <c r="D317" s="28" t="s">
        <v>304</v>
      </c>
      <c r="E317" s="28" t="s">
        <v>303</v>
      </c>
      <c r="F317" s="34" t="str">
        <f>IF(ISBLANK(Table2[[#This Row],[unique_id]]), "", PROPER(SUBSTITUTE(Table2[[#This Row],[unique_id]], "_", " ")))</f>
        <v>Column Break</v>
      </c>
      <c r="G317" s="28" t="s">
        <v>300</v>
      </c>
      <c r="H317" s="28" t="s">
        <v>1474</v>
      </c>
      <c r="I317" s="28" t="s">
        <v>262</v>
      </c>
      <c r="M317" s="28" t="s">
        <v>301</v>
      </c>
      <c r="N317" s="28" t="s">
        <v>302</v>
      </c>
      <c r="O317" s="29"/>
      <c r="P317" s="28"/>
      <c r="T317" s="35"/>
      <c r="U317" s="35"/>
      <c r="V317" s="35"/>
      <c r="W317" s="28"/>
      <c r="Y317" s="29"/>
      <c r="Z317" s="29"/>
      <c r="AA317" s="29"/>
      <c r="AB317" s="29"/>
      <c r="AJ317" s="29"/>
      <c r="AK317" s="29"/>
      <c r="AU317" s="37"/>
      <c r="AV317" s="28"/>
      <c r="AW317" s="30"/>
      <c r="AX317" s="29"/>
      <c r="AY3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7" s="28" t="str">
        <f>IF(ISBLANK(Table2[[#This Row],[device_model]]), "", Table2[[#This Row],[device_suggested_area]])</f>
        <v/>
      </c>
      <c r="BI317" s="29"/>
      <c r="BO317" s="28"/>
      <c r="BQ3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9" ht="16" customHeight="1" x14ac:dyDescent="0.2">
      <c r="A318" s="28">
        <v>2536</v>
      </c>
      <c r="B318" s="28" t="s">
        <v>26</v>
      </c>
      <c r="C318" s="28" t="s">
        <v>1138</v>
      </c>
      <c r="D318" s="28" t="s">
        <v>27</v>
      </c>
      <c r="E318" s="28" t="s">
        <v>1144</v>
      </c>
      <c r="F318" s="28" t="str">
        <f>IF(ISBLANK(Table2[[#This Row],[unique_id]]), "", PROPER(SUBSTITUTE(Table2[[#This Row],[unique_id]], "_", " ")))</f>
        <v>Template Utility Temperature Proxy</v>
      </c>
      <c r="G318" s="28" t="s">
        <v>1139</v>
      </c>
      <c r="H318" s="28" t="s">
        <v>1141</v>
      </c>
      <c r="I318" s="28" t="s">
        <v>262</v>
      </c>
      <c r="K318" s="28" t="s">
        <v>1109</v>
      </c>
      <c r="M318" s="28" t="s">
        <v>127</v>
      </c>
      <c r="O318" s="29"/>
      <c r="P318" s="28"/>
      <c r="T318" s="35"/>
      <c r="U318" s="35"/>
      <c r="V318" s="35" t="s">
        <v>28</v>
      </c>
      <c r="W318" s="28"/>
      <c r="Y318" s="29"/>
      <c r="Z318" s="29"/>
      <c r="AA318" s="29"/>
      <c r="AB318" s="29"/>
      <c r="AE318" s="28" t="s">
        <v>31</v>
      </c>
      <c r="AF318" s="28" t="s">
        <v>79</v>
      </c>
      <c r="AG318" s="28" t="s">
        <v>80</v>
      </c>
      <c r="AH318" s="28" t="s">
        <v>287</v>
      </c>
      <c r="AJ318" s="29"/>
      <c r="AK318" s="29"/>
      <c r="AM318" s="28" t="str">
        <f>IF(ISBLANK(AL318),  "", _xlfn.CONCAT("haas/entity/sensor/", LOWER(C318), "/", E318, "/config"))</f>
        <v/>
      </c>
      <c r="AN318" s="28" t="str">
        <f>IF(ISBLANK(AL318),  "", _xlfn.CONCAT(LOWER(C318), "/", E318))</f>
        <v/>
      </c>
      <c r="AU318" s="37"/>
      <c r="AV318" s="28"/>
      <c r="AW318" s="30"/>
      <c r="AX318" s="38"/>
      <c r="AY318" s="28"/>
      <c r="BA3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8" s="28" t="str">
        <f>IF(ISBLANK(Table2[[#This Row],[device_model]]), "", Table2[[#This Row],[device_suggested_area]])</f>
        <v/>
      </c>
      <c r="BI318" s="29"/>
      <c r="BO318" s="28"/>
      <c r="BQ3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9" ht="16" customHeight="1" x14ac:dyDescent="0.2">
      <c r="A319" s="28">
        <v>2537</v>
      </c>
      <c r="B319" s="28" t="s">
        <v>26</v>
      </c>
      <c r="C319" s="28" t="s">
        <v>1467</v>
      </c>
      <c r="D319" s="28" t="s">
        <v>27</v>
      </c>
      <c r="E319" s="28" t="s">
        <v>1058</v>
      </c>
      <c r="F319" s="34" t="str">
        <f>IF(ISBLANK(Table2[[#This Row],[unique_id]]), "", PROPER(SUBSTITUTE(Table2[[#This Row],[unique_id]], "_", " ")))</f>
        <v>Rack Top Temperature</v>
      </c>
      <c r="G319" s="28" t="s">
        <v>1060</v>
      </c>
      <c r="H319" s="28" t="s">
        <v>1141</v>
      </c>
      <c r="I319" s="28" t="s">
        <v>262</v>
      </c>
      <c r="K319" s="28" t="s">
        <v>1101</v>
      </c>
      <c r="O319" s="29"/>
      <c r="P319" s="28"/>
      <c r="T319" s="35"/>
      <c r="U319" s="35"/>
      <c r="V319" s="35"/>
      <c r="W319" s="28"/>
      <c r="Y319" s="29" t="s">
        <v>1121</v>
      </c>
      <c r="Z319" s="29"/>
      <c r="AA319" s="29"/>
      <c r="AB319" s="29"/>
      <c r="AE319" s="28" t="s">
        <v>31</v>
      </c>
      <c r="AF319" s="28" t="s">
        <v>79</v>
      </c>
      <c r="AG319" s="28" t="s">
        <v>80</v>
      </c>
      <c r="AH319" s="28" t="s">
        <v>287</v>
      </c>
      <c r="AI319" s="28">
        <v>300</v>
      </c>
      <c r="AJ319" s="29" t="s">
        <v>34</v>
      </c>
      <c r="AK319" s="29"/>
      <c r="AL319" s="28" t="s">
        <v>1367</v>
      </c>
      <c r="AM319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N319" s="28" t="str">
        <f>IF(ISBLANK(Table2[[#This Row],[index]]),  "", _xlfn.CONCAT(LOWER(Table2[[#This Row],[device_via_device]]), "/data"))</f>
        <v>tempstat/data</v>
      </c>
      <c r="AO319" s="28" t="str">
        <f>IF(ISBLANK(Table2[[#This Row],[index]]), "", _xlfn.CONCAT(LOWER(Table2[[#This Row],[device_via_device]]), "/command"))</f>
        <v>tempstat/command</v>
      </c>
      <c r="AP319" s="28" t="str">
        <f>IF(ISBLANK(Table2[[#This Row],[index]]), "", _xlfn.CONCAT(LOWER(Table2[[#This Row],[device_via_device]]), "/status"))</f>
        <v>tempstat/status</v>
      </c>
      <c r="AU319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V319" s="28">
        <v>1</v>
      </c>
      <c r="AW319" s="30"/>
      <c r="AY3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3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3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BB3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9" s="28" t="str">
        <f>IF(ISBLANK(Table2[[#This Row],[device_model]]), "", Table2[[#This Row],[device_suggested_area]])</f>
        <v>Rack</v>
      </c>
      <c r="BE319" s="28" t="s">
        <v>78</v>
      </c>
      <c r="BF319" s="28" t="s">
        <v>1469</v>
      </c>
      <c r="BG319" s="28" t="s">
        <v>1470</v>
      </c>
      <c r="BI319" s="28" t="s">
        <v>936</v>
      </c>
      <c r="BJ319" s="28" t="s">
        <v>28</v>
      </c>
      <c r="BO319" s="28" t="s">
        <v>1077</v>
      </c>
      <c r="BQ3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9" ht="16" customHeight="1" x14ac:dyDescent="0.2">
      <c r="A320" s="28">
        <v>2538</v>
      </c>
      <c r="B320" s="28" t="s">
        <v>26</v>
      </c>
      <c r="C320" s="28" t="s">
        <v>1467</v>
      </c>
      <c r="D320" s="28" t="s">
        <v>27</v>
      </c>
      <c r="E320" s="28" t="s">
        <v>1101</v>
      </c>
      <c r="F320" s="28" t="str">
        <f>IF(ISBLANK(Table2[[#This Row],[unique_id]]), "", PROPER(SUBSTITUTE(Table2[[#This Row],[unique_id]], "_", " ")))</f>
        <v>Compensation Sensor Rack Top Temperature</v>
      </c>
      <c r="G320" s="28" t="s">
        <v>1060</v>
      </c>
      <c r="H320" s="28" t="s">
        <v>1141</v>
      </c>
      <c r="I320" s="28" t="s">
        <v>262</v>
      </c>
      <c r="J320" s="28" t="s">
        <v>78</v>
      </c>
      <c r="M320" s="28" t="s">
        <v>127</v>
      </c>
      <c r="O320" s="29"/>
      <c r="P320" s="28"/>
      <c r="T320" s="35"/>
      <c r="U320" s="35"/>
      <c r="V320" s="35" t="s">
        <v>28</v>
      </c>
      <c r="W320" s="28"/>
      <c r="Y320" s="29"/>
      <c r="Z320" s="29"/>
      <c r="AA320" s="29"/>
      <c r="AB320" s="29"/>
      <c r="AE320" s="28" t="s">
        <v>31</v>
      </c>
      <c r="AF320" s="28" t="s">
        <v>79</v>
      </c>
      <c r="AG320" s="28" t="s">
        <v>80</v>
      </c>
      <c r="AH320" s="28" t="s">
        <v>287</v>
      </c>
      <c r="AJ320" s="29"/>
      <c r="AK320" s="29"/>
      <c r="AM320" s="28" t="str">
        <f>IF(ISBLANK(AL320),  "", _xlfn.CONCAT("haas/entity/sensor/", LOWER(C320), "/", E320, "/config"))</f>
        <v/>
      </c>
      <c r="AN320" s="28" t="str">
        <f>IF(ISBLANK(AL320),  "", _xlfn.CONCAT(LOWER(C320), "/", E320))</f>
        <v/>
      </c>
      <c r="AV320" s="28"/>
      <c r="AW320" s="30"/>
      <c r="AX320" s="38"/>
      <c r="AY320" s="28"/>
      <c r="BA3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0" s="28" t="str">
        <f>IF(ISBLANK(Table2[[#This Row],[device_model]]), "", Table2[[#This Row],[device_suggested_area]])</f>
        <v/>
      </c>
      <c r="BI320" s="29"/>
      <c r="BJ320" s="28" t="s">
        <v>28</v>
      </c>
      <c r="BO320" s="28"/>
      <c r="BQ3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9" ht="16" customHeight="1" x14ac:dyDescent="0.2">
      <c r="A321" s="28">
        <v>2539</v>
      </c>
      <c r="B321" s="28" t="s">
        <v>26</v>
      </c>
      <c r="C321" s="28" t="s">
        <v>1467</v>
      </c>
      <c r="D321" s="28" t="s">
        <v>27</v>
      </c>
      <c r="E321" s="28" t="s">
        <v>1059</v>
      </c>
      <c r="F321" s="34" t="str">
        <f>IF(ISBLANK(Table2[[#This Row],[unique_id]]), "", PROPER(SUBSTITUTE(Table2[[#This Row],[unique_id]], "_", " ")))</f>
        <v>Rack Bottom Temperature</v>
      </c>
      <c r="G321" s="28" t="s">
        <v>1062</v>
      </c>
      <c r="H321" s="28" t="s">
        <v>1141</v>
      </c>
      <c r="I321" s="28" t="s">
        <v>262</v>
      </c>
      <c r="K321" s="28" t="s">
        <v>1102</v>
      </c>
      <c r="O321" s="29"/>
      <c r="P321" s="28"/>
      <c r="T321" s="35"/>
      <c r="U321" s="35"/>
      <c r="V321" s="35"/>
      <c r="W321" s="28"/>
      <c r="Y321" s="29" t="s">
        <v>1121</v>
      </c>
      <c r="Z321" s="29"/>
      <c r="AA321" s="29"/>
      <c r="AB321" s="29"/>
      <c r="AE321" s="28" t="s">
        <v>31</v>
      </c>
      <c r="AF321" s="28" t="s">
        <v>79</v>
      </c>
      <c r="AG321" s="28" t="s">
        <v>80</v>
      </c>
      <c r="AH321" s="28" t="s">
        <v>287</v>
      </c>
      <c r="AI321" s="28">
        <v>300</v>
      </c>
      <c r="AJ321" s="29" t="s">
        <v>34</v>
      </c>
      <c r="AK321" s="29"/>
      <c r="AL321" s="28" t="s">
        <v>1367</v>
      </c>
      <c r="AM321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N321" s="28" t="str">
        <f>IF(ISBLANK(Table2[[#This Row],[index]]),  "", _xlfn.CONCAT(LOWER(Table2[[#This Row],[device_via_device]]), "/data"))</f>
        <v>tempstat/data</v>
      </c>
      <c r="AO321" s="28" t="str">
        <f>IF(ISBLANK(Table2[[#This Row],[index]]), "", _xlfn.CONCAT(LOWER(Table2[[#This Row],[device_via_device]]), "/command"))</f>
        <v>tempstat/command</v>
      </c>
      <c r="AP321" s="28" t="str">
        <f>IF(ISBLANK(Table2[[#This Row],[index]]), "", _xlfn.CONCAT(LOWER(Table2[[#This Row],[device_via_device]]), "/status"))</f>
        <v>tempstat/status</v>
      </c>
      <c r="AU321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V321" s="28">
        <v>1</v>
      </c>
      <c r="AW321" s="30"/>
      <c r="AY3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3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3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BB3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1" s="28" t="str">
        <f>IF(ISBLANK(Table2[[#This Row],[device_model]]), "", Table2[[#This Row],[device_suggested_area]])</f>
        <v>Rack</v>
      </c>
      <c r="BE321" s="28" t="s">
        <v>78</v>
      </c>
      <c r="BF321" s="28" t="s">
        <v>1469</v>
      </c>
      <c r="BG321" s="28" t="s">
        <v>1470</v>
      </c>
      <c r="BI321" s="28" t="s">
        <v>936</v>
      </c>
      <c r="BJ321" s="28" t="s">
        <v>28</v>
      </c>
      <c r="BO321" s="28" t="s">
        <v>1076</v>
      </c>
      <c r="BQ3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9" ht="16" customHeight="1" x14ac:dyDescent="0.2">
      <c r="A322" s="28">
        <v>2540</v>
      </c>
      <c r="B322" s="28" t="s">
        <v>26</v>
      </c>
      <c r="C322" s="28" t="s">
        <v>1467</v>
      </c>
      <c r="D322" s="28" t="s">
        <v>27</v>
      </c>
      <c r="E322" s="28" t="s">
        <v>1102</v>
      </c>
      <c r="F322" s="28" t="str">
        <f>IF(ISBLANK(Table2[[#This Row],[unique_id]]), "", PROPER(SUBSTITUTE(Table2[[#This Row],[unique_id]], "_", " ")))</f>
        <v>Compensation Sensor Rack Bottom Temperature</v>
      </c>
      <c r="G322" s="28" t="s">
        <v>1062</v>
      </c>
      <c r="H322" s="28" t="s">
        <v>1141</v>
      </c>
      <c r="I322" s="28" t="s">
        <v>262</v>
      </c>
      <c r="J322" s="28" t="s">
        <v>78</v>
      </c>
      <c r="M322" s="28" t="s">
        <v>127</v>
      </c>
      <c r="O322" s="29"/>
      <c r="P322" s="28"/>
      <c r="T322" s="35"/>
      <c r="U322" s="35"/>
      <c r="V322" s="35" t="s">
        <v>28</v>
      </c>
      <c r="W322" s="28"/>
      <c r="Y322" s="29"/>
      <c r="Z322" s="29"/>
      <c r="AA322" s="29"/>
      <c r="AB322" s="29"/>
      <c r="AE322" s="28" t="s">
        <v>31</v>
      </c>
      <c r="AF322" s="28" t="s">
        <v>79</v>
      </c>
      <c r="AG322" s="28" t="s">
        <v>80</v>
      </c>
      <c r="AH322" s="28" t="s">
        <v>287</v>
      </c>
      <c r="AJ322" s="29"/>
      <c r="AK322" s="29"/>
      <c r="AM322" s="28" t="str">
        <f>IF(ISBLANK(AL322),  "", _xlfn.CONCAT("haas/entity/sensor/", LOWER(C322), "/", E322, "/config"))</f>
        <v/>
      </c>
      <c r="AN322" s="28" t="str">
        <f>IF(ISBLANK(AL322),  "", _xlfn.CONCAT(LOWER(C322), "/", E322))</f>
        <v/>
      </c>
      <c r="AV322" s="28"/>
      <c r="AW322" s="30"/>
      <c r="AX322" s="38"/>
      <c r="AY322" s="28"/>
      <c r="BA3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2" s="28" t="str">
        <f>IF(ISBLANK(Table2[[#This Row],[device_model]]), "", Table2[[#This Row],[device_suggested_area]])</f>
        <v/>
      </c>
      <c r="BI322" s="29"/>
      <c r="BJ322" s="28" t="s">
        <v>28</v>
      </c>
      <c r="BO322" s="28"/>
      <c r="BQ3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9" ht="16" customHeight="1" x14ac:dyDescent="0.2">
      <c r="A323" s="28">
        <v>2541</v>
      </c>
      <c r="B323" s="28" t="s">
        <v>26</v>
      </c>
      <c r="C323" s="28" t="s">
        <v>1127</v>
      </c>
      <c r="D323" s="28" t="s">
        <v>27</v>
      </c>
      <c r="E323" s="28" t="s">
        <v>1396</v>
      </c>
      <c r="F323" s="28" t="str">
        <f>IF(ISBLANK(Table2[[#This Row],[unique_id]]), "", PROPER(SUBSTITUTE(Table2[[#This Row],[unique_id]], "_", " ")))</f>
        <v>Host Mad Temperature</v>
      </c>
      <c r="G323" s="28" t="s">
        <v>1400</v>
      </c>
      <c r="H323" s="28" t="s">
        <v>1141</v>
      </c>
      <c r="I323" s="28" t="s">
        <v>262</v>
      </c>
      <c r="K323" s="28" t="s">
        <v>1397</v>
      </c>
      <c r="O323" s="29"/>
      <c r="P323" s="28"/>
      <c r="T323" s="35"/>
      <c r="U323" s="35"/>
      <c r="V323" s="35"/>
      <c r="W323" s="28"/>
      <c r="Y323" s="29" t="s">
        <v>286</v>
      </c>
      <c r="Z323" s="29"/>
      <c r="AA323" s="29"/>
      <c r="AB323" s="29"/>
      <c r="AE323" s="28" t="s">
        <v>31</v>
      </c>
      <c r="AF323" s="28" t="s">
        <v>79</v>
      </c>
      <c r="AG323" s="28" t="s">
        <v>80</v>
      </c>
      <c r="AH323" s="28" t="s">
        <v>287</v>
      </c>
      <c r="AI323" s="28">
        <v>5</v>
      </c>
      <c r="AJ323" s="29" t="s">
        <v>34</v>
      </c>
      <c r="AK323" s="29"/>
      <c r="AL323" s="28" t="s">
        <v>1402</v>
      </c>
      <c r="AM32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N323" s="28" t="str">
        <f>IF(ISBLANK(Table2[[#This Row],[index]]), "", _xlfn.CONCAT("supervisor/", Table2[[#This Row],[unique_id_device]], "/data/host/temperature"))</f>
        <v>supervisor/macmini-mad/data/host/temperature</v>
      </c>
      <c r="AP323" s="28" t="str">
        <f>IF(ISBLANK(Table2[[#This Row],[index]]),  "", _xlfn.CONCAT("supervisor/", Table2[[#This Row],[unique_id_device]], "/status"))</f>
        <v>supervisor/macmini-mad/status</v>
      </c>
      <c r="AU323" s="28" t="s">
        <v>1500</v>
      </c>
      <c r="AV323" s="28">
        <v>1</v>
      </c>
      <c r="AW323" s="30"/>
      <c r="AY3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BB3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3" s="28" t="str">
        <f>IF(ISBLANK(Table2[[#This Row],[device_model]]), "", Table2[[#This Row],[device_suggested_area]])</f>
        <v>Rack</v>
      </c>
      <c r="BE323" s="28" t="s">
        <v>1127</v>
      </c>
      <c r="BF323" s="28" t="s">
        <v>1437</v>
      </c>
      <c r="BG323" s="28" t="s">
        <v>1061</v>
      </c>
      <c r="BI323" s="28" t="s">
        <v>936</v>
      </c>
      <c r="BJ323" s="28" t="s">
        <v>28</v>
      </c>
      <c r="BO323" s="28"/>
      <c r="BQ3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9" ht="16" customHeight="1" x14ac:dyDescent="0.2">
      <c r="A324" s="28">
        <v>2542</v>
      </c>
      <c r="B324" s="28" t="s">
        <v>26</v>
      </c>
      <c r="C324" s="28" t="s">
        <v>1127</v>
      </c>
      <c r="D324" s="28" t="s">
        <v>27</v>
      </c>
      <c r="E324" s="28" t="s">
        <v>1397</v>
      </c>
      <c r="F324" s="28" t="str">
        <f>IF(ISBLANK(Table2[[#This Row],[unique_id]]), "", PROPER(SUBSTITUTE(Table2[[#This Row],[unique_id]], "_", " ")))</f>
        <v>Compensation Sensor Host Mad Temperature</v>
      </c>
      <c r="G324" s="28" t="s">
        <v>1400</v>
      </c>
      <c r="H324" s="28" t="s">
        <v>1141</v>
      </c>
      <c r="I324" s="28" t="s">
        <v>262</v>
      </c>
      <c r="M324" s="28" t="s">
        <v>127</v>
      </c>
      <c r="O324" s="29"/>
      <c r="P324" s="28"/>
      <c r="T324" s="35"/>
      <c r="U324" s="35"/>
      <c r="V324" s="35"/>
      <c r="W324" s="28"/>
      <c r="Y324" s="29"/>
      <c r="Z324" s="29"/>
      <c r="AA324" s="29"/>
      <c r="AB324" s="29"/>
      <c r="AE324" s="28" t="s">
        <v>31</v>
      </c>
      <c r="AF324" s="28" t="s">
        <v>79</v>
      </c>
      <c r="AG324" s="28" t="s">
        <v>80</v>
      </c>
      <c r="AH324" s="28" t="s">
        <v>287</v>
      </c>
      <c r="AJ324" s="29"/>
      <c r="AK324" s="29"/>
      <c r="AM324" s="28" t="str">
        <f>IF(ISBLANK(AL324),  "", _xlfn.CONCAT("haas/entity/sensor/", LOWER(C324), "/", E324, "/config"))</f>
        <v/>
      </c>
      <c r="AN324" s="28" t="str">
        <f>IF(ISBLANK(AL324),  "", _xlfn.CONCAT(LOWER(C324), "/", E324))</f>
        <v/>
      </c>
      <c r="AV324" s="28"/>
      <c r="AW324" s="30"/>
      <c r="AX324" s="38"/>
      <c r="AY324" s="28"/>
      <c r="BA3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4" s="28" t="str">
        <f>IF(ISBLANK(Table2[[#This Row],[device_model]]), "", Table2[[#This Row],[device_suggested_area]])</f>
        <v/>
      </c>
      <c r="BI324" s="29"/>
      <c r="BJ324" s="28" t="s">
        <v>28</v>
      </c>
      <c r="BO324" s="28"/>
      <c r="BQ3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9" ht="16" customHeight="1" x14ac:dyDescent="0.2">
      <c r="A325" s="28">
        <v>2543</v>
      </c>
      <c r="B325" s="28" t="s">
        <v>26</v>
      </c>
      <c r="C325" s="28" t="s">
        <v>1127</v>
      </c>
      <c r="D325" s="28" t="s">
        <v>27</v>
      </c>
      <c r="E325" s="28" t="s">
        <v>1398</v>
      </c>
      <c r="F325" s="28" t="str">
        <f>IF(ISBLANK(Table2[[#This Row],[unique_id]]), "", PROPER(SUBSTITUTE(Table2[[#This Row],[unique_id]], "_", " ")))</f>
        <v>Host Max Temperature</v>
      </c>
      <c r="G325" s="28" t="s">
        <v>1401</v>
      </c>
      <c r="H325" s="28" t="s">
        <v>1141</v>
      </c>
      <c r="I325" s="28" t="s">
        <v>262</v>
      </c>
      <c r="K325" s="28" t="s">
        <v>1399</v>
      </c>
      <c r="O325" s="29"/>
      <c r="P325" s="28"/>
      <c r="T325" s="35"/>
      <c r="U325" s="35"/>
      <c r="V325" s="35"/>
      <c r="W325" s="28"/>
      <c r="Y325" s="29" t="s">
        <v>286</v>
      </c>
      <c r="Z325" s="29"/>
      <c r="AA325" s="29"/>
      <c r="AB325" s="29"/>
      <c r="AE325" s="28" t="s">
        <v>31</v>
      </c>
      <c r="AF325" s="28" t="s">
        <v>79</v>
      </c>
      <c r="AG325" s="28" t="s">
        <v>80</v>
      </c>
      <c r="AH325" s="28" t="s">
        <v>287</v>
      </c>
      <c r="AI325" s="28">
        <v>5</v>
      </c>
      <c r="AJ325" s="29" t="s">
        <v>34</v>
      </c>
      <c r="AK325" s="29"/>
      <c r="AL325" s="28" t="s">
        <v>1403</v>
      </c>
      <c r="AM32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N325" s="28" t="str">
        <f>IF(ISBLANK(Table2[[#This Row],[index]]), "", _xlfn.CONCAT("supervisor/", Table2[[#This Row],[unique_id_device]], "/data/host/temperature"))</f>
        <v>supervisor/macmini-max/data/host/temperature</v>
      </c>
      <c r="AP325" s="28" t="str">
        <f>IF(ISBLANK(Table2[[#This Row],[index]]),  "", _xlfn.CONCAT("supervisor/", Table2[[#This Row],[unique_id_device]], "/status"))</f>
        <v>supervisor/macmini-max/status</v>
      </c>
      <c r="AU325" s="28" t="s">
        <v>1500</v>
      </c>
      <c r="AV325" s="28">
        <v>1</v>
      </c>
      <c r="AW325" s="30"/>
      <c r="AY3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BB3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5" s="28" t="str">
        <f>IF(ISBLANK(Table2[[#This Row],[device_model]]), "", Table2[[#This Row],[device_suggested_area]])</f>
        <v>Rack</v>
      </c>
      <c r="BE325" s="28" t="s">
        <v>1127</v>
      </c>
      <c r="BF325" s="28" t="s">
        <v>1437</v>
      </c>
      <c r="BG325" s="28" t="s">
        <v>1061</v>
      </c>
      <c r="BI325" s="28" t="s">
        <v>936</v>
      </c>
      <c r="BJ325" s="28" t="s">
        <v>28</v>
      </c>
      <c r="BO325" s="28"/>
      <c r="BQ3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9" ht="16" customHeight="1" x14ac:dyDescent="0.2">
      <c r="A326" s="28">
        <v>2544</v>
      </c>
      <c r="B326" s="28" t="s">
        <v>26</v>
      </c>
      <c r="C326" s="28" t="s">
        <v>1127</v>
      </c>
      <c r="D326" s="28" t="s">
        <v>27</v>
      </c>
      <c r="E326" s="28" t="s">
        <v>1399</v>
      </c>
      <c r="F326" s="28" t="str">
        <f>IF(ISBLANK(Table2[[#This Row],[unique_id]]), "", PROPER(SUBSTITUTE(Table2[[#This Row],[unique_id]], "_", " ")))</f>
        <v>Compensation Sensor Host Max Temperature</v>
      </c>
      <c r="G326" s="28" t="s">
        <v>1401</v>
      </c>
      <c r="H326" s="28" t="s">
        <v>1141</v>
      </c>
      <c r="I326" s="28" t="s">
        <v>262</v>
      </c>
      <c r="M326" s="28" t="s">
        <v>127</v>
      </c>
      <c r="O326" s="29"/>
      <c r="P326" s="28"/>
      <c r="T326" s="35"/>
      <c r="U326" s="35"/>
      <c r="V326" s="35"/>
      <c r="W326" s="28"/>
      <c r="Y326" s="29"/>
      <c r="Z326" s="29"/>
      <c r="AA326" s="29"/>
      <c r="AB326" s="29"/>
      <c r="AE326" s="28" t="s">
        <v>31</v>
      </c>
      <c r="AF326" s="28" t="s">
        <v>79</v>
      </c>
      <c r="AG326" s="28" t="s">
        <v>80</v>
      </c>
      <c r="AH326" s="28" t="s">
        <v>287</v>
      </c>
      <c r="AJ326" s="29"/>
      <c r="AK326" s="29"/>
      <c r="AM326" s="28" t="str">
        <f>IF(ISBLANK(AL326),  "", _xlfn.CONCAT("haas/entity/sensor/", LOWER(C326), "/", E326, "/config"))</f>
        <v/>
      </c>
      <c r="AN326" s="28" t="str">
        <f>IF(ISBLANK(AL326),  "", _xlfn.CONCAT(LOWER(C326), "/", E326))</f>
        <v/>
      </c>
      <c r="AV326" s="28"/>
      <c r="AW326" s="30"/>
      <c r="AX326" s="38"/>
      <c r="AY326" s="28"/>
      <c r="BA3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6" s="28" t="str">
        <f>IF(ISBLANK(Table2[[#This Row],[device_model]]), "", Table2[[#This Row],[device_suggested_area]])</f>
        <v/>
      </c>
      <c r="BI326" s="29"/>
      <c r="BJ326" s="28" t="s">
        <v>28</v>
      </c>
      <c r="BO326" s="28"/>
      <c r="BQ3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9" ht="16" customHeight="1" x14ac:dyDescent="0.2">
      <c r="A327" s="28">
        <v>2545</v>
      </c>
      <c r="B327" s="28" t="s">
        <v>26</v>
      </c>
      <c r="C327" s="28" t="s">
        <v>1127</v>
      </c>
      <c r="D327" s="28" t="s">
        <v>27</v>
      </c>
      <c r="E327" s="28" t="s">
        <v>1361</v>
      </c>
      <c r="F327" s="28" t="str">
        <f>IF(ISBLANK(Table2[[#This Row],[unique_id]]), "", PROPER(SUBSTITUTE(Table2[[#This Row],[unique_id]], "_", " ")))</f>
        <v>Host May Temperature</v>
      </c>
      <c r="G327" s="28" t="s">
        <v>1360</v>
      </c>
      <c r="H327" s="28" t="s">
        <v>1141</v>
      </c>
      <c r="I327" s="28" t="s">
        <v>262</v>
      </c>
      <c r="K327" s="28" t="s">
        <v>1362</v>
      </c>
      <c r="O327" s="29"/>
      <c r="P327" s="28"/>
      <c r="T327" s="35"/>
      <c r="U327" s="35"/>
      <c r="V327" s="35"/>
      <c r="W327" s="28"/>
      <c r="Y327" s="29" t="s">
        <v>286</v>
      </c>
      <c r="Z327" s="29"/>
      <c r="AA327" s="29"/>
      <c r="AB327" s="29"/>
      <c r="AE327" s="28" t="s">
        <v>31</v>
      </c>
      <c r="AF327" s="28" t="s">
        <v>79</v>
      </c>
      <c r="AG327" s="28" t="s">
        <v>80</v>
      </c>
      <c r="AH327" s="28" t="s">
        <v>287</v>
      </c>
      <c r="AI327" s="28">
        <v>5</v>
      </c>
      <c r="AJ327" s="29" t="s">
        <v>34</v>
      </c>
      <c r="AK327" s="29"/>
      <c r="AL327" s="28" t="s">
        <v>1367</v>
      </c>
      <c r="AM32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N327" s="28" t="str">
        <f>IF(ISBLANK(Table2[[#This Row],[index]]), "", _xlfn.CONCAT("supervisor/", Table2[[#This Row],[unique_id_device]], "/data/host/temperature"))</f>
        <v>supervisor/macmini-may/data/host/temperature</v>
      </c>
      <c r="AP327" s="28" t="str">
        <f>IF(ISBLANK(Table2[[#This Row],[index]]),  "", _xlfn.CONCAT("supervisor/", Table2[[#This Row],[unique_id_device]], "/status"))</f>
        <v>supervisor/macmini-may/status</v>
      </c>
      <c r="AU327" s="28" t="s">
        <v>1500</v>
      </c>
      <c r="AV327" s="28">
        <v>1</v>
      </c>
      <c r="AW327" s="30"/>
      <c r="AY3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BB3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7" s="28" t="str">
        <f>IF(ISBLANK(Table2[[#This Row],[device_model]]), "", Table2[[#This Row],[device_suggested_area]])</f>
        <v>Rack</v>
      </c>
      <c r="BE327" s="28" t="s">
        <v>1127</v>
      </c>
      <c r="BF327" s="28" t="s">
        <v>1437</v>
      </c>
      <c r="BG327" s="28" t="s">
        <v>1061</v>
      </c>
      <c r="BI327" s="28" t="s">
        <v>936</v>
      </c>
      <c r="BJ327" s="28" t="s">
        <v>28</v>
      </c>
      <c r="BO327" s="28"/>
      <c r="BQ3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9" ht="16" customHeight="1" x14ac:dyDescent="0.2">
      <c r="A328" s="28">
        <v>2546</v>
      </c>
      <c r="B328" s="28" t="s">
        <v>26</v>
      </c>
      <c r="C328" s="28" t="s">
        <v>1127</v>
      </c>
      <c r="D328" s="28" t="s">
        <v>27</v>
      </c>
      <c r="E328" s="28" t="s">
        <v>1362</v>
      </c>
      <c r="F328" s="28" t="str">
        <f>IF(ISBLANK(Table2[[#This Row],[unique_id]]), "", PROPER(SUBSTITUTE(Table2[[#This Row],[unique_id]], "_", " ")))</f>
        <v>Compensation Sensor Host May Temperature</v>
      </c>
      <c r="G328" s="28" t="s">
        <v>1360</v>
      </c>
      <c r="H328" s="28" t="s">
        <v>1141</v>
      </c>
      <c r="I328" s="28" t="s">
        <v>262</v>
      </c>
      <c r="M328" s="28" t="s">
        <v>127</v>
      </c>
      <c r="O328" s="29"/>
      <c r="P328" s="28"/>
      <c r="T328" s="35"/>
      <c r="U328" s="35"/>
      <c r="V328" s="35"/>
      <c r="W328" s="28"/>
      <c r="Y328" s="29"/>
      <c r="Z328" s="29"/>
      <c r="AA328" s="29"/>
      <c r="AB328" s="29"/>
      <c r="AE328" s="28" t="s">
        <v>31</v>
      </c>
      <c r="AF328" s="28" t="s">
        <v>79</v>
      </c>
      <c r="AG328" s="28" t="s">
        <v>80</v>
      </c>
      <c r="AH328" s="28" t="s">
        <v>287</v>
      </c>
      <c r="AJ328" s="29"/>
      <c r="AK328" s="29"/>
      <c r="AM328" s="28" t="str">
        <f>IF(ISBLANK(AL328),  "", _xlfn.CONCAT("haas/entity/sensor/", LOWER(C328), "/", E328, "/config"))</f>
        <v/>
      </c>
      <c r="AN328" s="28" t="str">
        <f>IF(ISBLANK(AL328),  "", _xlfn.CONCAT(LOWER(C328), "/", E328))</f>
        <v/>
      </c>
      <c r="AV328" s="28"/>
      <c r="AW328" s="30"/>
      <c r="AX328" s="38"/>
      <c r="AY328" s="28"/>
      <c r="BA3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8" s="28" t="str">
        <f>IF(ISBLANK(Table2[[#This Row],[device_model]]), "", Table2[[#This Row],[device_suggested_area]])</f>
        <v/>
      </c>
      <c r="BI328" s="29"/>
      <c r="BJ328" s="28" t="s">
        <v>28</v>
      </c>
      <c r="BO328" s="28"/>
      <c r="BQ3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9" ht="16" customHeight="1" x14ac:dyDescent="0.2">
      <c r="A329" s="28">
        <v>2547</v>
      </c>
      <c r="B329" s="28" t="s">
        <v>26</v>
      </c>
      <c r="C329" s="28" t="s">
        <v>1127</v>
      </c>
      <c r="D329" s="28" t="s">
        <v>27</v>
      </c>
      <c r="E329" s="28" t="s">
        <v>1134</v>
      </c>
      <c r="F329" s="28" t="str">
        <f>IF(ISBLANK(Table2[[#This Row],[unique_id]]), "", PROPER(SUBSTITUTE(Table2[[#This Row],[unique_id]], "_", " ")))</f>
        <v>Host Meg Temperature</v>
      </c>
      <c r="G329" s="28" t="s">
        <v>1137</v>
      </c>
      <c r="H329" s="28" t="s">
        <v>1141</v>
      </c>
      <c r="I329" s="28" t="s">
        <v>262</v>
      </c>
      <c r="K329" s="28" t="s">
        <v>1136</v>
      </c>
      <c r="O329" s="29"/>
      <c r="P329" s="28"/>
      <c r="T329" s="35"/>
      <c r="U329" s="35"/>
      <c r="V329" s="35"/>
      <c r="W329" s="28"/>
      <c r="Y329" s="29" t="s">
        <v>286</v>
      </c>
      <c r="Z329" s="29"/>
      <c r="AA329" s="29"/>
      <c r="AB329" s="29"/>
      <c r="AE329" s="28" t="s">
        <v>31</v>
      </c>
      <c r="AF329" s="28" t="s">
        <v>79</v>
      </c>
      <c r="AG329" s="28" t="s">
        <v>80</v>
      </c>
      <c r="AH329" s="28" t="s">
        <v>287</v>
      </c>
      <c r="AI329" s="28">
        <v>5</v>
      </c>
      <c r="AJ329" s="29" t="s">
        <v>34</v>
      </c>
      <c r="AK329" s="29"/>
      <c r="AL329" s="28" t="s">
        <v>1078</v>
      </c>
      <c r="AM32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N329" s="28" t="str">
        <f>IF(ISBLANK(Table2[[#This Row],[index]]), "", _xlfn.CONCAT("supervisor/", Table2[[#This Row],[unique_id_device]], "/data/host/temperature"))</f>
        <v>supervisor/macmini-meg/data/host/temperature</v>
      </c>
      <c r="AP329" s="28" t="str">
        <f>IF(ISBLANK(Table2[[#This Row],[index]]),  "", _xlfn.CONCAT("supervisor/", Table2[[#This Row],[unique_id_device]], "/status"))</f>
        <v>supervisor/macmini-meg/status</v>
      </c>
      <c r="AU329" s="28" t="s">
        <v>1500</v>
      </c>
      <c r="AV329" s="28">
        <v>1</v>
      </c>
      <c r="AW329" s="30"/>
      <c r="AY3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BB3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9" s="28" t="str">
        <f>IF(ISBLANK(Table2[[#This Row],[device_model]]), "", Table2[[#This Row],[device_suggested_area]])</f>
        <v>Rack</v>
      </c>
      <c r="BE329" s="28" t="s">
        <v>1127</v>
      </c>
      <c r="BF329" s="28" t="s">
        <v>1437</v>
      </c>
      <c r="BG329" s="28" t="s">
        <v>1061</v>
      </c>
      <c r="BI329" s="28" t="s">
        <v>936</v>
      </c>
      <c r="BJ329" s="28" t="s">
        <v>28</v>
      </c>
      <c r="BO329" s="28"/>
      <c r="BQ3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9" ht="16" customHeight="1" x14ac:dyDescent="0.2">
      <c r="A330" s="28">
        <v>2548</v>
      </c>
      <c r="B330" s="28" t="s">
        <v>26</v>
      </c>
      <c r="C330" s="28" t="s">
        <v>1127</v>
      </c>
      <c r="D330" s="28" t="s">
        <v>27</v>
      </c>
      <c r="E330" s="28" t="s">
        <v>1136</v>
      </c>
      <c r="F330" s="28" t="str">
        <f>IF(ISBLANK(Table2[[#This Row],[unique_id]]), "", PROPER(SUBSTITUTE(Table2[[#This Row],[unique_id]], "_", " ")))</f>
        <v>Compensation Sensor Host Meg Temperature</v>
      </c>
      <c r="G330" s="28" t="s">
        <v>1137</v>
      </c>
      <c r="H330" s="28" t="s">
        <v>1141</v>
      </c>
      <c r="I330" s="28" t="s">
        <v>262</v>
      </c>
      <c r="M330" s="28" t="s">
        <v>127</v>
      </c>
      <c r="O330" s="29"/>
      <c r="P330" s="28"/>
      <c r="T330" s="35"/>
      <c r="U330" s="35"/>
      <c r="V330" s="35"/>
      <c r="W330" s="28"/>
      <c r="Y330" s="29"/>
      <c r="Z330" s="29"/>
      <c r="AA330" s="29"/>
      <c r="AB330" s="29"/>
      <c r="AE330" s="28" t="s">
        <v>31</v>
      </c>
      <c r="AF330" s="28" t="s">
        <v>79</v>
      </c>
      <c r="AG330" s="28" t="s">
        <v>80</v>
      </c>
      <c r="AH330" s="28" t="s">
        <v>287</v>
      </c>
      <c r="AJ330" s="29"/>
      <c r="AK330" s="29"/>
      <c r="AM330" s="28" t="str">
        <f>IF(ISBLANK(AL330),  "", _xlfn.CONCAT("haas/entity/sensor/", LOWER(C330), "/", E330, "/config"))</f>
        <v/>
      </c>
      <c r="AN330" s="28" t="str">
        <f>IF(ISBLANK(AL330),  "", _xlfn.CONCAT(LOWER(C330), "/", E330))</f>
        <v/>
      </c>
      <c r="AV330" s="28"/>
      <c r="AW330" s="30"/>
      <c r="AX330" s="38"/>
      <c r="AY330" s="28"/>
      <c r="BA3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0" s="28" t="str">
        <f>IF(ISBLANK(Table2[[#This Row],[device_model]]), "", Table2[[#This Row],[device_suggested_area]])</f>
        <v/>
      </c>
      <c r="BI330" s="29"/>
      <c r="BJ330" s="28" t="s">
        <v>28</v>
      </c>
      <c r="BO330" s="28"/>
      <c r="BQ3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9" ht="16" customHeight="1" x14ac:dyDescent="0.2">
      <c r="A331" s="28">
        <v>2549</v>
      </c>
      <c r="B331" s="28" t="s">
        <v>26</v>
      </c>
      <c r="C331" s="28" t="s">
        <v>1138</v>
      </c>
      <c r="D331" s="28" t="s">
        <v>27</v>
      </c>
      <c r="E331" s="28" t="s">
        <v>1146</v>
      </c>
      <c r="F331" s="28" t="str">
        <f>IF(ISBLANK(Table2[[#This Row],[unique_id]]), "", PROPER(SUBSTITUTE(Table2[[#This Row],[unique_id]], "_", " ")))</f>
        <v>Template Deck Festoons Plug Temperature Proxy</v>
      </c>
      <c r="G331" s="28" t="s">
        <v>1143</v>
      </c>
      <c r="H331" s="28" t="s">
        <v>1142</v>
      </c>
      <c r="I331" s="28" t="s">
        <v>262</v>
      </c>
      <c r="K331" s="28" t="s">
        <v>1100</v>
      </c>
      <c r="M331" s="28" t="s">
        <v>127</v>
      </c>
      <c r="O331" s="29"/>
      <c r="P331" s="28"/>
      <c r="T331" s="35"/>
      <c r="U331" s="35"/>
      <c r="V331" s="35"/>
      <c r="W331" s="28"/>
      <c r="Y331" s="29"/>
      <c r="Z331" s="29"/>
      <c r="AA331" s="29"/>
      <c r="AB331" s="29"/>
      <c r="AE331" s="28" t="s">
        <v>31</v>
      </c>
      <c r="AF331" s="28" t="s">
        <v>79</v>
      </c>
      <c r="AG331" s="28" t="s">
        <v>80</v>
      </c>
      <c r="AH331" s="28" t="s">
        <v>287</v>
      </c>
      <c r="AJ331" s="29"/>
      <c r="AK331" s="29"/>
      <c r="AM331" s="28" t="str">
        <f>IF(ISBLANK(AL331),  "", _xlfn.CONCAT("haas/entity/sensor/", LOWER(C331), "/", E331, "/config"))</f>
        <v/>
      </c>
      <c r="AN331" s="28" t="str">
        <f>IF(ISBLANK(AL331),  "", _xlfn.CONCAT(LOWER(C331), "/", E331))</f>
        <v/>
      </c>
      <c r="AV331" s="28"/>
      <c r="AW331" s="30"/>
      <c r="AX331" s="38"/>
      <c r="AY331" s="28"/>
      <c r="BA3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1" s="28" t="str">
        <f>IF(ISBLANK(Table2[[#This Row],[device_model]]), "", Table2[[#This Row],[device_suggested_area]])</f>
        <v/>
      </c>
      <c r="BI331" s="29"/>
      <c r="BO331" s="28"/>
      <c r="BQ3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9" ht="16" customHeight="1" x14ac:dyDescent="0.2">
      <c r="A332" s="28">
        <v>2550</v>
      </c>
      <c r="B332" s="28" t="s">
        <v>26</v>
      </c>
      <c r="C332" s="28" t="s">
        <v>1138</v>
      </c>
      <c r="D332" s="28" t="s">
        <v>27</v>
      </c>
      <c r="E332" s="28" t="s">
        <v>1145</v>
      </c>
      <c r="F332" s="28" t="str">
        <f>IF(ISBLANK(Table2[[#This Row],[unique_id]]), "", PROPER(SUBSTITUTE(Table2[[#This Row],[unique_id]], "_", " ")))</f>
        <v>Template Wardrobe Temperature Proxy</v>
      </c>
      <c r="G332" s="28" t="s">
        <v>1346</v>
      </c>
      <c r="H332" s="28" t="s">
        <v>1140</v>
      </c>
      <c r="I332" s="28" t="s">
        <v>262</v>
      </c>
      <c r="K332" s="28" t="s">
        <v>1106</v>
      </c>
      <c r="M332" s="28" t="s">
        <v>127</v>
      </c>
      <c r="O332" s="29"/>
      <c r="P332" s="28"/>
      <c r="T332" s="35"/>
      <c r="U332" s="35"/>
      <c r="V332" s="35"/>
      <c r="W332" s="28"/>
      <c r="Y332" s="29"/>
      <c r="Z332" s="29"/>
      <c r="AA332" s="29"/>
      <c r="AB332" s="29"/>
      <c r="AE332" s="28" t="s">
        <v>31</v>
      </c>
      <c r="AF332" s="28" t="s">
        <v>79</v>
      </c>
      <c r="AG332" s="28" t="s">
        <v>80</v>
      </c>
      <c r="AH332" s="28" t="s">
        <v>287</v>
      </c>
      <c r="AJ332" s="29"/>
      <c r="AK332" s="29"/>
      <c r="AM332" s="28" t="str">
        <f>IF(ISBLANK(AL332),  "", _xlfn.CONCAT("haas/entity/sensor/", LOWER(C332), "/", E332, "/config"))</f>
        <v/>
      </c>
      <c r="AN332" s="28" t="str">
        <f>IF(ISBLANK(AL332),  "", _xlfn.CONCAT(LOWER(C332), "/", E332))</f>
        <v/>
      </c>
      <c r="AV332" s="28"/>
      <c r="AW332" s="30"/>
      <c r="AX332" s="38"/>
      <c r="AY332" s="28"/>
      <c r="BA3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2" s="28" t="str">
        <f>IF(ISBLANK(Table2[[#This Row],[device_model]]), "", Table2[[#This Row],[device_suggested_area]])</f>
        <v/>
      </c>
      <c r="BI332" s="29"/>
      <c r="BO332" s="28"/>
      <c r="BQ3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9" ht="16" customHeight="1" x14ac:dyDescent="0.2">
      <c r="A333" s="28">
        <v>2551</v>
      </c>
      <c r="B333" s="28" t="s">
        <v>26</v>
      </c>
      <c r="C333" s="28" t="s">
        <v>1127</v>
      </c>
      <c r="D333" s="28" t="s">
        <v>27</v>
      </c>
      <c r="E333" s="28" t="s">
        <v>1373</v>
      </c>
      <c r="F333" s="28" t="str">
        <f>IF(ISBLANK(Table2[[#This Row],[unique_id]]), "", PROPER(SUBSTITUTE(Table2[[#This Row],[unique_id]], "_", " ")))</f>
        <v>Host Jen Temperature</v>
      </c>
      <c r="G333" s="28" t="s">
        <v>1374</v>
      </c>
      <c r="H333" s="28" t="s">
        <v>1140</v>
      </c>
      <c r="I333" s="28" t="s">
        <v>262</v>
      </c>
      <c r="K333" s="28" t="s">
        <v>1369</v>
      </c>
      <c r="O333" s="29"/>
      <c r="P333" s="28"/>
      <c r="T333" s="35"/>
      <c r="U333" s="35"/>
      <c r="V333" s="35"/>
      <c r="W333" s="28"/>
      <c r="Y333" s="29" t="s">
        <v>286</v>
      </c>
      <c r="Z333" s="29"/>
      <c r="AA333" s="29"/>
      <c r="AB333" s="29"/>
      <c r="AE333" s="28" t="s">
        <v>31</v>
      </c>
      <c r="AF333" s="28" t="s">
        <v>79</v>
      </c>
      <c r="AG333" s="28" t="s">
        <v>80</v>
      </c>
      <c r="AH333" s="28" t="s">
        <v>287</v>
      </c>
      <c r="AI333" s="28">
        <v>5</v>
      </c>
      <c r="AJ333" s="29" t="s">
        <v>34</v>
      </c>
      <c r="AK333" s="29"/>
      <c r="AL333" s="28" t="s">
        <v>1370</v>
      </c>
      <c r="AM33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N333" s="28" t="str">
        <f>IF(ISBLANK(Table2[[#This Row],[index]]), "", _xlfn.CONCAT("supervisor/", Table2[[#This Row],[unique_id_device]], "/data/host/temperature"))</f>
        <v>supervisor/raspbpi-jen/data/host/temperature</v>
      </c>
      <c r="AP333" s="28" t="str">
        <f>IF(ISBLANK(Table2[[#This Row],[index]]),  "", _xlfn.CONCAT("supervisor/", Table2[[#This Row],[unique_id_device]], "/status"))</f>
        <v>supervisor/raspbpi-jen/status</v>
      </c>
      <c r="AU333" s="28" t="s">
        <v>1500</v>
      </c>
      <c r="AV333" s="28">
        <v>1</v>
      </c>
      <c r="AW333" s="30"/>
      <c r="AY3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Z3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BA3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BB3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3" s="28" t="str">
        <f>IF(ISBLANK(Table2[[#This Row],[device_model]]), "", Table2[[#This Row],[device_suggested_area]])</f>
        <v>Wardrobe</v>
      </c>
      <c r="BE333" s="28" t="s">
        <v>1127</v>
      </c>
      <c r="BF333" s="28" t="s">
        <v>1437</v>
      </c>
      <c r="BG333" s="28" t="s">
        <v>1061</v>
      </c>
      <c r="BI333" s="28" t="s">
        <v>936</v>
      </c>
      <c r="BJ333" s="28" t="s">
        <v>460</v>
      </c>
      <c r="BO333" s="28"/>
      <c r="BQ3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9" ht="16" customHeight="1" x14ac:dyDescent="0.2">
      <c r="A334" s="28">
        <v>2552</v>
      </c>
      <c r="B334" s="28" t="s">
        <v>26</v>
      </c>
      <c r="C334" s="28" t="s">
        <v>1127</v>
      </c>
      <c r="D334" s="28" t="s">
        <v>27</v>
      </c>
      <c r="E334" s="28" t="s">
        <v>1369</v>
      </c>
      <c r="F334" s="28" t="str">
        <f>IF(ISBLANK(Table2[[#This Row],[unique_id]]), "", PROPER(SUBSTITUTE(Table2[[#This Row],[unique_id]], "_", " ")))</f>
        <v>Compensation Sensor Host Jen Temperature</v>
      </c>
      <c r="G334" s="28" t="s">
        <v>1374</v>
      </c>
      <c r="H334" s="28" t="s">
        <v>1140</v>
      </c>
      <c r="I334" s="28" t="s">
        <v>262</v>
      </c>
      <c r="M334" s="28" t="s">
        <v>127</v>
      </c>
      <c r="O334" s="29"/>
      <c r="P334" s="28"/>
      <c r="T334" s="35"/>
      <c r="U334" s="35"/>
      <c r="V334" s="35"/>
      <c r="W334" s="28"/>
      <c r="Y334" s="29"/>
      <c r="Z334" s="29"/>
      <c r="AA334" s="29"/>
      <c r="AB334" s="29"/>
      <c r="AE334" s="28" t="s">
        <v>31</v>
      </c>
      <c r="AF334" s="28" t="s">
        <v>79</v>
      </c>
      <c r="AG334" s="28" t="s">
        <v>80</v>
      </c>
      <c r="AH334" s="28" t="s">
        <v>287</v>
      </c>
      <c r="AJ334" s="29"/>
      <c r="AK334" s="29"/>
      <c r="AM334" s="28" t="str">
        <f>IF(ISBLANK(AL334),  "", _xlfn.CONCAT("haas/entity/sensor/", LOWER(C334), "/", E334, "/config"))</f>
        <v/>
      </c>
      <c r="AN334" s="28" t="str">
        <f>IF(ISBLANK(AL334),  "", _xlfn.CONCAT(LOWER(C334), "/", E334))</f>
        <v/>
      </c>
      <c r="AV334" s="28"/>
      <c r="AW334" s="30"/>
      <c r="AX334" s="38"/>
      <c r="AY334" s="28"/>
      <c r="BA3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4" s="28" t="str">
        <f>IF(ISBLANK(Table2[[#This Row],[device_model]]), "", Table2[[#This Row],[device_suggested_area]])</f>
        <v/>
      </c>
      <c r="BI334" s="29"/>
      <c r="BJ334" s="28" t="s">
        <v>460</v>
      </c>
      <c r="BO334" s="28"/>
      <c r="BQ3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9" ht="16" customHeight="1" x14ac:dyDescent="0.2">
      <c r="A335" s="28">
        <v>2553</v>
      </c>
      <c r="B335" s="28" t="s">
        <v>26</v>
      </c>
      <c r="C335" s="28" t="s">
        <v>409</v>
      </c>
      <c r="D335" s="28" t="s">
        <v>304</v>
      </c>
      <c r="E335" s="28" t="s">
        <v>303</v>
      </c>
      <c r="F335" s="34" t="str">
        <f>IF(ISBLANK(Table2[[#This Row],[unique_id]]), "", PROPER(SUBSTITUTE(Table2[[#This Row],[unique_id]], "_", " ")))</f>
        <v>Column Break</v>
      </c>
      <c r="G335" s="28" t="s">
        <v>300</v>
      </c>
      <c r="H335" s="28" t="s">
        <v>1140</v>
      </c>
      <c r="I335" s="28" t="s">
        <v>262</v>
      </c>
      <c r="M335" s="28" t="s">
        <v>301</v>
      </c>
      <c r="N335" s="28" t="s">
        <v>302</v>
      </c>
      <c r="O335" s="29"/>
      <c r="P335" s="28"/>
      <c r="T335" s="35"/>
      <c r="U335" s="35"/>
      <c r="V335" s="35"/>
      <c r="W335" s="28"/>
      <c r="Y335" s="29"/>
      <c r="Z335" s="29"/>
      <c r="AA335" s="29"/>
      <c r="AB335" s="29"/>
      <c r="AJ335" s="29"/>
      <c r="AK335" s="29"/>
      <c r="AU335" s="37"/>
      <c r="AV335" s="28"/>
      <c r="AW335" s="30"/>
      <c r="AX335" s="29"/>
      <c r="AY3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5" s="28" t="str">
        <f>IF(ISBLANK(Table2[[#This Row],[device_model]]), "", Table2[[#This Row],[device_suggested_area]])</f>
        <v/>
      </c>
      <c r="BI335" s="29"/>
      <c r="BO335" s="28"/>
      <c r="BQ3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9" ht="16" customHeight="1" x14ac:dyDescent="0.2">
      <c r="A336" s="28">
        <v>2554</v>
      </c>
      <c r="B336" s="28" t="s">
        <v>26</v>
      </c>
      <c r="C336" s="28" t="s">
        <v>585</v>
      </c>
      <c r="D336" s="28" t="s">
        <v>27</v>
      </c>
      <c r="E336" s="28" t="s">
        <v>623</v>
      </c>
      <c r="F336" s="34" t="str">
        <f>IF(ISBLANK(Table2[[#This Row],[unique_id]]), "", PROPER(SUBSTITUTE(Table2[[#This Row],[unique_id]], "_", " ")))</f>
        <v>Back Door Lock Battery</v>
      </c>
      <c r="G336" s="28" t="s">
        <v>609</v>
      </c>
      <c r="H336" s="28" t="s">
        <v>1125</v>
      </c>
      <c r="I336" s="28" t="s">
        <v>262</v>
      </c>
      <c r="M336" s="28" t="s">
        <v>127</v>
      </c>
      <c r="O336" s="29"/>
      <c r="P336" s="28"/>
      <c r="T336" s="35"/>
      <c r="U336" s="35"/>
      <c r="V336" s="35"/>
      <c r="W336" s="28"/>
      <c r="Y336" s="29"/>
      <c r="Z336" s="29"/>
      <c r="AA336" s="29"/>
      <c r="AB336" s="29"/>
      <c r="AJ336" s="29"/>
      <c r="AK336" s="29"/>
      <c r="AV336" s="28"/>
      <c r="AW336" s="38"/>
      <c r="AX336" s="29"/>
      <c r="AY3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6" s="28" t="str">
        <f>IF(ISBLANK(Table2[[#This Row],[device_model]]), "", Table2[[#This Row],[device_suggested_area]])</f>
        <v/>
      </c>
      <c r="BI336" s="29"/>
      <c r="BO336" s="28"/>
      <c r="BQ3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9" ht="16" customHeight="1" x14ac:dyDescent="0.2">
      <c r="A337" s="28">
        <v>2555</v>
      </c>
      <c r="B337" s="28" t="s">
        <v>26</v>
      </c>
      <c r="C337" s="28" t="s">
        <v>585</v>
      </c>
      <c r="D337" s="28" t="s">
        <v>27</v>
      </c>
      <c r="E337" s="28" t="s">
        <v>624</v>
      </c>
      <c r="F337" s="34" t="str">
        <f>IF(ISBLANK(Table2[[#This Row],[unique_id]]), "", PROPER(SUBSTITUTE(Table2[[#This Row],[unique_id]], "_", " ")))</f>
        <v>Front Door Lock Battery</v>
      </c>
      <c r="G337" s="28" t="s">
        <v>608</v>
      </c>
      <c r="H337" s="28" t="s">
        <v>1125</v>
      </c>
      <c r="I337" s="28" t="s">
        <v>262</v>
      </c>
      <c r="M337" s="28" t="s">
        <v>127</v>
      </c>
      <c r="O337" s="29"/>
      <c r="P337" s="28"/>
      <c r="T337" s="35"/>
      <c r="U337" s="35"/>
      <c r="V337" s="35"/>
      <c r="W337" s="28"/>
      <c r="Y337" s="29"/>
      <c r="Z337" s="29"/>
      <c r="AA337" s="29"/>
      <c r="AB337" s="29"/>
      <c r="AJ337" s="29"/>
      <c r="AK337" s="29"/>
      <c r="AV337" s="28"/>
      <c r="AW337" s="38"/>
      <c r="AX337" s="29"/>
      <c r="AY3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7" s="28" t="str">
        <f>IF(ISBLANK(Table2[[#This Row],[device_model]]), "", Table2[[#This Row],[device_suggested_area]])</f>
        <v/>
      </c>
      <c r="BI337" s="29"/>
      <c r="BO337" s="28"/>
      <c r="BQ3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9" ht="16" customHeight="1" x14ac:dyDescent="0.2">
      <c r="A338" s="28">
        <v>2556</v>
      </c>
      <c r="B338" s="28" t="s">
        <v>26</v>
      </c>
      <c r="C338" s="28" t="s">
        <v>305</v>
      </c>
      <c r="D338" s="28" t="s">
        <v>27</v>
      </c>
      <c r="E338" s="28" t="s">
        <v>626</v>
      </c>
      <c r="F338" s="34" t="str">
        <f>IF(ISBLANK(Table2[[#This Row],[unique_id]]), "", PROPER(SUBSTITUTE(Table2[[#This Row],[unique_id]], "_", " ")))</f>
        <v>Template Back Door Sensor Battery Last</v>
      </c>
      <c r="G338" s="28" t="s">
        <v>611</v>
      </c>
      <c r="H338" s="28" t="s">
        <v>1125</v>
      </c>
      <c r="I338" s="28" t="s">
        <v>262</v>
      </c>
      <c r="M338" s="28" t="s">
        <v>127</v>
      </c>
      <c r="O338" s="29"/>
      <c r="P338" s="28"/>
      <c r="T338" s="35"/>
      <c r="U338" s="35"/>
      <c r="V338" s="35"/>
      <c r="W338" s="28"/>
      <c r="Y338" s="29"/>
      <c r="Z338" s="29"/>
      <c r="AA338" s="29"/>
      <c r="AB338" s="29"/>
      <c r="AJ338" s="29"/>
      <c r="AK338" s="29"/>
      <c r="AV338" s="28"/>
      <c r="AW338" s="38"/>
      <c r="AX338" s="29"/>
      <c r="AY3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8" s="28" t="str">
        <f>IF(ISBLANK(Table2[[#This Row],[device_model]]), "", Table2[[#This Row],[device_suggested_area]])</f>
        <v/>
      </c>
      <c r="BI338" s="29"/>
      <c r="BO338" s="28"/>
      <c r="BQ3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9" ht="16" customHeight="1" x14ac:dyDescent="0.2">
      <c r="A339" s="28">
        <v>2557</v>
      </c>
      <c r="B339" s="28" t="s">
        <v>26</v>
      </c>
      <c r="C339" s="28" t="s">
        <v>305</v>
      </c>
      <c r="D339" s="28" t="s">
        <v>27</v>
      </c>
      <c r="E339" s="28" t="s">
        <v>625</v>
      </c>
      <c r="F339" s="34" t="str">
        <f>IF(ISBLANK(Table2[[#This Row],[unique_id]]), "", PROPER(SUBSTITUTE(Table2[[#This Row],[unique_id]], "_", " ")))</f>
        <v>Template Front Door Sensor Battery Last</v>
      </c>
      <c r="G339" s="28" t="s">
        <v>610</v>
      </c>
      <c r="H339" s="28" t="s">
        <v>1125</v>
      </c>
      <c r="I339" s="28" t="s">
        <v>262</v>
      </c>
      <c r="M339" s="28" t="s">
        <v>127</v>
      </c>
      <c r="O339" s="29"/>
      <c r="P339" s="28"/>
      <c r="T339" s="35"/>
      <c r="U339" s="35"/>
      <c r="V339" s="35"/>
      <c r="W339" s="28"/>
      <c r="Y339" s="29"/>
      <c r="Z339" s="29"/>
      <c r="AA339" s="29"/>
      <c r="AB339" s="29"/>
      <c r="AJ339" s="29"/>
      <c r="AK339" s="29"/>
      <c r="AV339" s="28"/>
      <c r="AW339" s="38"/>
      <c r="AX339" s="29"/>
      <c r="AY3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9" s="28" t="str">
        <f>IF(ISBLANK(Table2[[#This Row],[device_model]]), "", Table2[[#This Row],[device_suggested_area]])</f>
        <v/>
      </c>
      <c r="BI339" s="29"/>
      <c r="BO339" s="28"/>
      <c r="BQ3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9" ht="16" customHeight="1" x14ac:dyDescent="0.2">
      <c r="A340" s="28">
        <v>2558</v>
      </c>
      <c r="B340" s="28" t="s">
        <v>543</v>
      </c>
      <c r="C340" s="28" t="s">
        <v>425</v>
      </c>
      <c r="D340" s="28" t="s">
        <v>27</v>
      </c>
      <c r="E340" s="28" t="s">
        <v>451</v>
      </c>
      <c r="F340" s="34" t="str">
        <f>IF(ISBLANK(Table2[[#This Row],[unique_id]]), "", PROPER(SUBSTITUTE(Table2[[#This Row],[unique_id]], "_", " ")))</f>
        <v>Home Cube Remote Battery</v>
      </c>
      <c r="G340" s="28" t="s">
        <v>433</v>
      </c>
      <c r="H340" s="28" t="s">
        <v>1125</v>
      </c>
      <c r="I340" s="28" t="s">
        <v>262</v>
      </c>
      <c r="M340" s="28" t="s">
        <v>127</v>
      </c>
      <c r="O340" s="29"/>
      <c r="P340" s="28"/>
      <c r="T340" s="35"/>
      <c r="U340" s="35"/>
      <c r="V340" s="35"/>
      <c r="W340" s="28"/>
      <c r="Y340" s="29"/>
      <c r="Z340" s="29"/>
      <c r="AA340" s="29"/>
      <c r="AB340" s="29"/>
      <c r="AJ340" s="29"/>
      <c r="AK340" s="29"/>
      <c r="AV340" s="28"/>
      <c r="AW340" s="38"/>
      <c r="AX340" s="29"/>
      <c r="AY3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0" s="28" t="str">
        <f>IF(ISBLANK(Table2[[#This Row],[device_model]]), "", Table2[[#This Row],[device_suggested_area]])</f>
        <v/>
      </c>
      <c r="BI340" s="29"/>
      <c r="BO340" s="28"/>
      <c r="BQ3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9" ht="16" customHeight="1" x14ac:dyDescent="0.2">
      <c r="A341" s="28">
        <v>2559</v>
      </c>
      <c r="B341" s="46" t="s">
        <v>26</v>
      </c>
      <c r="C341" s="46" t="s">
        <v>141</v>
      </c>
      <c r="D341" s="46" t="s">
        <v>27</v>
      </c>
      <c r="E341" s="46" t="s">
        <v>620</v>
      </c>
      <c r="F341" s="47" t="str">
        <f>IF(ISBLANK(Table2[[#This Row],[unique_id]]), "", PROPER(SUBSTITUTE(Table2[[#This Row],[unique_id]], "_", " ")))</f>
        <v>Template Weatherstation Console Battery Percent Int</v>
      </c>
      <c r="G341" s="46" t="s">
        <v>618</v>
      </c>
      <c r="H341" s="46" t="s">
        <v>1125</v>
      </c>
      <c r="I341" s="46" t="s">
        <v>262</v>
      </c>
      <c r="J341" s="46"/>
      <c r="K341" s="46"/>
      <c r="L341" s="46"/>
      <c r="M341" s="46" t="s">
        <v>127</v>
      </c>
      <c r="N341" s="46"/>
      <c r="O341" s="48"/>
      <c r="P341" s="46"/>
      <c r="Q341" s="46"/>
      <c r="R341" s="46"/>
      <c r="S341" s="46"/>
      <c r="T341" s="49"/>
      <c r="U341" s="49"/>
      <c r="V341" s="49"/>
      <c r="W341" s="46"/>
      <c r="X341" s="46"/>
      <c r="Y341" s="48"/>
      <c r="Z341" s="48"/>
      <c r="AA341" s="48"/>
      <c r="AB341" s="48"/>
      <c r="AC341" s="48"/>
      <c r="AD341" s="48"/>
      <c r="AE341" s="46" t="s">
        <v>31</v>
      </c>
      <c r="AF341" s="46" t="s">
        <v>32</v>
      </c>
      <c r="AG341" s="46" t="s">
        <v>619</v>
      </c>
      <c r="AH341" s="46"/>
      <c r="AI341" s="46"/>
      <c r="AJ341" s="48"/>
      <c r="AK341" s="48"/>
      <c r="AL341" s="46"/>
      <c r="AM341" s="46"/>
      <c r="AN341" s="46"/>
      <c r="AO341" s="46"/>
      <c r="AP341" s="46"/>
      <c r="AQ341" s="46"/>
      <c r="AR341" s="46"/>
      <c r="AS341" s="46"/>
      <c r="AT341" s="46"/>
      <c r="AU341" s="50"/>
      <c r="AV341" s="46"/>
      <c r="AW341" s="51"/>
      <c r="AX341" s="48"/>
      <c r="AY341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1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1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1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41" s="46"/>
      <c r="BD341" s="46" t="str">
        <f>IF(ISBLANK(Table2[[#This Row],[device_model]]), "", Table2[[#This Row],[device_suggested_area]])</f>
        <v/>
      </c>
      <c r="BE341" s="46"/>
      <c r="BF341" s="46"/>
      <c r="BG341" s="46"/>
      <c r="BH341" s="46"/>
      <c r="BI341" s="48"/>
      <c r="BJ341" s="46"/>
      <c r="BK341" s="46"/>
      <c r="BL341" s="46"/>
      <c r="BM341" s="46"/>
      <c r="BN341" s="46"/>
      <c r="BO341" s="46"/>
      <c r="BP341" s="46"/>
      <c r="BQ341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9" s="46" customFormat="1" ht="16" customHeight="1" x14ac:dyDescent="0.2">
      <c r="A342" s="28">
        <v>2560</v>
      </c>
      <c r="B342" s="46" t="s">
        <v>26</v>
      </c>
      <c r="C342" s="46" t="s">
        <v>39</v>
      </c>
      <c r="D342" s="46" t="s">
        <v>27</v>
      </c>
      <c r="E342" s="46" t="s">
        <v>160</v>
      </c>
      <c r="F342" s="47" t="str">
        <f>IF(ISBLANK(Table2[[#This Row],[unique_id]]), "", PROPER(SUBSTITUTE(Table2[[#This Row],[unique_id]], "_", " ")))</f>
        <v>Weatherstation Console Battery Voltage</v>
      </c>
      <c r="G342" s="46" t="s">
        <v>432</v>
      </c>
      <c r="H342" s="46" t="s">
        <v>1125</v>
      </c>
      <c r="I342" s="46" t="s">
        <v>262</v>
      </c>
      <c r="O342" s="48"/>
      <c r="T342" s="49"/>
      <c r="U342" s="49"/>
      <c r="V342" s="49"/>
      <c r="Y342" s="48" t="s">
        <v>1154</v>
      </c>
      <c r="Z342" s="48"/>
      <c r="AA342" s="48"/>
      <c r="AB342" s="48"/>
      <c r="AC342" s="48"/>
      <c r="AD342" s="48"/>
      <c r="AE342" s="46" t="s">
        <v>31</v>
      </c>
      <c r="AF342" s="46" t="s">
        <v>75</v>
      </c>
      <c r="AG342" s="46" t="s">
        <v>76</v>
      </c>
      <c r="AH342" s="46" t="s">
        <v>259</v>
      </c>
      <c r="AI342" s="46">
        <v>300</v>
      </c>
      <c r="AJ342" s="48" t="s">
        <v>34</v>
      </c>
      <c r="AK342" s="48"/>
      <c r="AL342" s="46" t="s">
        <v>77</v>
      </c>
      <c r="AM342" s="46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N342" s="46" t="str">
        <f>IF(ISBLANK(Table2[[#This Row],[index]]),  "", _xlfn.CONCAT(LOWER(Table2[[#This Row],[device_via_device]]), "/", Table2[[#This Row],[unique_id]]))</f>
        <v>weewx/weatherstation_console_battery_voltage</v>
      </c>
      <c r="AU342" s="50" t="s">
        <v>1123</v>
      </c>
      <c r="AV342" s="46">
        <v>1</v>
      </c>
      <c r="AW342" s="51"/>
      <c r="AY342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42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42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BB342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2" s="46" t="str">
        <f>IF(ISBLANK(Table2[[#This Row],[device_model]]), "", Table2[[#This Row],[device_suggested_area]])</f>
        <v>Wardrobe</v>
      </c>
      <c r="BE342" s="46" t="s">
        <v>1153</v>
      </c>
      <c r="BF342" s="46" t="s">
        <v>36</v>
      </c>
      <c r="BG342" s="46" t="s">
        <v>37</v>
      </c>
      <c r="BI342" s="46" t="s">
        <v>1010</v>
      </c>
      <c r="BJ342" s="46" t="s">
        <v>460</v>
      </c>
      <c r="BQ342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9" s="46" customFormat="1" ht="16" customHeight="1" x14ac:dyDescent="0.2">
      <c r="A343" s="28">
        <v>2561</v>
      </c>
      <c r="B343" s="28" t="s">
        <v>26</v>
      </c>
      <c r="C343" s="28" t="s">
        <v>39</v>
      </c>
      <c r="D343" s="28" t="s">
        <v>27</v>
      </c>
      <c r="E343" s="28" t="s">
        <v>1493</v>
      </c>
      <c r="F343" s="34" t="str">
        <f>IF(ISBLANK(Table2[[#This Row],[unique_id]]), "", PROPER(SUBSTITUTE(Table2[[#This Row],[unique_id]], "_", " ")))</f>
        <v>Weatherstation Coms Signal Quality</v>
      </c>
      <c r="G343" s="28" t="s">
        <v>1494</v>
      </c>
      <c r="H343" s="28" t="s">
        <v>1125</v>
      </c>
      <c r="I343" s="28" t="s">
        <v>262</v>
      </c>
      <c r="J343" s="28"/>
      <c r="K343" s="28"/>
      <c r="L343" s="28"/>
      <c r="M343" s="28"/>
      <c r="N343" s="28"/>
      <c r="O343" s="29"/>
      <c r="P343" s="28"/>
      <c r="Q343" s="28"/>
      <c r="R343" s="28"/>
      <c r="S343" s="28"/>
      <c r="T343" s="35"/>
      <c r="U343" s="35"/>
      <c r="V343" s="35"/>
      <c r="W343" s="28"/>
      <c r="X343" s="28"/>
      <c r="Y343" s="29"/>
      <c r="Z343" s="29"/>
      <c r="AA343" s="29"/>
      <c r="AB343" s="29"/>
      <c r="AC343" s="29"/>
      <c r="AD343" s="29"/>
      <c r="AE343" s="28"/>
      <c r="AF343" s="28"/>
      <c r="AG343" s="28"/>
      <c r="AH343" s="28"/>
      <c r="AI343" s="28">
        <v>300</v>
      </c>
      <c r="AJ343" s="29" t="s">
        <v>34</v>
      </c>
      <c r="AK343" s="29"/>
      <c r="AL343" s="28" t="s">
        <v>1495</v>
      </c>
      <c r="AM343" s="28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N343" s="28" t="str">
        <f>IF(ISBLANK(Table2[[#This Row],[index]]),  "", _xlfn.CONCAT(LOWER(Table2[[#This Row],[device_via_device]]), "/", Table2[[#This Row],[unique_id]]))</f>
        <v>weewx/weatherstation_coms_signal_quality</v>
      </c>
      <c r="AO343" s="28"/>
      <c r="AP343" s="28"/>
      <c r="AQ343" s="28"/>
      <c r="AR343" s="28"/>
      <c r="AS343" s="28"/>
      <c r="AT343" s="28"/>
      <c r="AU343" s="37" t="s">
        <v>1496</v>
      </c>
      <c r="AV343" s="28">
        <v>1</v>
      </c>
      <c r="AW343" s="30"/>
      <c r="AX343" s="28"/>
      <c r="AY3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BB3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43" s="28"/>
      <c r="BD343" s="28" t="str">
        <f>IF(ISBLANK(Table2[[#This Row],[device_model]]), "", Table2[[#This Row],[device_suggested_area]])</f>
        <v>Wardrobe</v>
      </c>
      <c r="BE343" s="28" t="s">
        <v>1153</v>
      </c>
      <c r="BF343" s="28" t="s">
        <v>36</v>
      </c>
      <c r="BG343" s="28" t="s">
        <v>37</v>
      </c>
      <c r="BH343" s="28"/>
      <c r="BI343" s="28" t="s">
        <v>1010</v>
      </c>
      <c r="BJ343" s="28" t="s">
        <v>460</v>
      </c>
      <c r="BK343" s="28"/>
      <c r="BL343" s="28"/>
      <c r="BM343" s="28"/>
      <c r="BN343" s="28"/>
      <c r="BO343" s="28"/>
      <c r="BP343" s="28"/>
      <c r="BQ3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9" ht="16" customHeight="1" x14ac:dyDescent="0.2">
      <c r="A344" s="28">
        <v>2562</v>
      </c>
      <c r="B344" s="28" t="s">
        <v>26</v>
      </c>
      <c r="C344" s="28" t="s">
        <v>119</v>
      </c>
      <c r="D344" s="28" t="s">
        <v>27</v>
      </c>
      <c r="E344" s="37" t="s">
        <v>1280</v>
      </c>
      <c r="F344" s="34" t="str">
        <f>IF(ISBLANK(Table2[[#This Row],[unique_id]]), "", PROPER(SUBSTITUTE(Table2[[#This Row],[unique_id]], "_", " ")))</f>
        <v>Office Pantry Battery</v>
      </c>
      <c r="G344" s="28" t="s">
        <v>426</v>
      </c>
      <c r="H344" s="28" t="s">
        <v>1125</v>
      </c>
      <c r="I344" s="28" t="s">
        <v>262</v>
      </c>
      <c r="M344" s="28" t="s">
        <v>127</v>
      </c>
      <c r="O344" s="29"/>
      <c r="P344" s="28"/>
      <c r="T344" s="35"/>
      <c r="U344" s="35"/>
      <c r="V344" s="35"/>
      <c r="W344" s="28"/>
      <c r="Y344" s="29"/>
      <c r="Z344" s="29"/>
      <c r="AA344" s="29"/>
      <c r="AB344" s="29"/>
      <c r="AJ344" s="29"/>
      <c r="AK344" s="29"/>
      <c r="AV344" s="28"/>
      <c r="AW344" s="38"/>
      <c r="AY3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3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3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4" s="28" t="str">
        <f>IF(ISBLANK(Table2[[#This Row],[device_model]]), "", Table2[[#This Row],[device_suggested_area]])</f>
        <v>Pantry</v>
      </c>
      <c r="BE344" s="28" t="s">
        <v>938</v>
      </c>
      <c r="BF344" s="28" t="s">
        <v>940</v>
      </c>
      <c r="BG344" s="28" t="s">
        <v>119</v>
      </c>
      <c r="BI344" s="28" t="s">
        <v>395</v>
      </c>
      <c r="BJ344" s="28" t="s">
        <v>200</v>
      </c>
      <c r="BO344" s="28"/>
      <c r="BQ3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9" ht="16" customHeight="1" x14ac:dyDescent="0.2">
      <c r="A345" s="28">
        <v>2563</v>
      </c>
      <c r="B345" s="28" t="s">
        <v>26</v>
      </c>
      <c r="C345" s="28" t="s">
        <v>119</v>
      </c>
      <c r="D345" s="28" t="s">
        <v>27</v>
      </c>
      <c r="E345" s="37" t="s">
        <v>1281</v>
      </c>
      <c r="F345" s="34" t="str">
        <f>IF(ISBLANK(Table2[[#This Row],[unique_id]]), "", PROPER(SUBSTITUTE(Table2[[#This Row],[unique_id]], "_", " ")))</f>
        <v>Office Lounge Battery</v>
      </c>
      <c r="G345" s="28" t="s">
        <v>427</v>
      </c>
      <c r="H345" s="28" t="s">
        <v>1125</v>
      </c>
      <c r="I345" s="28" t="s">
        <v>262</v>
      </c>
      <c r="M345" s="28" t="s">
        <v>127</v>
      </c>
      <c r="O345" s="29"/>
      <c r="P345" s="28"/>
      <c r="T345" s="35"/>
      <c r="U345" s="35"/>
      <c r="V345" s="35"/>
      <c r="W345" s="28"/>
      <c r="Y345" s="29"/>
      <c r="Z345" s="29"/>
      <c r="AA345" s="29"/>
      <c r="AB345" s="29"/>
      <c r="AJ345" s="29"/>
      <c r="AK345" s="29"/>
      <c r="AV345" s="28"/>
      <c r="AW345" s="38"/>
      <c r="AY3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3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3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5" s="28" t="str">
        <f>IF(ISBLANK(Table2[[#This Row],[device_model]]), "", Table2[[#This Row],[device_suggested_area]])</f>
        <v>Lounge</v>
      </c>
      <c r="BE345" s="28" t="s">
        <v>938</v>
      </c>
      <c r="BF345" s="28" t="s">
        <v>940</v>
      </c>
      <c r="BG345" s="28" t="s">
        <v>119</v>
      </c>
      <c r="BI345" s="28" t="s">
        <v>395</v>
      </c>
      <c r="BJ345" s="28" t="s">
        <v>183</v>
      </c>
      <c r="BO345" s="28"/>
      <c r="BQ3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9" ht="16" customHeight="1" x14ac:dyDescent="0.2">
      <c r="A346" s="28">
        <v>2564</v>
      </c>
      <c r="B346" s="28" t="s">
        <v>26</v>
      </c>
      <c r="C346" s="28" t="s">
        <v>119</v>
      </c>
      <c r="D346" s="28" t="s">
        <v>27</v>
      </c>
      <c r="E346" s="37" t="s">
        <v>1282</v>
      </c>
      <c r="F346" s="34" t="str">
        <f>IF(ISBLANK(Table2[[#This Row],[unique_id]]), "", PROPER(SUBSTITUTE(Table2[[#This Row],[unique_id]], "_", " ")))</f>
        <v>Office Dining Battery</v>
      </c>
      <c r="G346" s="28" t="s">
        <v>428</v>
      </c>
      <c r="H346" s="28" t="s">
        <v>1125</v>
      </c>
      <c r="I346" s="28" t="s">
        <v>262</v>
      </c>
      <c r="M346" s="28" t="s">
        <v>127</v>
      </c>
      <c r="O346" s="29"/>
      <c r="P346" s="28"/>
      <c r="T346" s="35"/>
      <c r="U346" s="35"/>
      <c r="V346" s="35"/>
      <c r="W346" s="28"/>
      <c r="Y346" s="29"/>
      <c r="Z346" s="29"/>
      <c r="AA346" s="29"/>
      <c r="AB346" s="29"/>
      <c r="AJ346" s="29"/>
      <c r="AK346" s="29"/>
      <c r="AV346" s="28"/>
      <c r="AW346" s="38"/>
      <c r="AY3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3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3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6" s="28" t="str">
        <f>IF(ISBLANK(Table2[[#This Row],[device_model]]), "", Table2[[#This Row],[device_suggested_area]])</f>
        <v>Dining</v>
      </c>
      <c r="BE346" s="28" t="s">
        <v>938</v>
      </c>
      <c r="BF346" s="28" t="s">
        <v>940</v>
      </c>
      <c r="BG346" s="28" t="s">
        <v>119</v>
      </c>
      <c r="BI346" s="28" t="s">
        <v>395</v>
      </c>
      <c r="BJ346" s="28" t="s">
        <v>182</v>
      </c>
      <c r="BO346" s="28"/>
      <c r="BQ3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9" ht="16" customHeight="1" x14ac:dyDescent="0.2">
      <c r="A347" s="28">
        <v>2565</v>
      </c>
      <c r="B347" s="28" t="s">
        <v>26</v>
      </c>
      <c r="C347" s="28" t="s">
        <v>119</v>
      </c>
      <c r="D347" s="28" t="s">
        <v>27</v>
      </c>
      <c r="E347" s="37" t="s">
        <v>1283</v>
      </c>
      <c r="F347" s="34" t="str">
        <f>IF(ISBLANK(Table2[[#This Row],[unique_id]]), "", PROPER(SUBSTITUTE(Table2[[#This Row],[unique_id]], "_", " ")))</f>
        <v>Office Basement Battery</v>
      </c>
      <c r="G347" s="28" t="s">
        <v>429</v>
      </c>
      <c r="H347" s="28" t="s">
        <v>1125</v>
      </c>
      <c r="I347" s="28" t="s">
        <v>262</v>
      </c>
      <c r="M347" s="28" t="s">
        <v>127</v>
      </c>
      <c r="O347" s="29"/>
      <c r="P347" s="28"/>
      <c r="T347" s="35"/>
      <c r="U347" s="35"/>
      <c r="V347" s="35"/>
      <c r="W347" s="28"/>
      <c r="Y347" s="29"/>
      <c r="Z347" s="29"/>
      <c r="AA347" s="29"/>
      <c r="AB347" s="29"/>
      <c r="AJ347" s="29"/>
      <c r="AK347" s="29"/>
      <c r="AV347" s="28"/>
      <c r="AW347" s="38"/>
      <c r="AY3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3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3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7" s="28" t="str">
        <f>IF(ISBLANK(Table2[[#This Row],[device_model]]), "", Table2[[#This Row],[device_suggested_area]])</f>
        <v>Basement</v>
      </c>
      <c r="BE347" s="28" t="s">
        <v>938</v>
      </c>
      <c r="BF347" s="28" t="s">
        <v>940</v>
      </c>
      <c r="BG347" s="28" t="s">
        <v>119</v>
      </c>
      <c r="BI347" s="28" t="s">
        <v>395</v>
      </c>
      <c r="BJ347" s="28" t="s">
        <v>199</v>
      </c>
      <c r="BO347" s="28"/>
      <c r="BQ3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9" ht="16" customHeight="1" x14ac:dyDescent="0.2">
      <c r="A348" s="28">
        <v>2566</v>
      </c>
      <c r="B348" s="28" t="s">
        <v>26</v>
      </c>
      <c r="C348" s="28" t="s">
        <v>171</v>
      </c>
      <c r="D348" s="28" t="s">
        <v>27</v>
      </c>
      <c r="E348" s="28" t="s">
        <v>684</v>
      </c>
      <c r="F348" s="34" t="str">
        <f>IF(ISBLANK(Table2[[#This Row],[unique_id]]), "", PROPER(SUBSTITUTE(Table2[[#This Row],[unique_id]], "_", " ")))</f>
        <v>Parents Move Battery</v>
      </c>
      <c r="G348" s="28" t="s">
        <v>430</v>
      </c>
      <c r="H348" s="28" t="s">
        <v>1125</v>
      </c>
      <c r="I348" s="28" t="s">
        <v>262</v>
      </c>
      <c r="M348" s="28" t="s">
        <v>127</v>
      </c>
      <c r="O348" s="29"/>
      <c r="P348" s="28"/>
      <c r="T348" s="35"/>
      <c r="U348" s="35"/>
      <c r="V348" s="35"/>
      <c r="W348" s="28"/>
      <c r="Y348" s="29"/>
      <c r="Z348" s="29"/>
      <c r="AA348" s="29"/>
      <c r="AB348" s="29"/>
      <c r="AJ348" s="29"/>
      <c r="AK348" s="29"/>
      <c r="AV348" s="28"/>
      <c r="AW348" s="38"/>
      <c r="AX348" s="29"/>
      <c r="AY3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8" s="28" t="str">
        <f>IF(ISBLANK(Table2[[#This Row],[device_model]]), "", Table2[[#This Row],[device_suggested_area]])</f>
        <v/>
      </c>
      <c r="BI348" s="29"/>
      <c r="BO348" s="28"/>
      <c r="BQ3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9" ht="16" customHeight="1" x14ac:dyDescent="0.2">
      <c r="A349" s="28">
        <v>2567</v>
      </c>
      <c r="B349" s="28" t="s">
        <v>26</v>
      </c>
      <c r="C349" s="28" t="s">
        <v>171</v>
      </c>
      <c r="D349" s="28" t="s">
        <v>27</v>
      </c>
      <c r="E349" s="28" t="s">
        <v>683</v>
      </c>
      <c r="F349" s="34" t="str">
        <f>IF(ISBLANK(Table2[[#This Row],[unique_id]]), "", PROPER(SUBSTITUTE(Table2[[#This Row],[unique_id]], "_", " ")))</f>
        <v>Kitchen Move Battery</v>
      </c>
      <c r="G349" s="28" t="s">
        <v>431</v>
      </c>
      <c r="H349" s="28" t="s">
        <v>1125</v>
      </c>
      <c r="I349" s="28" t="s">
        <v>262</v>
      </c>
      <c r="M349" s="28" t="s">
        <v>127</v>
      </c>
      <c r="O349" s="29"/>
      <c r="P349" s="28"/>
      <c r="T349" s="35"/>
      <c r="U349" s="35"/>
      <c r="V349" s="35"/>
      <c r="W349" s="28"/>
      <c r="Y349" s="29"/>
      <c r="Z349" s="29"/>
      <c r="AA349" s="29"/>
      <c r="AB349" s="29"/>
      <c r="AJ349" s="29"/>
      <c r="AK349" s="29"/>
      <c r="AV349" s="28"/>
      <c r="AW349" s="38"/>
      <c r="AX349" s="29"/>
      <c r="AY3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9" s="28" t="str">
        <f>IF(ISBLANK(Table2[[#This Row],[device_model]]), "", Table2[[#This Row],[device_suggested_area]])</f>
        <v/>
      </c>
      <c r="BI349" s="29"/>
      <c r="BO349" s="28"/>
      <c r="BQ3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9" ht="16" customHeight="1" x14ac:dyDescent="0.2">
      <c r="A350" s="28">
        <v>2568</v>
      </c>
      <c r="B350" s="28" t="s">
        <v>26</v>
      </c>
      <c r="C350" s="28" t="s">
        <v>409</v>
      </c>
      <c r="D350" s="28" t="s">
        <v>304</v>
      </c>
      <c r="E350" s="28" t="s">
        <v>303</v>
      </c>
      <c r="F350" s="34" t="str">
        <f>IF(ISBLANK(Table2[[#This Row],[unique_id]]), "", PROPER(SUBSTITUTE(Table2[[#This Row],[unique_id]], "_", " ")))</f>
        <v>Column Break</v>
      </c>
      <c r="G350" s="28" t="s">
        <v>300</v>
      </c>
      <c r="H350" s="28" t="s">
        <v>1125</v>
      </c>
      <c r="I350" s="28" t="s">
        <v>262</v>
      </c>
      <c r="M350" s="28" t="s">
        <v>301</v>
      </c>
      <c r="N350" s="28" t="s">
        <v>302</v>
      </c>
      <c r="O350" s="29"/>
      <c r="P350" s="28"/>
      <c r="T350" s="35"/>
      <c r="U350" s="35"/>
      <c r="V350" s="35"/>
      <c r="W350" s="28"/>
      <c r="Y350" s="29"/>
      <c r="Z350" s="29"/>
      <c r="AA350" s="29"/>
      <c r="AB350" s="29"/>
      <c r="AJ350" s="29"/>
      <c r="AK350" s="29"/>
      <c r="AU350" s="37"/>
      <c r="AV350" s="28"/>
      <c r="AW350" s="30"/>
      <c r="AX350" s="29"/>
      <c r="AY3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0" s="28" t="str">
        <f>IF(ISBLANK(Table2[[#This Row],[device_model]]), "", Table2[[#This Row],[device_suggested_area]])</f>
        <v/>
      </c>
      <c r="BI350" s="29"/>
      <c r="BO350" s="28"/>
      <c r="BQ3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9" ht="16" customHeight="1" x14ac:dyDescent="0.2">
      <c r="A351" s="28">
        <v>2569</v>
      </c>
      <c r="B351" s="28" t="s">
        <v>26</v>
      </c>
      <c r="C351" s="28" t="s">
        <v>725</v>
      </c>
      <c r="D351" s="28" t="s">
        <v>27</v>
      </c>
      <c r="E351" s="28" t="s">
        <v>776</v>
      </c>
      <c r="F351" s="34" t="str">
        <f>IF(ISBLANK(Table2[[#This Row],[unique_id]]), "", PROPER(SUBSTITUTE(Table2[[#This Row],[unique_id]], "_", " ")))</f>
        <v>All Standby</v>
      </c>
      <c r="G351" s="28" t="s">
        <v>777</v>
      </c>
      <c r="H351" s="28" t="s">
        <v>491</v>
      </c>
      <c r="I351" s="28" t="s">
        <v>262</v>
      </c>
      <c r="O351" s="29" t="s">
        <v>1553</v>
      </c>
      <c r="P351" s="28"/>
      <c r="R351" s="39"/>
      <c r="T351" s="35" t="s">
        <v>775</v>
      </c>
      <c r="U351" s="35"/>
      <c r="V351" s="35"/>
      <c r="W351" s="28"/>
      <c r="Y351" s="29"/>
      <c r="Z351" s="29"/>
      <c r="AA351" s="29"/>
      <c r="AB351" s="29"/>
      <c r="AJ351" s="29"/>
      <c r="AK351" s="29"/>
      <c r="AV351" s="28"/>
      <c r="AW351" s="38"/>
      <c r="AX351" s="29"/>
      <c r="AY3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1" s="28" t="str">
        <f>IF(ISBLANK(Table2[[#This Row],[device_model]]), "", Table2[[#This Row],[device_suggested_area]])</f>
        <v/>
      </c>
      <c r="BI351" s="29"/>
      <c r="BO351" s="28"/>
      <c r="BQ3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9" ht="16" customHeight="1" x14ac:dyDescent="0.2">
      <c r="A352" s="28">
        <v>2570</v>
      </c>
      <c r="B352" s="28" t="s">
        <v>543</v>
      </c>
      <c r="C352" s="28" t="s">
        <v>658</v>
      </c>
      <c r="D352" s="28" t="s">
        <v>125</v>
      </c>
      <c r="E352" s="28" t="s">
        <v>1404</v>
      </c>
      <c r="F352" s="34" t="str">
        <f>IF(ISBLANK(Table2[[#This Row],[unique_id]]), "", PROPER(SUBSTITUTE(Table2[[#This Row],[unique_id]], "_", " ")))</f>
        <v>Rack Printer Plug</v>
      </c>
      <c r="G352" s="28" t="s">
        <v>1419</v>
      </c>
      <c r="H352" s="28" t="s">
        <v>491</v>
      </c>
      <c r="I352" s="28" t="s">
        <v>262</v>
      </c>
      <c r="M352" s="28" t="s">
        <v>244</v>
      </c>
      <c r="O352" s="29" t="s">
        <v>736</v>
      </c>
      <c r="P352" s="28"/>
      <c r="T352" s="35" t="s">
        <v>918</v>
      </c>
      <c r="U352" s="35"/>
      <c r="V352" s="35"/>
      <c r="W352" s="28"/>
      <c r="Y352" s="29"/>
      <c r="Z352" s="29"/>
      <c r="AA352" s="29"/>
      <c r="AB352" s="29"/>
      <c r="AD352" s="29" t="s">
        <v>1052</v>
      </c>
      <c r="AH352" s="28" t="s">
        <v>1405</v>
      </c>
      <c r="AI352" s="28">
        <v>10</v>
      </c>
      <c r="AJ352" s="29" t="s">
        <v>34</v>
      </c>
      <c r="AK352" s="29" t="s">
        <v>844</v>
      </c>
      <c r="AL352" s="28" t="s">
        <v>1404</v>
      </c>
      <c r="AM352" s="28" t="str">
        <f>_xlfn.CONCAT("homeassistant/", Table2[[#This Row],[entity_namespace]], "/tasmota/",Table2[[#This Row],[unique_id]], "/config")</f>
        <v>homeassistant/switch/tasmota/rack_printer_plug/config</v>
      </c>
      <c r="AN352" s="28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O352" s="28" t="str">
        <f>_xlfn.CONCAT("tasmota/device/",Table2[[#This Row],[unique_id]], "/cmnd/POWER")</f>
        <v>tasmota/device/rack_printer_plug/cmnd/POWER</v>
      </c>
      <c r="AP352" s="28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Q352" s="28" t="s">
        <v>863</v>
      </c>
      <c r="AR352" s="28" t="s">
        <v>864</v>
      </c>
      <c r="AS352" s="28" t="s">
        <v>853</v>
      </c>
      <c r="AT352" s="28" t="s">
        <v>854</v>
      </c>
      <c r="AU352" s="28" t="s">
        <v>917</v>
      </c>
      <c r="AV352" s="28">
        <v>1</v>
      </c>
      <c r="AW352" s="32" t="str">
        <f>HYPERLINK(_xlfn.CONCAT("http://", Table2[[#This Row],[connection_ip]], "/?"))</f>
        <v>http://10.0.4.111/?</v>
      </c>
      <c r="AY3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Z3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BA3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BB3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2" s="28" t="str">
        <f>IF(ISBLANK(Table2[[#This Row],[device_model]]), "", Table2[[#This Row],[device_suggested_area]])</f>
        <v>Rack</v>
      </c>
      <c r="BE352" s="28" t="s">
        <v>353</v>
      </c>
      <c r="BF352" s="37" t="s">
        <v>715</v>
      </c>
      <c r="BG352" s="28" t="s">
        <v>1053</v>
      </c>
      <c r="BI352" s="28" t="s">
        <v>835</v>
      </c>
      <c r="BJ352" s="28" t="s">
        <v>28</v>
      </c>
      <c r="BN352" s="28" t="s">
        <v>1186</v>
      </c>
      <c r="BO352" s="28" t="s">
        <v>1424</v>
      </c>
      <c r="BP352" s="28" t="s">
        <v>1420</v>
      </c>
      <c r="BQ3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9" ht="16" customHeight="1" x14ac:dyDescent="0.2">
      <c r="A353" s="28">
        <v>2571</v>
      </c>
      <c r="B353" s="28" t="s">
        <v>26</v>
      </c>
      <c r="C353" s="28" t="s">
        <v>658</v>
      </c>
      <c r="D353" s="28" t="s">
        <v>125</v>
      </c>
      <c r="E353" s="28" t="s">
        <v>1414</v>
      </c>
      <c r="F353" s="34" t="str">
        <f>IF(ISBLANK(Table2[[#This Row],[unique_id]]), "", PROPER(SUBSTITUTE(Table2[[#This Row],[unique_id]], "_", " ")))</f>
        <v>Rack Screen Plug</v>
      </c>
      <c r="G353" s="28" t="s">
        <v>1407</v>
      </c>
      <c r="H353" s="28" t="s">
        <v>491</v>
      </c>
      <c r="I353" s="28" t="s">
        <v>262</v>
      </c>
      <c r="M353" s="28" t="s">
        <v>244</v>
      </c>
      <c r="O353" s="29" t="s">
        <v>736</v>
      </c>
      <c r="P353" s="28"/>
      <c r="T353" s="35" t="s">
        <v>918</v>
      </c>
      <c r="U353" s="35"/>
      <c r="V353" s="35"/>
      <c r="W353" s="28"/>
      <c r="Y353" s="29"/>
      <c r="Z353" s="29"/>
      <c r="AA353" s="29"/>
      <c r="AB353" s="29"/>
      <c r="AD353" s="29" t="s">
        <v>1504</v>
      </c>
      <c r="AH353" s="28" t="s">
        <v>1408</v>
      </c>
      <c r="AI353" s="28">
        <v>10</v>
      </c>
      <c r="AJ353" s="29" t="s">
        <v>34</v>
      </c>
      <c r="AK353" s="29" t="s">
        <v>844</v>
      </c>
      <c r="AL353" s="28" t="s">
        <v>1414</v>
      </c>
      <c r="AM353" s="28" t="str">
        <f>_xlfn.CONCAT("homeassistant/", Table2[[#This Row],[entity_namespace]], "/tasmota/",Table2[[#This Row],[unique_id]], "/config")</f>
        <v>homeassistant/switch/tasmota/rack_screen_plug/config</v>
      </c>
      <c r="AN353" s="28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O353" s="28" t="str">
        <f>_xlfn.CONCAT("tasmota/device/",Table2[[#This Row],[unique_id]], "/cmnd/POWER")</f>
        <v>tasmota/device/rack_screen_plug/cmnd/POWER</v>
      </c>
      <c r="AP353" s="28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Q353" s="28" t="s">
        <v>863</v>
      </c>
      <c r="AR353" s="28" t="s">
        <v>864</v>
      </c>
      <c r="AS353" s="28" t="s">
        <v>853</v>
      </c>
      <c r="AT353" s="28" t="s">
        <v>854</v>
      </c>
      <c r="AU353" s="28" t="s">
        <v>917</v>
      </c>
      <c r="AV353" s="28">
        <v>1</v>
      </c>
      <c r="AW353" s="32" t="str">
        <f>HYPERLINK(_xlfn.CONCAT("http://", Table2[[#This Row],[connection_ip]], "/?"))</f>
        <v>http://10.0.4.109/?</v>
      </c>
      <c r="AY3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Z3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BA3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BB3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3" s="28" t="str">
        <f>IF(ISBLANK(Table2[[#This Row],[device_model]]), "", Table2[[#This Row],[device_suggested_area]])</f>
        <v>Rack</v>
      </c>
      <c r="BE353" s="28" t="s">
        <v>1411</v>
      </c>
      <c r="BF353" s="37" t="s">
        <v>715</v>
      </c>
      <c r="BG353" s="28" t="s">
        <v>1053</v>
      </c>
      <c r="BI353" s="28" t="s">
        <v>835</v>
      </c>
      <c r="BJ353" s="28" t="s">
        <v>28</v>
      </c>
      <c r="BN353" s="28" t="s">
        <v>1186</v>
      </c>
      <c r="BO353" s="28" t="s">
        <v>1416</v>
      </c>
      <c r="BP353" s="28" t="s">
        <v>1412</v>
      </c>
      <c r="BQ3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9" ht="16" customHeight="1" x14ac:dyDescent="0.2">
      <c r="A354" s="28">
        <v>2572</v>
      </c>
      <c r="B354" s="28" t="s">
        <v>26</v>
      </c>
      <c r="C354" s="28" t="s">
        <v>658</v>
      </c>
      <c r="D354" s="28" t="s">
        <v>125</v>
      </c>
      <c r="E354" s="28" t="s">
        <v>1388</v>
      </c>
      <c r="F354" s="34" t="str">
        <f>IF(ISBLANK(Table2[[#This Row],[unique_id]]), "", PROPER(SUBSTITUTE(Table2[[#This Row],[unique_id]], "_", " ")))</f>
        <v>Rack Backup Plug</v>
      </c>
      <c r="G354" s="28" t="s">
        <v>1406</v>
      </c>
      <c r="H354" s="28" t="s">
        <v>491</v>
      </c>
      <c r="I354" s="28" t="s">
        <v>262</v>
      </c>
      <c r="M354" s="28" t="s">
        <v>244</v>
      </c>
      <c r="O354" s="29" t="s">
        <v>736</v>
      </c>
      <c r="P354" s="28"/>
      <c r="T354" s="35" t="s">
        <v>918</v>
      </c>
      <c r="U354" s="35"/>
      <c r="V354" s="35"/>
      <c r="W354" s="28"/>
      <c r="Y354" s="29"/>
      <c r="Z354" s="29"/>
      <c r="AA354" s="29"/>
      <c r="AB354" s="29"/>
      <c r="AD354" s="29" t="s">
        <v>1504</v>
      </c>
      <c r="AH354" s="28" t="s">
        <v>1409</v>
      </c>
      <c r="AI354" s="28">
        <v>10</v>
      </c>
      <c r="AJ354" s="29" t="s">
        <v>34</v>
      </c>
      <c r="AK354" s="29" t="s">
        <v>844</v>
      </c>
      <c r="AL354" s="28" t="s">
        <v>1388</v>
      </c>
      <c r="AM354" s="28" t="str">
        <f>_xlfn.CONCAT("homeassistant/", Table2[[#This Row],[entity_namespace]], "/tasmota/",Table2[[#This Row],[unique_id]], "/config")</f>
        <v>homeassistant/switch/tasmota/rack_backup_plug/config</v>
      </c>
      <c r="AN354" s="28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O354" s="28" t="str">
        <f>_xlfn.CONCAT("tasmota/device/",Table2[[#This Row],[unique_id]], "/cmnd/POWER")</f>
        <v>tasmota/device/rack_backup_plug/cmnd/POWER</v>
      </c>
      <c r="AP354" s="28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Q354" s="28" t="s">
        <v>863</v>
      </c>
      <c r="AR354" s="28" t="s">
        <v>864</v>
      </c>
      <c r="AS354" s="28" t="s">
        <v>853</v>
      </c>
      <c r="AT354" s="28" t="s">
        <v>854</v>
      </c>
      <c r="AU354" s="28" t="s">
        <v>917</v>
      </c>
      <c r="AV354" s="28">
        <v>1</v>
      </c>
      <c r="AW354" s="32" t="str">
        <f>HYPERLINK(_xlfn.CONCAT("http://", Table2[[#This Row],[connection_ip]], "/?"))</f>
        <v>http://10.0.4.110/?</v>
      </c>
      <c r="AY3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Z3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BA3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BB3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4" s="28" t="str">
        <f>IF(ISBLANK(Table2[[#This Row],[device_model]]), "", Table2[[#This Row],[device_suggested_area]])</f>
        <v>Rack</v>
      </c>
      <c r="BE354" s="28" t="s">
        <v>1410</v>
      </c>
      <c r="BF354" s="37" t="s">
        <v>715</v>
      </c>
      <c r="BG354" s="28" t="s">
        <v>1053</v>
      </c>
      <c r="BI354" s="28" t="s">
        <v>835</v>
      </c>
      <c r="BJ354" s="28" t="s">
        <v>28</v>
      </c>
      <c r="BN354" s="28" t="s">
        <v>1186</v>
      </c>
      <c r="BO354" s="28" t="s">
        <v>1415</v>
      </c>
      <c r="BP354" s="28" t="s">
        <v>1413</v>
      </c>
      <c r="BQ3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9" ht="16" customHeight="1" x14ac:dyDescent="0.2">
      <c r="A355" s="28">
        <v>2573</v>
      </c>
      <c r="B355" s="28" t="s">
        <v>26</v>
      </c>
      <c r="C355" s="28" t="s">
        <v>658</v>
      </c>
      <c r="D355" s="28" t="s">
        <v>125</v>
      </c>
      <c r="E355" s="28" t="s">
        <v>836</v>
      </c>
      <c r="F355" s="34" t="str">
        <f>IF(ISBLANK(Table2[[#This Row],[unique_id]]), "", PROPER(SUBSTITUTE(Table2[[#This Row],[unique_id]], "_", " ")))</f>
        <v>Rack Fans Plug</v>
      </c>
      <c r="G355" s="28" t="s">
        <v>552</v>
      </c>
      <c r="H355" s="28" t="s">
        <v>491</v>
      </c>
      <c r="I355" s="28" t="s">
        <v>262</v>
      </c>
      <c r="M355" s="28" t="s">
        <v>244</v>
      </c>
      <c r="O355" s="29" t="s">
        <v>736</v>
      </c>
      <c r="P355" s="28"/>
      <c r="T355" s="35" t="s">
        <v>918</v>
      </c>
      <c r="U355" s="35"/>
      <c r="V355" s="35"/>
      <c r="W355" s="28"/>
      <c r="Y355" s="29"/>
      <c r="Z355" s="29"/>
      <c r="AA355" s="29"/>
      <c r="AB355" s="29"/>
      <c r="AD355" s="29" t="s">
        <v>1504</v>
      </c>
      <c r="AH355" s="28" t="s">
        <v>1487</v>
      </c>
      <c r="AI355" s="28">
        <v>10</v>
      </c>
      <c r="AJ355" s="29" t="s">
        <v>34</v>
      </c>
      <c r="AK355" s="29" t="s">
        <v>844</v>
      </c>
      <c r="AL355" s="28" t="s">
        <v>836</v>
      </c>
      <c r="AM355" s="28" t="str">
        <f>_xlfn.CONCAT("homeassistant/", Table2[[#This Row],[entity_namespace]], "/tasmota/",Table2[[#This Row],[unique_id]], "/config")</f>
        <v>homeassistant/switch/tasmota/rack_fans_plug/config</v>
      </c>
      <c r="AN355" s="28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O355" s="28" t="str">
        <f>_xlfn.CONCAT("tasmota/device/",Table2[[#This Row],[unique_id]], "/cmnd/POWER")</f>
        <v>tasmota/device/rack_fans_plug/cmnd/POWER</v>
      </c>
      <c r="AP355" s="28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Q355" s="28" t="s">
        <v>863</v>
      </c>
      <c r="AR355" s="28" t="s">
        <v>864</v>
      </c>
      <c r="AS355" s="28" t="s">
        <v>853</v>
      </c>
      <c r="AT355" s="28" t="s">
        <v>854</v>
      </c>
      <c r="AU355" s="28" t="s">
        <v>917</v>
      </c>
      <c r="AV355" s="28">
        <v>1</v>
      </c>
      <c r="AW355" s="32" t="str">
        <f>HYPERLINK(_xlfn.CONCAT("http://", Table2[[#This Row],[connection_ip]], "/?"))</f>
        <v>http://10.0.4.101/?</v>
      </c>
      <c r="AY3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Z3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BA3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BB3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5" s="28" t="str">
        <f>IF(ISBLANK(Table2[[#This Row],[device_model]]), "", Table2[[#This Row],[device_suggested_area]])</f>
        <v>Rack</v>
      </c>
      <c r="BE355" s="28" t="s">
        <v>122</v>
      </c>
      <c r="BF355" s="37" t="s">
        <v>715</v>
      </c>
      <c r="BG355" s="28" t="s">
        <v>1053</v>
      </c>
      <c r="BI355" s="28" t="s">
        <v>835</v>
      </c>
      <c r="BJ355" s="28" t="s">
        <v>28</v>
      </c>
      <c r="BN355" s="28" t="s">
        <v>1186</v>
      </c>
      <c r="BO355" s="28" t="s">
        <v>553</v>
      </c>
      <c r="BP355" s="28" t="s">
        <v>1240</v>
      </c>
      <c r="BQ3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9" ht="16" customHeight="1" x14ac:dyDescent="0.2">
      <c r="A356" s="28">
        <v>2574</v>
      </c>
      <c r="B356" s="28" t="s">
        <v>26</v>
      </c>
      <c r="C356" s="28" t="s">
        <v>756</v>
      </c>
      <c r="D356" s="28" t="s">
        <v>139</v>
      </c>
      <c r="E356" s="35" t="s">
        <v>1017</v>
      </c>
      <c r="F356" s="34" t="str">
        <f>IF(ISBLANK(Table2[[#This Row],[unique_id]]), "", PROPER(SUBSTITUTE(Table2[[#This Row],[unique_id]], "_", " ")))</f>
        <v>Template Lounge Tv Plug Proxy</v>
      </c>
      <c r="G356" s="28" t="s">
        <v>169</v>
      </c>
      <c r="H356" s="28" t="s">
        <v>491</v>
      </c>
      <c r="I356" s="28" t="s">
        <v>262</v>
      </c>
      <c r="O356" s="29" t="s">
        <v>736</v>
      </c>
      <c r="P356" s="28" t="s">
        <v>155</v>
      </c>
      <c r="Q356" s="28" t="s">
        <v>708</v>
      </c>
      <c r="R356" s="39" t="s">
        <v>693</v>
      </c>
      <c r="S356" s="28" t="str">
        <f>Table2[[#This Row],[friendly_name]]</f>
        <v>Lounge TV</v>
      </c>
      <c r="T356" s="35" t="s">
        <v>1014</v>
      </c>
      <c r="U356" s="35"/>
      <c r="V356" s="35"/>
      <c r="W356" s="28"/>
      <c r="Y356" s="29"/>
      <c r="Z356" s="29"/>
      <c r="AA356" s="29"/>
      <c r="AB356" s="29"/>
      <c r="AJ356" s="29"/>
      <c r="AK356" s="29"/>
      <c r="AU356" s="37"/>
      <c r="AV356" s="28"/>
      <c r="AW356" s="30"/>
      <c r="AX356" s="28" t="s">
        <v>125</v>
      </c>
      <c r="AY3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Z3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3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6" s="28" t="str">
        <f>IF(ISBLANK(Table2[[#This Row],[device_model]]), "", Table2[[#This Row],[device_suggested_area]])</f>
        <v>Lounge</v>
      </c>
      <c r="BE356" s="28" t="s">
        <v>927</v>
      </c>
      <c r="BF356" s="28" t="s">
        <v>330</v>
      </c>
      <c r="BG356" s="28" t="s">
        <v>221</v>
      </c>
      <c r="BI356" s="28" t="s">
        <v>333</v>
      </c>
      <c r="BJ356" s="28" t="s">
        <v>183</v>
      </c>
      <c r="BO356" s="28"/>
      <c r="BQ3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9" ht="16" customHeight="1" x14ac:dyDescent="0.2">
      <c r="A357" s="28">
        <v>2575</v>
      </c>
      <c r="B357" s="28" t="s">
        <v>26</v>
      </c>
      <c r="C357" s="28" t="s">
        <v>221</v>
      </c>
      <c r="D357" s="28" t="s">
        <v>125</v>
      </c>
      <c r="E357" s="28" t="s">
        <v>1016</v>
      </c>
      <c r="F357" s="34" t="str">
        <f>IF(ISBLANK(Table2[[#This Row],[unique_id]]), "", PROPER(SUBSTITUTE(Table2[[#This Row],[unique_id]], "_", " ")))</f>
        <v>Lounge Tv Plug</v>
      </c>
      <c r="G357" s="28" t="s">
        <v>169</v>
      </c>
      <c r="H357" s="28" t="s">
        <v>491</v>
      </c>
      <c r="I357" s="28" t="s">
        <v>262</v>
      </c>
      <c r="M357" s="28" t="s">
        <v>244</v>
      </c>
      <c r="O357" s="29" t="s">
        <v>736</v>
      </c>
      <c r="P357" s="28" t="s">
        <v>155</v>
      </c>
      <c r="Q357" s="28" t="s">
        <v>708</v>
      </c>
      <c r="R357" s="39" t="s">
        <v>693</v>
      </c>
      <c r="S357" s="28" t="str">
        <f>Table2[[#This Row],[friendly_name]]</f>
        <v>Lounge TV</v>
      </c>
      <c r="T357" s="35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5"/>
      <c r="V357" s="35"/>
      <c r="W357" s="28"/>
      <c r="Y357" s="29"/>
      <c r="Z357" s="29"/>
      <c r="AA357" s="29"/>
      <c r="AB357" s="29"/>
      <c r="AH357" s="28" t="s">
        <v>237</v>
      </c>
      <c r="AJ357" s="29"/>
      <c r="AK357" s="29"/>
      <c r="AV357" s="28"/>
      <c r="AW357" s="38"/>
      <c r="AY3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Z3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3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7" s="28" t="str">
        <f>IF(ISBLANK(Table2[[#This Row],[device_model]]), "", Table2[[#This Row],[device_suggested_area]])</f>
        <v>Lounge</v>
      </c>
      <c r="BE357" s="28" t="s">
        <v>927</v>
      </c>
      <c r="BF357" s="28" t="s">
        <v>330</v>
      </c>
      <c r="BG357" s="28" t="s">
        <v>221</v>
      </c>
      <c r="BI357" s="28" t="s">
        <v>333</v>
      </c>
      <c r="BJ357" s="28" t="s">
        <v>183</v>
      </c>
      <c r="BM357" s="28" t="s">
        <v>924</v>
      </c>
      <c r="BN357" s="28" t="s">
        <v>1186</v>
      </c>
      <c r="BO357" s="28" t="s">
        <v>320</v>
      </c>
      <c r="BP357" s="28" t="s">
        <v>1220</v>
      </c>
      <c r="BQ3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9" ht="16" customHeight="1" x14ac:dyDescent="0.2">
      <c r="A358" s="28">
        <v>2576</v>
      </c>
      <c r="B358" s="52" t="s">
        <v>543</v>
      </c>
      <c r="C358" s="52" t="s">
        <v>756</v>
      </c>
      <c r="D358" s="52" t="s">
        <v>139</v>
      </c>
      <c r="E358" s="53" t="s">
        <v>1322</v>
      </c>
      <c r="F358" s="54" t="str">
        <f>IF(ISBLANK(Table2[[#This Row],[unique_id]]), "", PROPER(SUBSTITUTE(Table2[[#This Row],[unique_id]], "_", " ")))</f>
        <v>Broken Template Lounge Sub Plug Proxy</v>
      </c>
      <c r="G358" s="52" t="s">
        <v>740</v>
      </c>
      <c r="H358" s="52" t="s">
        <v>491</v>
      </c>
      <c r="I358" s="52" t="s">
        <v>262</v>
      </c>
      <c r="J358" s="52"/>
      <c r="K358" s="52"/>
      <c r="L358" s="52"/>
      <c r="M358" s="52"/>
      <c r="N358" s="52"/>
      <c r="O358" s="55" t="s">
        <v>736</v>
      </c>
      <c r="P358" s="52" t="s">
        <v>155</v>
      </c>
      <c r="Q358" s="52" t="s">
        <v>708</v>
      </c>
      <c r="R358" s="58" t="s">
        <v>693</v>
      </c>
      <c r="S358" s="52" t="str">
        <f>Table2[[#This Row],[friendly_name]]</f>
        <v>Lounge Sub</v>
      </c>
      <c r="T358" s="53" t="s">
        <v>1014</v>
      </c>
      <c r="U358" s="53"/>
      <c r="V358" s="53"/>
      <c r="W358" s="52"/>
      <c r="X358" s="52"/>
      <c r="Y358" s="55"/>
      <c r="Z358" s="55"/>
      <c r="AA358" s="55"/>
      <c r="AB358" s="55"/>
      <c r="AC358" s="55"/>
      <c r="AD358" s="55"/>
      <c r="AE358" s="52"/>
      <c r="AF358" s="52"/>
      <c r="AG358" s="52"/>
      <c r="AH358" s="52"/>
      <c r="AI358" s="52"/>
      <c r="AJ358" s="55"/>
      <c r="AK358" s="55"/>
      <c r="AL358" s="52"/>
      <c r="AM358" s="52"/>
      <c r="AN358" s="52"/>
      <c r="AO358" s="52"/>
      <c r="AP358" s="52"/>
      <c r="AQ358" s="52"/>
      <c r="AR358" s="52"/>
      <c r="AS358" s="52"/>
      <c r="AT358" s="52"/>
      <c r="AU358" s="57"/>
      <c r="AV358" s="52"/>
      <c r="AW358" s="59"/>
      <c r="AX358" s="52" t="s">
        <v>125</v>
      </c>
      <c r="AY35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Z35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A35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58" s="52"/>
      <c r="BD358" s="52" t="str">
        <f>IF(ISBLANK(Table2[[#This Row],[device_model]]), "", Table2[[#This Row],[device_suggested_area]])</f>
        <v>Lounge</v>
      </c>
      <c r="BE358" s="52" t="s">
        <v>967</v>
      </c>
      <c r="BF358" s="57" t="s">
        <v>331</v>
      </c>
      <c r="BG358" s="52" t="s">
        <v>221</v>
      </c>
      <c r="BH358" s="52"/>
      <c r="BI358" s="52" t="s">
        <v>332</v>
      </c>
      <c r="BJ358" s="52" t="s">
        <v>183</v>
      </c>
      <c r="BK358" s="52"/>
      <c r="BL358" s="52"/>
      <c r="BM358" s="52"/>
      <c r="BN358" s="52"/>
      <c r="BO358" s="52"/>
      <c r="BP358" s="52"/>
      <c r="BQ35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9" s="52" customFormat="1" ht="16" customHeight="1" x14ac:dyDescent="0.2">
      <c r="A359" s="28">
        <v>2577</v>
      </c>
      <c r="B359" s="52" t="s">
        <v>543</v>
      </c>
      <c r="C359" s="52" t="s">
        <v>221</v>
      </c>
      <c r="D359" s="52" t="s">
        <v>125</v>
      </c>
      <c r="E359" s="52" t="s">
        <v>1323</v>
      </c>
      <c r="F359" s="54" t="str">
        <f>IF(ISBLANK(Table2[[#This Row],[unique_id]]), "", PROPER(SUBSTITUTE(Table2[[#This Row],[unique_id]], "_", " ")))</f>
        <v>Broken Lounge Sub Plug</v>
      </c>
      <c r="G359" s="52" t="s">
        <v>740</v>
      </c>
      <c r="H359" s="52" t="s">
        <v>491</v>
      </c>
      <c r="I359" s="52" t="s">
        <v>262</v>
      </c>
      <c r="M359" s="52" t="s">
        <v>244</v>
      </c>
      <c r="O359" s="55" t="s">
        <v>736</v>
      </c>
      <c r="P359" s="52" t="s">
        <v>155</v>
      </c>
      <c r="Q359" s="52" t="s">
        <v>708</v>
      </c>
      <c r="R359" s="58" t="s">
        <v>693</v>
      </c>
      <c r="S359" s="52" t="str">
        <f>Table2[[#This Row],[friendly_name]]</f>
        <v>Lounge Sub</v>
      </c>
      <c r="T359" s="53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U359" s="53"/>
      <c r="V359" s="53"/>
      <c r="Y359" s="55"/>
      <c r="Z359" s="55"/>
      <c r="AA359" s="55"/>
      <c r="AB359" s="55"/>
      <c r="AC359" s="55"/>
      <c r="AD359" s="55"/>
      <c r="AH359" s="52" t="s">
        <v>741</v>
      </c>
      <c r="AJ359" s="55"/>
      <c r="AK359" s="55"/>
      <c r="AW359" s="56"/>
      <c r="AY35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Z35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A35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9" s="52" t="str">
        <f>IF(ISBLANK(Table2[[#This Row],[device_model]]), "", Table2[[#This Row],[device_suggested_area]])</f>
        <v>Lounge</v>
      </c>
      <c r="BE359" s="52" t="s">
        <v>967</v>
      </c>
      <c r="BF359" s="57" t="s">
        <v>331</v>
      </c>
      <c r="BG359" s="52" t="s">
        <v>221</v>
      </c>
      <c r="BI359" s="52" t="s">
        <v>332</v>
      </c>
      <c r="BJ359" s="52" t="s">
        <v>183</v>
      </c>
      <c r="BM359" s="52" t="s">
        <v>923</v>
      </c>
      <c r="BN359" s="52" t="s">
        <v>1186</v>
      </c>
      <c r="BO359" s="52" t="s">
        <v>311</v>
      </c>
      <c r="BP359" s="52" t="s">
        <v>1221</v>
      </c>
      <c r="BQ35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9" s="52" customFormat="1" ht="16" customHeight="1" x14ac:dyDescent="0.2">
      <c r="A360" s="28">
        <v>2578</v>
      </c>
      <c r="B360" s="52" t="s">
        <v>543</v>
      </c>
      <c r="C360" s="52" t="s">
        <v>756</v>
      </c>
      <c r="D360" s="52" t="s">
        <v>139</v>
      </c>
      <c r="E360" s="53" t="s">
        <v>1324</v>
      </c>
      <c r="F360" s="54" t="str">
        <f>IF(ISBLANK(Table2[[#This Row],[unique_id]]), "", PROPER(SUBSTITUTE(Table2[[#This Row],[unique_id]], "_", " ")))</f>
        <v>Broken Template Study Outlet Plug Proxy</v>
      </c>
      <c r="G360" s="52" t="s">
        <v>214</v>
      </c>
      <c r="H360" s="52" t="s">
        <v>491</v>
      </c>
      <c r="I360" s="52" t="s">
        <v>262</v>
      </c>
      <c r="O360" s="55" t="s">
        <v>736</v>
      </c>
      <c r="P360" s="52" t="s">
        <v>155</v>
      </c>
      <c r="Q360" s="52" t="s">
        <v>708</v>
      </c>
      <c r="R360" s="52" t="s">
        <v>491</v>
      </c>
      <c r="S360" s="52" t="str">
        <f>Table2[[#This Row],[friendly_name]]</f>
        <v>Study Outlet</v>
      </c>
      <c r="T360" s="53" t="s">
        <v>1013</v>
      </c>
      <c r="U360" s="53"/>
      <c r="V360" s="53"/>
      <c r="Y360" s="55"/>
      <c r="Z360" s="55"/>
      <c r="AA360" s="55"/>
      <c r="AB360" s="55"/>
      <c r="AC360" s="55"/>
      <c r="AD360" s="55"/>
      <c r="AJ360" s="55"/>
      <c r="AK360" s="55"/>
      <c r="AW360" s="56"/>
      <c r="AX360" s="52" t="s">
        <v>125</v>
      </c>
      <c r="AY36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Z36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A36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0" s="52" t="str">
        <f>IF(ISBLANK(Table2[[#This Row],[device_model]]), "", Table2[[#This Row],[device_suggested_area]])</f>
        <v>Study</v>
      </c>
      <c r="BE360" s="52" t="s">
        <v>965</v>
      </c>
      <c r="BF360" s="57" t="s">
        <v>331</v>
      </c>
      <c r="BG360" s="52" t="s">
        <v>221</v>
      </c>
      <c r="BI360" s="52" t="s">
        <v>332</v>
      </c>
      <c r="BJ360" s="52" t="s">
        <v>327</v>
      </c>
      <c r="BQ36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9" s="52" customFormat="1" ht="16" customHeight="1" x14ac:dyDescent="0.2">
      <c r="A361" s="28">
        <v>2579</v>
      </c>
      <c r="B361" s="52" t="s">
        <v>543</v>
      </c>
      <c r="C361" s="52" t="s">
        <v>221</v>
      </c>
      <c r="D361" s="52" t="s">
        <v>125</v>
      </c>
      <c r="E361" s="52" t="s">
        <v>1325</v>
      </c>
      <c r="F361" s="54" t="str">
        <f>IF(ISBLANK(Table2[[#This Row],[unique_id]]), "", PROPER(SUBSTITUTE(Table2[[#This Row],[unique_id]], "_", " ")))</f>
        <v>Broken Study Outlet Plug</v>
      </c>
      <c r="G361" s="52" t="s">
        <v>214</v>
      </c>
      <c r="H361" s="52" t="s">
        <v>491</v>
      </c>
      <c r="I361" s="52" t="s">
        <v>262</v>
      </c>
      <c r="M361" s="52" t="s">
        <v>244</v>
      </c>
      <c r="O361" s="55" t="s">
        <v>736</v>
      </c>
      <c r="P361" s="52" t="s">
        <v>155</v>
      </c>
      <c r="Q361" s="52" t="s">
        <v>708</v>
      </c>
      <c r="R361" s="52" t="s">
        <v>491</v>
      </c>
      <c r="S361" s="52" t="str">
        <f>Table2[[#This Row],[friendly_name]]</f>
        <v>Study Outlet</v>
      </c>
      <c r="T361" s="53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U361" s="53"/>
      <c r="V361" s="53"/>
      <c r="Y361" s="55"/>
      <c r="Z361" s="55"/>
      <c r="AA361" s="55"/>
      <c r="AB361" s="55"/>
      <c r="AC361" s="55"/>
      <c r="AD361" s="55"/>
      <c r="AH361" s="52" t="s">
        <v>238</v>
      </c>
      <c r="AJ361" s="55"/>
      <c r="AK361" s="55"/>
      <c r="AW361" s="56"/>
      <c r="AY36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Z36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A36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1" s="52" t="str">
        <f>IF(ISBLANK(Table2[[#This Row],[device_model]]), "", Table2[[#This Row],[device_suggested_area]])</f>
        <v>Study</v>
      </c>
      <c r="BE361" s="52" t="s">
        <v>965</v>
      </c>
      <c r="BF361" s="57" t="s">
        <v>331</v>
      </c>
      <c r="BG361" s="52" t="s">
        <v>221</v>
      </c>
      <c r="BI361" s="52" t="s">
        <v>332</v>
      </c>
      <c r="BJ361" s="52" t="s">
        <v>327</v>
      </c>
      <c r="BM361" s="52" t="s">
        <v>923</v>
      </c>
      <c r="BN361" s="52" t="s">
        <v>1186</v>
      </c>
      <c r="BO361" s="52" t="s">
        <v>322</v>
      </c>
      <c r="BP361" s="52" t="s">
        <v>1222</v>
      </c>
      <c r="BQ36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9" s="52" customFormat="1" ht="16" customHeight="1" x14ac:dyDescent="0.2">
      <c r="A362" s="28">
        <v>2580</v>
      </c>
      <c r="B362" s="52" t="s">
        <v>543</v>
      </c>
      <c r="C362" s="52" t="s">
        <v>756</v>
      </c>
      <c r="D362" s="52" t="s">
        <v>139</v>
      </c>
      <c r="E362" s="53" t="s">
        <v>1326</v>
      </c>
      <c r="F362" s="54" t="str">
        <f>IF(ISBLANK(Table2[[#This Row],[unique_id]]), "", PROPER(SUBSTITUTE(Table2[[#This Row],[unique_id]], "_", " ")))</f>
        <v>Broken Template Office Outlet Plug Proxy</v>
      </c>
      <c r="G362" s="52" t="s">
        <v>213</v>
      </c>
      <c r="H362" s="52" t="s">
        <v>491</v>
      </c>
      <c r="I362" s="52" t="s">
        <v>262</v>
      </c>
      <c r="O362" s="55" t="s">
        <v>736</v>
      </c>
      <c r="P362" s="52" t="s">
        <v>155</v>
      </c>
      <c r="Q362" s="52" t="s">
        <v>708</v>
      </c>
      <c r="R362" s="52" t="s">
        <v>491</v>
      </c>
      <c r="S362" s="52" t="str">
        <f>Table2[[#This Row],[friendly_name]]</f>
        <v>Office Outlet</v>
      </c>
      <c r="T362" s="53" t="s">
        <v>1013</v>
      </c>
      <c r="U362" s="53"/>
      <c r="V362" s="53"/>
      <c r="Y362" s="55"/>
      <c r="Z362" s="55"/>
      <c r="AA362" s="55"/>
      <c r="AB362" s="55"/>
      <c r="AC362" s="55"/>
      <c r="AD362" s="55"/>
      <c r="AJ362" s="55"/>
      <c r="AK362" s="55"/>
      <c r="AW362" s="56"/>
      <c r="AX362" s="52" t="s">
        <v>125</v>
      </c>
      <c r="AY36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Z36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A36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2" s="52" t="str">
        <f>IF(ISBLANK(Table2[[#This Row],[device_model]]), "", Table2[[#This Row],[device_suggested_area]])</f>
        <v>Office</v>
      </c>
      <c r="BE362" s="52" t="s">
        <v>965</v>
      </c>
      <c r="BF362" s="57" t="s">
        <v>331</v>
      </c>
      <c r="BG362" s="52" t="s">
        <v>221</v>
      </c>
      <c r="BI362" s="52" t="s">
        <v>332</v>
      </c>
      <c r="BJ362" s="52" t="s">
        <v>201</v>
      </c>
      <c r="BQ36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9" s="52" customFormat="1" ht="16" customHeight="1" x14ac:dyDescent="0.2">
      <c r="A363" s="28">
        <v>2581</v>
      </c>
      <c r="B363" s="52" t="s">
        <v>543</v>
      </c>
      <c r="C363" s="52" t="s">
        <v>221</v>
      </c>
      <c r="D363" s="52" t="s">
        <v>125</v>
      </c>
      <c r="E363" s="52" t="s">
        <v>1327</v>
      </c>
      <c r="F363" s="54" t="str">
        <f>IF(ISBLANK(Table2[[#This Row],[unique_id]]), "", PROPER(SUBSTITUTE(Table2[[#This Row],[unique_id]], "_", " ")))</f>
        <v>Broken Office Outlet Plug</v>
      </c>
      <c r="G363" s="52" t="s">
        <v>213</v>
      </c>
      <c r="H363" s="52" t="s">
        <v>491</v>
      </c>
      <c r="I363" s="52" t="s">
        <v>262</v>
      </c>
      <c r="M363" s="52" t="s">
        <v>244</v>
      </c>
      <c r="O363" s="55" t="s">
        <v>736</v>
      </c>
      <c r="P363" s="52" t="s">
        <v>155</v>
      </c>
      <c r="Q363" s="52" t="s">
        <v>708</v>
      </c>
      <c r="R363" s="52" t="s">
        <v>491</v>
      </c>
      <c r="S363" s="52" t="str">
        <f>Table2[[#This Row],[friendly_name]]</f>
        <v>Office Outlet</v>
      </c>
      <c r="T363" s="53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U363" s="53"/>
      <c r="V363" s="53"/>
      <c r="Y363" s="55"/>
      <c r="Z363" s="55"/>
      <c r="AA363" s="55"/>
      <c r="AB363" s="55"/>
      <c r="AC363" s="55"/>
      <c r="AD363" s="55"/>
      <c r="AH363" s="52" t="s">
        <v>238</v>
      </c>
      <c r="AJ363" s="55"/>
      <c r="AK363" s="55"/>
      <c r="AW363" s="56"/>
      <c r="AY36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Z36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A36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3" s="52" t="str">
        <f>IF(ISBLANK(Table2[[#This Row],[device_model]]), "", Table2[[#This Row],[device_suggested_area]])</f>
        <v>Office</v>
      </c>
      <c r="BE363" s="52" t="s">
        <v>965</v>
      </c>
      <c r="BF363" s="57" t="s">
        <v>331</v>
      </c>
      <c r="BG363" s="52" t="s">
        <v>221</v>
      </c>
      <c r="BI363" s="52" t="s">
        <v>332</v>
      </c>
      <c r="BJ363" s="52" t="s">
        <v>201</v>
      </c>
      <c r="BM363" s="52" t="s">
        <v>924</v>
      </c>
      <c r="BN363" s="52" t="s">
        <v>1186</v>
      </c>
      <c r="BO363" s="52" t="s">
        <v>323</v>
      </c>
      <c r="BP363" s="52" t="s">
        <v>1223</v>
      </c>
      <c r="BQ36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9" s="52" customFormat="1" ht="16" customHeight="1" x14ac:dyDescent="0.2">
      <c r="A364" s="28">
        <v>2582</v>
      </c>
      <c r="B364" s="52" t="s">
        <v>543</v>
      </c>
      <c r="C364" s="52" t="s">
        <v>756</v>
      </c>
      <c r="D364" s="52" t="s">
        <v>139</v>
      </c>
      <c r="E364" s="53" t="s">
        <v>1328</v>
      </c>
      <c r="F364" s="54" t="str">
        <f>IF(ISBLANK(Table2[[#This Row],[unique_id]]), "", PROPER(SUBSTITUTE(Table2[[#This Row],[unique_id]], "_", " ")))</f>
        <v>Broken Template Kitchen Dish Washer Plug Proxy</v>
      </c>
      <c r="G364" s="52" t="s">
        <v>216</v>
      </c>
      <c r="H364" s="52" t="s">
        <v>491</v>
      </c>
      <c r="I364" s="52" t="s">
        <v>262</v>
      </c>
      <c r="O364" s="55" t="s">
        <v>736</v>
      </c>
      <c r="P364" s="52" t="s">
        <v>155</v>
      </c>
      <c r="Q364" s="52" t="s">
        <v>709</v>
      </c>
      <c r="R364" s="52" t="s">
        <v>719</v>
      </c>
      <c r="S364" s="52" t="str">
        <f>Table2[[#This Row],[friendly_name]]</f>
        <v>Dish Washer</v>
      </c>
      <c r="T364" s="53" t="s">
        <v>1013</v>
      </c>
      <c r="U364" s="53"/>
      <c r="V364" s="53"/>
      <c r="Y364" s="55"/>
      <c r="Z364" s="55"/>
      <c r="AA364" s="55"/>
      <c r="AB364" s="55"/>
      <c r="AC364" s="55"/>
      <c r="AD364" s="55"/>
      <c r="AJ364" s="55"/>
      <c r="AK364" s="55"/>
      <c r="AW364" s="56"/>
      <c r="AX364" s="52" t="s">
        <v>125</v>
      </c>
      <c r="AY364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4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4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4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4" s="52" t="str">
        <f>IF(ISBLANK(Table2[[#This Row],[device_model]]), "", Table2[[#This Row],[device_suggested_area]])</f>
        <v>Kitchen</v>
      </c>
      <c r="BE364" s="52" t="s">
        <v>216</v>
      </c>
      <c r="BF364" s="57" t="s">
        <v>331</v>
      </c>
      <c r="BG364" s="52" t="s">
        <v>221</v>
      </c>
      <c r="BI364" s="52" t="s">
        <v>332</v>
      </c>
      <c r="BJ364" s="52" t="s">
        <v>195</v>
      </c>
      <c r="BQ364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9" s="52" customFormat="1" ht="16" customHeight="1" x14ac:dyDescent="0.2">
      <c r="A365" s="28">
        <v>2583</v>
      </c>
      <c r="B365" s="52" t="s">
        <v>543</v>
      </c>
      <c r="C365" s="52" t="s">
        <v>221</v>
      </c>
      <c r="D365" s="52" t="s">
        <v>125</v>
      </c>
      <c r="E365" s="52" t="s">
        <v>1329</v>
      </c>
      <c r="F365" s="54" t="str">
        <f>IF(ISBLANK(Table2[[#This Row],[unique_id]]), "", PROPER(SUBSTITUTE(Table2[[#This Row],[unique_id]], "_", " ")))</f>
        <v>Broken Kitchen Dish Washer Plug</v>
      </c>
      <c r="G365" s="52" t="s">
        <v>216</v>
      </c>
      <c r="H365" s="52" t="s">
        <v>491</v>
      </c>
      <c r="I365" s="52" t="s">
        <v>262</v>
      </c>
      <c r="M365" s="52" t="s">
        <v>244</v>
      </c>
      <c r="O365" s="55" t="s">
        <v>736</v>
      </c>
      <c r="P365" s="52" t="s">
        <v>155</v>
      </c>
      <c r="Q365" s="52" t="s">
        <v>709</v>
      </c>
      <c r="R365" s="52" t="s">
        <v>719</v>
      </c>
      <c r="S365" s="52" t="str">
        <f>Table2[[#This Row],[friendly_name]]</f>
        <v>Dish Washer</v>
      </c>
      <c r="T365" s="53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U365" s="53"/>
      <c r="V365" s="53"/>
      <c r="Y365" s="55"/>
      <c r="Z365" s="55"/>
      <c r="AA365" s="55"/>
      <c r="AB365" s="55"/>
      <c r="AC365" s="55"/>
      <c r="AD365" s="55"/>
      <c r="AH365" s="52" t="s">
        <v>231</v>
      </c>
      <c r="AJ365" s="55"/>
      <c r="AK365" s="55"/>
      <c r="AW365" s="56"/>
      <c r="AY36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5" s="52" t="str">
        <f>IF(ISBLANK(Table2[[#This Row],[device_model]]), "", Table2[[#This Row],[device_suggested_area]])</f>
        <v>Kitchen</v>
      </c>
      <c r="BE365" s="52" t="s">
        <v>216</v>
      </c>
      <c r="BF365" s="57" t="s">
        <v>331</v>
      </c>
      <c r="BG365" s="52" t="s">
        <v>221</v>
      </c>
      <c r="BI365" s="52" t="s">
        <v>332</v>
      </c>
      <c r="BJ365" s="52" t="s">
        <v>195</v>
      </c>
      <c r="BM365" s="52" t="s">
        <v>924</v>
      </c>
      <c r="BN365" s="52" t="s">
        <v>1186</v>
      </c>
      <c r="BO365" s="52" t="s">
        <v>314</v>
      </c>
      <c r="BP365" s="52" t="s">
        <v>1224</v>
      </c>
      <c r="BQ36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9" s="52" customFormat="1" ht="16" customHeight="1" x14ac:dyDescent="0.2">
      <c r="A366" s="28">
        <v>2584</v>
      </c>
      <c r="B366" s="28" t="s">
        <v>26</v>
      </c>
      <c r="C366" s="28" t="s">
        <v>756</v>
      </c>
      <c r="D366" s="28" t="s">
        <v>139</v>
      </c>
      <c r="E366" s="35" t="s">
        <v>911</v>
      </c>
      <c r="F366" s="34" t="str">
        <f>IF(ISBLANK(Table2[[#This Row],[unique_id]]), "", PROPER(SUBSTITUTE(Table2[[#This Row],[unique_id]], "_", " ")))</f>
        <v>Template Kitchen Dish Washer Plug Proxy</v>
      </c>
      <c r="G366" s="28" t="s">
        <v>216</v>
      </c>
      <c r="H366" s="28" t="s">
        <v>491</v>
      </c>
      <c r="I366" s="28" t="s">
        <v>262</v>
      </c>
      <c r="J366" s="28"/>
      <c r="K366" s="28"/>
      <c r="L366" s="28"/>
      <c r="M366" s="28"/>
      <c r="N366" s="28"/>
      <c r="O366" s="29" t="s">
        <v>736</v>
      </c>
      <c r="P366" s="28" t="s">
        <v>155</v>
      </c>
      <c r="Q366" s="28" t="s">
        <v>709</v>
      </c>
      <c r="R366" s="28" t="s">
        <v>719</v>
      </c>
      <c r="S366" s="28" t="str">
        <f>Table2[[#This Row],[friendly_name]]</f>
        <v>Dish Washer</v>
      </c>
      <c r="T36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5"/>
      <c r="V366" s="35"/>
      <c r="W366" s="28"/>
      <c r="X366" s="28"/>
      <c r="Y366" s="29"/>
      <c r="Z366" s="29"/>
      <c r="AA366" s="29"/>
      <c r="AB366" s="29"/>
      <c r="AC366" s="29"/>
      <c r="AD366" s="29"/>
      <c r="AE366" s="28"/>
      <c r="AF366" s="28"/>
      <c r="AG366" s="28"/>
      <c r="AH366" s="28"/>
      <c r="AI366" s="28"/>
      <c r="AJ366" s="29"/>
      <c r="AK366" s="29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38"/>
      <c r="AX366" s="28" t="s">
        <v>125</v>
      </c>
      <c r="AY3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66" s="28"/>
      <c r="BD366" s="28" t="str">
        <f>IF(ISBLANK(Table2[[#This Row],[device_model]]), "", Table2[[#This Row],[device_suggested_area]])</f>
        <v>Kitchen</v>
      </c>
      <c r="BE366" s="28" t="s">
        <v>216</v>
      </c>
      <c r="BF366" s="28" t="s">
        <v>330</v>
      </c>
      <c r="BG366" s="28" t="s">
        <v>221</v>
      </c>
      <c r="BH366" s="28"/>
      <c r="BI366" s="28" t="s">
        <v>333</v>
      </c>
      <c r="BJ366" s="28" t="s">
        <v>195</v>
      </c>
      <c r="BK366" s="28"/>
      <c r="BL366" s="28"/>
      <c r="BM366" s="28"/>
      <c r="BN366" s="28"/>
      <c r="BO366" s="28"/>
      <c r="BP366" s="28"/>
      <c r="BQ3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9" ht="16" customHeight="1" x14ac:dyDescent="0.2">
      <c r="A367" s="28">
        <v>2585</v>
      </c>
      <c r="B367" s="28" t="s">
        <v>26</v>
      </c>
      <c r="C367" s="28" t="s">
        <v>221</v>
      </c>
      <c r="D367" s="28" t="s">
        <v>125</v>
      </c>
      <c r="E367" s="28" t="s">
        <v>783</v>
      </c>
      <c r="F367" s="34" t="str">
        <f>IF(ISBLANK(Table2[[#This Row],[unique_id]]), "", PROPER(SUBSTITUTE(Table2[[#This Row],[unique_id]], "_", " ")))</f>
        <v>Kitchen Dish Washer Plug</v>
      </c>
      <c r="G367" s="28" t="s">
        <v>216</v>
      </c>
      <c r="H367" s="28" t="s">
        <v>491</v>
      </c>
      <c r="I367" s="28" t="s">
        <v>262</v>
      </c>
      <c r="M367" s="28" t="s">
        <v>244</v>
      </c>
      <c r="O367" s="29" t="s">
        <v>736</v>
      </c>
      <c r="P367" s="28" t="s">
        <v>155</v>
      </c>
      <c r="Q367" s="28" t="s">
        <v>709</v>
      </c>
      <c r="R367" s="28" t="s">
        <v>719</v>
      </c>
      <c r="S367" s="28" t="str">
        <f>Table2[[#This Row],[friendly_name]]</f>
        <v>Dish Washer</v>
      </c>
      <c r="T367" s="35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5"/>
      <c r="V367" s="35"/>
      <c r="W367" s="28"/>
      <c r="Y367" s="29"/>
      <c r="Z367" s="29"/>
      <c r="AA367" s="29"/>
      <c r="AB367" s="29"/>
      <c r="AH367" s="28" t="s">
        <v>231</v>
      </c>
      <c r="AJ367" s="29"/>
      <c r="AK367" s="29"/>
      <c r="AV367" s="28"/>
      <c r="AW367" s="38"/>
      <c r="AY3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7" s="28" t="str">
        <f>IF(ISBLANK(Table2[[#This Row],[device_model]]), "", Table2[[#This Row],[device_suggested_area]])</f>
        <v>Kitchen</v>
      </c>
      <c r="BE367" s="28" t="s">
        <v>216</v>
      </c>
      <c r="BF367" s="28" t="s">
        <v>330</v>
      </c>
      <c r="BG367" s="28" t="s">
        <v>221</v>
      </c>
      <c r="BI367" s="28" t="s">
        <v>333</v>
      </c>
      <c r="BJ367" s="28" t="s">
        <v>195</v>
      </c>
      <c r="BM367" s="28" t="s">
        <v>924</v>
      </c>
      <c r="BN367" s="28" t="s">
        <v>1186</v>
      </c>
      <c r="BO367" s="28" t="s">
        <v>326</v>
      </c>
      <c r="BP367" s="28" t="s">
        <v>1235</v>
      </c>
      <c r="BQ3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9" ht="16" customHeight="1" x14ac:dyDescent="0.2">
      <c r="A368" s="28">
        <v>2586</v>
      </c>
      <c r="B368" s="52" t="s">
        <v>543</v>
      </c>
      <c r="C368" s="52" t="s">
        <v>756</v>
      </c>
      <c r="D368" s="52" t="s">
        <v>139</v>
      </c>
      <c r="E368" s="53" t="s">
        <v>1330</v>
      </c>
      <c r="F368" s="54" t="str">
        <f>IF(ISBLANK(Table2[[#This Row],[unique_id]]), "", PROPER(SUBSTITUTE(Table2[[#This Row],[unique_id]], "_", " ")))</f>
        <v>Broken Template Laundry Clothes Dryer Plug Proxy</v>
      </c>
      <c r="G368" s="52" t="s">
        <v>217</v>
      </c>
      <c r="H368" s="52" t="s">
        <v>491</v>
      </c>
      <c r="I368" s="52" t="s">
        <v>262</v>
      </c>
      <c r="J368" s="52"/>
      <c r="K368" s="52"/>
      <c r="L368" s="52"/>
      <c r="M368" s="52"/>
      <c r="N368" s="52"/>
      <c r="O368" s="55" t="s">
        <v>736</v>
      </c>
      <c r="P368" s="52" t="s">
        <v>155</v>
      </c>
      <c r="Q368" s="52" t="s">
        <v>709</v>
      </c>
      <c r="R368" s="52" t="s">
        <v>719</v>
      </c>
      <c r="S368" s="52" t="str">
        <f>Table2[[#This Row],[friendly_name]]</f>
        <v>Clothes Dryer</v>
      </c>
      <c r="T368" s="53" t="s">
        <v>1013</v>
      </c>
      <c r="U368" s="53"/>
      <c r="V368" s="53"/>
      <c r="W368" s="52"/>
      <c r="X368" s="52"/>
      <c r="Y368" s="55"/>
      <c r="Z368" s="55"/>
      <c r="AA368" s="55"/>
      <c r="AB368" s="55"/>
      <c r="AC368" s="55"/>
      <c r="AD368" s="55"/>
      <c r="AE368" s="52"/>
      <c r="AF368" s="52"/>
      <c r="AG368" s="52"/>
      <c r="AH368" s="52"/>
      <c r="AI368" s="52"/>
      <c r="AJ368" s="55"/>
      <c r="AK368" s="55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6"/>
      <c r="AX368" s="52" t="s">
        <v>125</v>
      </c>
      <c r="AY36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Z36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A36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68" s="52"/>
      <c r="BD368" s="52" t="str">
        <f>IF(ISBLANK(Table2[[#This Row],[device_model]]), "", Table2[[#This Row],[device_suggested_area]])</f>
        <v>Laundry</v>
      </c>
      <c r="BE368" s="52" t="s">
        <v>217</v>
      </c>
      <c r="BF368" s="57" t="s">
        <v>331</v>
      </c>
      <c r="BG368" s="52" t="s">
        <v>221</v>
      </c>
      <c r="BH368" s="52"/>
      <c r="BI368" s="52" t="s">
        <v>332</v>
      </c>
      <c r="BJ368" s="52" t="s">
        <v>202</v>
      </c>
      <c r="BK368" s="52"/>
      <c r="BL368" s="52"/>
      <c r="BM368" s="52"/>
      <c r="BN368" s="52"/>
      <c r="BO368" s="52"/>
      <c r="BP368" s="52"/>
      <c r="BQ36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9" s="52" customFormat="1" ht="16" customHeight="1" x14ac:dyDescent="0.2">
      <c r="A369" s="28">
        <v>2587</v>
      </c>
      <c r="B369" s="52" t="s">
        <v>543</v>
      </c>
      <c r="C369" s="52" t="s">
        <v>221</v>
      </c>
      <c r="D369" s="52" t="s">
        <v>125</v>
      </c>
      <c r="E369" s="52" t="s">
        <v>1331</v>
      </c>
      <c r="F369" s="54" t="str">
        <f>IF(ISBLANK(Table2[[#This Row],[unique_id]]), "", PROPER(SUBSTITUTE(Table2[[#This Row],[unique_id]], "_", " ")))</f>
        <v>Broken Laundry Clothes Dryer Plug</v>
      </c>
      <c r="G369" s="52" t="s">
        <v>217</v>
      </c>
      <c r="H369" s="52" t="s">
        <v>491</v>
      </c>
      <c r="I369" s="52" t="s">
        <v>262</v>
      </c>
      <c r="M369" s="52" t="s">
        <v>244</v>
      </c>
      <c r="O369" s="55" t="s">
        <v>736</v>
      </c>
      <c r="P369" s="52" t="s">
        <v>155</v>
      </c>
      <c r="Q369" s="52" t="s">
        <v>709</v>
      </c>
      <c r="R369" s="52" t="s">
        <v>719</v>
      </c>
      <c r="S369" s="52" t="str">
        <f>Table2[[#This Row],[friendly_name]]</f>
        <v>Clothes Dryer</v>
      </c>
      <c r="T369" s="53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U369" s="53"/>
      <c r="V369" s="53"/>
      <c r="Y369" s="55"/>
      <c r="Z369" s="55"/>
      <c r="AA369" s="55"/>
      <c r="AB369" s="55"/>
      <c r="AC369" s="55"/>
      <c r="AD369" s="55"/>
      <c r="AH369" s="52" t="s">
        <v>232</v>
      </c>
      <c r="AJ369" s="55"/>
      <c r="AK369" s="55"/>
      <c r="AW369" s="56"/>
      <c r="AY36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Z36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A36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9" s="52" t="str">
        <f>IF(ISBLANK(Table2[[#This Row],[device_model]]), "", Table2[[#This Row],[device_suggested_area]])</f>
        <v>Laundry</v>
      </c>
      <c r="BE369" s="52" t="s">
        <v>217</v>
      </c>
      <c r="BF369" s="57" t="s">
        <v>331</v>
      </c>
      <c r="BG369" s="52" t="s">
        <v>221</v>
      </c>
      <c r="BI369" s="52" t="s">
        <v>332</v>
      </c>
      <c r="BJ369" s="52" t="s">
        <v>202</v>
      </c>
      <c r="BM369" s="52" t="s">
        <v>923</v>
      </c>
      <c r="BN369" s="52" t="s">
        <v>1186</v>
      </c>
      <c r="BO369" s="52" t="s">
        <v>315</v>
      </c>
      <c r="BP369" s="52" t="s">
        <v>1225</v>
      </c>
      <c r="BQ36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9" s="52" customFormat="1" ht="16" customHeight="1" x14ac:dyDescent="0.2">
      <c r="A370" s="28">
        <v>2588</v>
      </c>
      <c r="B370" s="52" t="s">
        <v>543</v>
      </c>
      <c r="C370" s="52" t="s">
        <v>756</v>
      </c>
      <c r="D370" s="52" t="s">
        <v>139</v>
      </c>
      <c r="E370" s="53" t="s">
        <v>1332</v>
      </c>
      <c r="F370" s="54" t="str">
        <f>IF(ISBLANK(Table2[[#This Row],[unique_id]]), "", PROPER(SUBSTITUTE(Table2[[#This Row],[unique_id]], "_", " ")))</f>
        <v>Broken Template Laundry Washing Machine Plug Proxy</v>
      </c>
      <c r="G370" s="52" t="s">
        <v>215</v>
      </c>
      <c r="H370" s="52" t="s">
        <v>491</v>
      </c>
      <c r="I370" s="52" t="s">
        <v>262</v>
      </c>
      <c r="O370" s="55" t="s">
        <v>736</v>
      </c>
      <c r="P370" s="52" t="s">
        <v>155</v>
      </c>
      <c r="Q370" s="52" t="s">
        <v>709</v>
      </c>
      <c r="R370" s="52" t="s">
        <v>719</v>
      </c>
      <c r="S370" s="52" t="str">
        <f>Table2[[#This Row],[friendly_name]]</f>
        <v>Washing Machine</v>
      </c>
      <c r="T370" s="53" t="s">
        <v>1013</v>
      </c>
      <c r="U370" s="53"/>
      <c r="V370" s="53"/>
      <c r="Y370" s="55"/>
      <c r="Z370" s="55"/>
      <c r="AA370" s="55"/>
      <c r="AB370" s="55"/>
      <c r="AC370" s="55"/>
      <c r="AD370" s="55"/>
      <c r="AJ370" s="55"/>
      <c r="AK370" s="55"/>
      <c r="AW370" s="56"/>
      <c r="AX370" s="52" t="s">
        <v>125</v>
      </c>
      <c r="AY37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Z37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A37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0" s="52" t="str">
        <f>IF(ISBLANK(Table2[[#This Row],[device_model]]), "", Table2[[#This Row],[device_suggested_area]])</f>
        <v>Laundry</v>
      </c>
      <c r="BE370" s="52" t="s">
        <v>215</v>
      </c>
      <c r="BF370" s="57" t="s">
        <v>331</v>
      </c>
      <c r="BG370" s="52" t="s">
        <v>221</v>
      </c>
      <c r="BI370" s="52" t="s">
        <v>332</v>
      </c>
      <c r="BJ370" s="52" t="s">
        <v>202</v>
      </c>
      <c r="BQ37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9" s="52" customFormat="1" ht="16" customHeight="1" x14ac:dyDescent="0.2">
      <c r="A371" s="28">
        <v>2589</v>
      </c>
      <c r="B371" s="52" t="s">
        <v>543</v>
      </c>
      <c r="C371" s="52" t="s">
        <v>221</v>
      </c>
      <c r="D371" s="52" t="s">
        <v>125</v>
      </c>
      <c r="E371" s="52" t="s">
        <v>1333</v>
      </c>
      <c r="F371" s="54" t="str">
        <f>IF(ISBLANK(Table2[[#This Row],[unique_id]]), "", PROPER(SUBSTITUTE(Table2[[#This Row],[unique_id]], "_", " ")))</f>
        <v>Broken Laundry Washing Machine Plug</v>
      </c>
      <c r="G371" s="52" t="s">
        <v>215</v>
      </c>
      <c r="H371" s="52" t="s">
        <v>491</v>
      </c>
      <c r="I371" s="52" t="s">
        <v>262</v>
      </c>
      <c r="M371" s="52" t="s">
        <v>244</v>
      </c>
      <c r="O371" s="55" t="s">
        <v>736</v>
      </c>
      <c r="P371" s="52" t="s">
        <v>155</v>
      </c>
      <c r="Q371" s="52" t="s">
        <v>709</v>
      </c>
      <c r="R371" s="52" t="s">
        <v>719</v>
      </c>
      <c r="S371" s="52" t="str">
        <f>Table2[[#This Row],[friendly_name]]</f>
        <v>Washing Machine</v>
      </c>
      <c r="T371" s="53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U371" s="53"/>
      <c r="V371" s="53"/>
      <c r="Y371" s="55"/>
      <c r="Z371" s="55"/>
      <c r="AA371" s="55"/>
      <c r="AB371" s="55"/>
      <c r="AC371" s="55"/>
      <c r="AD371" s="55"/>
      <c r="AH371" s="52" t="s">
        <v>233</v>
      </c>
      <c r="AJ371" s="55"/>
      <c r="AK371" s="55"/>
      <c r="AW371" s="56"/>
      <c r="AY37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Z37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A37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1" s="52" t="str">
        <f>IF(ISBLANK(Table2[[#This Row],[device_model]]), "", Table2[[#This Row],[device_suggested_area]])</f>
        <v>Laundry</v>
      </c>
      <c r="BE371" s="52" t="s">
        <v>215</v>
      </c>
      <c r="BF371" s="57" t="s">
        <v>331</v>
      </c>
      <c r="BG371" s="52" t="s">
        <v>221</v>
      </c>
      <c r="BI371" s="52" t="s">
        <v>332</v>
      </c>
      <c r="BJ371" s="52" t="s">
        <v>202</v>
      </c>
      <c r="BM371" s="52" t="s">
        <v>923</v>
      </c>
      <c r="BN371" s="52" t="s">
        <v>1186</v>
      </c>
      <c r="BO371" s="52" t="s">
        <v>316</v>
      </c>
      <c r="BP371" s="52" t="s">
        <v>1226</v>
      </c>
      <c r="BQ37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9" s="52" customFormat="1" ht="16" customHeight="1" x14ac:dyDescent="0.2">
      <c r="A372" s="28">
        <v>2590</v>
      </c>
      <c r="B372" s="28" t="s">
        <v>26</v>
      </c>
      <c r="C372" s="28" t="s">
        <v>756</v>
      </c>
      <c r="D372" s="28" t="s">
        <v>139</v>
      </c>
      <c r="E372" s="35" t="s">
        <v>1418</v>
      </c>
      <c r="F372" s="34" t="str">
        <f>IF(ISBLANK(Table2[[#This Row],[unique_id]]), "", PROPER(SUBSTITUTE(Table2[[#This Row],[unique_id]], "_", " ")))</f>
        <v>Template Kitchen Fridge Plug Proxy</v>
      </c>
      <c r="G372" s="28" t="s">
        <v>211</v>
      </c>
      <c r="H372" s="28" t="s">
        <v>491</v>
      </c>
      <c r="I372" s="28" t="s">
        <v>262</v>
      </c>
      <c r="J372" s="28"/>
      <c r="K372" s="28"/>
      <c r="L372" s="28"/>
      <c r="M372" s="28"/>
      <c r="N372" s="28"/>
      <c r="O372" s="29" t="s">
        <v>736</v>
      </c>
      <c r="P372" s="28" t="s">
        <v>155</v>
      </c>
      <c r="Q372" s="28" t="s">
        <v>708</v>
      </c>
      <c r="R372" s="28" t="s">
        <v>720</v>
      </c>
      <c r="S372" s="28" t="str">
        <f>Table2[[#This Row],[friendly_name]]</f>
        <v>Kitchen Fridge</v>
      </c>
      <c r="T372" s="35" t="s">
        <v>1014</v>
      </c>
      <c r="U372" s="35"/>
      <c r="V372" s="35"/>
      <c r="W372" s="28"/>
      <c r="X372" s="28"/>
      <c r="Y372" s="29"/>
      <c r="Z372" s="29"/>
      <c r="AA372" s="29"/>
      <c r="AB372" s="29"/>
      <c r="AC372" s="29"/>
      <c r="AD372" s="29"/>
      <c r="AE372" s="28"/>
      <c r="AF372" s="28"/>
      <c r="AG372" s="28"/>
      <c r="AH372" s="28"/>
      <c r="AI372" s="28"/>
      <c r="AJ372" s="29"/>
      <c r="AK372" s="29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38"/>
      <c r="AX372" s="28" t="s">
        <v>125</v>
      </c>
      <c r="AY3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Z3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A3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72" s="28"/>
      <c r="BD372" s="28" t="str">
        <f>IF(ISBLANK(Table2[[#This Row],[device_model]]), "", Table2[[#This Row],[device_suggested_area]])</f>
        <v>Kitchen</v>
      </c>
      <c r="BE372" s="28" t="s">
        <v>968</v>
      </c>
      <c r="BF372" s="28" t="s">
        <v>330</v>
      </c>
      <c r="BG372" s="28" t="s">
        <v>221</v>
      </c>
      <c r="BH372" s="28"/>
      <c r="BI372" s="28" t="s">
        <v>333</v>
      </c>
      <c r="BJ372" s="28" t="s">
        <v>195</v>
      </c>
      <c r="BK372" s="28"/>
      <c r="BL372" s="28"/>
      <c r="BM372" s="28"/>
      <c r="BN372" s="28"/>
      <c r="BO372" s="28"/>
      <c r="BP372" s="28"/>
      <c r="BQ3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9" ht="16" customHeight="1" x14ac:dyDescent="0.2">
      <c r="A373" s="28">
        <v>2591</v>
      </c>
      <c r="B373" s="28" t="s">
        <v>26</v>
      </c>
      <c r="C373" s="28" t="s">
        <v>221</v>
      </c>
      <c r="D373" s="28" t="s">
        <v>125</v>
      </c>
      <c r="E373" s="28" t="s">
        <v>1417</v>
      </c>
      <c r="F373" s="34" t="str">
        <f>IF(ISBLANK(Table2[[#This Row],[unique_id]]), "", PROPER(SUBSTITUTE(Table2[[#This Row],[unique_id]], "_", " ")))</f>
        <v>Kitchen Fridge Plug</v>
      </c>
      <c r="G373" s="28" t="s">
        <v>211</v>
      </c>
      <c r="H373" s="28" t="s">
        <v>491</v>
      </c>
      <c r="I373" s="28" t="s">
        <v>262</v>
      </c>
      <c r="M373" s="28" t="s">
        <v>244</v>
      </c>
      <c r="O373" s="29" t="s">
        <v>736</v>
      </c>
      <c r="P373" s="28" t="s">
        <v>155</v>
      </c>
      <c r="Q373" s="28" t="s">
        <v>708</v>
      </c>
      <c r="R373" s="28" t="s">
        <v>720</v>
      </c>
      <c r="S373" s="28" t="str">
        <f>Table2[[#This Row],[friendly_name]]</f>
        <v>Kitchen Fridge</v>
      </c>
      <c r="T373" s="35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5"/>
      <c r="V373" s="35"/>
      <c r="W373" s="28"/>
      <c r="Y373" s="29"/>
      <c r="Z373" s="29"/>
      <c r="AA373" s="29"/>
      <c r="AB373" s="29"/>
      <c r="AH373" s="28" t="s">
        <v>235</v>
      </c>
      <c r="AJ373" s="29"/>
      <c r="AK373" s="29"/>
      <c r="AV373" s="28"/>
      <c r="AW373" s="38"/>
      <c r="AY3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Z3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A3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3" s="28" t="str">
        <f>IF(ISBLANK(Table2[[#This Row],[device_model]]), "", Table2[[#This Row],[device_suggested_area]])</f>
        <v>Kitchen</v>
      </c>
      <c r="BE373" s="28" t="s">
        <v>968</v>
      </c>
      <c r="BF373" s="28" t="s">
        <v>330</v>
      </c>
      <c r="BG373" s="28" t="s">
        <v>221</v>
      </c>
      <c r="BI373" s="28" t="s">
        <v>333</v>
      </c>
      <c r="BJ373" s="28" t="s">
        <v>195</v>
      </c>
      <c r="BM373" s="28" t="s">
        <v>924</v>
      </c>
      <c r="BN373" s="61" t="s">
        <v>1186</v>
      </c>
      <c r="BO373" s="61" t="s">
        <v>1389</v>
      </c>
      <c r="BP373" s="61" t="s">
        <v>1390</v>
      </c>
      <c r="BQ3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9" ht="16" customHeight="1" x14ac:dyDescent="0.2">
      <c r="A374" s="28">
        <v>2592</v>
      </c>
      <c r="B374" s="28" t="s">
        <v>26</v>
      </c>
      <c r="C374" s="28" t="s">
        <v>756</v>
      </c>
      <c r="D374" s="28" t="s">
        <v>139</v>
      </c>
      <c r="E374" s="35" t="s">
        <v>913</v>
      </c>
      <c r="F374" s="34" t="str">
        <f>IF(ISBLANK(Table2[[#This Row],[unique_id]]), "", PROPER(SUBSTITUTE(Table2[[#This Row],[unique_id]], "_", " ")))</f>
        <v>Template Deck Freezer Plug Proxy</v>
      </c>
      <c r="G374" s="28" t="s">
        <v>212</v>
      </c>
      <c r="H374" s="28" t="s">
        <v>491</v>
      </c>
      <c r="I374" s="28" t="s">
        <v>262</v>
      </c>
      <c r="O374" s="29" t="s">
        <v>736</v>
      </c>
      <c r="P374" s="28" t="s">
        <v>155</v>
      </c>
      <c r="Q374" s="28" t="s">
        <v>708</v>
      </c>
      <c r="R374" s="28" t="s">
        <v>720</v>
      </c>
      <c r="S374" s="28" t="str">
        <f>Table2[[#This Row],[friendly_name]]</f>
        <v>Deck Freezer</v>
      </c>
      <c r="T374" s="35" t="s">
        <v>1014</v>
      </c>
      <c r="U374" s="35"/>
      <c r="V374" s="35"/>
      <c r="W374" s="28"/>
      <c r="Y374" s="29"/>
      <c r="Z374" s="29"/>
      <c r="AA374" s="29"/>
      <c r="AB374" s="29"/>
      <c r="AJ374" s="29"/>
      <c r="AK374" s="29"/>
      <c r="AV374" s="28"/>
      <c r="AW374" s="38"/>
      <c r="AX374" s="28" t="s">
        <v>125</v>
      </c>
      <c r="AY3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Z3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A3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4" s="28" t="str">
        <f>IF(ISBLANK(Table2[[#This Row],[device_model]]), "", Table2[[#This Row],[device_suggested_area]])</f>
        <v>Deck</v>
      </c>
      <c r="BE374" s="28" t="s">
        <v>969</v>
      </c>
      <c r="BF374" s="28" t="s">
        <v>330</v>
      </c>
      <c r="BG374" s="28" t="s">
        <v>221</v>
      </c>
      <c r="BI374" s="28" t="s">
        <v>333</v>
      </c>
      <c r="BJ374" s="28" t="s">
        <v>328</v>
      </c>
      <c r="BN374" s="62"/>
      <c r="BO374" s="62"/>
      <c r="BP374" s="62"/>
      <c r="BQ3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9" ht="16" customHeight="1" x14ac:dyDescent="0.2">
      <c r="A375" s="28">
        <v>2593</v>
      </c>
      <c r="B375" s="28" t="s">
        <v>26</v>
      </c>
      <c r="C375" s="28" t="s">
        <v>221</v>
      </c>
      <c r="D375" s="28" t="s">
        <v>125</v>
      </c>
      <c r="E375" s="28" t="s">
        <v>785</v>
      </c>
      <c r="F375" s="34" t="str">
        <f>IF(ISBLANK(Table2[[#This Row],[unique_id]]), "", PROPER(SUBSTITUTE(Table2[[#This Row],[unique_id]], "_", " ")))</f>
        <v>Deck Freezer Plug</v>
      </c>
      <c r="G375" s="28" t="s">
        <v>212</v>
      </c>
      <c r="H375" s="28" t="s">
        <v>491</v>
      </c>
      <c r="I375" s="28" t="s">
        <v>262</v>
      </c>
      <c r="M375" s="28" t="s">
        <v>244</v>
      </c>
      <c r="O375" s="29" t="s">
        <v>736</v>
      </c>
      <c r="P375" s="28" t="s">
        <v>155</v>
      </c>
      <c r="Q375" s="28" t="s">
        <v>708</v>
      </c>
      <c r="R375" s="28" t="s">
        <v>720</v>
      </c>
      <c r="S375" s="28" t="str">
        <f>Table2[[#This Row],[friendly_name]]</f>
        <v>Deck Freezer</v>
      </c>
      <c r="T375" s="35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5"/>
      <c r="V375" s="35"/>
      <c r="W375" s="28"/>
      <c r="Y375" s="29"/>
      <c r="Z375" s="29"/>
      <c r="AA375" s="29"/>
      <c r="AB375" s="29"/>
      <c r="AH375" s="28" t="s">
        <v>236</v>
      </c>
      <c r="AJ375" s="29"/>
      <c r="AK375" s="29"/>
      <c r="AV375" s="28"/>
      <c r="AW375" s="38"/>
      <c r="AY3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Z3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A3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5" s="28" t="str">
        <f>IF(ISBLANK(Table2[[#This Row],[device_model]]), "", Table2[[#This Row],[device_suggested_area]])</f>
        <v>Deck</v>
      </c>
      <c r="BE375" s="28" t="s">
        <v>969</v>
      </c>
      <c r="BF375" s="28" t="s">
        <v>330</v>
      </c>
      <c r="BG375" s="28" t="s">
        <v>221</v>
      </c>
      <c r="BI375" s="28" t="s">
        <v>333</v>
      </c>
      <c r="BJ375" s="28" t="s">
        <v>328</v>
      </c>
      <c r="BM375" s="28" t="s">
        <v>924</v>
      </c>
      <c r="BN375" s="28" t="s">
        <v>1186</v>
      </c>
      <c r="BO375" s="28" t="s">
        <v>318</v>
      </c>
      <c r="BP375" s="28" t="s">
        <v>1228</v>
      </c>
      <c r="BQ3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9" ht="16" customHeight="1" x14ac:dyDescent="0.2">
      <c r="A376" s="28">
        <v>2594</v>
      </c>
      <c r="B376" s="28" t="s">
        <v>26</v>
      </c>
      <c r="C376" s="28" t="s">
        <v>756</v>
      </c>
      <c r="D376" s="28" t="s">
        <v>139</v>
      </c>
      <c r="E376" s="35" t="s">
        <v>1314</v>
      </c>
      <c r="F376" s="34" t="str">
        <f>IF(ISBLANK(Table2[[#This Row],[unique_id]]), "", PROPER(SUBSTITUTE(Table2[[#This Row],[unique_id]], "_", " ")))</f>
        <v>Template Garden Sewerage Blower Plug Proxy</v>
      </c>
      <c r="G376" s="28" t="s">
        <v>1315</v>
      </c>
      <c r="H376" s="28" t="s">
        <v>491</v>
      </c>
      <c r="I376" s="28" t="s">
        <v>262</v>
      </c>
      <c r="O376" s="29" t="s">
        <v>736</v>
      </c>
      <c r="P376" s="28" t="s">
        <v>155</v>
      </c>
      <c r="Q376" s="28" t="s">
        <v>708</v>
      </c>
      <c r="R376" s="28" t="s">
        <v>491</v>
      </c>
      <c r="S376" s="28" t="str">
        <f>Table2[[#This Row],[friendly_name]]</f>
        <v>Sewerage Blower</v>
      </c>
      <c r="T37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5"/>
      <c r="V376" s="35"/>
      <c r="W376" s="28"/>
      <c r="Y376" s="29"/>
      <c r="Z376" s="29"/>
      <c r="AA376" s="29"/>
      <c r="AB376" s="29"/>
      <c r="AJ376" s="29"/>
      <c r="AK376" s="29"/>
      <c r="AV376" s="28"/>
      <c r="AW376" s="38"/>
      <c r="AX376" s="28" t="s">
        <v>125</v>
      </c>
      <c r="AY3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Z3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A3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6" s="28" t="s">
        <v>540</v>
      </c>
      <c r="BE376" s="28" t="s">
        <v>1315</v>
      </c>
      <c r="BF376" s="28" t="s">
        <v>330</v>
      </c>
      <c r="BG376" s="28" t="s">
        <v>221</v>
      </c>
      <c r="BI376" s="28" t="s">
        <v>333</v>
      </c>
      <c r="BJ376" s="28" t="s">
        <v>540</v>
      </c>
      <c r="BO376" s="34"/>
      <c r="BP376" s="34"/>
      <c r="BQ3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9" ht="16" customHeight="1" x14ac:dyDescent="0.2">
      <c r="A377" s="28">
        <v>2595</v>
      </c>
      <c r="B377" s="28" t="s">
        <v>26</v>
      </c>
      <c r="C377" s="28" t="s">
        <v>221</v>
      </c>
      <c r="D377" s="28" t="s">
        <v>125</v>
      </c>
      <c r="E377" s="28" t="s">
        <v>1313</v>
      </c>
      <c r="F377" s="34" t="str">
        <f>IF(ISBLANK(Table2[[#This Row],[unique_id]]), "", PROPER(SUBSTITUTE(Table2[[#This Row],[unique_id]], "_", " ")))</f>
        <v>Garden Sewerage Blower Plug</v>
      </c>
      <c r="G377" s="28" t="s">
        <v>1315</v>
      </c>
      <c r="H377" s="28" t="s">
        <v>491</v>
      </c>
      <c r="I377" s="28" t="s">
        <v>262</v>
      </c>
      <c r="M377" s="28" t="s">
        <v>244</v>
      </c>
      <c r="O377" s="29" t="s">
        <v>736</v>
      </c>
      <c r="P377" s="28" t="s">
        <v>155</v>
      </c>
      <c r="Q377" s="28" t="s">
        <v>708</v>
      </c>
      <c r="R377" s="28" t="s">
        <v>491</v>
      </c>
      <c r="S377" s="28" t="str">
        <f>Table2[[#This Row],[friendly_name]]</f>
        <v>Sewerage Blower</v>
      </c>
      <c r="T377" s="35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5"/>
      <c r="V377" s="35"/>
      <c r="W377" s="28"/>
      <c r="Y377" s="29"/>
      <c r="Z377" s="29"/>
      <c r="AA377" s="29"/>
      <c r="AB377" s="29"/>
      <c r="AH377" s="28" t="s">
        <v>230</v>
      </c>
      <c r="AJ377" s="29"/>
      <c r="AK377" s="29"/>
      <c r="AV377" s="28"/>
      <c r="AW377" s="38"/>
      <c r="AY3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Z3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A3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7" s="28" t="s">
        <v>540</v>
      </c>
      <c r="BE377" s="28" t="s">
        <v>1315</v>
      </c>
      <c r="BF377" s="28" t="s">
        <v>330</v>
      </c>
      <c r="BG377" s="28" t="s">
        <v>221</v>
      </c>
      <c r="BI377" s="28" t="s">
        <v>333</v>
      </c>
      <c r="BJ377" s="28" t="s">
        <v>540</v>
      </c>
      <c r="BM377" s="28" t="s">
        <v>924</v>
      </c>
      <c r="BN377" s="28" t="s">
        <v>1186</v>
      </c>
      <c r="BO377" s="34" t="s">
        <v>334</v>
      </c>
      <c r="BP377" s="34" t="s">
        <v>1207</v>
      </c>
      <c r="BQ3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9" ht="16" customHeight="1" x14ac:dyDescent="0.2">
      <c r="A378" s="28">
        <v>2596</v>
      </c>
      <c r="B378" s="52" t="s">
        <v>543</v>
      </c>
      <c r="C378" s="52" t="s">
        <v>756</v>
      </c>
      <c r="D378" s="52" t="s">
        <v>139</v>
      </c>
      <c r="E378" s="53" t="s">
        <v>1334</v>
      </c>
      <c r="F378" s="54" t="str">
        <f>IF(ISBLANK(Table2[[#This Row],[unique_id]]), "", PROPER(SUBSTITUTE(Table2[[#This Row],[unique_id]], "_", " ")))</f>
        <v>Broken Template Study Battery Charger Plug Proxy</v>
      </c>
      <c r="G378" s="52" t="s">
        <v>219</v>
      </c>
      <c r="H378" s="52" t="s">
        <v>491</v>
      </c>
      <c r="I378" s="52" t="s">
        <v>262</v>
      </c>
      <c r="J378" s="52"/>
      <c r="K378" s="52"/>
      <c r="L378" s="52"/>
      <c r="M378" s="52"/>
      <c r="N378" s="52"/>
      <c r="O378" s="55" t="s">
        <v>736</v>
      </c>
      <c r="P378" s="52" t="s">
        <v>155</v>
      </c>
      <c r="Q378" s="52" t="s">
        <v>708</v>
      </c>
      <c r="R378" s="52" t="s">
        <v>491</v>
      </c>
      <c r="S378" s="52" t="str">
        <f>Table2[[#This Row],[friendly_name]]</f>
        <v>Battery Charger</v>
      </c>
      <c r="T378" s="53" t="s">
        <v>1013</v>
      </c>
      <c r="U378" s="53"/>
      <c r="V378" s="53"/>
      <c r="W378" s="52"/>
      <c r="X378" s="52"/>
      <c r="Y378" s="55"/>
      <c r="Z378" s="55"/>
      <c r="AA378" s="55"/>
      <c r="AB378" s="55"/>
      <c r="AC378" s="55"/>
      <c r="AD378" s="55"/>
      <c r="AE378" s="52"/>
      <c r="AF378" s="52"/>
      <c r="AG378" s="52"/>
      <c r="AH378" s="52"/>
      <c r="AI378" s="52"/>
      <c r="AJ378" s="55"/>
      <c r="AK378" s="55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6"/>
      <c r="AX378" s="52" t="s">
        <v>125</v>
      </c>
      <c r="AY37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Z37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A37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78" s="52"/>
      <c r="BD378" s="52" t="str">
        <f>IF(ISBLANK(Table2[[#This Row],[device_model]]), "", Table2[[#This Row],[device_suggested_area]])</f>
        <v>Study</v>
      </c>
      <c r="BE378" s="52" t="s">
        <v>219</v>
      </c>
      <c r="BF378" s="57" t="s">
        <v>331</v>
      </c>
      <c r="BG378" s="52" t="s">
        <v>221</v>
      </c>
      <c r="BH378" s="52"/>
      <c r="BI378" s="52" t="s">
        <v>332</v>
      </c>
      <c r="BJ378" s="52" t="s">
        <v>327</v>
      </c>
      <c r="BK378" s="52"/>
      <c r="BL378" s="52"/>
      <c r="BM378" s="52"/>
      <c r="BN378" s="52"/>
      <c r="BO378" s="52"/>
      <c r="BP378" s="52"/>
      <c r="BQ37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9" s="52" customFormat="1" ht="16" customHeight="1" x14ac:dyDescent="0.2">
      <c r="A379" s="28">
        <v>2597</v>
      </c>
      <c r="B379" s="52" t="s">
        <v>543</v>
      </c>
      <c r="C379" s="52" t="s">
        <v>221</v>
      </c>
      <c r="D379" s="52" t="s">
        <v>125</v>
      </c>
      <c r="E379" s="52" t="s">
        <v>1335</v>
      </c>
      <c r="F379" s="54" t="str">
        <f>IF(ISBLANK(Table2[[#This Row],[unique_id]]), "", PROPER(SUBSTITUTE(Table2[[#This Row],[unique_id]], "_", " ")))</f>
        <v>Broken Study Battery Charger Plug</v>
      </c>
      <c r="G379" s="52" t="s">
        <v>219</v>
      </c>
      <c r="H379" s="52" t="s">
        <v>491</v>
      </c>
      <c r="I379" s="52" t="s">
        <v>262</v>
      </c>
      <c r="M379" s="52" t="s">
        <v>244</v>
      </c>
      <c r="O379" s="55" t="s">
        <v>736</v>
      </c>
      <c r="P379" s="52" t="s">
        <v>155</v>
      </c>
      <c r="Q379" s="52" t="s">
        <v>708</v>
      </c>
      <c r="R379" s="52" t="s">
        <v>491</v>
      </c>
      <c r="S379" s="52" t="str">
        <f>Table2[[#This Row],[friendly_name]]</f>
        <v>Battery Charger</v>
      </c>
      <c r="T379" s="53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U379" s="53"/>
      <c r="V379" s="53"/>
      <c r="Y379" s="55"/>
      <c r="Z379" s="55"/>
      <c r="AA379" s="55"/>
      <c r="AB379" s="55"/>
      <c r="AC379" s="55"/>
      <c r="AD379" s="55"/>
      <c r="AH379" s="52" t="s">
        <v>242</v>
      </c>
      <c r="AJ379" s="55"/>
      <c r="AK379" s="55"/>
      <c r="AW379" s="56"/>
      <c r="AY37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Z37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A37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9" s="52" t="str">
        <f>IF(ISBLANK(Table2[[#This Row],[device_model]]), "", Table2[[#This Row],[device_suggested_area]])</f>
        <v>Study</v>
      </c>
      <c r="BE379" s="52" t="s">
        <v>219</v>
      </c>
      <c r="BF379" s="57" t="s">
        <v>331</v>
      </c>
      <c r="BG379" s="52" t="s">
        <v>221</v>
      </c>
      <c r="BI379" s="52" t="s">
        <v>332</v>
      </c>
      <c r="BJ379" s="52" t="s">
        <v>327</v>
      </c>
      <c r="BM379" s="52" t="s">
        <v>923</v>
      </c>
      <c r="BN379" s="52" t="s">
        <v>1186</v>
      </c>
      <c r="BO379" s="52" t="s">
        <v>312</v>
      </c>
      <c r="BP379" s="52" t="s">
        <v>1229</v>
      </c>
      <c r="BQ37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9" s="52" customFormat="1" ht="16" customHeight="1" x14ac:dyDescent="0.2">
      <c r="A380" s="28">
        <v>2598</v>
      </c>
      <c r="B380" s="52" t="s">
        <v>543</v>
      </c>
      <c r="C380" s="52" t="s">
        <v>756</v>
      </c>
      <c r="D380" s="52" t="s">
        <v>139</v>
      </c>
      <c r="E380" s="53" t="s">
        <v>1336</v>
      </c>
      <c r="F380" s="54" t="str">
        <f>IF(ISBLANK(Table2[[#This Row],[unique_id]]), "", PROPER(SUBSTITUTE(Table2[[#This Row],[unique_id]], "_", " ")))</f>
        <v>Broken Template Laundry Vacuum Charger Plug Proxy</v>
      </c>
      <c r="G380" s="52" t="s">
        <v>218</v>
      </c>
      <c r="H380" s="52" t="s">
        <v>491</v>
      </c>
      <c r="I380" s="52" t="s">
        <v>262</v>
      </c>
      <c r="O380" s="55" t="s">
        <v>736</v>
      </c>
      <c r="P380" s="52" t="s">
        <v>155</v>
      </c>
      <c r="Q380" s="52" t="s">
        <v>708</v>
      </c>
      <c r="R380" s="52" t="s">
        <v>491</v>
      </c>
      <c r="S380" s="52" t="str">
        <f>Table2[[#This Row],[friendly_name]]</f>
        <v>Vacuum Charger</v>
      </c>
      <c r="T380" s="53" t="s">
        <v>1013</v>
      </c>
      <c r="U380" s="53"/>
      <c r="V380" s="53"/>
      <c r="Y380" s="55"/>
      <c r="Z380" s="55"/>
      <c r="AA380" s="55"/>
      <c r="AB380" s="55"/>
      <c r="AC380" s="55"/>
      <c r="AD380" s="55"/>
      <c r="AJ380" s="55"/>
      <c r="AK380" s="55"/>
      <c r="AW380" s="56"/>
      <c r="AX380" s="52" t="s">
        <v>125</v>
      </c>
      <c r="AY38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Z38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A38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0" s="52" t="str">
        <f>IF(ISBLANK(Table2[[#This Row],[device_model]]), "", Table2[[#This Row],[device_suggested_area]])</f>
        <v>Laundry</v>
      </c>
      <c r="BE380" s="52" t="s">
        <v>218</v>
      </c>
      <c r="BF380" s="57" t="s">
        <v>331</v>
      </c>
      <c r="BG380" s="52" t="s">
        <v>221</v>
      </c>
      <c r="BI380" s="52" t="s">
        <v>332</v>
      </c>
      <c r="BJ380" s="52" t="s">
        <v>202</v>
      </c>
      <c r="BQ38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9" s="52" customFormat="1" ht="16" customHeight="1" x14ac:dyDescent="0.2">
      <c r="A381" s="28">
        <v>2599</v>
      </c>
      <c r="B381" s="52" t="s">
        <v>543</v>
      </c>
      <c r="C381" s="52" t="s">
        <v>221</v>
      </c>
      <c r="D381" s="52" t="s">
        <v>125</v>
      </c>
      <c r="E381" s="52" t="s">
        <v>1337</v>
      </c>
      <c r="F381" s="54" t="str">
        <f>IF(ISBLANK(Table2[[#This Row],[unique_id]]), "", PROPER(SUBSTITUTE(Table2[[#This Row],[unique_id]], "_", " ")))</f>
        <v>Broken Laundry Vacuum Charger Plug</v>
      </c>
      <c r="G381" s="52" t="s">
        <v>218</v>
      </c>
      <c r="H381" s="52" t="s">
        <v>491</v>
      </c>
      <c r="I381" s="52" t="s">
        <v>262</v>
      </c>
      <c r="M381" s="52" t="s">
        <v>244</v>
      </c>
      <c r="O381" s="55" t="s">
        <v>736</v>
      </c>
      <c r="P381" s="52" t="s">
        <v>155</v>
      </c>
      <c r="Q381" s="52" t="s">
        <v>708</v>
      </c>
      <c r="R381" s="52" t="s">
        <v>491</v>
      </c>
      <c r="S381" s="52" t="str">
        <f>Table2[[#This Row],[friendly_name]]</f>
        <v>Vacuum Charger</v>
      </c>
      <c r="T381" s="53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U381" s="53"/>
      <c r="V381" s="53"/>
      <c r="Y381" s="55"/>
      <c r="Z381" s="55"/>
      <c r="AA381" s="55"/>
      <c r="AB381" s="55"/>
      <c r="AC381" s="55"/>
      <c r="AD381" s="55"/>
      <c r="AH381" s="52" t="s">
        <v>242</v>
      </c>
      <c r="AJ381" s="55"/>
      <c r="AK381" s="55"/>
      <c r="AW381" s="56"/>
      <c r="AY38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Z38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A38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1" s="52" t="str">
        <f>IF(ISBLANK(Table2[[#This Row],[device_model]]), "", Table2[[#This Row],[device_suggested_area]])</f>
        <v>Laundry</v>
      </c>
      <c r="BE381" s="52" t="s">
        <v>218</v>
      </c>
      <c r="BF381" s="57" t="s">
        <v>331</v>
      </c>
      <c r="BG381" s="52" t="s">
        <v>221</v>
      </c>
      <c r="BI381" s="52" t="s">
        <v>332</v>
      </c>
      <c r="BJ381" s="52" t="s">
        <v>202</v>
      </c>
      <c r="BM381" s="52" t="s">
        <v>924</v>
      </c>
      <c r="BN381" s="52" t="s">
        <v>1186</v>
      </c>
      <c r="BO381" s="52" t="s">
        <v>313</v>
      </c>
      <c r="BP381" s="52" t="s">
        <v>1230</v>
      </c>
      <c r="BQ38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9" s="52" customFormat="1" ht="16" customHeight="1" x14ac:dyDescent="0.2">
      <c r="A382" s="28">
        <v>2600</v>
      </c>
      <c r="B382" s="52" t="s">
        <v>543</v>
      </c>
      <c r="C382" s="52" t="s">
        <v>756</v>
      </c>
      <c r="D382" s="52" t="s">
        <v>139</v>
      </c>
      <c r="E382" s="53" t="s">
        <v>1338</v>
      </c>
      <c r="F382" s="54" t="str">
        <f>IF(ISBLANK(Table2[[#This Row],[unique_id]]), "", PROPER(SUBSTITUTE(Table2[[#This Row],[unique_id]], "_", " ")))</f>
        <v>Broken Template Ada Tablet Plug Proxy</v>
      </c>
      <c r="G382" s="52" t="s">
        <v>769</v>
      </c>
      <c r="H382" s="52" t="s">
        <v>491</v>
      </c>
      <c r="I382" s="52" t="s">
        <v>262</v>
      </c>
      <c r="O382" s="55" t="s">
        <v>736</v>
      </c>
      <c r="P382" s="52" t="s">
        <v>155</v>
      </c>
      <c r="Q382" s="52" t="s">
        <v>708</v>
      </c>
      <c r="R382" s="58" t="s">
        <v>693</v>
      </c>
      <c r="S382" s="52" t="str">
        <f>Table2[[#This Row],[friendly_name]]</f>
        <v>Ada Tablet</v>
      </c>
      <c r="T382" s="53" t="s">
        <v>1013</v>
      </c>
      <c r="U382" s="53"/>
      <c r="V382" s="53"/>
      <c r="Y382" s="55"/>
      <c r="Z382" s="55"/>
      <c r="AA382" s="55"/>
      <c r="AB382" s="55"/>
      <c r="AC382" s="55"/>
      <c r="AD382" s="55"/>
      <c r="AJ382" s="55"/>
      <c r="AK382" s="55"/>
      <c r="AU382" s="57"/>
      <c r="AW382" s="59"/>
      <c r="AX382" s="52" t="s">
        <v>125</v>
      </c>
      <c r="AY38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Z38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38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2" s="52" t="str">
        <f>IF(ISBLANK(Table2[[#This Row],[device_model]]), "", Table2[[#This Row],[device_suggested_area]])</f>
        <v>Lounge</v>
      </c>
      <c r="BE382" s="52" t="s">
        <v>769</v>
      </c>
      <c r="BF382" s="57" t="s">
        <v>331</v>
      </c>
      <c r="BG382" s="52" t="s">
        <v>221</v>
      </c>
      <c r="BI382" s="52" t="s">
        <v>332</v>
      </c>
      <c r="BJ382" s="52" t="s">
        <v>183</v>
      </c>
      <c r="BQ38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9" s="52" customFormat="1" ht="16" customHeight="1" x14ac:dyDescent="0.2">
      <c r="A383" s="28">
        <v>2601</v>
      </c>
      <c r="B383" s="52" t="s">
        <v>543</v>
      </c>
      <c r="C383" s="52" t="s">
        <v>221</v>
      </c>
      <c r="D383" s="52" t="s">
        <v>125</v>
      </c>
      <c r="E383" s="52" t="s">
        <v>1339</v>
      </c>
      <c r="F383" s="54" t="str">
        <f>IF(ISBLANK(Table2[[#This Row],[unique_id]]), "", PROPER(SUBSTITUTE(Table2[[#This Row],[unique_id]], "_", " ")))</f>
        <v>Broken Ada Tablet Plug</v>
      </c>
      <c r="G383" s="52" t="s">
        <v>769</v>
      </c>
      <c r="H383" s="52" t="s">
        <v>491</v>
      </c>
      <c r="I383" s="52" t="s">
        <v>262</v>
      </c>
      <c r="M383" s="52" t="s">
        <v>244</v>
      </c>
      <c r="O383" s="55" t="s">
        <v>736</v>
      </c>
      <c r="P383" s="52" t="s">
        <v>155</v>
      </c>
      <c r="Q383" s="52" t="s">
        <v>708</v>
      </c>
      <c r="R383" s="58" t="s">
        <v>693</v>
      </c>
      <c r="S383" s="52" t="str">
        <f>Table2[[#This Row],[friendly_name]]</f>
        <v>Ada Tablet</v>
      </c>
      <c r="T383" s="53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U383" s="53"/>
      <c r="V383" s="53"/>
      <c r="Y383" s="55"/>
      <c r="Z383" s="55"/>
      <c r="AA383" s="55"/>
      <c r="AB383" s="55"/>
      <c r="AC383" s="55"/>
      <c r="AD383" s="55"/>
      <c r="AH383" s="52" t="s">
        <v>770</v>
      </c>
      <c r="AJ383" s="55"/>
      <c r="AK383" s="55"/>
      <c r="AU383" s="57"/>
      <c r="AW383" s="59"/>
      <c r="AY38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Z38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38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3" s="52" t="str">
        <f>IF(ISBLANK(Table2[[#This Row],[device_model]]), "", Table2[[#This Row],[device_suggested_area]])</f>
        <v>Lounge</v>
      </c>
      <c r="BE383" s="52" t="s">
        <v>769</v>
      </c>
      <c r="BF383" s="57" t="s">
        <v>331</v>
      </c>
      <c r="BG383" s="52" t="s">
        <v>221</v>
      </c>
      <c r="BI383" s="52" t="s">
        <v>332</v>
      </c>
      <c r="BJ383" s="52" t="s">
        <v>183</v>
      </c>
      <c r="BM383" s="52" t="s">
        <v>923</v>
      </c>
      <c r="BN383" s="52" t="s">
        <v>1186</v>
      </c>
      <c r="BO383" s="52" t="s">
        <v>748</v>
      </c>
      <c r="BP383" s="52" t="s">
        <v>1231</v>
      </c>
      <c r="BQ38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9" s="52" customFormat="1" ht="16" customHeight="1" x14ac:dyDescent="0.2">
      <c r="A384" s="28">
        <v>2602</v>
      </c>
      <c r="B384" s="28" t="s">
        <v>26</v>
      </c>
      <c r="C384" s="28" t="s">
        <v>348</v>
      </c>
      <c r="D384" s="28" t="s">
        <v>125</v>
      </c>
      <c r="E384" s="37" t="s">
        <v>575</v>
      </c>
      <c r="F384" s="34" t="str">
        <f>IF(ISBLANK(Table2[[#This Row],[unique_id]]), "", PROPER(SUBSTITUTE(Table2[[#This Row],[unique_id]], "_", " ")))</f>
        <v>Deck Fans Outlet</v>
      </c>
      <c r="G384" s="28" t="s">
        <v>578</v>
      </c>
      <c r="H384" s="28" t="s">
        <v>491</v>
      </c>
      <c r="I384" s="28" t="s">
        <v>262</v>
      </c>
      <c r="J384" s="28"/>
      <c r="K384" s="28"/>
      <c r="L384" s="28"/>
      <c r="M384" s="28" t="s">
        <v>244</v>
      </c>
      <c r="N384" s="28"/>
      <c r="O384" s="29" t="s">
        <v>736</v>
      </c>
      <c r="P384" s="28" t="s">
        <v>155</v>
      </c>
      <c r="Q384" s="28" t="s">
        <v>708</v>
      </c>
      <c r="R384" s="28" t="s">
        <v>710</v>
      </c>
      <c r="S384" s="28" t="s">
        <v>767</v>
      </c>
      <c r="T384" s="35" t="s">
        <v>766</v>
      </c>
      <c r="U384" s="35"/>
      <c r="V384" s="35"/>
      <c r="W384" s="28"/>
      <c r="X384" s="28"/>
      <c r="Y384" s="29"/>
      <c r="Z384" s="29" t="s">
        <v>455</v>
      </c>
      <c r="AA384" s="29"/>
      <c r="AB384" s="40" t="s">
        <v>705</v>
      </c>
      <c r="AC384" s="29"/>
      <c r="AD384" s="29"/>
      <c r="AE384" s="28"/>
      <c r="AF384" s="28"/>
      <c r="AG384" s="28"/>
      <c r="AH384" s="28" t="s">
        <v>238</v>
      </c>
      <c r="AI384" s="28"/>
      <c r="AJ384" s="29"/>
      <c r="AK384" s="29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X384" s="35"/>
      <c r="AY3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Z3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BA3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4" s="28" t="str">
        <f>Table2[[#This Row],[device_suggested_area]]</f>
        <v>Deck</v>
      </c>
      <c r="BD384" s="28" t="str">
        <f>IF(ISBLANK(Table2[[#This Row],[device_model]]), "", Table2[[#This Row],[device_suggested_area]])</f>
        <v>Deck</v>
      </c>
      <c r="BE384" s="35" t="s">
        <v>961</v>
      </c>
      <c r="BF384" s="35" t="s">
        <v>580</v>
      </c>
      <c r="BG384" s="28" t="s">
        <v>348</v>
      </c>
      <c r="BH384" s="28"/>
      <c r="BI384" s="35" t="s">
        <v>581</v>
      </c>
      <c r="BJ384" s="28" t="s">
        <v>328</v>
      </c>
      <c r="BK384" s="28"/>
      <c r="BL384" s="28"/>
      <c r="BM384" s="28"/>
      <c r="BN384" s="28"/>
      <c r="BO384" s="28" t="s">
        <v>582</v>
      </c>
      <c r="BP384" s="28"/>
      <c r="BQ3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9" ht="16" customHeight="1" x14ac:dyDescent="0.2">
      <c r="A385" s="28">
        <v>2603</v>
      </c>
      <c r="B385" s="28" t="s">
        <v>26</v>
      </c>
      <c r="C385" s="28" t="s">
        <v>348</v>
      </c>
      <c r="D385" s="28" t="s">
        <v>125</v>
      </c>
      <c r="E385" s="37" t="s">
        <v>576</v>
      </c>
      <c r="F385" s="34" t="str">
        <f>IF(ISBLANK(Table2[[#This Row],[unique_id]]), "", PROPER(SUBSTITUTE(Table2[[#This Row],[unique_id]], "_", " ")))</f>
        <v>Kitchen Fan Outlet</v>
      </c>
      <c r="G385" s="28" t="s">
        <v>577</v>
      </c>
      <c r="H385" s="28" t="s">
        <v>491</v>
      </c>
      <c r="I385" s="28" t="s">
        <v>262</v>
      </c>
      <c r="M385" s="28" t="s">
        <v>244</v>
      </c>
      <c r="O385" s="29" t="s">
        <v>736</v>
      </c>
      <c r="P385" s="28" t="s">
        <v>155</v>
      </c>
      <c r="Q385" s="28" t="s">
        <v>708</v>
      </c>
      <c r="R385" s="28" t="s">
        <v>710</v>
      </c>
      <c r="S385" s="28" t="s">
        <v>767</v>
      </c>
      <c r="T385" s="35" t="s">
        <v>766</v>
      </c>
      <c r="U385" s="35"/>
      <c r="V385" s="35"/>
      <c r="W385" s="28"/>
      <c r="Y385" s="29"/>
      <c r="Z385" s="29" t="s">
        <v>455</v>
      </c>
      <c r="AA385" s="29"/>
      <c r="AB385" s="40" t="s">
        <v>705</v>
      </c>
      <c r="AH385" s="28" t="s">
        <v>238</v>
      </c>
      <c r="AJ385" s="29"/>
      <c r="AK385" s="29"/>
      <c r="AV385" s="28"/>
      <c r="AW3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X385" s="35"/>
      <c r="AY3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Z3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BA3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5" s="28" t="str">
        <f>Table2[[#This Row],[device_suggested_area]]</f>
        <v>Kitchen</v>
      </c>
      <c r="BD385" s="28" t="str">
        <f>IF(ISBLANK(Table2[[#This Row],[device_model]]), "", Table2[[#This Row],[device_suggested_area]])</f>
        <v>Kitchen</v>
      </c>
      <c r="BE385" s="35" t="s">
        <v>962</v>
      </c>
      <c r="BF385" s="35" t="s">
        <v>580</v>
      </c>
      <c r="BG385" s="28" t="s">
        <v>348</v>
      </c>
      <c r="BI385" s="35" t="s">
        <v>581</v>
      </c>
      <c r="BJ385" s="28" t="s">
        <v>195</v>
      </c>
      <c r="BO385" s="28" t="s">
        <v>583</v>
      </c>
      <c r="BQ3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9" ht="16" customHeight="1" x14ac:dyDescent="0.2">
      <c r="A386" s="28">
        <v>2604</v>
      </c>
      <c r="B386" s="28" t="s">
        <v>26</v>
      </c>
      <c r="C386" s="28" t="s">
        <v>348</v>
      </c>
      <c r="D386" s="28" t="s">
        <v>125</v>
      </c>
      <c r="E386" s="37" t="s">
        <v>1434</v>
      </c>
      <c r="F386" s="34" t="str">
        <f>IF(ISBLANK(Table2[[#This Row],[unique_id]]), "", PROPER(SUBSTITUTE(Table2[[#This Row],[unique_id]], "_", " ")))</f>
        <v>Ada Desk Outlet</v>
      </c>
      <c r="G386" s="28" t="s">
        <v>1433</v>
      </c>
      <c r="H386" s="28" t="s">
        <v>491</v>
      </c>
      <c r="I386" s="28" t="s">
        <v>262</v>
      </c>
      <c r="M386" s="28" t="s">
        <v>244</v>
      </c>
      <c r="O386" s="29" t="s">
        <v>736</v>
      </c>
      <c r="P386" s="28" t="s">
        <v>155</v>
      </c>
      <c r="Q386" s="28" t="s">
        <v>708</v>
      </c>
      <c r="R386" s="28" t="s">
        <v>710</v>
      </c>
      <c r="S386" s="28" t="s">
        <v>767</v>
      </c>
      <c r="T386" s="35" t="s">
        <v>766</v>
      </c>
      <c r="U386" s="35"/>
      <c r="V386" s="35"/>
      <c r="W386" s="28"/>
      <c r="Y386" s="29"/>
      <c r="Z386" s="29" t="s">
        <v>455</v>
      </c>
      <c r="AA386" s="29"/>
      <c r="AB386" s="40" t="s">
        <v>705</v>
      </c>
      <c r="AC386" s="40"/>
      <c r="AD386" s="40"/>
      <c r="AH386" s="28" t="s">
        <v>238</v>
      </c>
      <c r="AJ386" s="29"/>
      <c r="AK386" s="29"/>
      <c r="AV386" s="28"/>
      <c r="AW3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X386" s="35"/>
      <c r="AY3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Z3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BA3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6" s="28" t="str">
        <f>Table2[[#This Row],[device_suggested_area]]</f>
        <v>Ada</v>
      </c>
      <c r="BD386" s="28" t="str">
        <f>IF(ISBLANK(Table2[[#This Row],[device_model]]), "", Table2[[#This Row],[device_suggested_area]])</f>
        <v>Ada</v>
      </c>
      <c r="BE386" s="35" t="s">
        <v>1423</v>
      </c>
      <c r="BF386" s="35" t="s">
        <v>580</v>
      </c>
      <c r="BG386" s="28" t="s">
        <v>348</v>
      </c>
      <c r="BI386" s="35" t="s">
        <v>581</v>
      </c>
      <c r="BJ386" s="28" t="s">
        <v>121</v>
      </c>
      <c r="BO386" s="28" t="s">
        <v>1435</v>
      </c>
      <c r="BQ3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9" ht="16" customHeight="1" x14ac:dyDescent="0.2">
      <c r="A387" s="28">
        <v>2605</v>
      </c>
      <c r="B387" s="28" t="s">
        <v>26</v>
      </c>
      <c r="C387" s="28" t="s">
        <v>348</v>
      </c>
      <c r="D387" s="28" t="s">
        <v>125</v>
      </c>
      <c r="E387" s="37" t="s">
        <v>1422</v>
      </c>
      <c r="F387" s="34" t="str">
        <f>IF(ISBLANK(Table2[[#This Row],[unique_id]]), "", PROPER(SUBSTITUTE(Table2[[#This Row],[unique_id]], "_", " ")))</f>
        <v>Edwin Desk Outlet</v>
      </c>
      <c r="G387" s="28" t="s">
        <v>1421</v>
      </c>
      <c r="H387" s="28" t="s">
        <v>491</v>
      </c>
      <c r="I387" s="28" t="s">
        <v>262</v>
      </c>
      <c r="M387" s="28" t="s">
        <v>244</v>
      </c>
      <c r="O387" s="29" t="s">
        <v>736</v>
      </c>
      <c r="P387" s="28" t="s">
        <v>155</v>
      </c>
      <c r="Q387" s="28" t="s">
        <v>708</v>
      </c>
      <c r="R387" s="28" t="s">
        <v>710</v>
      </c>
      <c r="S387" s="28" t="s">
        <v>767</v>
      </c>
      <c r="T387" s="35" t="s">
        <v>766</v>
      </c>
      <c r="U387" s="35"/>
      <c r="V387" s="35"/>
      <c r="W387" s="28"/>
      <c r="Y387" s="29"/>
      <c r="Z387" s="29" t="s">
        <v>455</v>
      </c>
      <c r="AA387" s="29"/>
      <c r="AB387" s="40" t="s">
        <v>705</v>
      </c>
      <c r="AC387" s="40"/>
      <c r="AD387" s="40"/>
      <c r="AH387" s="28" t="s">
        <v>238</v>
      </c>
      <c r="AJ387" s="29"/>
      <c r="AK387" s="29"/>
      <c r="AV387" s="28"/>
      <c r="AW3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X387" s="35"/>
      <c r="AY3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Z3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BA3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7" s="28" t="str">
        <f>Table2[[#This Row],[device_suggested_area]]</f>
        <v>Edwin</v>
      </c>
      <c r="BD387" s="28" t="str">
        <f>IF(ISBLANK(Table2[[#This Row],[device_model]]), "", Table2[[#This Row],[device_suggested_area]])</f>
        <v>Edwin</v>
      </c>
      <c r="BE387" s="35" t="s">
        <v>1423</v>
      </c>
      <c r="BF387" s="35" t="s">
        <v>580</v>
      </c>
      <c r="BG387" s="28" t="s">
        <v>348</v>
      </c>
      <c r="BI387" s="35" t="s">
        <v>581</v>
      </c>
      <c r="BJ387" s="28" t="s">
        <v>118</v>
      </c>
      <c r="BO387" s="28" t="s">
        <v>579</v>
      </c>
      <c r="BQ3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9" ht="16" customHeight="1" x14ac:dyDescent="0.2">
      <c r="A388" s="28">
        <v>2606</v>
      </c>
      <c r="B388" s="52" t="s">
        <v>543</v>
      </c>
      <c r="C388" s="52" t="s">
        <v>756</v>
      </c>
      <c r="D388" s="52" t="s">
        <v>139</v>
      </c>
      <c r="E388" s="53" t="s">
        <v>1363</v>
      </c>
      <c r="F388" s="54" t="str">
        <f>IF(ISBLANK(Table2[[#This Row],[unique_id]]), "", PROPER(SUBSTITUTE(Table2[[#This Row],[unique_id]], "_", " ")))</f>
        <v>Broken Template Server May Plug Proxy</v>
      </c>
      <c r="G388" s="52" t="s">
        <v>1364</v>
      </c>
      <c r="H388" s="52" t="s">
        <v>491</v>
      </c>
      <c r="I388" s="52" t="s">
        <v>262</v>
      </c>
      <c r="J388" s="52"/>
      <c r="K388" s="52"/>
      <c r="L388" s="52"/>
      <c r="M388" s="52"/>
      <c r="N388" s="52"/>
      <c r="O388" s="55" t="s">
        <v>736</v>
      </c>
      <c r="P388" s="52"/>
      <c r="Q388" s="52"/>
      <c r="R388" s="52" t="s">
        <v>749</v>
      </c>
      <c r="S388" s="52" t="str">
        <f>Table2[[#This Row],[friendly_name]]</f>
        <v>Server May</v>
      </c>
      <c r="T388" s="53" t="s">
        <v>1013</v>
      </c>
      <c r="U388" s="53"/>
      <c r="V388" s="53"/>
      <c r="W388" s="52"/>
      <c r="X388" s="52"/>
      <c r="Y388" s="55"/>
      <c r="Z388" s="55"/>
      <c r="AA388" s="55"/>
      <c r="AB388" s="55"/>
      <c r="AC388" s="55"/>
      <c r="AD388" s="55"/>
      <c r="AE388" s="52"/>
      <c r="AF388" s="52"/>
      <c r="AG388" s="52"/>
      <c r="AH388" s="52"/>
      <c r="AI388" s="52"/>
      <c r="AJ388" s="55"/>
      <c r="AK388" s="55"/>
      <c r="AL388" s="52"/>
      <c r="AM388" s="52"/>
      <c r="AN388" s="52"/>
      <c r="AO388" s="52"/>
      <c r="AP388" s="52"/>
      <c r="AQ388" s="52"/>
      <c r="AR388" s="52"/>
      <c r="AS388" s="52"/>
      <c r="AT388" s="52"/>
      <c r="AU388" s="57"/>
      <c r="AV388" s="52"/>
      <c r="AW388" s="59"/>
      <c r="AX388" s="52" t="s">
        <v>125</v>
      </c>
      <c r="AY38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Z38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A38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8" s="52"/>
      <c r="BD388" s="52" t="str">
        <f>IF(ISBLANK(Table2[[#This Row],[device_model]]), "", Table2[[#This Row],[device_suggested_area]])</f>
        <v>Rack</v>
      </c>
      <c r="BE388" s="52" t="s">
        <v>1368</v>
      </c>
      <c r="BF388" s="57" t="s">
        <v>331</v>
      </c>
      <c r="BG388" s="52" t="s">
        <v>221</v>
      </c>
      <c r="BH388" s="52"/>
      <c r="BI388" s="52" t="s">
        <v>332</v>
      </c>
      <c r="BJ388" s="52" t="s">
        <v>28</v>
      </c>
      <c r="BK388" s="52"/>
      <c r="BL388" s="52"/>
      <c r="BM388" s="52"/>
      <c r="BN388" s="52"/>
      <c r="BO388" s="52"/>
      <c r="BP388" s="52"/>
      <c r="BQ38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9" s="52" customFormat="1" ht="16" customHeight="1" x14ac:dyDescent="0.2">
      <c r="A389" s="28">
        <v>2607</v>
      </c>
      <c r="B389" s="52" t="s">
        <v>543</v>
      </c>
      <c r="C389" s="52" t="s">
        <v>221</v>
      </c>
      <c r="D389" s="52" t="s">
        <v>125</v>
      </c>
      <c r="E389" s="52" t="s">
        <v>1365</v>
      </c>
      <c r="F389" s="54" t="str">
        <f>IF(ISBLANK(Table2[[#This Row],[unique_id]]), "", PROPER(SUBSTITUTE(Table2[[#This Row],[unique_id]], "_", " ")))</f>
        <v>Broken Server May Plug</v>
      </c>
      <c r="G389" s="52" t="s">
        <v>1364</v>
      </c>
      <c r="H389" s="52" t="s">
        <v>491</v>
      </c>
      <c r="I389" s="52" t="s">
        <v>262</v>
      </c>
      <c r="M389" s="52" t="s">
        <v>244</v>
      </c>
      <c r="O389" s="55" t="s">
        <v>736</v>
      </c>
      <c r="R389" s="52" t="s">
        <v>749</v>
      </c>
      <c r="S389" s="52" t="str">
        <f>Table2[[#This Row],[friendly_name]]</f>
        <v>Server May</v>
      </c>
      <c r="T389" s="53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U389" s="53"/>
      <c r="V389" s="53"/>
      <c r="Y389" s="55"/>
      <c r="Z389" s="55"/>
      <c r="AA389" s="55"/>
      <c r="AB389" s="55"/>
      <c r="AC389" s="55"/>
      <c r="AD389" s="55"/>
      <c r="AH389" s="52" t="s">
        <v>239</v>
      </c>
      <c r="AJ389" s="55"/>
      <c r="AK389" s="55"/>
      <c r="AU389" s="57"/>
      <c r="AW389" s="59"/>
      <c r="AY38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Z38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A38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9" s="52" t="str">
        <f>IF(ISBLANK(Table2[[#This Row],[device_model]]), "", Table2[[#This Row],[device_suggested_area]])</f>
        <v>Rack</v>
      </c>
      <c r="BE389" s="52" t="s">
        <v>1368</v>
      </c>
      <c r="BF389" s="57" t="s">
        <v>331</v>
      </c>
      <c r="BG389" s="52" t="s">
        <v>221</v>
      </c>
      <c r="BI389" s="52" t="s">
        <v>332</v>
      </c>
      <c r="BJ389" s="52" t="s">
        <v>28</v>
      </c>
      <c r="BM389" s="52" t="s">
        <v>924</v>
      </c>
      <c r="BN389" s="52" t="s">
        <v>1186</v>
      </c>
      <c r="BO389" s="52" t="s">
        <v>752</v>
      </c>
      <c r="BP389" s="52" t="s">
        <v>1232</v>
      </c>
      <c r="BQ38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9" s="52" customFormat="1" ht="16" customHeight="1" x14ac:dyDescent="0.2">
      <c r="A390" s="28">
        <v>2608</v>
      </c>
      <c r="B390" s="52" t="s">
        <v>543</v>
      </c>
      <c r="C390" s="52" t="s">
        <v>756</v>
      </c>
      <c r="D390" s="52" t="s">
        <v>139</v>
      </c>
      <c r="E390" s="53" t="s">
        <v>1340</v>
      </c>
      <c r="F390" s="54" t="str">
        <f>IF(ISBLANK(Table2[[#This Row],[unique_id]]), "", PROPER(SUBSTITUTE(Table2[[#This Row],[unique_id]], "_", " ")))</f>
        <v>Broken Template Server Meg Plug Proxy</v>
      </c>
      <c r="G390" s="57" t="s">
        <v>753</v>
      </c>
      <c r="H390" s="52" t="s">
        <v>491</v>
      </c>
      <c r="I390" s="52" t="s">
        <v>262</v>
      </c>
      <c r="O390" s="55" t="s">
        <v>736</v>
      </c>
      <c r="R390" s="52" t="s">
        <v>749</v>
      </c>
      <c r="S390" s="52" t="str">
        <f>Table2[[#This Row],[friendly_name]]</f>
        <v>Server Meg</v>
      </c>
      <c r="T390" s="53" t="s">
        <v>1013</v>
      </c>
      <c r="U390" s="53"/>
      <c r="V390" s="53"/>
      <c r="Y390" s="55"/>
      <c r="Z390" s="55"/>
      <c r="AA390" s="55"/>
      <c r="AB390" s="55"/>
      <c r="AC390" s="55"/>
      <c r="AD390" s="55"/>
      <c r="AJ390" s="55"/>
      <c r="AK390" s="55"/>
      <c r="AU390" s="57"/>
      <c r="AW390" s="59"/>
      <c r="AX390" s="52" t="s">
        <v>125</v>
      </c>
      <c r="AY39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Z39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A39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0" s="52" t="str">
        <f>IF(ISBLANK(Table2[[#This Row],[device_model]]), "", Table2[[#This Row],[device_suggested_area]])</f>
        <v>Rack</v>
      </c>
      <c r="BE390" s="52" t="s">
        <v>1006</v>
      </c>
      <c r="BF390" s="57" t="s">
        <v>331</v>
      </c>
      <c r="BG390" s="52" t="s">
        <v>221</v>
      </c>
      <c r="BI390" s="52" t="s">
        <v>332</v>
      </c>
      <c r="BJ390" s="52" t="s">
        <v>28</v>
      </c>
      <c r="BQ39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9" s="52" customFormat="1" ht="16" customHeight="1" x14ac:dyDescent="0.2">
      <c r="A391" s="28">
        <v>2609</v>
      </c>
      <c r="B391" s="52" t="s">
        <v>543</v>
      </c>
      <c r="C391" s="52" t="s">
        <v>221</v>
      </c>
      <c r="D391" s="52" t="s">
        <v>125</v>
      </c>
      <c r="E391" s="52" t="s">
        <v>1341</v>
      </c>
      <c r="F391" s="54" t="str">
        <f>IF(ISBLANK(Table2[[#This Row],[unique_id]]), "", PROPER(SUBSTITUTE(Table2[[#This Row],[unique_id]], "_", " ")))</f>
        <v>Broken Server Meg Plug</v>
      </c>
      <c r="G391" s="57" t="s">
        <v>753</v>
      </c>
      <c r="H391" s="52" t="s">
        <v>491</v>
      </c>
      <c r="I391" s="52" t="s">
        <v>262</v>
      </c>
      <c r="M391" s="52" t="s">
        <v>244</v>
      </c>
      <c r="O391" s="55" t="s">
        <v>736</v>
      </c>
      <c r="R391" s="52" t="s">
        <v>749</v>
      </c>
      <c r="S391" s="52" t="str">
        <f>Table2[[#This Row],[friendly_name]]</f>
        <v>Server Meg</v>
      </c>
      <c r="T391" s="53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U391" s="53"/>
      <c r="V391" s="53"/>
      <c r="Y391" s="55"/>
      <c r="Z391" s="55"/>
      <c r="AA391" s="55"/>
      <c r="AB391" s="55"/>
      <c r="AC391" s="55"/>
      <c r="AD391" s="55"/>
      <c r="AH391" s="52" t="s">
        <v>239</v>
      </c>
      <c r="AJ391" s="55"/>
      <c r="AK391" s="55"/>
      <c r="AU391" s="57"/>
      <c r="AW391" s="59"/>
      <c r="AY39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Z39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A39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1" s="52" t="str">
        <f>IF(ISBLANK(Table2[[#This Row],[device_model]]), "", Table2[[#This Row],[device_suggested_area]])</f>
        <v>Rack</v>
      </c>
      <c r="BE391" s="52" t="s">
        <v>1006</v>
      </c>
      <c r="BF391" s="57" t="s">
        <v>331</v>
      </c>
      <c r="BG391" s="52" t="s">
        <v>221</v>
      </c>
      <c r="BI391" s="52" t="s">
        <v>332</v>
      </c>
      <c r="BJ391" s="52" t="s">
        <v>28</v>
      </c>
      <c r="BM391" s="52" t="s">
        <v>924</v>
      </c>
      <c r="BN391" s="52" t="s">
        <v>1186</v>
      </c>
      <c r="BO391" s="52" t="s">
        <v>751</v>
      </c>
      <c r="BP391" s="52" t="s">
        <v>1233</v>
      </c>
      <c r="BQ39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9" s="52" customFormat="1" ht="16" customHeight="1" x14ac:dyDescent="0.2">
      <c r="A392" s="28">
        <v>2610</v>
      </c>
      <c r="B392" s="28" t="s">
        <v>26</v>
      </c>
      <c r="C392" s="28" t="s">
        <v>756</v>
      </c>
      <c r="D392" s="28" t="s">
        <v>139</v>
      </c>
      <c r="E392" s="35" t="s">
        <v>1371</v>
      </c>
      <c r="F392" s="34" t="str">
        <f>IF(ISBLANK(Table2[[#This Row],[unique_id]]), "", PROPER(SUBSTITUTE(Table2[[#This Row],[unique_id]], "_", " ")))</f>
        <v>Template Server Jen Plug Proxy</v>
      </c>
      <c r="G392" s="28" t="s">
        <v>1375</v>
      </c>
      <c r="H392" s="28" t="s">
        <v>491</v>
      </c>
      <c r="I392" s="28" t="s">
        <v>262</v>
      </c>
      <c r="J392" s="28"/>
      <c r="K392" s="28"/>
      <c r="L392" s="28"/>
      <c r="M392" s="28"/>
      <c r="N392" s="28"/>
      <c r="O392" s="29" t="s">
        <v>736</v>
      </c>
      <c r="P392" s="28" t="s">
        <v>155</v>
      </c>
      <c r="Q392" s="28" t="s">
        <v>708</v>
      </c>
      <c r="R392" s="28" t="s">
        <v>710</v>
      </c>
      <c r="S392" s="28" t="str">
        <f>Table2[[#This Row],[friendly_name]]</f>
        <v>Server Jen</v>
      </c>
      <c r="T392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5"/>
      <c r="V392" s="35"/>
      <c r="W392" s="28"/>
      <c r="X392" s="28"/>
      <c r="Y392" s="29"/>
      <c r="Z392" s="29"/>
      <c r="AA392" s="29"/>
      <c r="AB392" s="29"/>
      <c r="AC392" s="29"/>
      <c r="AD392" s="29"/>
      <c r="AE392" s="28"/>
      <c r="AF392" s="28"/>
      <c r="AG392" s="28"/>
      <c r="AH392" s="28"/>
      <c r="AI392" s="28"/>
      <c r="AJ392" s="29"/>
      <c r="AK392" s="29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38"/>
      <c r="AX392" s="28" t="s">
        <v>125</v>
      </c>
      <c r="AY3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Z3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A3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92" s="28"/>
      <c r="BD392" s="28" t="s">
        <v>460</v>
      </c>
      <c r="BE392" s="28" t="s">
        <v>1376</v>
      </c>
      <c r="BF392" s="28" t="s">
        <v>330</v>
      </c>
      <c r="BG392" s="28" t="s">
        <v>221</v>
      </c>
      <c r="BH392" s="28"/>
      <c r="BI392" s="28" t="s">
        <v>333</v>
      </c>
      <c r="BJ392" s="28" t="s">
        <v>460</v>
      </c>
      <c r="BK392" s="28"/>
      <c r="BL392" s="28"/>
      <c r="BM392" s="28"/>
      <c r="BN392" s="28"/>
      <c r="BO392" s="28"/>
      <c r="BP392" s="28"/>
      <c r="BQ3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9" ht="16" customHeight="1" x14ac:dyDescent="0.2">
      <c r="A393" s="28">
        <v>2611</v>
      </c>
      <c r="B393" s="28" t="s">
        <v>26</v>
      </c>
      <c r="C393" s="28" t="s">
        <v>221</v>
      </c>
      <c r="D393" s="28" t="s">
        <v>125</v>
      </c>
      <c r="E393" s="28" t="s">
        <v>1372</v>
      </c>
      <c r="F393" s="34" t="str">
        <f>IF(ISBLANK(Table2[[#This Row],[unique_id]]), "", PROPER(SUBSTITUTE(Table2[[#This Row],[unique_id]], "_", " ")))</f>
        <v>Server Jen Plug</v>
      </c>
      <c r="G393" s="28" t="s">
        <v>1375</v>
      </c>
      <c r="H393" s="28" t="s">
        <v>491</v>
      </c>
      <c r="I393" s="28" t="s">
        <v>262</v>
      </c>
      <c r="M393" s="28" t="s">
        <v>244</v>
      </c>
      <c r="O393" s="29" t="s">
        <v>736</v>
      </c>
      <c r="P393" s="28" t="s">
        <v>155</v>
      </c>
      <c r="Q393" s="28" t="s">
        <v>708</v>
      </c>
      <c r="R393" s="28" t="s">
        <v>710</v>
      </c>
      <c r="S393" s="28" t="str">
        <f>Table2[[#This Row],[friendly_name]]</f>
        <v>Server Jen</v>
      </c>
      <c r="T393" s="35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5"/>
      <c r="V393" s="35"/>
      <c r="W393" s="28"/>
      <c r="Y393" s="29"/>
      <c r="Z393" s="29"/>
      <c r="AA393" s="29"/>
      <c r="AB393" s="29"/>
      <c r="AH393" s="28" t="s">
        <v>239</v>
      </c>
      <c r="AJ393" s="29"/>
      <c r="AK393" s="29"/>
      <c r="AV393" s="28"/>
      <c r="AW393" s="38"/>
      <c r="AY3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Z3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A3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3" s="28" t="s">
        <v>460</v>
      </c>
      <c r="BE393" s="28" t="s">
        <v>1376</v>
      </c>
      <c r="BF393" s="28" t="s">
        <v>330</v>
      </c>
      <c r="BG393" s="28" t="s">
        <v>221</v>
      </c>
      <c r="BI393" s="28" t="s">
        <v>333</v>
      </c>
      <c r="BJ393" s="28" t="s">
        <v>460</v>
      </c>
      <c r="BM393" s="28" t="s">
        <v>924</v>
      </c>
      <c r="BN393" s="28" t="s">
        <v>1186</v>
      </c>
      <c r="BO393" s="28" t="s">
        <v>319</v>
      </c>
      <c r="BP393" s="28" t="s">
        <v>1234</v>
      </c>
      <c r="BQ3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9" ht="16" customHeight="1" x14ac:dyDescent="0.2">
      <c r="A394" s="28">
        <v>2612</v>
      </c>
      <c r="B394" s="28" t="s">
        <v>26</v>
      </c>
      <c r="C394" s="28" t="s">
        <v>756</v>
      </c>
      <c r="D394" s="28" t="s">
        <v>139</v>
      </c>
      <c r="E394" s="35" t="s">
        <v>914</v>
      </c>
      <c r="F394" s="34" t="str">
        <f>IF(ISBLANK(Table2[[#This Row],[unique_id]]), "", PROPER(SUBSTITUTE(Table2[[#This Row],[unique_id]], "_", " ")))</f>
        <v>Template Rack Outlet Plug Proxy</v>
      </c>
      <c r="G394" s="28" t="s">
        <v>210</v>
      </c>
      <c r="H394" s="28" t="s">
        <v>491</v>
      </c>
      <c r="I394" s="28" t="s">
        <v>262</v>
      </c>
      <c r="O394" s="29" t="s">
        <v>736</v>
      </c>
      <c r="P394" s="28" t="s">
        <v>155</v>
      </c>
      <c r="Q394" s="28" t="s">
        <v>708</v>
      </c>
      <c r="R394" s="28" t="s">
        <v>710</v>
      </c>
      <c r="S394" s="28" t="str">
        <f>Table2[[#This Row],[friendly_name]]</f>
        <v>Server Rack</v>
      </c>
      <c r="T394" s="35" t="s">
        <v>1015</v>
      </c>
      <c r="U394" s="35"/>
      <c r="V394" s="35"/>
      <c r="W394" s="28"/>
      <c r="Y394" s="29"/>
      <c r="Z394" s="29"/>
      <c r="AA394" s="29"/>
      <c r="AB394" s="29"/>
      <c r="AJ394" s="29"/>
      <c r="AK394" s="29"/>
      <c r="AV394" s="28"/>
      <c r="AW394" s="38"/>
      <c r="AX394" s="28" t="s">
        <v>125</v>
      </c>
      <c r="AY3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4" s="28" t="str">
        <f>IF(ISBLANK(Table2[[#This Row],[device_model]]), "", Table2[[#This Row],[device_suggested_area]])</f>
        <v>Rack</v>
      </c>
      <c r="BE394" s="28" t="s">
        <v>965</v>
      </c>
      <c r="BF394" s="28" t="s">
        <v>862</v>
      </c>
      <c r="BG394" s="28" t="s">
        <v>1053</v>
      </c>
      <c r="BI394" s="28" t="s">
        <v>835</v>
      </c>
      <c r="BJ394" s="28" t="s">
        <v>28</v>
      </c>
      <c r="BO394" s="28"/>
      <c r="BQ3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9" ht="16" customHeight="1" x14ac:dyDescent="0.2">
      <c r="A395" s="28">
        <v>2613</v>
      </c>
      <c r="B395" s="28" t="s">
        <v>26</v>
      </c>
      <c r="C395" s="28" t="s">
        <v>658</v>
      </c>
      <c r="D395" s="28" t="s">
        <v>125</v>
      </c>
      <c r="E395" s="28" t="s">
        <v>786</v>
      </c>
      <c r="F395" s="34" t="str">
        <f>IF(ISBLANK(Table2[[#This Row],[unique_id]]), "", PROPER(SUBSTITUTE(Table2[[#This Row],[unique_id]], "_", " ")))</f>
        <v>Rack Outlet Plug</v>
      </c>
      <c r="G395" s="28" t="s">
        <v>210</v>
      </c>
      <c r="H395" s="28" t="s">
        <v>491</v>
      </c>
      <c r="I395" s="28" t="s">
        <v>262</v>
      </c>
      <c r="M395" s="28" t="s">
        <v>244</v>
      </c>
      <c r="O395" s="29" t="s">
        <v>736</v>
      </c>
      <c r="P395" s="28" t="s">
        <v>155</v>
      </c>
      <c r="Q395" s="28" t="s">
        <v>708</v>
      </c>
      <c r="R395" s="28" t="s">
        <v>710</v>
      </c>
      <c r="S395" s="28" t="str">
        <f>Table2[[#This Row],[friendly_name]]</f>
        <v>Server Rack</v>
      </c>
      <c r="T395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5"/>
      <c r="V395" s="35"/>
      <c r="W395" s="28"/>
      <c r="Y395" s="29"/>
      <c r="Z395" s="29"/>
      <c r="AA395" s="29"/>
      <c r="AB395" s="29"/>
      <c r="AD395" s="40" t="s">
        <v>1505</v>
      </c>
      <c r="AH395" s="28" t="s">
        <v>239</v>
      </c>
      <c r="AI395" s="28">
        <v>10</v>
      </c>
      <c r="AJ395" s="29" t="s">
        <v>34</v>
      </c>
      <c r="AK395" s="29" t="s">
        <v>844</v>
      </c>
      <c r="AL395" s="28" t="s">
        <v>786</v>
      </c>
      <c r="AM395" s="28" t="str">
        <f>_xlfn.CONCAT("homeassistant/", Table2[[#This Row],[entity_namespace]], "/tasmota/",Table2[[#This Row],[unique_id]], "/config")</f>
        <v>homeassistant/switch/tasmota/rack_outlet_plug/config</v>
      </c>
      <c r="AN395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O395" s="28" t="str">
        <f>_xlfn.CONCAT("tasmota/device/",Table2[[#This Row],[unique_id]], "/cmnd/POWER")</f>
        <v>tasmota/device/rack_outlet_plug/cmnd/POWER</v>
      </c>
      <c r="AP395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5" s="28" t="s">
        <v>863</v>
      </c>
      <c r="AR395" s="28" t="s">
        <v>864</v>
      </c>
      <c r="AS395" s="28" t="s">
        <v>853</v>
      </c>
      <c r="AT395" s="28" t="s">
        <v>854</v>
      </c>
      <c r="AU395" s="28" t="s">
        <v>917</v>
      </c>
      <c r="AV395" s="28">
        <v>1</v>
      </c>
      <c r="AW395" s="32" t="str">
        <f>HYPERLINK(_xlfn.CONCAT("http://", Table2[[#This Row],[connection_ip]], "/?"))</f>
        <v>http://10.0.4.102/?</v>
      </c>
      <c r="AY3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BB3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5" s="28" t="str">
        <f>IF(ISBLANK(Table2[[#This Row],[device_model]]), "", Table2[[#This Row],[device_suggested_area]])</f>
        <v>Rack</v>
      </c>
      <c r="BE395" s="28" t="s">
        <v>965</v>
      </c>
      <c r="BF395" s="28" t="s">
        <v>862</v>
      </c>
      <c r="BG395" s="28" t="s">
        <v>1053</v>
      </c>
      <c r="BI395" s="28" t="s">
        <v>835</v>
      </c>
      <c r="BJ395" s="28" t="s">
        <v>28</v>
      </c>
      <c r="BN395" s="28" t="s">
        <v>1186</v>
      </c>
      <c r="BO395" s="28" t="s">
        <v>861</v>
      </c>
      <c r="BP395" s="28" t="s">
        <v>1236</v>
      </c>
      <c r="BQ3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9" ht="16" customHeight="1" x14ac:dyDescent="0.2">
      <c r="A396" s="28">
        <v>2614</v>
      </c>
      <c r="B396" s="28" t="s">
        <v>26</v>
      </c>
      <c r="C396" s="28" t="s">
        <v>658</v>
      </c>
      <c r="D396" s="28" t="s">
        <v>27</v>
      </c>
      <c r="E396" s="28" t="s">
        <v>915</v>
      </c>
      <c r="F396" s="34" t="str">
        <f>IF(ISBLANK(Table2[[#This Row],[unique_id]]), "", PROPER(SUBSTITUTE(Table2[[#This Row],[unique_id]], "_", " ")))</f>
        <v>Rack Outlet Plug Energy Power</v>
      </c>
      <c r="G396" s="28" t="s">
        <v>210</v>
      </c>
      <c r="H396" s="28" t="s">
        <v>491</v>
      </c>
      <c r="I396" s="28" t="s">
        <v>262</v>
      </c>
      <c r="O396" s="29"/>
      <c r="P396" s="28"/>
      <c r="T396" s="35"/>
      <c r="U396" s="35"/>
      <c r="V396" s="35"/>
      <c r="W396" s="28"/>
      <c r="Y396" s="29"/>
      <c r="Z396" s="29"/>
      <c r="AA396" s="29"/>
      <c r="AB396" s="29"/>
      <c r="AE396" s="28" t="s">
        <v>31</v>
      </c>
      <c r="AF396" s="28" t="s">
        <v>298</v>
      </c>
      <c r="AG396" s="28" t="s">
        <v>845</v>
      </c>
      <c r="AI396" s="28">
        <v>10</v>
      </c>
      <c r="AJ396" s="29" t="s">
        <v>34</v>
      </c>
      <c r="AK396" s="29" t="s">
        <v>844</v>
      </c>
      <c r="AL396" s="28" t="s">
        <v>786</v>
      </c>
      <c r="AM396" s="28" t="str">
        <f>_xlfn.CONCAT("homeassistant/", Table2[[#This Row],[entity_namespace]], "/tasmota/",Table2[[#This Row],[unique_id]], "/config")</f>
        <v>homeassistant/sensor/tasmota/rack_outlet_plug_energy_power/config</v>
      </c>
      <c r="AN396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P396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6" s="28" t="s">
        <v>863</v>
      </c>
      <c r="AR396" s="28" t="s">
        <v>864</v>
      </c>
      <c r="AS396" s="28" t="s">
        <v>853</v>
      </c>
      <c r="AT396" s="28" t="s">
        <v>854</v>
      </c>
      <c r="AU396" s="28" t="s">
        <v>1049</v>
      </c>
      <c r="AV396" s="28">
        <v>1</v>
      </c>
      <c r="AW396" s="32"/>
      <c r="AY3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BB3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6" s="28" t="str">
        <f>IF(ISBLANK(Table2[[#This Row],[device_model]]), "", Table2[[#This Row],[device_suggested_area]])</f>
        <v>Rack</v>
      </c>
      <c r="BE396" s="28" t="s">
        <v>965</v>
      </c>
      <c r="BF396" s="28" t="s">
        <v>862</v>
      </c>
      <c r="BG396" s="28" t="s">
        <v>1053</v>
      </c>
      <c r="BI396" s="28" t="s">
        <v>835</v>
      </c>
      <c r="BJ396" s="28" t="s">
        <v>28</v>
      </c>
      <c r="BO396" s="28"/>
      <c r="BQ3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9" ht="16" customHeight="1" x14ac:dyDescent="0.2">
      <c r="A397" s="28">
        <v>2615</v>
      </c>
      <c r="B397" s="28" t="s">
        <v>26</v>
      </c>
      <c r="C397" s="28" t="s">
        <v>658</v>
      </c>
      <c r="D397" s="28" t="s">
        <v>27</v>
      </c>
      <c r="E397" s="28" t="s">
        <v>916</v>
      </c>
      <c r="F397" s="34" t="str">
        <f>IF(ISBLANK(Table2[[#This Row],[unique_id]]), "", PROPER(SUBSTITUTE(Table2[[#This Row],[unique_id]], "_", " ")))</f>
        <v>Rack Outlet Plug Energy Total</v>
      </c>
      <c r="G397" s="28" t="s">
        <v>210</v>
      </c>
      <c r="H397" s="28" t="s">
        <v>491</v>
      </c>
      <c r="I397" s="28" t="s">
        <v>262</v>
      </c>
      <c r="O397" s="29"/>
      <c r="P397" s="28"/>
      <c r="T397" s="35"/>
      <c r="U397" s="35"/>
      <c r="V397" s="35"/>
      <c r="W397" s="28"/>
      <c r="Y397" s="29"/>
      <c r="Z397" s="29"/>
      <c r="AA397" s="29"/>
      <c r="AB397" s="29"/>
      <c r="AE397" s="28" t="s">
        <v>70</v>
      </c>
      <c r="AF397" s="28" t="s">
        <v>299</v>
      </c>
      <c r="AG397" s="28" t="s">
        <v>846</v>
      </c>
      <c r="AI397" s="28">
        <v>10</v>
      </c>
      <c r="AJ397" s="29" t="s">
        <v>34</v>
      </c>
      <c r="AK397" s="29" t="s">
        <v>844</v>
      </c>
      <c r="AL397" s="28" t="s">
        <v>786</v>
      </c>
      <c r="AM397" s="28" t="str">
        <f>_xlfn.CONCAT("homeassistant/", Table2[[#This Row],[entity_namespace]], "/tasmota/",Table2[[#This Row],[unique_id]], "/config")</f>
        <v>homeassistant/sensor/tasmota/rack_outlet_plug_energy_total/config</v>
      </c>
      <c r="AN397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P397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7" s="28" t="s">
        <v>863</v>
      </c>
      <c r="AR397" s="28" t="s">
        <v>864</v>
      </c>
      <c r="AS397" s="28" t="s">
        <v>853</v>
      </c>
      <c r="AT397" s="28" t="s">
        <v>854</v>
      </c>
      <c r="AU397" s="28" t="s">
        <v>1050</v>
      </c>
      <c r="AV397" s="28">
        <v>1</v>
      </c>
      <c r="AW397" s="32"/>
      <c r="AY3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BB3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7" s="28" t="str">
        <f>IF(ISBLANK(Table2[[#This Row],[device_model]]), "", Table2[[#This Row],[device_suggested_area]])</f>
        <v>Rack</v>
      </c>
      <c r="BE397" s="28" t="s">
        <v>965</v>
      </c>
      <c r="BF397" s="28" t="s">
        <v>862</v>
      </c>
      <c r="BG397" s="28" t="s">
        <v>1053</v>
      </c>
      <c r="BI397" s="28" t="s">
        <v>835</v>
      </c>
      <c r="BJ397" s="28" t="s">
        <v>28</v>
      </c>
      <c r="BO397" s="28"/>
      <c r="BQ3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9" ht="16" customHeight="1" x14ac:dyDescent="0.2">
      <c r="A398" s="28">
        <v>2616</v>
      </c>
      <c r="B398" s="28" t="s">
        <v>26</v>
      </c>
      <c r="C398" s="28" t="s">
        <v>756</v>
      </c>
      <c r="D398" s="28" t="s">
        <v>139</v>
      </c>
      <c r="E398" s="35" t="s">
        <v>1040</v>
      </c>
      <c r="F398" s="34" t="str">
        <f>IF(ISBLANK(Table2[[#This Row],[unique_id]]), "", PROPER(SUBSTITUTE(Table2[[#This Row],[unique_id]], "_", " ")))</f>
        <v>Template Ceiling Network Switch Plug Proxy</v>
      </c>
      <c r="G398" s="28" t="s">
        <v>1355</v>
      </c>
      <c r="H398" s="28" t="s">
        <v>491</v>
      </c>
      <c r="I398" s="28" t="s">
        <v>262</v>
      </c>
      <c r="O398" s="29" t="s">
        <v>736</v>
      </c>
      <c r="P398" s="28" t="s">
        <v>155</v>
      </c>
      <c r="Q398" s="28" t="s">
        <v>708</v>
      </c>
      <c r="R398" s="28" t="s">
        <v>710</v>
      </c>
      <c r="S398" s="28" t="str">
        <f>Table2[[#This Row],[friendly_name]]</f>
        <v>Ceiling Network Devices</v>
      </c>
      <c r="T398" s="35" t="s">
        <v>1015</v>
      </c>
      <c r="U398" s="35"/>
      <c r="V398" s="35"/>
      <c r="W398" s="28"/>
      <c r="Y398" s="29"/>
      <c r="Z398" s="29"/>
      <c r="AA398" s="29"/>
      <c r="AB398" s="29"/>
      <c r="AJ398" s="29"/>
      <c r="AK398" s="29"/>
      <c r="AV398" s="28"/>
      <c r="AW398" s="38"/>
      <c r="AX398" s="28" t="s">
        <v>125</v>
      </c>
      <c r="AY3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3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3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8" s="28" t="str">
        <f>IF(ISBLANK(Table2[[#This Row],[device_model]]), "", Table2[[#This Row],[device_suggested_area]])</f>
        <v>Ceiling</v>
      </c>
      <c r="BE398" s="28" t="s">
        <v>208</v>
      </c>
      <c r="BF398" s="28" t="s">
        <v>862</v>
      </c>
      <c r="BG398" s="28" t="s">
        <v>1053</v>
      </c>
      <c r="BI398" s="28" t="s">
        <v>835</v>
      </c>
      <c r="BJ398" s="28" t="s">
        <v>374</v>
      </c>
      <c r="BO398" s="28"/>
      <c r="BQ3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9" ht="16" customHeight="1" x14ac:dyDescent="0.2">
      <c r="A399" s="28">
        <v>2617</v>
      </c>
      <c r="B399" s="28" t="s">
        <v>26</v>
      </c>
      <c r="C399" s="28" t="s">
        <v>658</v>
      </c>
      <c r="D399" s="28" t="s">
        <v>125</v>
      </c>
      <c r="E399" s="28" t="s">
        <v>1041</v>
      </c>
      <c r="F399" s="34" t="str">
        <f>IF(ISBLANK(Table2[[#This Row],[unique_id]]), "", PROPER(SUBSTITUTE(Table2[[#This Row],[unique_id]], "_", " ")))</f>
        <v>Ceiling Network Switch Plug</v>
      </c>
      <c r="G399" s="28" t="s">
        <v>1355</v>
      </c>
      <c r="H399" s="28" t="s">
        <v>491</v>
      </c>
      <c r="I399" s="28" t="s">
        <v>262</v>
      </c>
      <c r="M399" s="28" t="s">
        <v>244</v>
      </c>
      <c r="O399" s="29" t="s">
        <v>736</v>
      </c>
      <c r="P399" s="28" t="s">
        <v>155</v>
      </c>
      <c r="Q399" s="28" t="s">
        <v>708</v>
      </c>
      <c r="R399" s="28" t="s">
        <v>710</v>
      </c>
      <c r="S399" s="28" t="str">
        <f>Table2[[#This Row],[friendly_name]]</f>
        <v>Ceiling Network Devices</v>
      </c>
      <c r="T399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5"/>
      <c r="V399" s="35"/>
      <c r="W399" s="28"/>
      <c r="Y399" s="29"/>
      <c r="Z399" s="29"/>
      <c r="AA399" s="29"/>
      <c r="AB399" s="29"/>
      <c r="AD399" s="40" t="s">
        <v>1506</v>
      </c>
      <c r="AH399" s="28" t="s">
        <v>240</v>
      </c>
      <c r="AI399" s="28">
        <v>10</v>
      </c>
      <c r="AJ399" s="29" t="s">
        <v>34</v>
      </c>
      <c r="AK399" s="29" t="s">
        <v>844</v>
      </c>
      <c r="AL399" s="28" t="s">
        <v>1041</v>
      </c>
      <c r="AM399" s="28" t="str">
        <f>_xlfn.CONCAT("homeassistant/", Table2[[#This Row],[entity_namespace]], "/tasmota/",Table2[[#This Row],[unique_id]], "/config")</f>
        <v>homeassistant/switch/tasmota/ceiling_network_switch_plug/config</v>
      </c>
      <c r="AN399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O399" s="28" t="str">
        <f>_xlfn.CONCAT("tasmota/device/",Table2[[#This Row],[unique_id]], "/cmnd/POWER")</f>
        <v>tasmota/device/ceiling_network_switch_plug/cmnd/POWER</v>
      </c>
      <c r="AP399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399" s="28" t="s">
        <v>863</v>
      </c>
      <c r="AR399" s="28" t="s">
        <v>864</v>
      </c>
      <c r="AS399" s="28" t="s">
        <v>853</v>
      </c>
      <c r="AT399" s="28" t="s">
        <v>854</v>
      </c>
      <c r="AU399" s="28" t="s">
        <v>917</v>
      </c>
      <c r="AV399" s="28">
        <v>1</v>
      </c>
      <c r="AW399" s="32" t="str">
        <f>HYPERLINK(_xlfn.CONCAT("http://", Table2[[#This Row],[connection_ip]], "/?"))</f>
        <v>http://10.0.4.105/?</v>
      </c>
      <c r="AY3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3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3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BB3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9" s="28" t="str">
        <f>IF(ISBLANK(Table2[[#This Row],[device_model]]), "", Table2[[#This Row],[device_suggested_area]])</f>
        <v>Ceiling</v>
      </c>
      <c r="BE399" s="28" t="s">
        <v>208</v>
      </c>
      <c r="BF399" s="28" t="s">
        <v>862</v>
      </c>
      <c r="BG399" s="28" t="s">
        <v>1053</v>
      </c>
      <c r="BI399" s="28" t="s">
        <v>835</v>
      </c>
      <c r="BJ399" s="28" t="s">
        <v>374</v>
      </c>
      <c r="BN399" s="28" t="s">
        <v>1186</v>
      </c>
      <c r="BO399" s="39" t="s">
        <v>926</v>
      </c>
      <c r="BP399" s="28" t="s">
        <v>1238</v>
      </c>
      <c r="BQ3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9" ht="16" customHeight="1" x14ac:dyDescent="0.2">
      <c r="A400" s="28">
        <v>2618</v>
      </c>
      <c r="B400" s="28" t="s">
        <v>26</v>
      </c>
      <c r="C400" s="28" t="s">
        <v>658</v>
      </c>
      <c r="D400" s="28" t="s">
        <v>27</v>
      </c>
      <c r="E400" s="28" t="s">
        <v>1042</v>
      </c>
      <c r="F400" s="34" t="str">
        <f>IF(ISBLANK(Table2[[#This Row],[unique_id]]), "", PROPER(SUBSTITUTE(Table2[[#This Row],[unique_id]], "_", " ")))</f>
        <v>Ceiling Network Switch Plug Energy Power</v>
      </c>
      <c r="G400" s="28" t="s">
        <v>1355</v>
      </c>
      <c r="H400" s="28" t="s">
        <v>491</v>
      </c>
      <c r="I400" s="28" t="s">
        <v>262</v>
      </c>
      <c r="O400" s="29"/>
      <c r="P400" s="28"/>
      <c r="T400" s="35"/>
      <c r="U400" s="35"/>
      <c r="V400" s="35"/>
      <c r="W400" s="28"/>
      <c r="Y400" s="29"/>
      <c r="Z400" s="29"/>
      <c r="AA400" s="29"/>
      <c r="AB400" s="29"/>
      <c r="AE400" s="28" t="s">
        <v>31</v>
      </c>
      <c r="AF400" s="28" t="s">
        <v>298</v>
      </c>
      <c r="AG400" s="28" t="s">
        <v>845</v>
      </c>
      <c r="AI400" s="28">
        <v>10</v>
      </c>
      <c r="AJ400" s="29" t="s">
        <v>34</v>
      </c>
      <c r="AK400" s="29" t="s">
        <v>844</v>
      </c>
      <c r="AL400" s="28" t="s">
        <v>1041</v>
      </c>
      <c r="AM400" s="28" t="str">
        <f>_xlfn.CONCAT("homeassistant/", Table2[[#This Row],[entity_namespace]], "/tasmota/",Table2[[#This Row],[unique_id]], "/config")</f>
        <v>homeassistant/sensor/tasmota/ceiling_network_switch_plug_energy_power/config</v>
      </c>
      <c r="AN400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P400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400" s="28" t="s">
        <v>863</v>
      </c>
      <c r="AR400" s="28" t="s">
        <v>864</v>
      </c>
      <c r="AS400" s="28" t="s">
        <v>853</v>
      </c>
      <c r="AT400" s="28" t="s">
        <v>854</v>
      </c>
      <c r="AU400" s="28" t="s">
        <v>1049</v>
      </c>
      <c r="AV400" s="28">
        <v>1</v>
      </c>
      <c r="AW400" s="32"/>
      <c r="AY4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4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4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BB4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0" s="28" t="str">
        <f>IF(ISBLANK(Table2[[#This Row],[device_model]]), "", Table2[[#This Row],[device_suggested_area]])</f>
        <v>Ceiling</v>
      </c>
      <c r="BE400" s="28" t="s">
        <v>208</v>
      </c>
      <c r="BF400" s="28" t="s">
        <v>862</v>
      </c>
      <c r="BG400" s="28" t="s">
        <v>1053</v>
      </c>
      <c r="BI400" s="28" t="s">
        <v>835</v>
      </c>
      <c r="BJ400" s="28" t="s">
        <v>374</v>
      </c>
      <c r="BO400" s="28"/>
      <c r="BQ4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9" ht="16" customHeight="1" x14ac:dyDescent="0.2">
      <c r="A401" s="28">
        <v>2619</v>
      </c>
      <c r="B401" s="28" t="s">
        <v>26</v>
      </c>
      <c r="C401" s="28" t="s">
        <v>658</v>
      </c>
      <c r="D401" s="28" t="s">
        <v>27</v>
      </c>
      <c r="E401" s="28" t="s">
        <v>1043</v>
      </c>
      <c r="F401" s="34" t="str">
        <f>IF(ISBLANK(Table2[[#This Row],[unique_id]]), "", PROPER(SUBSTITUTE(Table2[[#This Row],[unique_id]], "_", " ")))</f>
        <v>Ceiling Network Switch Plug Energy Total</v>
      </c>
      <c r="G401" s="28" t="s">
        <v>1355</v>
      </c>
      <c r="H401" s="28" t="s">
        <v>491</v>
      </c>
      <c r="I401" s="28" t="s">
        <v>262</v>
      </c>
      <c r="O401" s="29"/>
      <c r="P401" s="28"/>
      <c r="T401" s="35"/>
      <c r="U401" s="35"/>
      <c r="V401" s="35"/>
      <c r="W401" s="28"/>
      <c r="Y401" s="29"/>
      <c r="Z401" s="29"/>
      <c r="AA401" s="29"/>
      <c r="AB401" s="29"/>
      <c r="AE401" s="28" t="s">
        <v>70</v>
      </c>
      <c r="AF401" s="28" t="s">
        <v>299</v>
      </c>
      <c r="AG401" s="28" t="s">
        <v>846</v>
      </c>
      <c r="AI401" s="28">
        <v>10</v>
      </c>
      <c r="AJ401" s="29" t="s">
        <v>34</v>
      </c>
      <c r="AK401" s="29" t="s">
        <v>844</v>
      </c>
      <c r="AL401" s="28" t="s">
        <v>1041</v>
      </c>
      <c r="AM401" s="28" t="str">
        <f>_xlfn.CONCAT("homeassistant/", Table2[[#This Row],[entity_namespace]], "/tasmota/",Table2[[#This Row],[unique_id]], "/config")</f>
        <v>homeassistant/sensor/tasmota/ceiling_network_switch_plug_energy_total/config</v>
      </c>
      <c r="AN401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P401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401" s="28" t="s">
        <v>863</v>
      </c>
      <c r="AR401" s="28" t="s">
        <v>864</v>
      </c>
      <c r="AS401" s="28" t="s">
        <v>853</v>
      </c>
      <c r="AT401" s="28" t="s">
        <v>854</v>
      </c>
      <c r="AU401" s="28" t="s">
        <v>1050</v>
      </c>
      <c r="AV401" s="28">
        <v>1</v>
      </c>
      <c r="AW401" s="32"/>
      <c r="AY4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4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4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BB4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1" s="28" t="str">
        <f>IF(ISBLANK(Table2[[#This Row],[device_model]]), "", Table2[[#This Row],[device_suggested_area]])</f>
        <v>Ceiling</v>
      </c>
      <c r="BE401" s="28" t="s">
        <v>208</v>
      </c>
      <c r="BF401" s="28" t="s">
        <v>862</v>
      </c>
      <c r="BG401" s="28" t="s">
        <v>1053</v>
      </c>
      <c r="BI401" s="28" t="s">
        <v>835</v>
      </c>
      <c r="BJ401" s="28" t="s">
        <v>374</v>
      </c>
      <c r="BO401" s="28"/>
      <c r="BQ4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9" ht="16" customHeight="1" x14ac:dyDescent="0.2">
      <c r="A402" s="28">
        <v>2620</v>
      </c>
      <c r="B402" s="52" t="s">
        <v>543</v>
      </c>
      <c r="C402" s="52" t="s">
        <v>756</v>
      </c>
      <c r="D402" s="52" t="s">
        <v>139</v>
      </c>
      <c r="E402" s="53" t="s">
        <v>1342</v>
      </c>
      <c r="F402" s="54" t="str">
        <f>IF(ISBLANK(Table2[[#This Row],[unique_id]]), "", PROPER(SUBSTITUTE(Table2[[#This Row],[unique_id]], "_", " ")))</f>
        <v>Broken Template Rack Internet Modem Plug Proxy</v>
      </c>
      <c r="G402" s="52" t="s">
        <v>209</v>
      </c>
      <c r="H402" s="52" t="s">
        <v>491</v>
      </c>
      <c r="I402" s="52" t="s">
        <v>262</v>
      </c>
      <c r="J402" s="52"/>
      <c r="K402" s="52"/>
      <c r="L402" s="52"/>
      <c r="M402" s="52"/>
      <c r="N402" s="52"/>
      <c r="O402" s="55" t="s">
        <v>736</v>
      </c>
      <c r="P402" s="52"/>
      <c r="Q402" s="52"/>
      <c r="R402" s="52" t="s">
        <v>750</v>
      </c>
      <c r="S402" s="52" t="str">
        <f>Table2[[#This Row],[friendly_name]]</f>
        <v>Internet Modem</v>
      </c>
      <c r="T402" s="53" t="s">
        <v>1013</v>
      </c>
      <c r="U402" s="53"/>
      <c r="V402" s="53"/>
      <c r="W402" s="52"/>
      <c r="X402" s="52"/>
      <c r="Y402" s="55"/>
      <c r="Z402" s="55"/>
      <c r="AA402" s="55"/>
      <c r="AB402" s="55"/>
      <c r="AC402" s="55"/>
      <c r="AD402" s="55"/>
      <c r="AE402" s="52"/>
      <c r="AF402" s="52"/>
      <c r="AG402" s="52"/>
      <c r="AH402" s="52"/>
      <c r="AI402" s="52"/>
      <c r="AJ402" s="55"/>
      <c r="AK402" s="55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6"/>
      <c r="AX402" s="52" t="s">
        <v>125</v>
      </c>
      <c r="AY40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Z40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A40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2" s="52"/>
      <c r="BD402" s="52" t="str">
        <f>IF(ISBLANK(Table2[[#This Row],[device_model]]), "", Table2[[#This Row],[device_suggested_area]])</f>
        <v>Rack</v>
      </c>
      <c r="BE402" s="52" t="s">
        <v>970</v>
      </c>
      <c r="BF402" s="57" t="s">
        <v>331</v>
      </c>
      <c r="BG402" s="52" t="s">
        <v>221</v>
      </c>
      <c r="BH402" s="52"/>
      <c r="BI402" s="52" t="s">
        <v>332</v>
      </c>
      <c r="BJ402" s="52" t="s">
        <v>28</v>
      </c>
      <c r="BK402" s="52"/>
      <c r="BL402" s="52"/>
      <c r="BM402" s="52"/>
      <c r="BN402" s="52"/>
      <c r="BO402" s="52"/>
      <c r="BP402" s="52"/>
      <c r="BQ40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9" s="52" customFormat="1" ht="16" customHeight="1" x14ac:dyDescent="0.2">
      <c r="A403" s="28">
        <v>2621</v>
      </c>
      <c r="B403" s="52" t="s">
        <v>543</v>
      </c>
      <c r="C403" s="52" t="s">
        <v>221</v>
      </c>
      <c r="D403" s="52" t="s">
        <v>125</v>
      </c>
      <c r="E403" s="52" t="s">
        <v>1343</v>
      </c>
      <c r="F403" s="54" t="str">
        <f>IF(ISBLANK(Table2[[#This Row],[unique_id]]), "", PROPER(SUBSTITUTE(Table2[[#This Row],[unique_id]], "_", " ")))</f>
        <v>Broken Rack Internet Modem Plug</v>
      </c>
      <c r="G403" s="52" t="s">
        <v>209</v>
      </c>
      <c r="H403" s="52" t="s">
        <v>491</v>
      </c>
      <c r="I403" s="52" t="s">
        <v>262</v>
      </c>
      <c r="M403" s="52" t="s">
        <v>244</v>
      </c>
      <c r="O403" s="55" t="s">
        <v>736</v>
      </c>
      <c r="R403" s="52" t="s">
        <v>750</v>
      </c>
      <c r="S403" s="52" t="str">
        <f>Table2[[#This Row],[friendly_name]]</f>
        <v>Internet Modem</v>
      </c>
      <c r="T403" s="53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U403" s="53"/>
      <c r="V403" s="53"/>
      <c r="Y403" s="55"/>
      <c r="Z403" s="55"/>
      <c r="AA403" s="55"/>
      <c r="AB403" s="55"/>
      <c r="AC403" s="55"/>
      <c r="AD403" s="55"/>
      <c r="AH403" s="52" t="s">
        <v>241</v>
      </c>
      <c r="AJ403" s="55"/>
      <c r="AK403" s="55"/>
      <c r="AW403" s="56"/>
      <c r="AY40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Z40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A40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3" s="52" t="str">
        <f>IF(ISBLANK(Table2[[#This Row],[device_model]]), "", Table2[[#This Row],[device_suggested_area]])</f>
        <v>Rack</v>
      </c>
      <c r="BE403" s="52" t="s">
        <v>970</v>
      </c>
      <c r="BF403" s="57" t="s">
        <v>331</v>
      </c>
      <c r="BG403" s="52" t="s">
        <v>221</v>
      </c>
      <c r="BI403" s="52" t="s">
        <v>332</v>
      </c>
      <c r="BJ403" s="52" t="s">
        <v>28</v>
      </c>
      <c r="BM403" s="52" t="s">
        <v>923</v>
      </c>
      <c r="BN403" s="52" t="s">
        <v>1186</v>
      </c>
      <c r="BO403" s="52" t="s">
        <v>325</v>
      </c>
      <c r="BP403" s="52" t="s">
        <v>1239</v>
      </c>
      <c r="BQ40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9" s="52" customFormat="1" ht="16" customHeight="1" x14ac:dyDescent="0.2">
      <c r="A404" s="28">
        <v>2622</v>
      </c>
      <c r="B404" s="28" t="s">
        <v>26</v>
      </c>
      <c r="C404" s="28" t="s">
        <v>419</v>
      </c>
      <c r="D404" s="28" t="s">
        <v>27</v>
      </c>
      <c r="E404" s="28" t="s">
        <v>762</v>
      </c>
      <c r="F404" s="34" t="str">
        <f>IF(ISBLANK(Table2[[#This Row],[unique_id]]), "", PROPER(SUBSTITUTE(Table2[[#This Row],[unique_id]], "_", " ")))</f>
        <v>Garden Repeater Linkquality</v>
      </c>
      <c r="G404" s="28" t="s">
        <v>662</v>
      </c>
      <c r="H404" s="28" t="s">
        <v>491</v>
      </c>
      <c r="I404" s="28" t="s">
        <v>262</v>
      </c>
      <c r="J404" s="28"/>
      <c r="K404" s="28"/>
      <c r="L404" s="28"/>
      <c r="M404" s="28"/>
      <c r="N404" s="28"/>
      <c r="O404" s="29" t="s">
        <v>736</v>
      </c>
      <c r="P404" s="28" t="s">
        <v>155</v>
      </c>
      <c r="Q404" s="28" t="s">
        <v>708</v>
      </c>
      <c r="R404" s="28" t="s">
        <v>710</v>
      </c>
      <c r="S404" s="28" t="s">
        <v>767</v>
      </c>
      <c r="T404" s="35" t="s">
        <v>765</v>
      </c>
      <c r="U404" s="35"/>
      <c r="V404" s="35"/>
      <c r="W404" s="28"/>
      <c r="X404" s="28"/>
      <c r="Y404" s="29"/>
      <c r="Z404" s="29" t="s">
        <v>455</v>
      </c>
      <c r="AA404" s="29"/>
      <c r="AB404" s="40" t="s">
        <v>705</v>
      </c>
      <c r="AC404" s="29"/>
      <c r="AD404" s="29"/>
      <c r="AE404" s="28"/>
      <c r="AF404" s="28"/>
      <c r="AG404" s="28"/>
      <c r="AH404" s="28"/>
      <c r="AI404" s="28"/>
      <c r="AJ404" s="29"/>
      <c r="AK404" s="29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X404" s="28"/>
      <c r="AY4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Z4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BA4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4" s="28" t="str">
        <f>Table2[[#This Row],[device_suggested_area]]</f>
        <v>Garden</v>
      </c>
      <c r="BD404" s="28" t="str">
        <f>IF(ISBLANK(Table2[[#This Row],[device_model]]), "", Table2[[#This Row],[device_suggested_area]])</f>
        <v>Garden</v>
      </c>
      <c r="BE404" s="28" t="s">
        <v>935</v>
      </c>
      <c r="BF404" s="37" t="s">
        <v>660</v>
      </c>
      <c r="BG404" s="28" t="s">
        <v>419</v>
      </c>
      <c r="BH404" s="28"/>
      <c r="BI404" s="28" t="s">
        <v>659</v>
      </c>
      <c r="BJ404" s="28" t="s">
        <v>540</v>
      </c>
      <c r="BK404" s="28"/>
      <c r="BL404" s="28"/>
      <c r="BM404" s="28"/>
      <c r="BN404" s="28"/>
      <c r="BO404" s="28" t="s">
        <v>661</v>
      </c>
      <c r="BP404" s="28"/>
      <c r="BQ4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9" ht="16" customHeight="1" x14ac:dyDescent="0.2">
      <c r="A405" s="28">
        <v>2623</v>
      </c>
      <c r="B405" s="28" t="s">
        <v>26</v>
      </c>
      <c r="C405" s="28" t="s">
        <v>419</v>
      </c>
      <c r="D405" s="28" t="s">
        <v>27</v>
      </c>
      <c r="E405" s="28" t="s">
        <v>763</v>
      </c>
      <c r="F405" s="34" t="str">
        <f>IF(ISBLANK(Table2[[#This Row],[unique_id]]), "", PROPER(SUBSTITUTE(Table2[[#This Row],[unique_id]], "_", " ")))</f>
        <v>Landing Repeater Linkquality</v>
      </c>
      <c r="G405" s="28" t="s">
        <v>664</v>
      </c>
      <c r="H405" s="28" t="s">
        <v>491</v>
      </c>
      <c r="I405" s="28" t="s">
        <v>262</v>
      </c>
      <c r="O405" s="29" t="s">
        <v>736</v>
      </c>
      <c r="P405" s="28" t="s">
        <v>155</v>
      </c>
      <c r="Q405" s="28" t="s">
        <v>708</v>
      </c>
      <c r="R405" s="28" t="s">
        <v>710</v>
      </c>
      <c r="S405" s="28" t="s">
        <v>767</v>
      </c>
      <c r="T405" s="35" t="s">
        <v>765</v>
      </c>
      <c r="U405" s="35"/>
      <c r="V405" s="35"/>
      <c r="W405" s="28"/>
      <c r="Y405" s="29"/>
      <c r="Z405" s="29" t="s">
        <v>455</v>
      </c>
      <c r="AA405" s="29"/>
      <c r="AB405" s="40" t="s">
        <v>705</v>
      </c>
      <c r="AJ405" s="29"/>
      <c r="AK405" s="29"/>
      <c r="AV405" s="28"/>
      <c r="AW40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Y4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Z4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BA4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5" s="28" t="str">
        <f>Table2[[#This Row],[device_suggested_area]]</f>
        <v>Landing</v>
      </c>
      <c r="BD405" s="28" t="str">
        <f>IF(ISBLANK(Table2[[#This Row],[device_model]]), "", Table2[[#This Row],[device_suggested_area]])</f>
        <v>Landing</v>
      </c>
      <c r="BE405" s="28" t="s">
        <v>935</v>
      </c>
      <c r="BF405" s="37" t="s">
        <v>660</v>
      </c>
      <c r="BG405" s="28" t="s">
        <v>419</v>
      </c>
      <c r="BI405" s="28" t="s">
        <v>659</v>
      </c>
      <c r="BJ405" s="28" t="s">
        <v>523</v>
      </c>
      <c r="BO405" s="28" t="s">
        <v>666</v>
      </c>
      <c r="BQ4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9" ht="16" customHeight="1" x14ac:dyDescent="0.2">
      <c r="A406" s="28">
        <v>2624</v>
      </c>
      <c r="B406" s="28" t="s">
        <v>26</v>
      </c>
      <c r="C406" s="28" t="s">
        <v>419</v>
      </c>
      <c r="D406" s="28" t="s">
        <v>27</v>
      </c>
      <c r="E406" s="28" t="s">
        <v>764</v>
      </c>
      <c r="F406" s="34" t="str">
        <f>IF(ISBLANK(Table2[[#This Row],[unique_id]]), "", PROPER(SUBSTITUTE(Table2[[#This Row],[unique_id]], "_", " ")))</f>
        <v>Driveway Repeater Linkquality</v>
      </c>
      <c r="G406" s="28" t="s">
        <v>663</v>
      </c>
      <c r="H406" s="28" t="s">
        <v>491</v>
      </c>
      <c r="I406" s="28" t="s">
        <v>262</v>
      </c>
      <c r="O406" s="29" t="s">
        <v>736</v>
      </c>
      <c r="P406" s="28" t="s">
        <v>155</v>
      </c>
      <c r="Q406" s="28" t="s">
        <v>708</v>
      </c>
      <c r="R406" s="28" t="s">
        <v>710</v>
      </c>
      <c r="S406" s="28" t="s">
        <v>767</v>
      </c>
      <c r="T406" s="35" t="s">
        <v>765</v>
      </c>
      <c r="U406" s="35"/>
      <c r="V406" s="35"/>
      <c r="W406" s="28"/>
      <c r="Y406" s="29"/>
      <c r="Z406" s="29" t="s">
        <v>455</v>
      </c>
      <c r="AA406" s="29"/>
      <c r="AB406" s="40" t="s">
        <v>705</v>
      </c>
      <c r="AJ406" s="29"/>
      <c r="AK406" s="29"/>
      <c r="AV406" s="28"/>
      <c r="AW40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Y4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Z4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BA4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6" s="28" t="str">
        <f>Table2[[#This Row],[device_suggested_area]]</f>
        <v>Driveway</v>
      </c>
      <c r="BD406" s="28" t="str">
        <f>IF(ISBLANK(Table2[[#This Row],[device_model]]), "", Table2[[#This Row],[device_suggested_area]])</f>
        <v>Driveway</v>
      </c>
      <c r="BE406" s="28" t="s">
        <v>935</v>
      </c>
      <c r="BF406" s="37" t="s">
        <v>660</v>
      </c>
      <c r="BG406" s="28" t="s">
        <v>419</v>
      </c>
      <c r="BI406" s="28" t="s">
        <v>659</v>
      </c>
      <c r="BJ406" s="28" t="s">
        <v>665</v>
      </c>
      <c r="BO406" s="28" t="s">
        <v>667</v>
      </c>
      <c r="BQ4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9" ht="16" customHeight="1" x14ac:dyDescent="0.2">
      <c r="A407" s="28">
        <v>2625</v>
      </c>
      <c r="B407" s="28" t="s">
        <v>26</v>
      </c>
      <c r="C407" s="28" t="s">
        <v>141</v>
      </c>
      <c r="D407" s="28" t="s">
        <v>281</v>
      </c>
      <c r="E407" s="28" t="s">
        <v>834</v>
      </c>
      <c r="F407" s="34" t="str">
        <f>IF(ISBLANK(Table2[[#This Row],[unique_id]]), "", PROPER(SUBSTITUTE(Table2[[#This Row],[unique_id]], "_", " ")))</f>
        <v>Lighting Reset Adaptive Lighting All</v>
      </c>
      <c r="G407" s="28" t="s">
        <v>738</v>
      </c>
      <c r="H407" s="28" t="s">
        <v>508</v>
      </c>
      <c r="I407" s="28" t="s">
        <v>262</v>
      </c>
      <c r="O407" s="29"/>
      <c r="P407" s="28"/>
      <c r="T407" s="35"/>
      <c r="U407" s="35"/>
      <c r="V407" s="35"/>
      <c r="W407" s="28"/>
      <c r="Y407" s="29"/>
      <c r="Z407" s="29"/>
      <c r="AA407" s="29"/>
      <c r="AB407" s="29"/>
      <c r="AH407" s="28" t="s">
        <v>263</v>
      </c>
      <c r="AJ407" s="29"/>
      <c r="AK407" s="29"/>
      <c r="AV407" s="28"/>
      <c r="AW407" s="38"/>
      <c r="AX407" s="29"/>
      <c r="AY4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7" s="28" t="str">
        <f>IF(ISBLANK(Table2[[#This Row],[device_model]]), "", Table2[[#This Row],[device_suggested_area]])</f>
        <v/>
      </c>
      <c r="BI407" s="29"/>
      <c r="BJ407" s="28" t="s">
        <v>155</v>
      </c>
      <c r="BO407" s="28"/>
      <c r="BQ4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9" ht="16" customHeight="1" x14ac:dyDescent="0.2">
      <c r="A408" s="28">
        <v>2626</v>
      </c>
      <c r="B408" s="28" t="s">
        <v>26</v>
      </c>
      <c r="C408" s="28" t="s">
        <v>141</v>
      </c>
      <c r="D408" s="28" t="s">
        <v>281</v>
      </c>
      <c r="E408" s="34" t="s">
        <v>495</v>
      </c>
      <c r="F408" s="34" t="str">
        <f>IF(ISBLANK(Table2[[#This Row],[unique_id]]), "", PROPER(SUBSTITUTE(Table2[[#This Row],[unique_id]], "_", " ")))</f>
        <v>Lighting Reset Adaptive Lighting Ada Lamp</v>
      </c>
      <c r="G408" s="34" t="s">
        <v>184</v>
      </c>
      <c r="H408" s="28" t="s">
        <v>508</v>
      </c>
      <c r="I408" s="28" t="s">
        <v>262</v>
      </c>
      <c r="J408" s="28" t="s">
        <v>494</v>
      </c>
      <c r="O408" s="29"/>
      <c r="P408" s="28"/>
      <c r="T408" s="35"/>
      <c r="U408" s="35"/>
      <c r="V408" s="35"/>
      <c r="W408" s="28"/>
      <c r="Y408" s="29"/>
      <c r="Z408" s="29"/>
      <c r="AA408" s="29"/>
      <c r="AB408" s="29"/>
      <c r="AH408" s="28" t="s">
        <v>263</v>
      </c>
      <c r="AJ408" s="29"/>
      <c r="AK408" s="29"/>
      <c r="AV408" s="28"/>
      <c r="AW408" s="30"/>
      <c r="AX408" s="29"/>
      <c r="AY4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8" s="28" t="str">
        <f>IF(ISBLANK(Table2[[#This Row],[device_model]]), "", Table2[[#This Row],[device_suggested_area]])</f>
        <v/>
      </c>
      <c r="BI408" s="29"/>
      <c r="BJ408" s="28" t="s">
        <v>121</v>
      </c>
      <c r="BL408" s="28" t="s">
        <v>650</v>
      </c>
      <c r="BO408" s="28"/>
      <c r="BQ4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9" ht="16" customHeight="1" x14ac:dyDescent="0.2">
      <c r="A409" s="28">
        <v>2627</v>
      </c>
      <c r="B409" s="28" t="s">
        <v>26</v>
      </c>
      <c r="C409" s="28" t="s">
        <v>141</v>
      </c>
      <c r="D409" s="28" t="s">
        <v>281</v>
      </c>
      <c r="E409" s="34" t="s">
        <v>490</v>
      </c>
      <c r="F409" s="34" t="str">
        <f>IF(ISBLANK(Table2[[#This Row],[unique_id]]), "", PROPER(SUBSTITUTE(Table2[[#This Row],[unique_id]], "_", " ")))</f>
        <v>Lighting Reset Adaptive Lighting Edwin Lamp</v>
      </c>
      <c r="G409" s="34" t="s">
        <v>194</v>
      </c>
      <c r="H409" s="28" t="s">
        <v>508</v>
      </c>
      <c r="I409" s="28" t="s">
        <v>262</v>
      </c>
      <c r="J409" s="28" t="s">
        <v>494</v>
      </c>
      <c r="O409" s="29"/>
      <c r="P409" s="28"/>
      <c r="T409" s="35"/>
      <c r="U409" s="35"/>
      <c r="V409" s="35"/>
      <c r="W409" s="28"/>
      <c r="Y409" s="29"/>
      <c r="Z409" s="29"/>
      <c r="AA409" s="29"/>
      <c r="AB409" s="29"/>
      <c r="AH409" s="28" t="s">
        <v>263</v>
      </c>
      <c r="AJ409" s="29"/>
      <c r="AK409" s="29"/>
      <c r="AV409" s="28"/>
      <c r="AW409" s="38"/>
      <c r="AX409" s="29"/>
      <c r="AY4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9" s="28" t="str">
        <f>IF(ISBLANK(Table2[[#This Row],[device_model]]), "", Table2[[#This Row],[device_suggested_area]])</f>
        <v/>
      </c>
      <c r="BI409" s="29"/>
      <c r="BJ409" s="28" t="s">
        <v>118</v>
      </c>
      <c r="BL409" s="28" t="s">
        <v>650</v>
      </c>
      <c r="BO409" s="28"/>
      <c r="BQ4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9" ht="16" customHeight="1" x14ac:dyDescent="0.2">
      <c r="A410" s="28">
        <v>2628</v>
      </c>
      <c r="B410" s="28" t="s">
        <v>26</v>
      </c>
      <c r="C410" s="28" t="s">
        <v>141</v>
      </c>
      <c r="D410" s="28" t="s">
        <v>281</v>
      </c>
      <c r="E410" s="34" t="s">
        <v>496</v>
      </c>
      <c r="F410" s="34" t="str">
        <f>IF(ISBLANK(Table2[[#This Row],[unique_id]]), "", PROPER(SUBSTITUTE(Table2[[#This Row],[unique_id]], "_", " ")))</f>
        <v>Lighting Reset Adaptive Lighting Edwin Night Light</v>
      </c>
      <c r="G410" s="34" t="s">
        <v>379</v>
      </c>
      <c r="H410" s="28" t="s">
        <v>508</v>
      </c>
      <c r="I410" s="28" t="s">
        <v>262</v>
      </c>
      <c r="J410" s="28" t="s">
        <v>507</v>
      </c>
      <c r="O410" s="29"/>
      <c r="P410" s="28"/>
      <c r="T410" s="35"/>
      <c r="U410" s="35"/>
      <c r="V410" s="35"/>
      <c r="W410" s="28"/>
      <c r="Y410" s="29"/>
      <c r="Z410" s="29"/>
      <c r="AA410" s="29"/>
      <c r="AB410" s="29"/>
      <c r="AH410" s="28" t="s">
        <v>263</v>
      </c>
      <c r="AJ410" s="29"/>
      <c r="AK410" s="29"/>
      <c r="AV410" s="28"/>
      <c r="AW410" s="38"/>
      <c r="AX410" s="29"/>
      <c r="AY4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0" s="28" t="str">
        <f>IF(ISBLANK(Table2[[#This Row],[device_model]]), "", Table2[[#This Row],[device_suggested_area]])</f>
        <v/>
      </c>
      <c r="BI410" s="29"/>
      <c r="BJ410" s="28" t="s">
        <v>118</v>
      </c>
      <c r="BL410" s="28" t="s">
        <v>650</v>
      </c>
      <c r="BO410" s="28"/>
      <c r="BQ4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9" ht="16" customHeight="1" x14ac:dyDescent="0.2">
      <c r="A411" s="28">
        <v>2629</v>
      </c>
      <c r="B411" s="28" t="s">
        <v>26</v>
      </c>
      <c r="C411" s="28" t="s">
        <v>141</v>
      </c>
      <c r="D411" s="28" t="s">
        <v>281</v>
      </c>
      <c r="E411" s="34" t="s">
        <v>497</v>
      </c>
      <c r="F411" s="34" t="str">
        <f>IF(ISBLANK(Table2[[#This Row],[unique_id]]), "", PROPER(SUBSTITUTE(Table2[[#This Row],[unique_id]], "_", " ")))</f>
        <v>Lighting Reset Adaptive Lighting Hallway Main</v>
      </c>
      <c r="G411" s="34" t="s">
        <v>189</v>
      </c>
      <c r="H411" s="28" t="s">
        <v>508</v>
      </c>
      <c r="I411" s="28" t="s">
        <v>262</v>
      </c>
      <c r="J411" s="28" t="s">
        <v>515</v>
      </c>
      <c r="O411" s="29"/>
      <c r="P411" s="28"/>
      <c r="T411" s="35"/>
      <c r="U411" s="35"/>
      <c r="V411" s="35"/>
      <c r="W411" s="28"/>
      <c r="Y411" s="29"/>
      <c r="Z411" s="29"/>
      <c r="AA411" s="29"/>
      <c r="AB411" s="29"/>
      <c r="AH411" s="28" t="s">
        <v>263</v>
      </c>
      <c r="AJ411" s="29"/>
      <c r="AK411" s="29"/>
      <c r="AV411" s="28"/>
      <c r="AW411" s="38"/>
      <c r="AX411" s="29"/>
      <c r="AY4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1" s="28" t="str">
        <f>IF(ISBLANK(Table2[[#This Row],[device_model]]), "", Table2[[#This Row],[device_suggested_area]])</f>
        <v/>
      </c>
      <c r="BI411" s="29"/>
      <c r="BJ411" s="28" t="s">
        <v>375</v>
      </c>
      <c r="BO411" s="28"/>
      <c r="BQ4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9" ht="16" customHeight="1" x14ac:dyDescent="0.2">
      <c r="A412" s="28">
        <v>2630</v>
      </c>
      <c r="B412" s="28" t="s">
        <v>26</v>
      </c>
      <c r="C412" s="28" t="s">
        <v>141</v>
      </c>
      <c r="D412" s="28" t="s">
        <v>281</v>
      </c>
      <c r="E412" s="34" t="s">
        <v>818</v>
      </c>
      <c r="F412" s="34" t="str">
        <f>IF(ISBLANK(Table2[[#This Row],[unique_id]]), "", PROPER(SUBSTITUTE(Table2[[#This Row],[unique_id]], "_", " ")))</f>
        <v>Lighting Reset Adaptive Lighting Hallway Sconces</v>
      </c>
      <c r="G412" s="34" t="s">
        <v>803</v>
      </c>
      <c r="H412" s="28" t="s">
        <v>508</v>
      </c>
      <c r="I412" s="28" t="s">
        <v>262</v>
      </c>
      <c r="J412" s="28" t="s">
        <v>819</v>
      </c>
      <c r="O412" s="29"/>
      <c r="P412" s="28"/>
      <c r="T412" s="35"/>
      <c r="U412" s="35"/>
      <c r="V412" s="35"/>
      <c r="W412" s="28"/>
      <c r="Y412" s="29"/>
      <c r="Z412" s="29"/>
      <c r="AA412" s="29"/>
      <c r="AB412" s="29"/>
      <c r="AH412" s="28" t="s">
        <v>263</v>
      </c>
      <c r="AJ412" s="29"/>
      <c r="AK412" s="29"/>
      <c r="AV412" s="28"/>
      <c r="AW412" s="38"/>
      <c r="AX412" s="29"/>
      <c r="AY4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2" s="28" t="str">
        <f>IF(ISBLANK(Table2[[#This Row],[device_model]]), "", Table2[[#This Row],[device_suggested_area]])</f>
        <v/>
      </c>
      <c r="BI412" s="29"/>
      <c r="BJ412" s="28" t="s">
        <v>375</v>
      </c>
      <c r="BO412" s="28"/>
      <c r="BQ4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9" ht="16" customHeight="1" x14ac:dyDescent="0.2">
      <c r="A413" s="28">
        <v>2631</v>
      </c>
      <c r="B413" s="28" t="s">
        <v>26</v>
      </c>
      <c r="C413" s="28" t="s">
        <v>141</v>
      </c>
      <c r="D413" s="28" t="s">
        <v>281</v>
      </c>
      <c r="E413" s="34" t="s">
        <v>498</v>
      </c>
      <c r="F413" s="34" t="str">
        <f>IF(ISBLANK(Table2[[#This Row],[unique_id]]), "", PROPER(SUBSTITUTE(Table2[[#This Row],[unique_id]], "_", " ")))</f>
        <v>Lighting Reset Adaptive Lighting Dining Main</v>
      </c>
      <c r="G413" s="34" t="s">
        <v>129</v>
      </c>
      <c r="H413" s="28" t="s">
        <v>508</v>
      </c>
      <c r="I413" s="28" t="s">
        <v>262</v>
      </c>
      <c r="J413" s="28" t="s">
        <v>515</v>
      </c>
      <c r="O413" s="29"/>
      <c r="P413" s="28"/>
      <c r="T413" s="35"/>
      <c r="U413" s="35"/>
      <c r="V413" s="35"/>
      <c r="W413" s="28"/>
      <c r="Y413" s="29"/>
      <c r="Z413" s="29"/>
      <c r="AA413" s="29"/>
      <c r="AB413" s="29"/>
      <c r="AH413" s="28" t="s">
        <v>263</v>
      </c>
      <c r="AJ413" s="29"/>
      <c r="AK413" s="29"/>
      <c r="AV413" s="28"/>
      <c r="AW413" s="38"/>
      <c r="AX413" s="29"/>
      <c r="AY4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3" s="28" t="str">
        <f>IF(ISBLANK(Table2[[#This Row],[device_model]]), "", Table2[[#This Row],[device_suggested_area]])</f>
        <v/>
      </c>
      <c r="BI413" s="29"/>
      <c r="BJ413" s="28" t="s">
        <v>182</v>
      </c>
      <c r="BO413" s="28"/>
      <c r="BQ4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9" ht="16" customHeight="1" x14ac:dyDescent="0.2">
      <c r="A414" s="28">
        <v>2632</v>
      </c>
      <c r="B414" s="28" t="s">
        <v>26</v>
      </c>
      <c r="C414" s="28" t="s">
        <v>141</v>
      </c>
      <c r="D414" s="28" t="s">
        <v>281</v>
      </c>
      <c r="E414" s="34" t="s">
        <v>499</v>
      </c>
      <c r="F414" s="34" t="str">
        <f>IF(ISBLANK(Table2[[#This Row],[unique_id]]), "", PROPER(SUBSTITUTE(Table2[[#This Row],[unique_id]], "_", " ")))</f>
        <v>Lighting Reset Adaptive Lighting Lounge Main</v>
      </c>
      <c r="G414" s="34" t="s">
        <v>196</v>
      </c>
      <c r="H414" s="28" t="s">
        <v>508</v>
      </c>
      <c r="I414" s="28" t="s">
        <v>262</v>
      </c>
      <c r="J414" s="28" t="s">
        <v>515</v>
      </c>
      <c r="O414" s="29"/>
      <c r="P414" s="28"/>
      <c r="T414" s="35"/>
      <c r="U414" s="35"/>
      <c r="V414" s="35"/>
      <c r="W414" s="28"/>
      <c r="Y414" s="29"/>
      <c r="Z414" s="29"/>
      <c r="AA414" s="29"/>
      <c r="AB414" s="29"/>
      <c r="AH414" s="28" t="s">
        <v>263</v>
      </c>
      <c r="AJ414" s="29"/>
      <c r="AK414" s="29"/>
      <c r="AV414" s="28"/>
      <c r="AW414" s="38"/>
      <c r="AX414" s="29"/>
      <c r="AY4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4" s="28" t="str">
        <f>IF(ISBLANK(Table2[[#This Row],[device_model]]), "", Table2[[#This Row],[device_suggested_area]])</f>
        <v/>
      </c>
      <c r="BI414" s="29"/>
      <c r="BJ414" s="28" t="s">
        <v>183</v>
      </c>
      <c r="BO414" s="28"/>
      <c r="BQ4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9" ht="16" customHeight="1" x14ac:dyDescent="0.2">
      <c r="A415" s="28">
        <v>2633</v>
      </c>
      <c r="B415" s="28" t="s">
        <v>26</v>
      </c>
      <c r="C415" s="28" t="s">
        <v>141</v>
      </c>
      <c r="D415" s="28" t="s">
        <v>281</v>
      </c>
      <c r="E415" s="34" t="s">
        <v>550</v>
      </c>
      <c r="F415" s="34" t="str">
        <f>IF(ISBLANK(Table2[[#This Row],[unique_id]]), "", PROPER(SUBSTITUTE(Table2[[#This Row],[unique_id]], "_", " ")))</f>
        <v>Lighting Reset Adaptive Lighting Lounge Lamp</v>
      </c>
      <c r="G415" s="34" t="s">
        <v>520</v>
      </c>
      <c r="H415" s="28" t="s">
        <v>508</v>
      </c>
      <c r="I415" s="28" t="s">
        <v>262</v>
      </c>
      <c r="J415" s="28" t="s">
        <v>494</v>
      </c>
      <c r="O415" s="29"/>
      <c r="P415" s="28"/>
      <c r="T415" s="35"/>
      <c r="U415" s="35"/>
      <c r="V415" s="35"/>
      <c r="W415" s="28"/>
      <c r="Y415" s="29"/>
      <c r="Z415" s="29"/>
      <c r="AA415" s="29"/>
      <c r="AB415" s="29"/>
      <c r="AH415" s="28" t="s">
        <v>263</v>
      </c>
      <c r="AJ415" s="29"/>
      <c r="AK415" s="29"/>
      <c r="AV415" s="28"/>
      <c r="AW415" s="38"/>
      <c r="AX415" s="29"/>
      <c r="AY4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5" s="28" t="str">
        <f>IF(ISBLANK(Table2[[#This Row],[device_model]]), "", Table2[[#This Row],[device_suggested_area]])</f>
        <v/>
      </c>
      <c r="BI415" s="29"/>
      <c r="BJ415" s="28" t="s">
        <v>155</v>
      </c>
      <c r="BL415" s="28" t="s">
        <v>650</v>
      </c>
      <c r="BO415" s="28"/>
      <c r="BQ4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9" ht="16" customHeight="1" x14ac:dyDescent="0.2">
      <c r="A416" s="28">
        <v>2634</v>
      </c>
      <c r="B416" s="28" t="s">
        <v>26</v>
      </c>
      <c r="C416" s="28" t="s">
        <v>141</v>
      </c>
      <c r="D416" s="28" t="s">
        <v>281</v>
      </c>
      <c r="E416" s="34" t="s">
        <v>1427</v>
      </c>
      <c r="F416" s="34" t="str">
        <f>IF(ISBLANK(Table2[[#This Row],[unique_id]]), "", PROPER(SUBSTITUTE(Table2[[#This Row],[unique_id]], "_", " ")))</f>
        <v>Lighting Reset Adaptive Lighting Lounge Reading</v>
      </c>
      <c r="G416" s="34" t="s">
        <v>520</v>
      </c>
      <c r="H416" s="28" t="s">
        <v>508</v>
      </c>
      <c r="I416" s="28" t="s">
        <v>262</v>
      </c>
      <c r="J416" s="28" t="s">
        <v>494</v>
      </c>
      <c r="O416" s="29"/>
      <c r="P416" s="28"/>
      <c r="T416" s="35"/>
      <c r="U416" s="35"/>
      <c r="V416" s="35"/>
      <c r="W416" s="28"/>
      <c r="Y416" s="29"/>
      <c r="Z416" s="29"/>
      <c r="AA416" s="29"/>
      <c r="AB416" s="29"/>
      <c r="AH416" s="28" t="s">
        <v>263</v>
      </c>
      <c r="AJ416" s="29"/>
      <c r="AK416" s="29"/>
      <c r="AV416" s="28"/>
      <c r="AW416" s="38"/>
      <c r="AX416" s="29"/>
      <c r="AY4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6" s="28" t="str">
        <f>IF(ISBLANK(Table2[[#This Row],[device_model]]), "", Table2[[#This Row],[device_suggested_area]])</f>
        <v/>
      </c>
      <c r="BI416" s="29"/>
      <c r="BJ416" s="28" t="s">
        <v>155</v>
      </c>
      <c r="BL416" s="28" t="s">
        <v>650</v>
      </c>
      <c r="BO416" s="28"/>
      <c r="BQ4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9" ht="16" customHeight="1" x14ac:dyDescent="0.2">
      <c r="A417" s="28">
        <v>2635</v>
      </c>
      <c r="B417" s="28" t="s">
        <v>26</v>
      </c>
      <c r="C417" s="28" t="s">
        <v>141</v>
      </c>
      <c r="D417" s="28" t="s">
        <v>281</v>
      </c>
      <c r="E417" s="34" t="s">
        <v>500</v>
      </c>
      <c r="F417" s="34" t="str">
        <f>IF(ISBLANK(Table2[[#This Row],[unique_id]]), "", PROPER(SUBSTITUTE(Table2[[#This Row],[unique_id]], "_", " ")))</f>
        <v>Lighting Reset Adaptive Lighting Parents Main</v>
      </c>
      <c r="G417" s="34" t="s">
        <v>185</v>
      </c>
      <c r="H417" s="28" t="s">
        <v>508</v>
      </c>
      <c r="I417" s="28" t="s">
        <v>262</v>
      </c>
      <c r="J417" s="28" t="s">
        <v>515</v>
      </c>
      <c r="O417" s="29"/>
      <c r="P417" s="28"/>
      <c r="T417" s="35"/>
      <c r="U417" s="35"/>
      <c r="V417" s="35"/>
      <c r="W417" s="28"/>
      <c r="Y417" s="29"/>
      <c r="Z417" s="29"/>
      <c r="AA417" s="29"/>
      <c r="AB417" s="29"/>
      <c r="AH417" s="28" t="s">
        <v>263</v>
      </c>
      <c r="AJ417" s="29"/>
      <c r="AK417" s="29"/>
      <c r="AV417" s="28"/>
      <c r="AW417" s="38"/>
      <c r="AX417" s="29"/>
      <c r="AY4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7" s="28" t="str">
        <f>IF(ISBLANK(Table2[[#This Row],[device_model]]), "", Table2[[#This Row],[device_suggested_area]])</f>
        <v/>
      </c>
      <c r="BI417" s="29"/>
      <c r="BJ417" s="28" t="s">
        <v>181</v>
      </c>
      <c r="BO417" s="28"/>
      <c r="BQ4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9" ht="16" customHeight="1" x14ac:dyDescent="0.2">
      <c r="A418" s="28">
        <v>2636</v>
      </c>
      <c r="B418" s="28" t="s">
        <v>26</v>
      </c>
      <c r="C418" s="28" t="s">
        <v>141</v>
      </c>
      <c r="D418" s="28" t="s">
        <v>281</v>
      </c>
      <c r="E418" s="34" t="s">
        <v>820</v>
      </c>
      <c r="F418" s="34" t="str">
        <f>IF(ISBLANK(Table2[[#This Row],[unique_id]]), "", PROPER(SUBSTITUTE(Table2[[#This Row],[unique_id]], "_", " ")))</f>
        <v>Lighting Reset Adaptive Lighting Parents Jane Bedside</v>
      </c>
      <c r="G418" s="34" t="s">
        <v>812</v>
      </c>
      <c r="H418" s="28" t="s">
        <v>508</v>
      </c>
      <c r="I418" s="28" t="s">
        <v>262</v>
      </c>
      <c r="J418" s="28" t="s">
        <v>822</v>
      </c>
      <c r="O418" s="29"/>
      <c r="P418" s="28"/>
      <c r="T418" s="35"/>
      <c r="U418" s="35"/>
      <c r="V418" s="35"/>
      <c r="W418" s="28"/>
      <c r="Y418" s="29"/>
      <c r="Z418" s="29"/>
      <c r="AA418" s="29"/>
      <c r="AB418" s="29"/>
      <c r="AH418" s="28" t="s">
        <v>263</v>
      </c>
      <c r="AJ418" s="29"/>
      <c r="AK418" s="29"/>
      <c r="AV418" s="28"/>
      <c r="AW418" s="38"/>
      <c r="AX418" s="29"/>
      <c r="AY4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8" s="28" t="str">
        <f>IF(ISBLANK(Table2[[#This Row],[device_model]]), "", Table2[[#This Row],[device_suggested_area]])</f>
        <v/>
      </c>
      <c r="BI418" s="29"/>
      <c r="BJ418" s="28" t="s">
        <v>181</v>
      </c>
      <c r="BO418" s="28"/>
      <c r="BQ4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9" ht="16" customHeight="1" x14ac:dyDescent="0.2">
      <c r="A419" s="28">
        <v>2637</v>
      </c>
      <c r="B419" s="28" t="s">
        <v>26</v>
      </c>
      <c r="C419" s="28" t="s">
        <v>141</v>
      </c>
      <c r="D419" s="28" t="s">
        <v>281</v>
      </c>
      <c r="E419" s="34" t="s">
        <v>821</v>
      </c>
      <c r="F419" s="34" t="str">
        <f>IF(ISBLANK(Table2[[#This Row],[unique_id]]), "", PROPER(SUBSTITUTE(Table2[[#This Row],[unique_id]], "_", " ")))</f>
        <v>Lighting Reset Adaptive Lighting Parents Graham Bedside</v>
      </c>
      <c r="G419" s="34" t="s">
        <v>813</v>
      </c>
      <c r="H419" s="28" t="s">
        <v>508</v>
      </c>
      <c r="I419" s="28" t="s">
        <v>262</v>
      </c>
      <c r="J419" s="28" t="s">
        <v>823</v>
      </c>
      <c r="O419" s="29"/>
      <c r="P419" s="28"/>
      <c r="T419" s="35"/>
      <c r="U419" s="35"/>
      <c r="V419" s="35"/>
      <c r="W419" s="28"/>
      <c r="Y419" s="29"/>
      <c r="Z419" s="29"/>
      <c r="AA419" s="29"/>
      <c r="AB419" s="29"/>
      <c r="AH419" s="28" t="s">
        <v>263</v>
      </c>
      <c r="AJ419" s="29"/>
      <c r="AK419" s="29"/>
      <c r="AV419" s="28"/>
      <c r="AW419" s="38"/>
      <c r="AX419" s="29"/>
      <c r="AY4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9" s="28" t="str">
        <f>IF(ISBLANK(Table2[[#This Row],[device_model]]), "", Table2[[#This Row],[device_suggested_area]])</f>
        <v/>
      </c>
      <c r="BI419" s="29"/>
      <c r="BJ419" s="28" t="s">
        <v>181</v>
      </c>
      <c r="BO419" s="28"/>
      <c r="BQ4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9" ht="16" customHeight="1" x14ac:dyDescent="0.2">
      <c r="A420" s="28">
        <v>2638</v>
      </c>
      <c r="B420" s="28" t="s">
        <v>26</v>
      </c>
      <c r="C420" s="28" t="s">
        <v>141</v>
      </c>
      <c r="D420" s="28" t="s">
        <v>281</v>
      </c>
      <c r="E420" s="34" t="s">
        <v>824</v>
      </c>
      <c r="F420" s="34" t="str">
        <f>IF(ISBLANK(Table2[[#This Row],[unique_id]]), "", PROPER(SUBSTITUTE(Table2[[#This Row],[unique_id]], "_", " ")))</f>
        <v>Lighting Reset Adaptive Lighting Study Lamp</v>
      </c>
      <c r="G420" s="34" t="s">
        <v>690</v>
      </c>
      <c r="H420" s="28" t="s">
        <v>508</v>
      </c>
      <c r="I420" s="28" t="s">
        <v>262</v>
      </c>
      <c r="J420" s="28" t="s">
        <v>494</v>
      </c>
      <c r="O420" s="29"/>
      <c r="P420" s="28"/>
      <c r="T420" s="35"/>
      <c r="U420" s="35"/>
      <c r="V420" s="35"/>
      <c r="W420" s="28"/>
      <c r="Y420" s="29"/>
      <c r="Z420" s="29"/>
      <c r="AA420" s="29"/>
      <c r="AB420" s="29"/>
      <c r="AH420" s="28" t="s">
        <v>263</v>
      </c>
      <c r="AJ420" s="29"/>
      <c r="AK420" s="29"/>
      <c r="AV420" s="28"/>
      <c r="AW420" s="38"/>
      <c r="AX420" s="29"/>
      <c r="AY4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0" s="28" t="str">
        <f>IF(ISBLANK(Table2[[#This Row],[device_model]]), "", Table2[[#This Row],[device_suggested_area]])</f>
        <v/>
      </c>
      <c r="BI420" s="29"/>
      <c r="BJ420" s="28" t="s">
        <v>327</v>
      </c>
      <c r="BO420" s="28"/>
      <c r="BQ4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9" ht="16" customHeight="1" x14ac:dyDescent="0.2">
      <c r="A421" s="28">
        <v>2639</v>
      </c>
      <c r="B421" s="28" t="s">
        <v>26</v>
      </c>
      <c r="C421" s="28" t="s">
        <v>141</v>
      </c>
      <c r="D421" s="28" t="s">
        <v>281</v>
      </c>
      <c r="E421" s="34" t="s">
        <v>501</v>
      </c>
      <c r="F421" s="34" t="str">
        <f>IF(ISBLANK(Table2[[#This Row],[unique_id]]), "", PROPER(SUBSTITUTE(Table2[[#This Row],[unique_id]], "_", " ")))</f>
        <v>Lighting Reset Adaptive Lighting Kitchen Main</v>
      </c>
      <c r="G421" s="34" t="s">
        <v>191</v>
      </c>
      <c r="H421" s="28" t="s">
        <v>508</v>
      </c>
      <c r="I421" s="28" t="s">
        <v>262</v>
      </c>
      <c r="J421" s="28" t="s">
        <v>515</v>
      </c>
      <c r="O421" s="29"/>
      <c r="P421" s="28"/>
      <c r="T421" s="35"/>
      <c r="U421" s="35"/>
      <c r="V421" s="35"/>
      <c r="W421" s="28"/>
      <c r="Y421" s="29"/>
      <c r="Z421" s="29"/>
      <c r="AA421" s="29"/>
      <c r="AB421" s="29"/>
      <c r="AH421" s="28" t="s">
        <v>263</v>
      </c>
      <c r="AJ421" s="29"/>
      <c r="AK421" s="29"/>
      <c r="AV421" s="28"/>
      <c r="AW421" s="38"/>
      <c r="AX421" s="29"/>
      <c r="AY4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1" s="28" t="str">
        <f>IF(ISBLANK(Table2[[#This Row],[device_model]]), "", Table2[[#This Row],[device_suggested_area]])</f>
        <v/>
      </c>
      <c r="BI421" s="29"/>
      <c r="BJ421" s="28" t="s">
        <v>195</v>
      </c>
      <c r="BO421" s="28"/>
      <c r="BQ4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9" ht="16" customHeight="1" x14ac:dyDescent="0.2">
      <c r="A422" s="28">
        <v>2640</v>
      </c>
      <c r="B422" s="28" t="s">
        <v>26</v>
      </c>
      <c r="C422" s="28" t="s">
        <v>141</v>
      </c>
      <c r="D422" s="28" t="s">
        <v>281</v>
      </c>
      <c r="E422" s="34" t="s">
        <v>502</v>
      </c>
      <c r="F422" s="34" t="str">
        <f>IF(ISBLANK(Table2[[#This Row],[unique_id]]), "", PROPER(SUBSTITUTE(Table2[[#This Row],[unique_id]], "_", " ")))</f>
        <v>Lighting Reset Adaptive Lighting Laundry Main</v>
      </c>
      <c r="G422" s="34" t="s">
        <v>193</v>
      </c>
      <c r="H422" s="28" t="s">
        <v>508</v>
      </c>
      <c r="I422" s="28" t="s">
        <v>262</v>
      </c>
      <c r="J422" s="28" t="s">
        <v>515</v>
      </c>
      <c r="O422" s="29"/>
      <c r="P422" s="28"/>
      <c r="T422" s="35"/>
      <c r="U422" s="35"/>
      <c r="V422" s="35"/>
      <c r="W422" s="28"/>
      <c r="Y422" s="29"/>
      <c r="Z422" s="29"/>
      <c r="AA422" s="29"/>
      <c r="AB422" s="29"/>
      <c r="AH422" s="28" t="s">
        <v>263</v>
      </c>
      <c r="AJ422" s="29"/>
      <c r="AK422" s="29"/>
      <c r="AV422" s="28"/>
      <c r="AW422" s="38"/>
      <c r="AX422" s="29"/>
      <c r="AY4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2" s="28" t="str">
        <f>IF(ISBLANK(Table2[[#This Row],[device_model]]), "", Table2[[#This Row],[device_suggested_area]])</f>
        <v/>
      </c>
      <c r="BI422" s="29"/>
      <c r="BJ422" s="28" t="s">
        <v>202</v>
      </c>
      <c r="BO422" s="28"/>
      <c r="BQ4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9" ht="16" customHeight="1" x14ac:dyDescent="0.2">
      <c r="A423" s="28">
        <v>2641</v>
      </c>
      <c r="B423" s="28" t="s">
        <v>26</v>
      </c>
      <c r="C423" s="28" t="s">
        <v>141</v>
      </c>
      <c r="D423" s="28" t="s">
        <v>281</v>
      </c>
      <c r="E423" s="34" t="s">
        <v>503</v>
      </c>
      <c r="F423" s="34" t="str">
        <f>IF(ISBLANK(Table2[[#This Row],[unique_id]]), "", PROPER(SUBSTITUTE(Table2[[#This Row],[unique_id]], "_", " ")))</f>
        <v>Lighting Reset Adaptive Lighting Pantry Main</v>
      </c>
      <c r="G423" s="34" t="s">
        <v>192</v>
      </c>
      <c r="H423" s="28" t="s">
        <v>508</v>
      </c>
      <c r="I423" s="28" t="s">
        <v>262</v>
      </c>
      <c r="J423" s="28" t="s">
        <v>515</v>
      </c>
      <c r="O423" s="29"/>
      <c r="P423" s="28"/>
      <c r="T423" s="35"/>
      <c r="U423" s="35"/>
      <c r="V423" s="35"/>
      <c r="W423" s="28"/>
      <c r="Y423" s="29"/>
      <c r="Z423" s="29"/>
      <c r="AA423" s="29"/>
      <c r="AB423" s="29"/>
      <c r="AH423" s="28" t="s">
        <v>263</v>
      </c>
      <c r="AJ423" s="29"/>
      <c r="AK423" s="29"/>
      <c r="AV423" s="28"/>
      <c r="AW423" s="38"/>
      <c r="AX423" s="29"/>
      <c r="AY4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3" s="28" t="str">
        <f>IF(ISBLANK(Table2[[#This Row],[device_model]]), "", Table2[[#This Row],[device_suggested_area]])</f>
        <v/>
      </c>
      <c r="BI423" s="29"/>
      <c r="BJ423" s="28" t="s">
        <v>200</v>
      </c>
      <c r="BO423" s="28"/>
      <c r="BQ4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9" ht="16" customHeight="1" x14ac:dyDescent="0.2">
      <c r="A424" s="28">
        <v>2642</v>
      </c>
      <c r="B424" s="28" t="s">
        <v>26</v>
      </c>
      <c r="C424" s="28" t="s">
        <v>141</v>
      </c>
      <c r="D424" s="28" t="s">
        <v>281</v>
      </c>
      <c r="E424" s="34" t="s">
        <v>516</v>
      </c>
      <c r="F424" s="34" t="str">
        <f>IF(ISBLANK(Table2[[#This Row],[unique_id]]), "", PROPER(SUBSTITUTE(Table2[[#This Row],[unique_id]], "_", " ")))</f>
        <v>Lighting Reset Adaptive Lighting Office Main</v>
      </c>
      <c r="G424" s="34" t="s">
        <v>188</v>
      </c>
      <c r="H424" s="28" t="s">
        <v>508</v>
      </c>
      <c r="I424" s="28" t="s">
        <v>262</v>
      </c>
      <c r="J424" s="28" t="s">
        <v>515</v>
      </c>
      <c r="O424" s="29"/>
      <c r="P424" s="28"/>
      <c r="T424" s="35"/>
      <c r="U424" s="35"/>
      <c r="V424" s="35"/>
      <c r="W424" s="28"/>
      <c r="Y424" s="29"/>
      <c r="Z424" s="29"/>
      <c r="AA424" s="29"/>
      <c r="AB424" s="29"/>
      <c r="AH424" s="28" t="s">
        <v>263</v>
      </c>
      <c r="AJ424" s="29"/>
      <c r="AK424" s="29"/>
      <c r="AV424" s="28"/>
      <c r="AW424" s="38"/>
      <c r="AX424" s="29"/>
      <c r="AY4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4" s="28" t="str">
        <f>IF(ISBLANK(Table2[[#This Row],[device_model]]), "", Table2[[#This Row],[device_suggested_area]])</f>
        <v/>
      </c>
      <c r="BI424" s="29"/>
      <c r="BJ424" s="28" t="s">
        <v>201</v>
      </c>
      <c r="BO424" s="28"/>
      <c r="BQ4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9" ht="16" customHeight="1" x14ac:dyDescent="0.2">
      <c r="A425" s="28">
        <v>2643</v>
      </c>
      <c r="B425" s="28" t="s">
        <v>26</v>
      </c>
      <c r="C425" s="28" t="s">
        <v>141</v>
      </c>
      <c r="D425" s="28" t="s">
        <v>281</v>
      </c>
      <c r="E425" s="34" t="s">
        <v>504</v>
      </c>
      <c r="F425" s="34" t="str">
        <f>IF(ISBLANK(Table2[[#This Row],[unique_id]]), "", PROPER(SUBSTITUTE(Table2[[#This Row],[unique_id]], "_", " ")))</f>
        <v>Lighting Reset Adaptive Lighting Bathroom Main</v>
      </c>
      <c r="G425" s="34" t="s">
        <v>187</v>
      </c>
      <c r="H425" s="28" t="s">
        <v>508</v>
      </c>
      <c r="I425" s="28" t="s">
        <v>262</v>
      </c>
      <c r="J425" s="28" t="s">
        <v>515</v>
      </c>
      <c r="O425" s="29"/>
      <c r="P425" s="28"/>
      <c r="T425" s="35"/>
      <c r="U425" s="35"/>
      <c r="V425" s="35"/>
      <c r="W425" s="28"/>
      <c r="Y425" s="29"/>
      <c r="Z425" s="29"/>
      <c r="AA425" s="29"/>
      <c r="AB425" s="29"/>
      <c r="AH425" s="28" t="s">
        <v>263</v>
      </c>
      <c r="AJ425" s="29"/>
      <c r="AK425" s="29"/>
      <c r="AV425" s="28"/>
      <c r="AW425" s="38"/>
      <c r="AX425" s="29"/>
      <c r="AY4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5" s="28" t="str">
        <f>IF(ISBLANK(Table2[[#This Row],[device_model]]), "", Table2[[#This Row],[device_suggested_area]])</f>
        <v/>
      </c>
      <c r="BI425" s="29"/>
      <c r="BJ425" s="28" t="s">
        <v>329</v>
      </c>
      <c r="BO425" s="28"/>
      <c r="BQ4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9" ht="16" customHeight="1" x14ac:dyDescent="0.2">
      <c r="A426" s="28">
        <v>2644</v>
      </c>
      <c r="B426" s="28" t="s">
        <v>26</v>
      </c>
      <c r="C426" s="28" t="s">
        <v>141</v>
      </c>
      <c r="D426" s="28" t="s">
        <v>281</v>
      </c>
      <c r="E426" s="34" t="s">
        <v>825</v>
      </c>
      <c r="F426" s="34" t="str">
        <f>IF(ISBLANK(Table2[[#This Row],[unique_id]]), "", PROPER(SUBSTITUTE(Table2[[#This Row],[unique_id]], "_", " ")))</f>
        <v>Lighting Reset Adaptive Lighting Bathroom Sconces</v>
      </c>
      <c r="G426" s="34" t="s">
        <v>809</v>
      </c>
      <c r="H426" s="28" t="s">
        <v>508</v>
      </c>
      <c r="I426" s="28" t="s">
        <v>262</v>
      </c>
      <c r="J426" s="28" t="s">
        <v>819</v>
      </c>
      <c r="O426" s="29"/>
      <c r="P426" s="28"/>
      <c r="T426" s="35"/>
      <c r="U426" s="35"/>
      <c r="V426" s="35"/>
      <c r="W426" s="28"/>
      <c r="Y426" s="29"/>
      <c r="Z426" s="29"/>
      <c r="AA426" s="29"/>
      <c r="AB426" s="29"/>
      <c r="AH426" s="28" t="s">
        <v>263</v>
      </c>
      <c r="AJ426" s="29"/>
      <c r="AK426" s="29"/>
      <c r="AV426" s="28"/>
      <c r="AW426" s="38"/>
      <c r="AX426" s="29"/>
      <c r="AY4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6" s="28" t="str">
        <f>IF(ISBLANK(Table2[[#This Row],[device_model]]), "", Table2[[#This Row],[device_suggested_area]])</f>
        <v/>
      </c>
      <c r="BI426" s="29"/>
      <c r="BJ426" s="28" t="s">
        <v>329</v>
      </c>
      <c r="BO426" s="28"/>
      <c r="BQ4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9" ht="16" customHeight="1" x14ac:dyDescent="0.2">
      <c r="A427" s="28">
        <v>2645</v>
      </c>
      <c r="B427" s="28" t="s">
        <v>26</v>
      </c>
      <c r="C427" s="28" t="s">
        <v>141</v>
      </c>
      <c r="D427" s="28" t="s">
        <v>281</v>
      </c>
      <c r="E427" s="34" t="s">
        <v>505</v>
      </c>
      <c r="F427" s="34" t="str">
        <f>IF(ISBLANK(Table2[[#This Row],[unique_id]]), "", PROPER(SUBSTITUTE(Table2[[#This Row],[unique_id]], "_", " ")))</f>
        <v>Lighting Reset Adaptive Lighting Ensuite Main</v>
      </c>
      <c r="G427" s="34" t="s">
        <v>186</v>
      </c>
      <c r="H427" s="28" t="s">
        <v>508</v>
      </c>
      <c r="I427" s="28" t="s">
        <v>262</v>
      </c>
      <c r="J427" s="28" t="s">
        <v>515</v>
      </c>
      <c r="O427" s="29"/>
      <c r="P427" s="28"/>
      <c r="T427" s="35"/>
      <c r="U427" s="35"/>
      <c r="V427" s="35"/>
      <c r="W427" s="28"/>
      <c r="Y427" s="29"/>
      <c r="Z427" s="29"/>
      <c r="AA427" s="29"/>
      <c r="AB427" s="29"/>
      <c r="AH427" s="28" t="s">
        <v>263</v>
      </c>
      <c r="AJ427" s="29"/>
      <c r="AK427" s="29"/>
      <c r="AV427" s="28"/>
      <c r="AW427" s="38"/>
      <c r="AX427" s="29"/>
      <c r="AY4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7" s="28" t="str">
        <f>IF(ISBLANK(Table2[[#This Row],[device_model]]), "", Table2[[#This Row],[device_suggested_area]])</f>
        <v/>
      </c>
      <c r="BI427" s="29"/>
      <c r="BJ427" s="28" t="s">
        <v>365</v>
      </c>
      <c r="BO427" s="28"/>
      <c r="BQ4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9" ht="16" customHeight="1" x14ac:dyDescent="0.2">
      <c r="A428" s="28">
        <v>2646</v>
      </c>
      <c r="B428" s="28" t="s">
        <v>26</v>
      </c>
      <c r="C428" s="28" t="s">
        <v>141</v>
      </c>
      <c r="D428" s="28" t="s">
        <v>281</v>
      </c>
      <c r="E428" s="34" t="s">
        <v>826</v>
      </c>
      <c r="F428" s="34" t="str">
        <f>IF(ISBLANK(Table2[[#This Row],[unique_id]]), "", PROPER(SUBSTITUTE(Table2[[#This Row],[unique_id]], "_", " ")))</f>
        <v>Lighting Reset Adaptive Lighting Ensuite Sconces</v>
      </c>
      <c r="G428" s="34" t="s">
        <v>792</v>
      </c>
      <c r="H428" s="28" t="s">
        <v>508</v>
      </c>
      <c r="I428" s="28" t="s">
        <v>262</v>
      </c>
      <c r="J428" s="28" t="s">
        <v>819</v>
      </c>
      <c r="O428" s="29"/>
      <c r="P428" s="28"/>
      <c r="T428" s="35"/>
      <c r="U428" s="35"/>
      <c r="V428" s="35"/>
      <c r="W428" s="28"/>
      <c r="Y428" s="29"/>
      <c r="Z428" s="29"/>
      <c r="AA428" s="29"/>
      <c r="AB428" s="29"/>
      <c r="AH428" s="28" t="s">
        <v>263</v>
      </c>
      <c r="AJ428" s="29"/>
      <c r="AK428" s="29"/>
      <c r="AV428" s="28"/>
      <c r="AW428" s="38"/>
      <c r="AX428" s="29"/>
      <c r="AY4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8" s="28" t="str">
        <f>IF(ISBLANK(Table2[[#This Row],[device_model]]), "", Table2[[#This Row],[device_suggested_area]])</f>
        <v/>
      </c>
      <c r="BI428" s="29"/>
      <c r="BJ428" s="28" t="s">
        <v>365</v>
      </c>
      <c r="BO428" s="28"/>
      <c r="BQ4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9" ht="16" customHeight="1" x14ac:dyDescent="0.2">
      <c r="A429" s="28">
        <v>2647</v>
      </c>
      <c r="B429" s="28" t="s">
        <v>26</v>
      </c>
      <c r="C429" s="28" t="s">
        <v>141</v>
      </c>
      <c r="D429" s="28" t="s">
        <v>281</v>
      </c>
      <c r="E429" s="34" t="s">
        <v>506</v>
      </c>
      <c r="F429" s="34" t="str">
        <f>IF(ISBLANK(Table2[[#This Row],[unique_id]]), "", PROPER(SUBSTITUTE(Table2[[#This Row],[unique_id]], "_", " ")))</f>
        <v>Lighting Reset Adaptive Lighting Wardrobe Main</v>
      </c>
      <c r="G429" s="34" t="s">
        <v>190</v>
      </c>
      <c r="H429" s="28" t="s">
        <v>508</v>
      </c>
      <c r="I429" s="28" t="s">
        <v>262</v>
      </c>
      <c r="J429" s="28" t="s">
        <v>515</v>
      </c>
      <c r="O429" s="29"/>
      <c r="P429" s="28"/>
      <c r="T429" s="35"/>
      <c r="U429" s="35"/>
      <c r="V429" s="35"/>
      <c r="W429" s="28"/>
      <c r="Y429" s="29"/>
      <c r="Z429" s="29"/>
      <c r="AA429" s="29"/>
      <c r="AB429" s="29"/>
      <c r="AH429" s="28" t="s">
        <v>263</v>
      </c>
      <c r="AJ429" s="29"/>
      <c r="AK429" s="29"/>
      <c r="AV429" s="28"/>
      <c r="AW429" s="38"/>
      <c r="AX429" s="29"/>
      <c r="AY4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9" s="28" t="str">
        <f>IF(ISBLANK(Table2[[#This Row],[device_model]]), "", Table2[[#This Row],[device_suggested_area]])</f>
        <v/>
      </c>
      <c r="BI429" s="29"/>
      <c r="BJ429" s="28" t="s">
        <v>460</v>
      </c>
      <c r="BO429" s="28"/>
      <c r="BQ4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9" ht="16" customHeight="1" x14ac:dyDescent="0.2">
      <c r="A430" s="28">
        <v>2648</v>
      </c>
      <c r="B430" s="28" t="s">
        <v>26</v>
      </c>
      <c r="C430" s="28" t="s">
        <v>141</v>
      </c>
      <c r="D430" s="28" t="s">
        <v>569</v>
      </c>
      <c r="E430" s="28" t="s">
        <v>1252</v>
      </c>
      <c r="F430" s="34" t="str">
        <f>IF(ISBLANK(Table2[[#This Row],[unique_id]]), "", PROPER(SUBSTITUTE(Table2[[#This Row],[unique_id]], "_", " ")))</f>
        <v>Google Assistant Synchronize Devices</v>
      </c>
      <c r="G430" s="28" t="s">
        <v>1126</v>
      </c>
      <c r="H430" s="28" t="s">
        <v>570</v>
      </c>
      <c r="I430" s="28" t="s">
        <v>262</v>
      </c>
      <c r="M430" s="28" t="s">
        <v>244</v>
      </c>
      <c r="O430" s="29"/>
      <c r="P430" s="28"/>
      <c r="T430" s="35"/>
      <c r="U430" s="35"/>
      <c r="V430" s="35"/>
      <c r="W430" s="28"/>
      <c r="Y430" s="29"/>
      <c r="Z430" s="29"/>
      <c r="AA430" s="29"/>
      <c r="AB430" s="29"/>
      <c r="AJ430" s="29"/>
      <c r="AK430" s="29"/>
      <c r="AU430" s="37"/>
      <c r="AV430" s="28"/>
      <c r="AW430" s="30"/>
      <c r="AX430" s="29"/>
      <c r="AY4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0" s="28" t="str">
        <f>IF(ISBLANK(Table2[[#This Row],[device_model]]), "", Table2[[#This Row],[device_suggested_area]])</f>
        <v/>
      </c>
      <c r="BI430" s="29"/>
      <c r="BO430" s="28"/>
      <c r="BQ4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9" ht="16" customHeight="1" x14ac:dyDescent="0.2">
      <c r="A431" s="28">
        <v>2700</v>
      </c>
      <c r="B431" s="28" t="s">
        <v>26</v>
      </c>
      <c r="C431" s="28" t="s">
        <v>223</v>
      </c>
      <c r="D431" s="28" t="s">
        <v>136</v>
      </c>
      <c r="E431" s="28" t="s">
        <v>137</v>
      </c>
      <c r="F431" s="34" t="str">
        <f>IF(ISBLANK(Table2[[#This Row],[unique_id]]), "", PROPER(SUBSTITUTE(Table2[[#This Row],[unique_id]], "_", " ")))</f>
        <v>Ada Home</v>
      </c>
      <c r="G431" s="28" t="s">
        <v>174</v>
      </c>
      <c r="H431" s="28" t="s">
        <v>693</v>
      </c>
      <c r="I431" s="28" t="s">
        <v>135</v>
      </c>
      <c r="M431" s="28" t="s">
        <v>127</v>
      </c>
      <c r="N431" s="28" t="s">
        <v>257</v>
      </c>
      <c r="O431" s="29" t="s">
        <v>736</v>
      </c>
      <c r="P431" s="28" t="s">
        <v>155</v>
      </c>
      <c r="Q431" s="28" t="s">
        <v>708</v>
      </c>
      <c r="R431" s="39" t="s">
        <v>693</v>
      </c>
      <c r="S431" s="28" t="str">
        <f>_xlfn.CONCAT( Table2[[#This Row],[friendly_name]], " Devices")</f>
        <v>Ada Home Devices</v>
      </c>
      <c r="T431" s="35"/>
      <c r="U431" s="35"/>
      <c r="V431" s="35"/>
      <c r="W431" s="28"/>
      <c r="Y431" s="29"/>
      <c r="Z431" s="29"/>
      <c r="AA431" s="29"/>
      <c r="AB431" s="29"/>
      <c r="AJ431" s="29"/>
      <c r="AK431" s="29"/>
      <c r="AV431" s="28"/>
      <c r="AW431" s="38"/>
      <c r="AY4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Z4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BA4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1" s="28" t="str">
        <f>IF(ISBLANK(Table2[[#This Row],[device_model]]), "", Table2[[#This Row],[device_suggested_area]])</f>
        <v>Ada</v>
      </c>
      <c r="BE431" s="28" t="s">
        <v>155</v>
      </c>
      <c r="BF431" s="28" t="s">
        <v>362</v>
      </c>
      <c r="BG431" s="28" t="s">
        <v>223</v>
      </c>
      <c r="BI431" s="28" t="s">
        <v>989</v>
      </c>
      <c r="BJ431" s="28" t="s">
        <v>121</v>
      </c>
      <c r="BN431" s="28" t="s">
        <v>1185</v>
      </c>
      <c r="BO431" s="39" t="s">
        <v>391</v>
      </c>
      <c r="BP431" s="37" t="s">
        <v>1187</v>
      </c>
      <c r="BQ4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69" ht="16" customHeight="1" x14ac:dyDescent="0.2">
      <c r="A432" s="28">
        <v>2701</v>
      </c>
      <c r="B432" s="28" t="s">
        <v>26</v>
      </c>
      <c r="C432" s="28" t="s">
        <v>223</v>
      </c>
      <c r="D432" s="28" t="s">
        <v>136</v>
      </c>
      <c r="E432" s="28" t="s">
        <v>245</v>
      </c>
      <c r="F432" s="34" t="str">
        <f>IF(ISBLANK(Table2[[#This Row],[unique_id]]), "", PROPER(SUBSTITUTE(Table2[[#This Row],[unique_id]], "_", " ")))</f>
        <v>Edwin Home</v>
      </c>
      <c r="G432" s="28" t="s">
        <v>246</v>
      </c>
      <c r="H432" s="28" t="s">
        <v>693</v>
      </c>
      <c r="I432" s="28" t="s">
        <v>135</v>
      </c>
      <c r="M432" s="28" t="s">
        <v>127</v>
      </c>
      <c r="N432" s="28" t="s">
        <v>257</v>
      </c>
      <c r="O432" s="29" t="s">
        <v>736</v>
      </c>
      <c r="P432" s="28" t="s">
        <v>155</v>
      </c>
      <c r="Q432" s="28" t="s">
        <v>708</v>
      </c>
      <c r="R432" s="39" t="s">
        <v>693</v>
      </c>
      <c r="S432" s="28" t="str">
        <f>_xlfn.CONCAT( Table2[[#This Row],[friendly_name]], " Devices")</f>
        <v>Edwin Home Devices</v>
      </c>
      <c r="T432" s="35"/>
      <c r="U432" s="35"/>
      <c r="V432" s="35"/>
      <c r="W432" s="28"/>
      <c r="Y432" s="29"/>
      <c r="Z432" s="29"/>
      <c r="AA432" s="29"/>
      <c r="AB432" s="29"/>
      <c r="AJ432" s="29"/>
      <c r="AK432" s="29"/>
      <c r="AV432" s="28"/>
      <c r="AW432" s="38"/>
      <c r="AY4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Z4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BA4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2" s="28" t="str">
        <f>IF(ISBLANK(Table2[[#This Row],[device_model]]), "", Table2[[#This Row],[device_suggested_area]])</f>
        <v>Edwin</v>
      </c>
      <c r="BE432" s="28" t="s">
        <v>155</v>
      </c>
      <c r="BF432" s="28" t="s">
        <v>362</v>
      </c>
      <c r="BG432" s="28" t="s">
        <v>223</v>
      </c>
      <c r="BI432" s="28" t="s">
        <v>989</v>
      </c>
      <c r="BJ432" s="28" t="s">
        <v>118</v>
      </c>
      <c r="BN432" s="28" t="s">
        <v>1185</v>
      </c>
      <c r="BO432" s="39" t="s">
        <v>390</v>
      </c>
      <c r="BP432" s="37" t="s">
        <v>1188</v>
      </c>
      <c r="BQ4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69" ht="16" customHeight="1" x14ac:dyDescent="0.2">
      <c r="A433" s="28">
        <v>2702</v>
      </c>
      <c r="B433" s="28" t="s">
        <v>26</v>
      </c>
      <c r="C433" s="28" t="s">
        <v>223</v>
      </c>
      <c r="D433" s="28" t="s">
        <v>136</v>
      </c>
      <c r="E433" s="28" t="s">
        <v>253</v>
      </c>
      <c r="F433" s="34" t="str">
        <f>IF(ISBLANK(Table2[[#This Row],[unique_id]]), "", PROPER(SUBSTITUTE(Table2[[#This Row],[unique_id]], "_", " ")))</f>
        <v>Parents Home</v>
      </c>
      <c r="G433" s="28" t="s">
        <v>247</v>
      </c>
      <c r="H433" s="28" t="s">
        <v>693</v>
      </c>
      <c r="I433" s="28" t="s">
        <v>135</v>
      </c>
      <c r="M433" s="28" t="s">
        <v>127</v>
      </c>
      <c r="N433" s="28" t="s">
        <v>257</v>
      </c>
      <c r="O433" s="29" t="s">
        <v>736</v>
      </c>
      <c r="P433" s="28" t="s">
        <v>155</v>
      </c>
      <c r="Q433" s="28" t="s">
        <v>708</v>
      </c>
      <c r="R433" s="39" t="s">
        <v>693</v>
      </c>
      <c r="S433" s="28" t="str">
        <f>_xlfn.CONCAT( Table2[[#This Row],[friendly_name]], " Devices")</f>
        <v>Parents Home Devices</v>
      </c>
      <c r="T433" s="35" t="s">
        <v>718</v>
      </c>
      <c r="U433" s="35"/>
      <c r="V433" s="35"/>
      <c r="W433" s="28"/>
      <c r="Y433" s="29"/>
      <c r="Z433" s="29"/>
      <c r="AA433" s="29"/>
      <c r="AB433" s="29"/>
      <c r="AJ433" s="29"/>
      <c r="AK433" s="29"/>
      <c r="AV433" s="28"/>
      <c r="AW433" s="38"/>
      <c r="AY4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Z4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BA4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3" s="28" t="str">
        <f>IF(ISBLANK(Table2[[#This Row],[device_model]]), "", Table2[[#This Row],[device_suggested_area]])</f>
        <v>Parents</v>
      </c>
      <c r="BE433" s="28" t="s">
        <v>155</v>
      </c>
      <c r="BF433" s="28" t="s">
        <v>983</v>
      </c>
      <c r="BG433" s="28" t="s">
        <v>223</v>
      </c>
      <c r="BI433" s="28" t="s">
        <v>990</v>
      </c>
      <c r="BJ433" s="28" t="s">
        <v>181</v>
      </c>
      <c r="BN433" s="28" t="s">
        <v>1185</v>
      </c>
      <c r="BO433" s="39" t="s">
        <v>600</v>
      </c>
      <c r="BP433" s="37" t="s">
        <v>1189</v>
      </c>
      <c r="BQ4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69" ht="16" customHeight="1" x14ac:dyDescent="0.2">
      <c r="A434" s="28">
        <v>2703</v>
      </c>
      <c r="B434" s="28" t="s">
        <v>26</v>
      </c>
      <c r="C434" s="28" t="s">
        <v>223</v>
      </c>
      <c r="D434" s="28" t="s">
        <v>136</v>
      </c>
      <c r="E434" s="28" t="s">
        <v>249</v>
      </c>
      <c r="F434" s="34" t="str">
        <f>IF(ISBLANK(Table2[[#This Row],[unique_id]]), "", PROPER(SUBSTITUTE(Table2[[#This Row],[unique_id]], "_", " ")))</f>
        <v>Kitchen Home</v>
      </c>
      <c r="G434" s="28" t="s">
        <v>248</v>
      </c>
      <c r="H434" s="28" t="s">
        <v>693</v>
      </c>
      <c r="I434" s="28" t="s">
        <v>135</v>
      </c>
      <c r="M434" s="28" t="s">
        <v>127</v>
      </c>
      <c r="N434" s="28" t="s">
        <v>257</v>
      </c>
      <c r="O434" s="29" t="s">
        <v>736</v>
      </c>
      <c r="P434" s="28" t="s">
        <v>155</v>
      </c>
      <c r="Q434" s="28" t="s">
        <v>708</v>
      </c>
      <c r="R434" s="39" t="s">
        <v>693</v>
      </c>
      <c r="S434" s="28" t="str">
        <f>_xlfn.CONCAT( Table2[[#This Row],[friendly_name]], " Devices")</f>
        <v>Kitchen Home Devices</v>
      </c>
      <c r="T434" s="35" t="s">
        <v>718</v>
      </c>
      <c r="U434" s="35"/>
      <c r="V434" s="35"/>
      <c r="W434" s="28"/>
      <c r="Y434" s="29"/>
      <c r="Z434" s="29"/>
      <c r="AA434" s="29"/>
      <c r="AB434" s="29"/>
      <c r="AJ434" s="29"/>
      <c r="AK434" s="29"/>
      <c r="AV434" s="28"/>
      <c r="AW434" s="38"/>
      <c r="AY4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Z4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BA4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4" s="28" t="str">
        <f>IF(ISBLANK(Table2[[#This Row],[device_model]]), "", Table2[[#This Row],[device_suggested_area]])</f>
        <v>Kitchen</v>
      </c>
      <c r="BE434" s="28" t="s">
        <v>155</v>
      </c>
      <c r="BF434" s="28" t="s">
        <v>983</v>
      </c>
      <c r="BG434" s="28" t="s">
        <v>223</v>
      </c>
      <c r="BI434" s="28" t="s">
        <v>990</v>
      </c>
      <c r="BJ434" s="28" t="s">
        <v>195</v>
      </c>
      <c r="BN434" s="28" t="s">
        <v>1185</v>
      </c>
      <c r="BO434" s="39" t="s">
        <v>678</v>
      </c>
      <c r="BP434" s="37" t="s">
        <v>1190</v>
      </c>
      <c r="BQ4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69" ht="16" customHeight="1" x14ac:dyDescent="0.2">
      <c r="A435" s="28">
        <v>2704</v>
      </c>
      <c r="B435" s="28" t="s">
        <v>26</v>
      </c>
      <c r="C435" s="28" t="s">
        <v>223</v>
      </c>
      <c r="D435" s="28" t="s">
        <v>136</v>
      </c>
      <c r="E435" s="28" t="s">
        <v>571</v>
      </c>
      <c r="F435" s="34" t="str">
        <f>IF(ISBLANK(Table2[[#This Row],[unique_id]]), "", PROPER(SUBSTITUTE(Table2[[#This Row],[unique_id]], "_", " ")))</f>
        <v>Office Home</v>
      </c>
      <c r="G435" s="28" t="s">
        <v>572</v>
      </c>
      <c r="H435" s="28" t="s">
        <v>693</v>
      </c>
      <c r="I435" s="28" t="s">
        <v>135</v>
      </c>
      <c r="M435" s="28" t="s">
        <v>127</v>
      </c>
      <c r="N435" s="28" t="s">
        <v>257</v>
      </c>
      <c r="O435" s="29" t="s">
        <v>736</v>
      </c>
      <c r="P435" s="28" t="s">
        <v>155</v>
      </c>
      <c r="Q435" s="28" t="s">
        <v>708</v>
      </c>
      <c r="R435" s="39" t="s">
        <v>693</v>
      </c>
      <c r="S435" s="28" t="str">
        <f>_xlfn.CONCAT( Table2[[#This Row],[friendly_name]], " Devices")</f>
        <v>Office Home Devices</v>
      </c>
      <c r="T435" s="35"/>
      <c r="U435" s="35"/>
      <c r="V435" s="35"/>
      <c r="W435" s="28"/>
      <c r="Y435" s="29"/>
      <c r="Z435" s="29"/>
      <c r="AA435" s="29"/>
      <c r="AB435" s="29"/>
      <c r="AJ435" s="29"/>
      <c r="AK435" s="29"/>
      <c r="AV435" s="28"/>
      <c r="AW435" s="38"/>
      <c r="AY4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Z4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BA4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5" s="28" t="str">
        <f>IF(ISBLANK(Table2[[#This Row],[device_model]]), "", Table2[[#This Row],[device_suggested_area]])</f>
        <v>Office</v>
      </c>
      <c r="BE435" s="28" t="s">
        <v>155</v>
      </c>
      <c r="BF435" s="28" t="s">
        <v>362</v>
      </c>
      <c r="BG435" s="28" t="s">
        <v>223</v>
      </c>
      <c r="BI435" s="28" t="s">
        <v>989</v>
      </c>
      <c r="BJ435" s="28" t="s">
        <v>201</v>
      </c>
      <c r="BN435" s="28" t="s">
        <v>1185</v>
      </c>
      <c r="BO435" s="39" t="s">
        <v>388</v>
      </c>
      <c r="BP435" s="37" t="s">
        <v>1191</v>
      </c>
      <c r="BQ4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69" ht="16" customHeight="1" x14ac:dyDescent="0.2">
      <c r="A436" s="28">
        <v>2705</v>
      </c>
      <c r="B436" s="28" t="s">
        <v>26</v>
      </c>
      <c r="C436" s="28" t="s">
        <v>223</v>
      </c>
      <c r="D436" s="28" t="s">
        <v>136</v>
      </c>
      <c r="E436" s="28" t="s">
        <v>603</v>
      </c>
      <c r="F436" s="34" t="str">
        <f>IF(ISBLANK(Table2[[#This Row],[unique_id]]), "", PROPER(SUBSTITUTE(Table2[[#This Row],[unique_id]], "_", " ")))</f>
        <v>Lounge Home</v>
      </c>
      <c r="G436" s="28" t="s">
        <v>604</v>
      </c>
      <c r="H436" s="28" t="s">
        <v>693</v>
      </c>
      <c r="I436" s="28" t="s">
        <v>135</v>
      </c>
      <c r="M436" s="28" t="s">
        <v>127</v>
      </c>
      <c r="N436" s="28" t="s">
        <v>257</v>
      </c>
      <c r="O436" s="29" t="s">
        <v>736</v>
      </c>
      <c r="P436" s="28" t="s">
        <v>155</v>
      </c>
      <c r="Q436" s="28" t="s">
        <v>708</v>
      </c>
      <c r="R436" s="39" t="s">
        <v>693</v>
      </c>
      <c r="S436" s="28" t="str">
        <f>_xlfn.CONCAT( Table2[[#This Row],[friendly_name]], " Devices")</f>
        <v>Lounge Home Devices</v>
      </c>
      <c r="T436" s="35"/>
      <c r="U436" s="35"/>
      <c r="V436" s="35"/>
      <c r="W436" s="28"/>
      <c r="Y436" s="29"/>
      <c r="Z436" s="29"/>
      <c r="AA436" s="29"/>
      <c r="AB436" s="29"/>
      <c r="AJ436" s="29"/>
      <c r="AK436" s="29"/>
      <c r="AV436" s="28"/>
      <c r="AW436" s="38"/>
      <c r="AY4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Z4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BA4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6" s="28" t="str">
        <f>IF(ISBLANK(Table2[[#This Row],[device_model]]), "", Table2[[#This Row],[device_suggested_area]])</f>
        <v>Lounge</v>
      </c>
      <c r="BE436" s="28" t="s">
        <v>155</v>
      </c>
      <c r="BF436" s="28" t="s">
        <v>362</v>
      </c>
      <c r="BG436" s="28" t="s">
        <v>223</v>
      </c>
      <c r="BI436" s="28" t="s">
        <v>989</v>
      </c>
      <c r="BJ436" s="28" t="s">
        <v>183</v>
      </c>
      <c r="BN436" s="28" t="s">
        <v>1185</v>
      </c>
      <c r="BO436" s="39" t="s">
        <v>389</v>
      </c>
      <c r="BP436" s="37" t="s">
        <v>1192</v>
      </c>
      <c r="BQ4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69" ht="16" customHeight="1" x14ac:dyDescent="0.2">
      <c r="A437" s="28">
        <v>2706</v>
      </c>
      <c r="B437" s="28" t="s">
        <v>26</v>
      </c>
      <c r="C437" s="28" t="s">
        <v>223</v>
      </c>
      <c r="D437" s="28" t="s">
        <v>136</v>
      </c>
      <c r="E437" s="28" t="s">
        <v>768</v>
      </c>
      <c r="F437" s="34" t="str">
        <f>IF(ISBLANK(Table2[[#This Row],[unique_id]]), "", PROPER(SUBSTITUTE(Table2[[#This Row],[unique_id]], "_", " ")))</f>
        <v>Ada Tablet</v>
      </c>
      <c r="G437" s="28" t="s">
        <v>769</v>
      </c>
      <c r="H437" s="28" t="s">
        <v>693</v>
      </c>
      <c r="I437" s="28" t="s">
        <v>135</v>
      </c>
      <c r="M437" s="28" t="s">
        <v>127</v>
      </c>
      <c r="N437" s="28" t="s">
        <v>257</v>
      </c>
      <c r="O437" s="29"/>
      <c r="P437" s="28"/>
      <c r="R437" s="39"/>
      <c r="T437" s="35"/>
      <c r="U437" s="35"/>
      <c r="V437" s="35"/>
      <c r="W437" s="28"/>
      <c r="Y437" s="29"/>
      <c r="Z437" s="29"/>
      <c r="AA437" s="29"/>
      <c r="AB437" s="29"/>
      <c r="AJ437" s="29"/>
      <c r="AK437" s="29"/>
      <c r="AV437" s="28"/>
      <c r="AW437" s="38"/>
      <c r="AY4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Z4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4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7" s="28" t="str">
        <f>IF(ISBLANK(Table2[[#This Row],[device_model]]), "", Table2[[#This Row],[device_suggested_area]])</f>
        <v>Lounge</v>
      </c>
      <c r="BE437" s="28" t="s">
        <v>769</v>
      </c>
      <c r="BF437" s="28" t="s">
        <v>991</v>
      </c>
      <c r="BG437" s="28" t="s">
        <v>223</v>
      </c>
      <c r="BI437" s="28" t="s">
        <v>771</v>
      </c>
      <c r="BJ437" s="28" t="s">
        <v>183</v>
      </c>
      <c r="BN437" s="28" t="s">
        <v>1185</v>
      </c>
      <c r="BO437" s="39" t="s">
        <v>1164</v>
      </c>
      <c r="BP437" s="37" t="s">
        <v>1193</v>
      </c>
      <c r="BQ4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69" ht="16" customHeight="1" x14ac:dyDescent="0.2">
      <c r="A438" s="28">
        <v>2707</v>
      </c>
      <c r="B438" s="28" t="s">
        <v>26</v>
      </c>
      <c r="C438" s="28" t="s">
        <v>223</v>
      </c>
      <c r="D438" s="28" t="s">
        <v>136</v>
      </c>
      <c r="E438" s="28" t="s">
        <v>772</v>
      </c>
      <c r="F438" s="34" t="str">
        <f>IF(ISBLANK(Table2[[#This Row],[unique_id]]), "", PROPER(SUBSTITUTE(Table2[[#This Row],[unique_id]], "_", " ")))</f>
        <v>Edwin Tablet</v>
      </c>
      <c r="G438" s="28" t="s">
        <v>773</v>
      </c>
      <c r="H438" s="28" t="s">
        <v>693</v>
      </c>
      <c r="I438" s="28" t="s">
        <v>135</v>
      </c>
      <c r="M438" s="28" t="s">
        <v>127</v>
      </c>
      <c r="N438" s="28" t="s">
        <v>257</v>
      </c>
      <c r="O438" s="29"/>
      <c r="P438" s="28"/>
      <c r="R438" s="39"/>
      <c r="T438" s="35"/>
      <c r="U438" s="35"/>
      <c r="V438" s="35"/>
      <c r="W438" s="28"/>
      <c r="Y438" s="29"/>
      <c r="Z438" s="29"/>
      <c r="AA438" s="29"/>
      <c r="AB438" s="29"/>
      <c r="AJ438" s="29"/>
      <c r="AK438" s="29"/>
      <c r="AV438" s="28"/>
      <c r="AW438" s="38"/>
      <c r="AY4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Z4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BA4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8" s="28" t="str">
        <f>IF(ISBLANK(Table2[[#This Row],[device_model]]), "", Table2[[#This Row],[device_suggested_area]])</f>
        <v>Kitchen</v>
      </c>
      <c r="BE438" s="28" t="s">
        <v>773</v>
      </c>
      <c r="BF438" s="28" t="s">
        <v>991</v>
      </c>
      <c r="BG438" s="28" t="s">
        <v>223</v>
      </c>
      <c r="BI438" s="28" t="s">
        <v>771</v>
      </c>
      <c r="BJ438" s="28" t="s">
        <v>195</v>
      </c>
      <c r="BN438" s="28" t="s">
        <v>1185</v>
      </c>
      <c r="BO438" s="39" t="s">
        <v>1165</v>
      </c>
      <c r="BP438" s="37" t="s">
        <v>1196</v>
      </c>
      <c r="BQ4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69" ht="16" customHeight="1" x14ac:dyDescent="0.2">
      <c r="A439" s="28">
        <v>2708</v>
      </c>
      <c r="B439" s="28" t="s">
        <v>26</v>
      </c>
      <c r="C439" s="28" t="s">
        <v>544</v>
      </c>
      <c r="D439" s="28" t="s">
        <v>136</v>
      </c>
      <c r="E439" s="28" t="s">
        <v>568</v>
      </c>
      <c r="F439" s="34" t="str">
        <f>IF(ISBLANK(Table2[[#This Row],[unique_id]]), "", PROPER(SUBSTITUTE(Table2[[#This Row],[unique_id]], "_", " ")))</f>
        <v>Lg Webos Smart Tv</v>
      </c>
      <c r="G439" s="28" t="s">
        <v>169</v>
      </c>
      <c r="H439" s="28" t="s">
        <v>693</v>
      </c>
      <c r="I439" s="28" t="s">
        <v>135</v>
      </c>
      <c r="M439" s="28" t="s">
        <v>127</v>
      </c>
      <c r="N439" s="28" t="s">
        <v>257</v>
      </c>
      <c r="O439" s="29"/>
      <c r="P439" s="28"/>
      <c r="R439" s="39"/>
      <c r="T439" s="35"/>
      <c r="U439" s="35"/>
      <c r="V439" s="35"/>
      <c r="W439" s="28"/>
      <c r="Y439" s="29"/>
      <c r="Z439" s="29"/>
      <c r="AA439" s="29"/>
      <c r="AB439" s="29"/>
      <c r="AJ439" s="29"/>
      <c r="AK439" s="29"/>
      <c r="AV439" s="28"/>
      <c r="AW439" s="38"/>
      <c r="AY4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Z4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4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9" s="28" t="str">
        <f>IF(ISBLANK(Table2[[#This Row],[device_model]]), "", Table2[[#This Row],[device_suggested_area]])</f>
        <v>Lounge</v>
      </c>
      <c r="BE439" s="28" t="s">
        <v>927</v>
      </c>
      <c r="BF439" s="28" t="s">
        <v>547</v>
      </c>
      <c r="BG439" s="28" t="s">
        <v>544</v>
      </c>
      <c r="BI439" s="28" t="s">
        <v>546</v>
      </c>
      <c r="BJ439" s="28" t="s">
        <v>183</v>
      </c>
      <c r="BN439" s="28" t="s">
        <v>1185</v>
      </c>
      <c r="BO439" s="39" t="s">
        <v>545</v>
      </c>
      <c r="BP439" s="37" t="s">
        <v>1194</v>
      </c>
      <c r="BQ4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69" ht="16" customHeight="1" x14ac:dyDescent="0.2">
      <c r="A440" s="28">
        <v>2709</v>
      </c>
      <c r="B440" s="28" t="s">
        <v>543</v>
      </c>
      <c r="C440" s="28" t="s">
        <v>251</v>
      </c>
      <c r="D440" s="28" t="s">
        <v>136</v>
      </c>
      <c r="E440" s="28" t="s">
        <v>252</v>
      </c>
      <c r="F440" s="34" t="str">
        <f>IF(ISBLANK(Table2[[#This Row],[unique_id]]), "", PROPER(SUBSTITUTE(Table2[[#This Row],[unique_id]], "_", " ")))</f>
        <v>Parents Tv</v>
      </c>
      <c r="G440" s="28" t="s">
        <v>250</v>
      </c>
      <c r="H440" s="28" t="s">
        <v>693</v>
      </c>
      <c r="I440" s="28" t="s">
        <v>135</v>
      </c>
      <c r="M440" s="28" t="s">
        <v>127</v>
      </c>
      <c r="N440" s="28" t="s">
        <v>257</v>
      </c>
      <c r="O440" s="29"/>
      <c r="P440" s="28"/>
      <c r="T440" s="35"/>
      <c r="U440" s="35"/>
      <c r="V440" s="35"/>
      <c r="W440" s="28"/>
      <c r="Y440" s="29"/>
      <c r="Z440" s="29"/>
      <c r="AA440" s="29"/>
      <c r="AB440" s="29"/>
      <c r="AJ440" s="29"/>
      <c r="AK440" s="29"/>
      <c r="AV440" s="28"/>
      <c r="AW440" s="38"/>
      <c r="AY4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Z4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BA4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0" s="28" t="str">
        <f>IF(ISBLANK(Table2[[#This Row],[device_model]]), "", Table2[[#This Row],[device_suggested_area]])</f>
        <v>Parents</v>
      </c>
      <c r="BE440" s="28" t="s">
        <v>927</v>
      </c>
      <c r="BF440" s="28" t="s">
        <v>984</v>
      </c>
      <c r="BG440" s="28" t="s">
        <v>251</v>
      </c>
      <c r="BI440" s="28" t="s">
        <v>368</v>
      </c>
      <c r="BJ440" s="28" t="s">
        <v>181</v>
      </c>
      <c r="BN440" s="28" t="s">
        <v>1185</v>
      </c>
      <c r="BO440" s="39" t="s">
        <v>370</v>
      </c>
      <c r="BP440" s="37" t="s">
        <v>1195</v>
      </c>
      <c r="BQ4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69" ht="16" customHeight="1" x14ac:dyDescent="0.2">
      <c r="A441" s="28">
        <v>2710</v>
      </c>
      <c r="B441" s="28" t="s">
        <v>543</v>
      </c>
      <c r="C441" s="28" t="s">
        <v>223</v>
      </c>
      <c r="D441" s="28" t="s">
        <v>136</v>
      </c>
      <c r="E441" s="28" t="s">
        <v>648</v>
      </c>
      <c r="F441" s="34" t="str">
        <f>IF(ISBLANK(Table2[[#This Row],[unique_id]]), "", PROPER(SUBSTITUTE(Table2[[#This Row],[unique_id]], "_", " ")))</f>
        <v>Office Tv</v>
      </c>
      <c r="G441" s="28" t="s">
        <v>649</v>
      </c>
      <c r="H441" s="28" t="s">
        <v>693</v>
      </c>
      <c r="I441" s="28" t="s">
        <v>135</v>
      </c>
      <c r="M441" s="28" t="s">
        <v>127</v>
      </c>
      <c r="N441" s="28" t="s">
        <v>257</v>
      </c>
      <c r="O441" s="29"/>
      <c r="P441" s="28"/>
      <c r="T441" s="35"/>
      <c r="U441" s="35"/>
      <c r="V441" s="35"/>
      <c r="W441" s="28"/>
      <c r="Y441" s="29"/>
      <c r="Z441" s="29"/>
      <c r="AA441" s="29"/>
      <c r="AB441" s="29"/>
      <c r="AJ441" s="29"/>
      <c r="AK441" s="29"/>
      <c r="AV441" s="28"/>
      <c r="AW441" s="38"/>
      <c r="AY4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Z4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BA4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1" s="28" t="str">
        <f>IF(ISBLANK(Table2[[#This Row],[device_model]]), "", Table2[[#This Row],[device_suggested_area]])</f>
        <v>Office</v>
      </c>
      <c r="BE441" s="28" t="s">
        <v>927</v>
      </c>
      <c r="BF441" s="28" t="s">
        <v>363</v>
      </c>
      <c r="BG441" s="28" t="s">
        <v>223</v>
      </c>
      <c r="BI441" s="28" t="s">
        <v>364</v>
      </c>
      <c r="BJ441" s="28" t="s">
        <v>201</v>
      </c>
      <c r="BN441" s="28" t="s">
        <v>1185</v>
      </c>
      <c r="BO441" s="39" t="s">
        <v>392</v>
      </c>
      <c r="BP441" s="37" t="s">
        <v>1197</v>
      </c>
      <c r="BQ4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69" ht="16" customHeight="1" x14ac:dyDescent="0.2">
      <c r="A442" s="28">
        <v>2711</v>
      </c>
      <c r="B442" s="28" t="s">
        <v>26</v>
      </c>
      <c r="C442" s="28" t="s">
        <v>409</v>
      </c>
      <c r="D442" s="28" t="s">
        <v>304</v>
      </c>
      <c r="E442" s="28" t="s">
        <v>303</v>
      </c>
      <c r="F442" s="34" t="str">
        <f>IF(ISBLANK(Table2[[#This Row],[unique_id]]), "", PROPER(SUBSTITUTE(Table2[[#This Row],[unique_id]], "_", " ")))</f>
        <v>Column Break</v>
      </c>
      <c r="G442" s="28" t="s">
        <v>300</v>
      </c>
      <c r="H442" s="28" t="s">
        <v>693</v>
      </c>
      <c r="I442" s="28" t="s">
        <v>135</v>
      </c>
      <c r="M442" s="28" t="s">
        <v>301</v>
      </c>
      <c r="N442" s="28" t="s">
        <v>302</v>
      </c>
      <c r="O442" s="29"/>
      <c r="P442" s="28"/>
      <c r="T442" s="35"/>
      <c r="U442" s="35"/>
      <c r="V442" s="35"/>
      <c r="W442" s="28"/>
      <c r="Y442" s="29"/>
      <c r="Z442" s="29"/>
      <c r="AA442" s="29"/>
      <c r="AB442" s="29"/>
      <c r="AJ442" s="29"/>
      <c r="AK442" s="29"/>
      <c r="AV442" s="28"/>
      <c r="AW442" s="38"/>
      <c r="AX442" s="29"/>
      <c r="AY4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2" s="28" t="str">
        <f>IF(ISBLANK(Table2[[#This Row],[device_model]]), "", Table2[[#This Row],[device_suggested_area]])</f>
        <v/>
      </c>
      <c r="BI442" s="29"/>
      <c r="BO442" s="28"/>
      <c r="BQ4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9" ht="16" customHeight="1" x14ac:dyDescent="0.2">
      <c r="A443" s="28">
        <v>2712</v>
      </c>
      <c r="B443" s="28" t="s">
        <v>26</v>
      </c>
      <c r="C443" s="28" t="s">
        <v>171</v>
      </c>
      <c r="D443" s="28" t="s">
        <v>136</v>
      </c>
      <c r="E443" s="28" t="s">
        <v>682</v>
      </c>
      <c r="F443" s="34" t="str">
        <f>IF(ISBLANK(Table2[[#This Row],[unique_id]]), "", PROPER(SUBSTITUTE(Table2[[#This Row],[unique_id]], "_", " ")))</f>
        <v>Lounge Arc</v>
      </c>
      <c r="G443" s="28" t="s">
        <v>685</v>
      </c>
      <c r="H443" s="28" t="s">
        <v>693</v>
      </c>
      <c r="I443" s="28" t="s">
        <v>135</v>
      </c>
      <c r="M443" s="28" t="s">
        <v>127</v>
      </c>
      <c r="N443" s="28" t="s">
        <v>257</v>
      </c>
      <c r="O443" s="29" t="s">
        <v>736</v>
      </c>
      <c r="P443" s="28"/>
      <c r="R443" s="39"/>
      <c r="T443" s="35" t="str">
        <f>_xlfn.CONCAT("name: ", Table2[[#This Row],[friendly_name]])</f>
        <v>name: Lounge Arc</v>
      </c>
      <c r="U443" s="35"/>
      <c r="V443" s="35"/>
      <c r="W443" s="28"/>
      <c r="Y443" s="29"/>
      <c r="Z443" s="29"/>
      <c r="AA443" s="29"/>
      <c r="AB443" s="29"/>
      <c r="AJ443" s="29"/>
      <c r="AK443" s="29"/>
      <c r="AV443" s="28"/>
      <c r="AW443" s="38"/>
      <c r="AY4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Z4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BA4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3" s="28" t="str">
        <f>IF(ISBLANK(Table2[[#This Row],[device_model]]), "", Table2[[#This Row],[device_suggested_area]])</f>
        <v>Lounge</v>
      </c>
      <c r="BE443" s="28" t="s">
        <v>548</v>
      </c>
      <c r="BF443" s="28" t="s">
        <v>987</v>
      </c>
      <c r="BG443" s="28" t="s">
        <v>171</v>
      </c>
      <c r="BI443" s="28">
        <v>15.4</v>
      </c>
      <c r="BJ443" s="28" t="s">
        <v>183</v>
      </c>
      <c r="BN443" s="28" t="s">
        <v>1185</v>
      </c>
      <c r="BO443" s="28" t="s">
        <v>549</v>
      </c>
      <c r="BP443" s="37" t="s">
        <v>1198</v>
      </c>
      <c r="BQ4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69" ht="16" customHeight="1" x14ac:dyDescent="0.2">
      <c r="A444" s="28">
        <v>2713</v>
      </c>
      <c r="B444" s="28" t="s">
        <v>543</v>
      </c>
      <c r="C444" s="28" t="s">
        <v>756</v>
      </c>
      <c r="D444" s="28" t="s">
        <v>139</v>
      </c>
      <c r="E444" s="28" t="s">
        <v>758</v>
      </c>
      <c r="F444" s="34" t="str">
        <f>IF(ISBLANK(Table2[[#This Row],[unique_id]]), "", PROPER(SUBSTITUTE(Table2[[#This Row],[unique_id]], "_", " ")))</f>
        <v>Template Kitchen Move Proxy</v>
      </c>
      <c r="G444" s="28" t="s">
        <v>686</v>
      </c>
      <c r="H444" s="28" t="s">
        <v>693</v>
      </c>
      <c r="I444" s="28" t="s">
        <v>135</v>
      </c>
      <c r="O444" s="29" t="s">
        <v>736</v>
      </c>
      <c r="P444" s="28" t="s">
        <v>155</v>
      </c>
      <c r="Q444" s="28" t="s">
        <v>708</v>
      </c>
      <c r="R444" s="39" t="s">
        <v>693</v>
      </c>
      <c r="S444" s="28" t="str">
        <f>_xlfn.CONCAT( Table2[[#This Row],[friendly_name]], " Devices")</f>
        <v>Kitchen Move Devices</v>
      </c>
      <c r="T444" s="35" t="s">
        <v>761</v>
      </c>
      <c r="U444" s="35"/>
      <c r="V444" s="35"/>
      <c r="W444" s="28"/>
      <c r="Y444" s="29"/>
      <c r="Z444" s="29"/>
      <c r="AA444" s="29"/>
      <c r="AB444" s="29"/>
      <c r="AJ444" s="29"/>
      <c r="AK444" s="29"/>
      <c r="AV444" s="28"/>
      <c r="AW444" s="38"/>
      <c r="AX444" s="28" t="s">
        <v>136</v>
      </c>
      <c r="AY4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Z4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A4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4" s="28" t="str">
        <f>IF(ISBLANK(Table2[[#This Row],[device_model]]), "", Table2[[#This Row],[device_suggested_area]])</f>
        <v>Kitchen</v>
      </c>
      <c r="BE444" s="28" t="s">
        <v>336</v>
      </c>
      <c r="BF444" s="28" t="s">
        <v>985</v>
      </c>
      <c r="BG444" s="28" t="s">
        <v>171</v>
      </c>
      <c r="BI444" s="28">
        <v>15.4</v>
      </c>
      <c r="BJ444" s="28" t="s">
        <v>195</v>
      </c>
      <c r="BO444" s="28"/>
      <c r="BP444" s="37"/>
      <c r="BQ4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9" ht="16" customHeight="1" x14ac:dyDescent="0.2">
      <c r="A445" s="28">
        <v>2714</v>
      </c>
      <c r="B445" s="28" t="s">
        <v>26</v>
      </c>
      <c r="C445" s="28" t="s">
        <v>171</v>
      </c>
      <c r="D445" s="28" t="s">
        <v>136</v>
      </c>
      <c r="E445" s="28" t="s">
        <v>681</v>
      </c>
      <c r="F445" s="34" t="str">
        <f>IF(ISBLANK(Table2[[#This Row],[unique_id]]), "", PROPER(SUBSTITUTE(Table2[[#This Row],[unique_id]], "_", " ")))</f>
        <v>Kitchen Move</v>
      </c>
      <c r="G445" s="28" t="s">
        <v>686</v>
      </c>
      <c r="H445" s="28" t="s">
        <v>693</v>
      </c>
      <c r="I445" s="28" t="s">
        <v>135</v>
      </c>
      <c r="M445" s="28" t="s">
        <v>127</v>
      </c>
      <c r="N445" s="28" t="s">
        <v>257</v>
      </c>
      <c r="O445" s="29" t="s">
        <v>736</v>
      </c>
      <c r="P445" s="28" t="s">
        <v>155</v>
      </c>
      <c r="Q445" s="28" t="s">
        <v>708</v>
      </c>
      <c r="R445" s="39" t="s">
        <v>693</v>
      </c>
      <c r="S445" s="28" t="str">
        <f>_xlfn.CONCAT( Table2[[#This Row],[friendly_name]], " Devices")</f>
        <v>Kitchen Move Devices</v>
      </c>
      <c r="T445" s="35"/>
      <c r="U445" s="35"/>
      <c r="V445" s="35"/>
      <c r="W445" s="28"/>
      <c r="Y445" s="29"/>
      <c r="Z445" s="29"/>
      <c r="AA445" s="29"/>
      <c r="AB445" s="29"/>
      <c r="AJ445" s="29"/>
      <c r="AK445" s="29"/>
      <c r="AV445" s="28"/>
      <c r="AW445" s="38"/>
      <c r="AY4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Z4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A4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5" s="28" t="str">
        <f>IF(ISBLANK(Table2[[#This Row],[device_model]]), "", Table2[[#This Row],[device_suggested_area]])</f>
        <v>Kitchen</v>
      </c>
      <c r="BE445" s="28" t="s">
        <v>336</v>
      </c>
      <c r="BF445" s="28" t="s">
        <v>985</v>
      </c>
      <c r="BG445" s="28" t="s">
        <v>171</v>
      </c>
      <c r="BI445" s="28">
        <v>15.4</v>
      </c>
      <c r="BJ445" s="28" t="s">
        <v>195</v>
      </c>
      <c r="BN445" s="28" t="s">
        <v>1185</v>
      </c>
      <c r="BO445" s="28" t="s">
        <v>339</v>
      </c>
      <c r="BP445" s="37" t="s">
        <v>1199</v>
      </c>
      <c r="BQ4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69" ht="16" customHeight="1" x14ac:dyDescent="0.2">
      <c r="A446" s="28">
        <v>2715</v>
      </c>
      <c r="B446" s="28" t="s">
        <v>26</v>
      </c>
      <c r="C446" s="28" t="s">
        <v>171</v>
      </c>
      <c r="D446" s="28" t="s">
        <v>136</v>
      </c>
      <c r="E446" s="28" t="s">
        <v>680</v>
      </c>
      <c r="F446" s="34" t="str">
        <f>IF(ISBLANK(Table2[[#This Row],[unique_id]]), "", PROPER(SUBSTITUTE(Table2[[#This Row],[unique_id]], "_", " ")))</f>
        <v>Kitchen Five</v>
      </c>
      <c r="G446" s="28" t="s">
        <v>687</v>
      </c>
      <c r="H446" s="28" t="s">
        <v>693</v>
      </c>
      <c r="I446" s="28" t="s">
        <v>135</v>
      </c>
      <c r="M446" s="28" t="s">
        <v>127</v>
      </c>
      <c r="N446" s="28" t="s">
        <v>257</v>
      </c>
      <c r="O446" s="29" t="s">
        <v>736</v>
      </c>
      <c r="P446" s="28" t="s">
        <v>155</v>
      </c>
      <c r="Q446" s="28" t="s">
        <v>708</v>
      </c>
      <c r="R446" s="39" t="s">
        <v>693</v>
      </c>
      <c r="S446" s="28" t="str">
        <f>_xlfn.CONCAT( Table2[[#This Row],[friendly_name]], " Devices")</f>
        <v>Kitchen Five Devices</v>
      </c>
      <c r="T446" s="35"/>
      <c r="U446" s="35"/>
      <c r="V446" s="35"/>
      <c r="W446" s="28"/>
      <c r="Y446" s="29"/>
      <c r="Z446" s="29"/>
      <c r="AA446" s="29"/>
      <c r="AB446" s="29"/>
      <c r="AJ446" s="29"/>
      <c r="AK446" s="29"/>
      <c r="AV446" s="28"/>
      <c r="AW446" s="38"/>
      <c r="AY4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Z4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BA4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6" s="28" t="str">
        <f>IF(ISBLANK(Table2[[#This Row],[device_model]]), "", Table2[[#This Row],[device_suggested_area]])</f>
        <v>Kitchen</v>
      </c>
      <c r="BE446" s="28" t="s">
        <v>760</v>
      </c>
      <c r="BF446" s="28" t="s">
        <v>986</v>
      </c>
      <c r="BG446" s="28" t="s">
        <v>171</v>
      </c>
      <c r="BI446" s="28">
        <v>15.4</v>
      </c>
      <c r="BJ446" s="28" t="s">
        <v>195</v>
      </c>
      <c r="BN446" s="28" t="s">
        <v>1185</v>
      </c>
      <c r="BO446" s="35" t="s">
        <v>338</v>
      </c>
      <c r="BP446" s="37" t="s">
        <v>1200</v>
      </c>
      <c r="BQ4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69" ht="16" customHeight="1" x14ac:dyDescent="0.2">
      <c r="A447" s="28">
        <v>2716</v>
      </c>
      <c r="B447" s="28" t="s">
        <v>543</v>
      </c>
      <c r="C447" s="28" t="s">
        <v>756</v>
      </c>
      <c r="D447" s="28" t="s">
        <v>139</v>
      </c>
      <c r="E447" s="28" t="s">
        <v>759</v>
      </c>
      <c r="F447" s="34" t="str">
        <f>IF(ISBLANK(Table2[[#This Row],[unique_id]]), "", PROPER(SUBSTITUTE(Table2[[#This Row],[unique_id]], "_", " ")))</f>
        <v>Template Parents Move Proxy</v>
      </c>
      <c r="G447" s="28" t="s">
        <v>688</v>
      </c>
      <c r="H447" s="28" t="s">
        <v>693</v>
      </c>
      <c r="I447" s="28" t="s">
        <v>135</v>
      </c>
      <c r="O447" s="29" t="s">
        <v>736</v>
      </c>
      <c r="P447" s="28" t="s">
        <v>155</v>
      </c>
      <c r="Q447" s="28" t="s">
        <v>708</v>
      </c>
      <c r="R447" s="39" t="s">
        <v>693</v>
      </c>
      <c r="S447" s="28" t="str">
        <f>_xlfn.CONCAT( Table2[[#This Row],[friendly_name]], " Devices")</f>
        <v>Parents Move Devices</v>
      </c>
      <c r="T447" s="35" t="s">
        <v>761</v>
      </c>
      <c r="U447" s="35"/>
      <c r="V447" s="35"/>
      <c r="W447" s="28"/>
      <c r="Y447" s="29"/>
      <c r="Z447" s="29"/>
      <c r="AA447" s="29"/>
      <c r="AB447" s="29"/>
      <c r="AJ447" s="29"/>
      <c r="AK447" s="29"/>
      <c r="AV447" s="28"/>
      <c r="AW447" s="38"/>
      <c r="AX447" s="28" t="s">
        <v>136</v>
      </c>
      <c r="AY4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Z4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A4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7" s="28" t="str">
        <f>IF(ISBLANK(Table2[[#This Row],[device_model]]), "", Table2[[#This Row],[device_suggested_area]])</f>
        <v>Parents</v>
      </c>
      <c r="BE447" s="28" t="s">
        <v>336</v>
      </c>
      <c r="BF447" s="28" t="s">
        <v>985</v>
      </c>
      <c r="BG447" s="28" t="s">
        <v>171</v>
      </c>
      <c r="BI447" s="28">
        <v>15.4</v>
      </c>
      <c r="BJ447" s="28" t="s">
        <v>181</v>
      </c>
      <c r="BO447" s="28"/>
      <c r="BP447" s="37"/>
      <c r="BQ4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9" ht="16" customHeight="1" x14ac:dyDescent="0.2">
      <c r="A448" s="28">
        <v>2717</v>
      </c>
      <c r="B448" s="28" t="s">
        <v>26</v>
      </c>
      <c r="C448" s="28" t="s">
        <v>171</v>
      </c>
      <c r="D448" s="28" t="s">
        <v>136</v>
      </c>
      <c r="E448" s="28" t="s">
        <v>679</v>
      </c>
      <c r="F448" s="34" t="str">
        <f>IF(ISBLANK(Table2[[#This Row],[unique_id]]), "", PROPER(SUBSTITUTE(Table2[[#This Row],[unique_id]], "_", " ")))</f>
        <v>Parents Move</v>
      </c>
      <c r="G448" s="28" t="s">
        <v>688</v>
      </c>
      <c r="H448" s="28" t="s">
        <v>693</v>
      </c>
      <c r="I448" s="28" t="s">
        <v>135</v>
      </c>
      <c r="M448" s="28" t="s">
        <v>127</v>
      </c>
      <c r="N448" s="28" t="s">
        <v>257</v>
      </c>
      <c r="O448" s="29" t="s">
        <v>736</v>
      </c>
      <c r="P448" s="28" t="s">
        <v>155</v>
      </c>
      <c r="Q448" s="28" t="s">
        <v>708</v>
      </c>
      <c r="R448" s="39" t="s">
        <v>693</v>
      </c>
      <c r="S448" s="28" t="str">
        <f>_xlfn.CONCAT( Table2[[#This Row],[friendly_name]], " Devices")</f>
        <v>Parents Move Devices</v>
      </c>
      <c r="T448" s="35"/>
      <c r="U448" s="35"/>
      <c r="V448" s="35"/>
      <c r="W448" s="28"/>
      <c r="Y448" s="29"/>
      <c r="Z448" s="29"/>
      <c r="AA448" s="29"/>
      <c r="AB448" s="29"/>
      <c r="AJ448" s="29"/>
      <c r="AK448" s="29"/>
      <c r="AV448" s="28"/>
      <c r="AW448" s="38"/>
      <c r="AY4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Z4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A4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8" s="28" t="str">
        <f>IF(ISBLANK(Table2[[#This Row],[device_model]]), "", Table2[[#This Row],[device_suggested_area]])</f>
        <v>Parents</v>
      </c>
      <c r="BE448" s="28" t="s">
        <v>336</v>
      </c>
      <c r="BF448" s="28" t="s">
        <v>985</v>
      </c>
      <c r="BG448" s="28" t="s">
        <v>171</v>
      </c>
      <c r="BI448" s="28">
        <v>15.4</v>
      </c>
      <c r="BJ448" s="28" t="s">
        <v>181</v>
      </c>
      <c r="BN448" s="28" t="s">
        <v>1185</v>
      </c>
      <c r="BO448" s="28" t="s">
        <v>337</v>
      </c>
      <c r="BP448" s="37" t="s">
        <v>1201</v>
      </c>
      <c r="BQ4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69" ht="16" customHeight="1" x14ac:dyDescent="0.2">
      <c r="A449" s="28">
        <v>2718</v>
      </c>
      <c r="B449" s="28" t="s">
        <v>26</v>
      </c>
      <c r="C449" s="28" t="s">
        <v>251</v>
      </c>
      <c r="D449" s="28" t="s">
        <v>136</v>
      </c>
      <c r="E449" s="28" t="s">
        <v>1244</v>
      </c>
      <c r="F449" s="34" t="str">
        <f>IF(ISBLANK(Table2[[#This Row],[unique_id]]), "", PROPER(SUBSTITUTE(Table2[[#This Row],[unique_id]], "_", " ")))</f>
        <v>Parents Homepod</v>
      </c>
      <c r="G449" s="28" t="s">
        <v>1245</v>
      </c>
      <c r="H449" s="28" t="s">
        <v>693</v>
      </c>
      <c r="I449" s="28" t="s">
        <v>135</v>
      </c>
      <c r="O449" s="29"/>
      <c r="P449" s="28"/>
      <c r="T449" s="35"/>
      <c r="U449" s="35"/>
      <c r="V449" s="35"/>
      <c r="W449" s="28"/>
      <c r="Y449" s="29"/>
      <c r="Z449" s="29"/>
      <c r="AA449" s="29"/>
      <c r="AB449" s="29"/>
      <c r="AJ449" s="29"/>
      <c r="AK449" s="29"/>
      <c r="AV449" s="28"/>
      <c r="AW449" s="38"/>
      <c r="AY4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Z4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BA4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9" s="28" t="str">
        <f>IF(ISBLANK(Table2[[#This Row],[device_model]]), "", Table2[[#This Row],[device_suggested_area]])</f>
        <v>Parents</v>
      </c>
      <c r="BE449" s="28" t="s">
        <v>1246</v>
      </c>
      <c r="BF449" s="28" t="s">
        <v>988</v>
      </c>
      <c r="BG449" s="28" t="s">
        <v>251</v>
      </c>
      <c r="BI449" s="28" t="s">
        <v>368</v>
      </c>
      <c r="BJ449" s="28" t="s">
        <v>181</v>
      </c>
      <c r="BN449" s="28" t="s">
        <v>1185</v>
      </c>
      <c r="BO449" s="39" t="s">
        <v>371</v>
      </c>
      <c r="BP449" s="37" t="s">
        <v>1202</v>
      </c>
      <c r="BQ4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69" ht="16" customHeight="1" x14ac:dyDescent="0.2">
      <c r="A450" s="28">
        <v>2750</v>
      </c>
      <c r="B450" s="28" t="s">
        <v>26</v>
      </c>
      <c r="C450" s="28" t="s">
        <v>141</v>
      </c>
      <c r="D450" s="28" t="s">
        <v>281</v>
      </c>
      <c r="E450" s="28" t="s">
        <v>616</v>
      </c>
      <c r="F450" s="34" t="str">
        <f>IF(ISBLANK(Table2[[#This Row],[unique_id]]), "", PROPER(SUBSTITUTE(Table2[[#This Row],[unique_id]], "_", " ")))</f>
        <v>Back Door Lock Security</v>
      </c>
      <c r="G450" s="28" t="s">
        <v>612</v>
      </c>
      <c r="H450" s="28" t="s">
        <v>594</v>
      </c>
      <c r="I450" s="28" t="s">
        <v>198</v>
      </c>
      <c r="M450" s="28" t="s">
        <v>127</v>
      </c>
      <c r="O450" s="29"/>
      <c r="P450" s="28"/>
      <c r="T450" s="35"/>
      <c r="U450" s="35"/>
      <c r="V450" s="35"/>
      <c r="W450" s="28"/>
      <c r="Y450" s="29"/>
      <c r="Z450" s="29"/>
      <c r="AA450" s="29"/>
      <c r="AB450" s="29"/>
      <c r="AH450" s="28" t="s">
        <v>627</v>
      </c>
      <c r="AJ450" s="29"/>
      <c r="AK450" s="29"/>
      <c r="AV450" s="28"/>
      <c r="AW450" s="38"/>
      <c r="AX450" s="29"/>
      <c r="AY4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0" s="28" t="str">
        <f>IF(ISBLANK(Table2[[#This Row],[device_model]]), "", Table2[[#This Row],[device_suggested_area]])</f>
        <v/>
      </c>
      <c r="BI450" s="29"/>
      <c r="BO450" s="39"/>
      <c r="BP450" s="37"/>
      <c r="BQ4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9" ht="16" customHeight="1" x14ac:dyDescent="0.2">
      <c r="A451" s="28">
        <v>2751</v>
      </c>
      <c r="B451" s="28" t="s">
        <v>26</v>
      </c>
      <c r="C451" s="28" t="s">
        <v>141</v>
      </c>
      <c r="D451" s="28" t="s">
        <v>139</v>
      </c>
      <c r="E451" s="28" t="s">
        <v>629</v>
      </c>
      <c r="F451" s="34" t="str">
        <f>IF(ISBLANK(Table2[[#This Row],[unique_id]]), "", PROPER(SUBSTITUTE(Table2[[#This Row],[unique_id]], "_", " ")))</f>
        <v>Template Back Door State</v>
      </c>
      <c r="G451" s="28" t="s">
        <v>261</v>
      </c>
      <c r="H451" s="28" t="s">
        <v>594</v>
      </c>
      <c r="I451" s="28" t="s">
        <v>198</v>
      </c>
      <c r="O451" s="29"/>
      <c r="P451" s="28"/>
      <c r="T451" s="35"/>
      <c r="U451" s="35"/>
      <c r="V451" s="35"/>
      <c r="W451" s="28"/>
      <c r="Y451" s="29"/>
      <c r="Z451" s="29"/>
      <c r="AA451" s="29"/>
      <c r="AB451" s="29"/>
      <c r="AJ451" s="29"/>
      <c r="AK451" s="29"/>
      <c r="AV451" s="28"/>
      <c r="AW451" s="38"/>
      <c r="AX451" s="29"/>
      <c r="AY4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1" s="28" t="str">
        <f>IF(ISBLANK(Table2[[#This Row],[device_model]]), "", Table2[[#This Row],[device_suggested_area]])</f>
        <v/>
      </c>
      <c r="BI451" s="29"/>
      <c r="BO451" s="39"/>
      <c r="BP451" s="37"/>
      <c r="BQ4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9" ht="16" customHeight="1" x14ac:dyDescent="0.2">
      <c r="A452" s="28">
        <v>2752</v>
      </c>
      <c r="B452" s="28" t="s">
        <v>26</v>
      </c>
      <c r="C452" s="28" t="s">
        <v>585</v>
      </c>
      <c r="D452" s="28" t="s">
        <v>588</v>
      </c>
      <c r="E452" s="28" t="s">
        <v>589</v>
      </c>
      <c r="F452" s="34" t="str">
        <f>IF(ISBLANK(Table2[[#This Row],[unique_id]]), "", PROPER(SUBSTITUTE(Table2[[#This Row],[unique_id]], "_", " ")))</f>
        <v>Back Door Lock</v>
      </c>
      <c r="G452" s="28" t="s">
        <v>631</v>
      </c>
      <c r="H452" s="28" t="s">
        <v>594</v>
      </c>
      <c r="I452" s="28" t="s">
        <v>198</v>
      </c>
      <c r="M452" s="28" t="s">
        <v>127</v>
      </c>
      <c r="O452" s="29"/>
      <c r="P452" s="28"/>
      <c r="T452" s="35"/>
      <c r="U452" s="35"/>
      <c r="V452" s="35"/>
      <c r="W452" s="28"/>
      <c r="Y452" s="29"/>
      <c r="Z452" s="29" t="s">
        <v>455</v>
      </c>
      <c r="AA452" s="29"/>
      <c r="AB452" s="40" t="s">
        <v>704</v>
      </c>
      <c r="AJ452" s="29"/>
      <c r="AK452" s="29"/>
      <c r="AV452" s="28"/>
      <c r="AW452" s="38"/>
      <c r="AY4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Z4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BA4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2" s="28" t="str">
        <f>Table2[[#This Row],[device_suggested_area]]</f>
        <v>Back Door</v>
      </c>
      <c r="BD452" s="28" t="str">
        <f>IF(ISBLANK(Table2[[#This Row],[device_model]]), "", Table2[[#This Row],[device_suggested_area]])</f>
        <v>Back Door</v>
      </c>
      <c r="BE452" s="28" t="s">
        <v>978</v>
      </c>
      <c r="BF452" s="28" t="s">
        <v>586</v>
      </c>
      <c r="BG452" s="28" t="s">
        <v>585</v>
      </c>
      <c r="BI452" s="28" t="s">
        <v>587</v>
      </c>
      <c r="BJ452" s="28" t="s">
        <v>594</v>
      </c>
      <c r="BO452" s="28" t="s">
        <v>584</v>
      </c>
      <c r="BQ4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69" ht="16" customHeight="1" x14ac:dyDescent="0.2">
      <c r="A453" s="28">
        <v>2753</v>
      </c>
      <c r="B453" s="28" t="s">
        <v>26</v>
      </c>
      <c r="C453" s="28" t="s">
        <v>305</v>
      </c>
      <c r="D453" s="28" t="s">
        <v>139</v>
      </c>
      <c r="E453" s="28" t="s">
        <v>622</v>
      </c>
      <c r="F453" s="34" t="str">
        <f>IF(ISBLANK(Table2[[#This Row],[unique_id]]), "", PROPER(SUBSTITUTE(Table2[[#This Row],[unique_id]], "_", " ")))</f>
        <v>Template Back Door Sensor Contact Last</v>
      </c>
      <c r="G453" s="28" t="s">
        <v>630</v>
      </c>
      <c r="H453" s="28" t="s">
        <v>594</v>
      </c>
      <c r="I453" s="28" t="s">
        <v>198</v>
      </c>
      <c r="M453" s="28" t="s">
        <v>127</v>
      </c>
      <c r="O453" s="29"/>
      <c r="P453" s="28"/>
      <c r="T453" s="35"/>
      <c r="U453" s="35"/>
      <c r="V453" s="35"/>
      <c r="W453" s="28"/>
      <c r="Y453" s="29"/>
      <c r="Z453" s="29" t="s">
        <v>455</v>
      </c>
      <c r="AA453" s="29"/>
      <c r="AB453" s="40" t="s">
        <v>704</v>
      </c>
      <c r="AJ453" s="29"/>
      <c r="AK453" s="29"/>
      <c r="AV453" s="28"/>
      <c r="AW453" s="38"/>
      <c r="AY4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Z4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BA4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3" s="35" t="str">
        <f>Table2[[#This Row],[device_suggested_area]]</f>
        <v>Back Door</v>
      </c>
      <c r="BD453" s="28" t="str">
        <f>IF(ISBLANK(Table2[[#This Row],[device_model]]), "", Table2[[#This Row],[device_suggested_area]])</f>
        <v>Back Door</v>
      </c>
      <c r="BE453" s="35" t="s">
        <v>982</v>
      </c>
      <c r="BF453" s="35" t="s">
        <v>605</v>
      </c>
      <c r="BG453" s="28" t="s">
        <v>1053</v>
      </c>
      <c r="BI453" s="28" t="s">
        <v>587</v>
      </c>
      <c r="BJ453" s="28" t="s">
        <v>594</v>
      </c>
      <c r="BO453" s="28" t="s">
        <v>607</v>
      </c>
      <c r="BQ4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69" ht="16" customHeight="1" x14ac:dyDescent="0.2">
      <c r="A454" s="28">
        <v>2754</v>
      </c>
      <c r="B454" s="28" t="s">
        <v>543</v>
      </c>
      <c r="C454" s="28" t="s">
        <v>222</v>
      </c>
      <c r="D454" s="28" t="s">
        <v>138</v>
      </c>
      <c r="F454" s="34" t="str">
        <f>IF(ISBLANK(Table2[[#This Row],[unique_id]]), "", PROPER(SUBSTITUTE(Table2[[#This Row],[unique_id]], "_", " ")))</f>
        <v/>
      </c>
      <c r="G454" s="28" t="s">
        <v>594</v>
      </c>
      <c r="H454" s="28" t="s">
        <v>602</v>
      </c>
      <c r="I454" s="28" t="s">
        <v>198</v>
      </c>
      <c r="O454" s="29"/>
      <c r="P454" s="28"/>
      <c r="T454" s="35"/>
      <c r="U454" s="35"/>
      <c r="V454" s="35"/>
      <c r="W454" s="28"/>
      <c r="Y454" s="29"/>
      <c r="Z454" s="29"/>
      <c r="AA454" s="29"/>
      <c r="AB454" s="29"/>
      <c r="AJ454" s="29"/>
      <c r="AK454" s="29"/>
      <c r="AV454" s="28"/>
      <c r="AW454" s="38"/>
      <c r="AX454" s="29"/>
      <c r="AY4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4" s="28" t="str">
        <f>IF(ISBLANK(Table2[[#This Row],[device_model]]), "", Table2[[#This Row],[device_suggested_area]])</f>
        <v/>
      </c>
      <c r="BF454" s="35"/>
      <c r="BI454" s="29"/>
      <c r="BO454" s="28"/>
      <c r="BQ4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9" ht="16" customHeight="1" x14ac:dyDescent="0.2">
      <c r="A455" s="28">
        <v>2755</v>
      </c>
      <c r="B455" s="28" t="s">
        <v>26</v>
      </c>
      <c r="C455" s="28" t="s">
        <v>141</v>
      </c>
      <c r="D455" s="28" t="s">
        <v>281</v>
      </c>
      <c r="E455" s="28" t="s">
        <v>617</v>
      </c>
      <c r="F455" s="34" t="str">
        <f>IF(ISBLANK(Table2[[#This Row],[unique_id]]), "", PROPER(SUBSTITUTE(Table2[[#This Row],[unique_id]], "_", " ")))</f>
        <v>Front Door Lock Security</v>
      </c>
      <c r="G455" s="28" t="s">
        <v>612</v>
      </c>
      <c r="H455" s="28" t="s">
        <v>593</v>
      </c>
      <c r="I455" s="28" t="s">
        <v>198</v>
      </c>
      <c r="M455" s="28" t="s">
        <v>127</v>
      </c>
      <c r="O455" s="29"/>
      <c r="P455" s="28"/>
      <c r="T455" s="35"/>
      <c r="U455" s="35"/>
      <c r="V455" s="35"/>
      <c r="W455" s="28"/>
      <c r="Y455" s="29"/>
      <c r="Z455" s="29"/>
      <c r="AA455" s="29"/>
      <c r="AB455" s="29"/>
      <c r="AH455" s="28" t="s">
        <v>627</v>
      </c>
      <c r="AJ455" s="29"/>
      <c r="AK455" s="29"/>
      <c r="AV455" s="28"/>
      <c r="AW455" s="38"/>
      <c r="AX455" s="29"/>
      <c r="AY4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5" s="28" t="str">
        <f>IF(ISBLANK(Table2[[#This Row],[device_model]]), "", Table2[[#This Row],[device_suggested_area]])</f>
        <v/>
      </c>
      <c r="BI455" s="29"/>
      <c r="BO455" s="39"/>
      <c r="BP455" s="37"/>
      <c r="BQ4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9" ht="16" customHeight="1" x14ac:dyDescent="0.2">
      <c r="A456" s="28">
        <v>2756</v>
      </c>
      <c r="B456" s="28" t="s">
        <v>26</v>
      </c>
      <c r="C456" s="28" t="s">
        <v>141</v>
      </c>
      <c r="D456" s="28" t="s">
        <v>139</v>
      </c>
      <c r="E456" s="28" t="s">
        <v>628</v>
      </c>
      <c r="F456" s="34" t="str">
        <f>IF(ISBLANK(Table2[[#This Row],[unique_id]]), "", PROPER(SUBSTITUTE(Table2[[#This Row],[unique_id]], "_", " ")))</f>
        <v>Template Front Door State</v>
      </c>
      <c r="G456" s="28" t="s">
        <v>261</v>
      </c>
      <c r="H456" s="28" t="s">
        <v>593</v>
      </c>
      <c r="I456" s="28" t="s">
        <v>198</v>
      </c>
      <c r="O456" s="29"/>
      <c r="P456" s="28"/>
      <c r="T456" s="35"/>
      <c r="U456" s="35"/>
      <c r="V456" s="35"/>
      <c r="W456" s="28"/>
      <c r="Y456" s="29"/>
      <c r="Z456" s="29"/>
      <c r="AA456" s="29"/>
      <c r="AB456" s="29"/>
      <c r="AJ456" s="29"/>
      <c r="AK456" s="29"/>
      <c r="AV456" s="28"/>
      <c r="AW456" s="38"/>
      <c r="AX456" s="29"/>
      <c r="AY4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6" s="28" t="str">
        <f>IF(ISBLANK(Table2[[#This Row],[device_model]]), "", Table2[[#This Row],[device_suggested_area]])</f>
        <v/>
      </c>
      <c r="BI456" s="29"/>
      <c r="BO456" s="39"/>
      <c r="BP456" s="37"/>
      <c r="BQ4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9" ht="16" customHeight="1" x14ac:dyDescent="0.2">
      <c r="A457" s="28">
        <v>2757</v>
      </c>
      <c r="B457" s="28" t="s">
        <v>26</v>
      </c>
      <c r="C457" s="28" t="s">
        <v>585</v>
      </c>
      <c r="D457" s="28" t="s">
        <v>588</v>
      </c>
      <c r="E457" s="28" t="s">
        <v>590</v>
      </c>
      <c r="F457" s="34" t="str">
        <f>IF(ISBLANK(Table2[[#This Row],[unique_id]]), "", PROPER(SUBSTITUTE(Table2[[#This Row],[unique_id]], "_", " ")))</f>
        <v>Front Door Lock</v>
      </c>
      <c r="G457" s="28" t="s">
        <v>631</v>
      </c>
      <c r="H457" s="28" t="s">
        <v>593</v>
      </c>
      <c r="I457" s="28" t="s">
        <v>198</v>
      </c>
      <c r="M457" s="28" t="s">
        <v>127</v>
      </c>
      <c r="O457" s="29"/>
      <c r="P457" s="28"/>
      <c r="T457" s="35"/>
      <c r="U457" s="35"/>
      <c r="V457" s="35"/>
      <c r="W457" s="28"/>
      <c r="Y457" s="29"/>
      <c r="Z457" s="29" t="s">
        <v>455</v>
      </c>
      <c r="AA457" s="29"/>
      <c r="AB457" s="40" t="s">
        <v>704</v>
      </c>
      <c r="AJ457" s="29"/>
      <c r="AK457" s="29"/>
      <c r="AV457" s="28"/>
      <c r="AW457" s="38"/>
      <c r="AY4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Z4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BA4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7" s="28" t="str">
        <f>Table2[[#This Row],[device_suggested_area]]</f>
        <v>Front Door</v>
      </c>
      <c r="BD457" s="28" t="str">
        <f>IF(ISBLANK(Table2[[#This Row],[device_model]]), "", Table2[[#This Row],[device_suggested_area]])</f>
        <v>Front Door</v>
      </c>
      <c r="BE457" s="28" t="s">
        <v>978</v>
      </c>
      <c r="BF457" s="28" t="s">
        <v>586</v>
      </c>
      <c r="BG457" s="28" t="s">
        <v>585</v>
      </c>
      <c r="BI457" s="28" t="s">
        <v>587</v>
      </c>
      <c r="BJ457" s="28" t="s">
        <v>593</v>
      </c>
      <c r="BO457" s="28" t="s">
        <v>591</v>
      </c>
      <c r="BQ4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69" ht="16" customHeight="1" x14ac:dyDescent="0.2">
      <c r="A458" s="28">
        <v>2758</v>
      </c>
      <c r="B458" s="28" t="s">
        <v>26</v>
      </c>
      <c r="C458" s="28" t="s">
        <v>305</v>
      </c>
      <c r="D458" s="28" t="s">
        <v>139</v>
      </c>
      <c r="E458" s="28" t="s">
        <v>621</v>
      </c>
      <c r="F458" s="34" t="str">
        <f>IF(ISBLANK(Table2[[#This Row],[unique_id]]), "", PROPER(SUBSTITUTE(Table2[[#This Row],[unique_id]], "_", " ")))</f>
        <v>Template Front Door Sensor Contact Last</v>
      </c>
      <c r="G458" s="28" t="s">
        <v>630</v>
      </c>
      <c r="H458" s="28" t="s">
        <v>593</v>
      </c>
      <c r="I458" s="28" t="s">
        <v>198</v>
      </c>
      <c r="M458" s="28" t="s">
        <v>127</v>
      </c>
      <c r="O458" s="29"/>
      <c r="P458" s="28"/>
      <c r="T458" s="35"/>
      <c r="U458" s="35"/>
      <c r="V458" s="35"/>
      <c r="W458" s="28"/>
      <c r="Y458" s="29"/>
      <c r="Z458" s="29" t="s">
        <v>455</v>
      </c>
      <c r="AA458" s="29"/>
      <c r="AB458" s="40" t="s">
        <v>704</v>
      </c>
      <c r="AJ458" s="29"/>
      <c r="AK458" s="29"/>
      <c r="AV458" s="28"/>
      <c r="AW458" s="38"/>
      <c r="AY4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Z4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BA4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8" s="35" t="str">
        <f>Table2[[#This Row],[device_suggested_area]]</f>
        <v>Front Door</v>
      </c>
      <c r="BD458" s="28" t="str">
        <f>IF(ISBLANK(Table2[[#This Row],[device_model]]), "", Table2[[#This Row],[device_suggested_area]])</f>
        <v>Front Door</v>
      </c>
      <c r="BE458" s="35" t="s">
        <v>982</v>
      </c>
      <c r="BF458" s="35" t="s">
        <v>605</v>
      </c>
      <c r="BG458" s="28" t="s">
        <v>1053</v>
      </c>
      <c r="BI458" s="28" t="s">
        <v>587</v>
      </c>
      <c r="BJ458" s="28" t="s">
        <v>593</v>
      </c>
      <c r="BO458" s="28" t="s">
        <v>606</v>
      </c>
      <c r="BQ4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69" ht="16" customHeight="1" x14ac:dyDescent="0.2">
      <c r="A459" s="28">
        <v>2759</v>
      </c>
      <c r="B459" s="28" t="s">
        <v>543</v>
      </c>
      <c r="C459" s="28" t="s">
        <v>222</v>
      </c>
      <c r="D459" s="28" t="s">
        <v>138</v>
      </c>
      <c r="F459" s="34" t="str">
        <f>IF(ISBLANK(Table2[[#This Row],[unique_id]]), "", PROPER(SUBSTITUTE(Table2[[#This Row],[unique_id]], "_", " ")))</f>
        <v/>
      </c>
      <c r="G459" s="28" t="s">
        <v>593</v>
      </c>
      <c r="H459" s="28" t="s">
        <v>601</v>
      </c>
      <c r="I459" s="28" t="s">
        <v>198</v>
      </c>
      <c r="O459" s="29"/>
      <c r="P459" s="28"/>
      <c r="T459" s="35"/>
      <c r="U459" s="35"/>
      <c r="V459" s="35"/>
      <c r="W459" s="28"/>
      <c r="Y459" s="29"/>
      <c r="Z459" s="29"/>
      <c r="AA459" s="29"/>
      <c r="AB459" s="29"/>
      <c r="AJ459" s="29"/>
      <c r="AK459" s="29"/>
      <c r="AV459" s="28"/>
      <c r="AW459" s="38"/>
      <c r="AX459" s="29"/>
      <c r="AY4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9" s="28" t="str">
        <f>IF(ISBLANK(Table2[[#This Row],[device_model]]), "", Table2[[#This Row],[device_suggested_area]])</f>
        <v/>
      </c>
      <c r="BF459" s="35"/>
      <c r="BI459" s="29"/>
      <c r="BO459" s="28"/>
      <c r="BQ4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9" ht="16" customHeight="1" x14ac:dyDescent="0.2">
      <c r="A460" s="28">
        <v>2760</v>
      </c>
      <c r="B460" s="28" t="s">
        <v>26</v>
      </c>
      <c r="C460" s="28" t="s">
        <v>124</v>
      </c>
      <c r="D460" s="28" t="s">
        <v>139</v>
      </c>
      <c r="E460" s="28" t="s">
        <v>563</v>
      </c>
      <c r="F460" s="34" t="str">
        <f>IF(ISBLANK(Table2[[#This Row],[unique_id]]), "", PROPER(SUBSTITUTE(Table2[[#This Row],[unique_id]], "_", " ")))</f>
        <v>Ada Fan Occupancy</v>
      </c>
      <c r="G460" s="28" t="s">
        <v>121</v>
      </c>
      <c r="H460" s="28" t="s">
        <v>599</v>
      </c>
      <c r="I460" s="28" t="s">
        <v>198</v>
      </c>
      <c r="M460" s="28" t="s">
        <v>127</v>
      </c>
      <c r="O460" s="29"/>
      <c r="P460" s="28"/>
      <c r="T460" s="35"/>
      <c r="U460" s="35"/>
      <c r="V460" s="35"/>
      <c r="W460" s="28"/>
      <c r="Y460" s="29"/>
      <c r="Z460" s="29"/>
      <c r="AA460" s="29"/>
      <c r="AB460" s="29"/>
      <c r="AJ460" s="29"/>
      <c r="AK460" s="29"/>
      <c r="AV460" s="28"/>
      <c r="AW460" s="38"/>
      <c r="AX460" s="29"/>
      <c r="AY4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0" s="28" t="str">
        <f>IF(ISBLANK(Table2[[#This Row],[device_model]]), "", Table2[[#This Row],[device_suggested_area]])</f>
        <v/>
      </c>
      <c r="BI460" s="29"/>
      <c r="BO460" s="28"/>
      <c r="BQ4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9" ht="16" customHeight="1" x14ac:dyDescent="0.2">
      <c r="A461" s="28">
        <v>2761</v>
      </c>
      <c r="B461" s="28" t="s">
        <v>26</v>
      </c>
      <c r="C461" s="28" t="s">
        <v>124</v>
      </c>
      <c r="D461" s="28" t="s">
        <v>139</v>
      </c>
      <c r="E461" s="28" t="s">
        <v>562</v>
      </c>
      <c r="F461" s="34" t="str">
        <f>IF(ISBLANK(Table2[[#This Row],[unique_id]]), "", PROPER(SUBSTITUTE(Table2[[#This Row],[unique_id]], "_", " ")))</f>
        <v>Edwin Fan Occupancy</v>
      </c>
      <c r="G461" s="28" t="s">
        <v>118</v>
      </c>
      <c r="H461" s="28" t="s">
        <v>599</v>
      </c>
      <c r="I461" s="28" t="s">
        <v>198</v>
      </c>
      <c r="M461" s="28" t="s">
        <v>127</v>
      </c>
      <c r="O461" s="29"/>
      <c r="P461" s="28"/>
      <c r="T461" s="35"/>
      <c r="U461" s="35"/>
      <c r="V461" s="35"/>
      <c r="W461" s="28"/>
      <c r="Y461" s="29"/>
      <c r="Z461" s="29"/>
      <c r="AA461" s="29"/>
      <c r="AB461" s="29"/>
      <c r="AJ461" s="29"/>
      <c r="AK461" s="29"/>
      <c r="AV461" s="28"/>
      <c r="AW461" s="38"/>
      <c r="AX461" s="29"/>
      <c r="AY4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1" s="28" t="str">
        <f>IF(ISBLANK(Table2[[#This Row],[device_model]]), "", Table2[[#This Row],[device_suggested_area]])</f>
        <v/>
      </c>
      <c r="BI461" s="29"/>
      <c r="BO461" s="28"/>
      <c r="BQ4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9" ht="16" customHeight="1" x14ac:dyDescent="0.2">
      <c r="A462" s="28">
        <v>2762</v>
      </c>
      <c r="B462" s="28" t="s">
        <v>26</v>
      </c>
      <c r="C462" s="28" t="s">
        <v>124</v>
      </c>
      <c r="D462" s="28" t="s">
        <v>139</v>
      </c>
      <c r="E462" s="28" t="s">
        <v>564</v>
      </c>
      <c r="F462" s="34" t="str">
        <f>IF(ISBLANK(Table2[[#This Row],[unique_id]]), "", PROPER(SUBSTITUTE(Table2[[#This Row],[unique_id]], "_", " ")))</f>
        <v>Parents Fan Occupancy</v>
      </c>
      <c r="G462" s="28" t="s">
        <v>181</v>
      </c>
      <c r="H462" s="28" t="s">
        <v>599</v>
      </c>
      <c r="I462" s="28" t="s">
        <v>198</v>
      </c>
      <c r="M462" s="28" t="s">
        <v>127</v>
      </c>
      <c r="O462" s="29"/>
      <c r="P462" s="28"/>
      <c r="T462" s="35"/>
      <c r="U462" s="35"/>
      <c r="V462" s="35"/>
      <c r="W462" s="28"/>
      <c r="Y462" s="29"/>
      <c r="Z462" s="29"/>
      <c r="AA462" s="29"/>
      <c r="AB462" s="29"/>
      <c r="AJ462" s="29"/>
      <c r="AK462" s="29"/>
      <c r="AV462" s="28"/>
      <c r="AW462" s="38"/>
      <c r="AX462" s="29"/>
      <c r="AY4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2" s="28" t="str">
        <f>IF(ISBLANK(Table2[[#This Row],[device_model]]), "", Table2[[#This Row],[device_suggested_area]])</f>
        <v/>
      </c>
      <c r="BI462" s="29"/>
      <c r="BO462" s="28"/>
      <c r="BQ4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9" ht="16" customHeight="1" x14ac:dyDescent="0.2">
      <c r="A463" s="28">
        <v>2763</v>
      </c>
      <c r="B463" s="28" t="s">
        <v>26</v>
      </c>
      <c r="C463" s="28" t="s">
        <v>124</v>
      </c>
      <c r="D463" s="28" t="s">
        <v>139</v>
      </c>
      <c r="E463" s="28" t="s">
        <v>565</v>
      </c>
      <c r="F463" s="34" t="str">
        <f>IF(ISBLANK(Table2[[#This Row],[unique_id]]), "", PROPER(SUBSTITUTE(Table2[[#This Row],[unique_id]], "_", " ")))</f>
        <v>Lounge Fan Occupancy</v>
      </c>
      <c r="G463" s="28" t="s">
        <v>183</v>
      </c>
      <c r="H463" s="28" t="s">
        <v>599</v>
      </c>
      <c r="I463" s="28" t="s">
        <v>198</v>
      </c>
      <c r="M463" s="28" t="s">
        <v>127</v>
      </c>
      <c r="O463" s="29"/>
      <c r="P463" s="28"/>
      <c r="T463" s="35"/>
      <c r="U463" s="35"/>
      <c r="V463" s="35"/>
      <c r="W463" s="28"/>
      <c r="Y463" s="29"/>
      <c r="Z463" s="29"/>
      <c r="AA463" s="29"/>
      <c r="AB463" s="29"/>
      <c r="AJ463" s="29"/>
      <c r="AK463" s="29"/>
      <c r="AV463" s="28"/>
      <c r="AW463" s="38"/>
      <c r="AX463" s="29"/>
      <c r="AY4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3" s="28" t="str">
        <f>IF(ISBLANK(Table2[[#This Row],[device_model]]), "", Table2[[#This Row],[device_suggested_area]])</f>
        <v/>
      </c>
      <c r="BI463" s="29"/>
      <c r="BO463" s="28"/>
      <c r="BQ4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9" ht="16" customHeight="1" x14ac:dyDescent="0.2">
      <c r="A464" s="28">
        <v>2764</v>
      </c>
      <c r="B464" s="28" t="s">
        <v>26</v>
      </c>
      <c r="C464" s="28" t="s">
        <v>124</v>
      </c>
      <c r="D464" s="28" t="s">
        <v>139</v>
      </c>
      <c r="E464" s="28" t="s">
        <v>566</v>
      </c>
      <c r="F464" s="34" t="str">
        <f>IF(ISBLANK(Table2[[#This Row],[unique_id]]), "", PROPER(SUBSTITUTE(Table2[[#This Row],[unique_id]], "_", " ")))</f>
        <v>Deck East Fan Occupancy</v>
      </c>
      <c r="G464" s="28" t="s">
        <v>204</v>
      </c>
      <c r="H464" s="28" t="s">
        <v>599</v>
      </c>
      <c r="I464" s="28" t="s">
        <v>198</v>
      </c>
      <c r="M464" s="28" t="s">
        <v>127</v>
      </c>
      <c r="O464" s="29"/>
      <c r="P464" s="28"/>
      <c r="T464" s="35"/>
      <c r="U464" s="35"/>
      <c r="V464" s="35"/>
      <c r="W464" s="28"/>
      <c r="Y464" s="29"/>
      <c r="Z464" s="29"/>
      <c r="AA464" s="29"/>
      <c r="AB464" s="29"/>
      <c r="AJ464" s="29"/>
      <c r="AK464" s="29"/>
      <c r="AV464" s="28"/>
      <c r="AW464" s="38"/>
      <c r="AX464" s="29"/>
      <c r="AY4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4" s="28" t="str">
        <f>IF(ISBLANK(Table2[[#This Row],[device_model]]), "", Table2[[#This Row],[device_suggested_area]])</f>
        <v/>
      </c>
      <c r="BI464" s="29"/>
      <c r="BO464" s="28"/>
      <c r="BQ4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9" ht="16" customHeight="1" x14ac:dyDescent="0.2">
      <c r="A465" s="28">
        <v>2765</v>
      </c>
      <c r="B465" s="28" t="s">
        <v>26</v>
      </c>
      <c r="C465" s="28" t="s">
        <v>124</v>
      </c>
      <c r="D465" s="28" t="s">
        <v>139</v>
      </c>
      <c r="E465" s="28" t="s">
        <v>567</v>
      </c>
      <c r="F465" s="34" t="str">
        <f>IF(ISBLANK(Table2[[#This Row],[unique_id]]), "", PROPER(SUBSTITUTE(Table2[[#This Row],[unique_id]], "_", " ")))</f>
        <v>Deck West Fan Occupancy</v>
      </c>
      <c r="G465" s="28" t="s">
        <v>203</v>
      </c>
      <c r="H465" s="28" t="s">
        <v>599</v>
      </c>
      <c r="I465" s="28" t="s">
        <v>198</v>
      </c>
      <c r="M465" s="28" t="s">
        <v>127</v>
      </c>
      <c r="O465" s="29"/>
      <c r="P465" s="28"/>
      <c r="T465" s="35"/>
      <c r="U465" s="35"/>
      <c r="V465" s="35"/>
      <c r="W465" s="28"/>
      <c r="Y465" s="29"/>
      <c r="Z465" s="29"/>
      <c r="AA465" s="29"/>
      <c r="AB465" s="29"/>
      <c r="AJ465" s="29"/>
      <c r="AK465" s="29"/>
      <c r="AV465" s="28"/>
      <c r="AW465" s="38"/>
      <c r="AX465" s="29"/>
      <c r="AY4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5" s="28" t="str">
        <f>IF(ISBLANK(Table2[[#This Row],[device_model]]), "", Table2[[#This Row],[device_suggested_area]])</f>
        <v/>
      </c>
      <c r="BI465" s="29"/>
      <c r="BO465" s="28"/>
      <c r="BQ4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9" ht="16" customHeight="1" x14ac:dyDescent="0.2">
      <c r="A466" s="28">
        <v>2766</v>
      </c>
      <c r="B466" s="28" t="s">
        <v>26</v>
      </c>
      <c r="C466" s="28" t="s">
        <v>409</v>
      </c>
      <c r="D466" s="28" t="s">
        <v>304</v>
      </c>
      <c r="E466" s="28" t="s">
        <v>303</v>
      </c>
      <c r="F466" s="34" t="str">
        <f>IF(ISBLANK(Table2[[#This Row],[unique_id]]), "", PROPER(SUBSTITUTE(Table2[[#This Row],[unique_id]], "_", " ")))</f>
        <v>Column Break</v>
      </c>
      <c r="G466" s="28" t="s">
        <v>300</v>
      </c>
      <c r="H466" s="28" t="s">
        <v>596</v>
      </c>
      <c r="I466" s="28" t="s">
        <v>198</v>
      </c>
      <c r="M466" s="28" t="s">
        <v>301</v>
      </c>
      <c r="N466" s="28" t="s">
        <v>302</v>
      </c>
      <c r="O466" s="29"/>
      <c r="P466" s="28"/>
      <c r="T466" s="35"/>
      <c r="U466" s="35"/>
      <c r="V466" s="35"/>
      <c r="W466" s="28"/>
      <c r="Y466" s="29"/>
      <c r="Z466" s="29"/>
      <c r="AA466" s="29"/>
      <c r="AB466" s="29"/>
      <c r="AJ466" s="29"/>
      <c r="AK466" s="29"/>
      <c r="AV466" s="28"/>
      <c r="AW466" s="38"/>
      <c r="AX466" s="29"/>
      <c r="AY4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6" s="28" t="str">
        <f>IF(ISBLANK(Table2[[#This Row],[device_model]]), "", Table2[[#This Row],[device_suggested_area]])</f>
        <v/>
      </c>
      <c r="BI466" s="29"/>
      <c r="BO466" s="28"/>
      <c r="BQ4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9" ht="16" customHeight="1" x14ac:dyDescent="0.2">
      <c r="A467" s="28">
        <v>2767</v>
      </c>
      <c r="B467" s="28" t="s">
        <v>26</v>
      </c>
      <c r="C467" s="28" t="s">
        <v>222</v>
      </c>
      <c r="D467" s="28" t="s">
        <v>139</v>
      </c>
      <c r="E467" s="28" t="s">
        <v>140</v>
      </c>
      <c r="F467" s="34" t="str">
        <f>IF(ISBLANK(Table2[[#This Row],[unique_id]]), "", PROPER(SUBSTITUTE(Table2[[#This Row],[unique_id]], "_", " ")))</f>
        <v>Uvc Ada Motion</v>
      </c>
      <c r="G467" s="28" t="s">
        <v>592</v>
      </c>
      <c r="H467" s="28" t="s">
        <v>596</v>
      </c>
      <c r="I467" s="28" t="s">
        <v>198</v>
      </c>
      <c r="M467" s="28" t="s">
        <v>127</v>
      </c>
      <c r="O467" s="29"/>
      <c r="P467" s="28"/>
      <c r="T467" s="35"/>
      <c r="U467" s="35"/>
      <c r="V467" s="35"/>
      <c r="W467" s="28"/>
      <c r="Y467" s="29"/>
      <c r="Z467" s="29"/>
      <c r="AA467" s="29"/>
      <c r="AB467" s="29"/>
      <c r="AJ467" s="29"/>
      <c r="AK467" s="29"/>
      <c r="AV467" s="28"/>
      <c r="AW467" s="38"/>
      <c r="AX467" s="29"/>
      <c r="AY4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7" s="28" t="str">
        <f>IF(ISBLANK(Table2[[#This Row],[device_model]]), "", Table2[[#This Row],[device_suggested_area]])</f>
        <v/>
      </c>
      <c r="BI467" s="29"/>
      <c r="BO467" s="28"/>
      <c r="BQ4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9" ht="16" customHeight="1" x14ac:dyDescent="0.2">
      <c r="A468" s="28">
        <v>2768</v>
      </c>
      <c r="B468" s="28" t="s">
        <v>26</v>
      </c>
      <c r="C468" s="28" t="s">
        <v>222</v>
      </c>
      <c r="D468" s="28" t="s">
        <v>138</v>
      </c>
      <c r="E468" s="28" t="s">
        <v>1257</v>
      </c>
      <c r="F468" s="34" t="str">
        <f>IF(ISBLANK(Table2[[#This Row],[unique_id]]), "", PROPER(SUBSTITUTE(Table2[[#This Row],[unique_id]], "_", " ")))</f>
        <v>Uvc Ada Medium Resolution Channel</v>
      </c>
      <c r="G468" s="28" t="s">
        <v>121</v>
      </c>
      <c r="H468" s="28" t="s">
        <v>598</v>
      </c>
      <c r="I468" s="28" t="s">
        <v>198</v>
      </c>
      <c r="M468" s="28" t="s">
        <v>127</v>
      </c>
      <c r="N468" s="28" t="s">
        <v>258</v>
      </c>
      <c r="O468" s="29"/>
      <c r="P468" s="28"/>
      <c r="T468" s="35"/>
      <c r="U468" s="35"/>
      <c r="V468" s="35"/>
      <c r="W468" s="28"/>
      <c r="Y468" s="29"/>
      <c r="Z468" s="29"/>
      <c r="AA468" s="29"/>
      <c r="AB468" s="29"/>
      <c r="AJ468" s="29"/>
      <c r="AK468" s="29"/>
      <c r="AV468" s="28"/>
      <c r="AW468" s="38"/>
      <c r="AY46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Z4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BA4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68" s="28" t="s">
        <v>1356</v>
      </c>
      <c r="BD468" s="28" t="str">
        <f>IF(ISBLANK(Table2[[#This Row],[device_model]]), "", Table2[[#This Row],[device_suggested_area]])</f>
        <v>Ada</v>
      </c>
      <c r="BE468" s="28" t="str">
        <f>Table2[[#This Row],[device_suggested_area]]</f>
        <v>Ada</v>
      </c>
      <c r="BF468" s="28" t="s">
        <v>356</v>
      </c>
      <c r="BG468" s="28" t="s">
        <v>222</v>
      </c>
      <c r="BI468" s="28" t="s">
        <v>357</v>
      </c>
      <c r="BJ468" s="28" t="s">
        <v>121</v>
      </c>
      <c r="BN468" s="28" t="s">
        <v>1186</v>
      </c>
      <c r="BO468" s="28" t="s">
        <v>354</v>
      </c>
      <c r="BP468" s="28" t="s">
        <v>1241</v>
      </c>
      <c r="BQ4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69" ht="16" customHeight="1" x14ac:dyDescent="0.2">
      <c r="A469" s="28">
        <v>2769</v>
      </c>
      <c r="B469" s="28" t="s">
        <v>26</v>
      </c>
      <c r="C469" s="28" t="s">
        <v>222</v>
      </c>
      <c r="D469" s="28" t="s">
        <v>139</v>
      </c>
      <c r="E469" s="28" t="s">
        <v>197</v>
      </c>
      <c r="F469" s="34" t="str">
        <f>IF(ISBLANK(Table2[[#This Row],[unique_id]]), "", PROPER(SUBSTITUTE(Table2[[#This Row],[unique_id]], "_", " ")))</f>
        <v>Uvc Edwin Motion</v>
      </c>
      <c r="G469" s="28" t="s">
        <v>592</v>
      </c>
      <c r="H469" s="28" t="s">
        <v>595</v>
      </c>
      <c r="I469" s="28" t="s">
        <v>198</v>
      </c>
      <c r="M469" s="28" t="s">
        <v>127</v>
      </c>
      <c r="O469" s="29"/>
      <c r="P469" s="28"/>
      <c r="T469" s="35"/>
      <c r="U469" s="35"/>
      <c r="V469" s="35"/>
      <c r="W469" s="28"/>
      <c r="Y469" s="29"/>
      <c r="Z469" s="29"/>
      <c r="AA469" s="29"/>
      <c r="AB469" s="29"/>
      <c r="AJ469" s="29"/>
      <c r="AK469" s="29"/>
      <c r="AV469" s="28"/>
      <c r="AW469" s="38"/>
      <c r="AX469" s="29"/>
      <c r="AY46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Z4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9" s="28" t="str">
        <f>IF(ISBLANK(Table2[[#This Row],[device_model]]), "", Table2[[#This Row],[device_suggested_area]])</f>
        <v/>
      </c>
      <c r="BI469" s="29"/>
      <c r="BO469" s="28"/>
      <c r="BQ4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9" ht="16" customHeight="1" x14ac:dyDescent="0.2">
      <c r="A470" s="28">
        <v>2770</v>
      </c>
      <c r="B470" s="28" t="s">
        <v>26</v>
      </c>
      <c r="C470" s="28" t="s">
        <v>222</v>
      </c>
      <c r="D470" s="28" t="s">
        <v>138</v>
      </c>
      <c r="E470" s="28" t="s">
        <v>1258</v>
      </c>
      <c r="F470" s="34" t="str">
        <f>IF(ISBLANK(Table2[[#This Row],[unique_id]]), "", PROPER(SUBSTITUTE(Table2[[#This Row],[unique_id]], "_", " ")))</f>
        <v>Uvc Edwin Medium Resolution Channel</v>
      </c>
      <c r="G470" s="28" t="s">
        <v>118</v>
      </c>
      <c r="H470" s="28" t="s">
        <v>597</v>
      </c>
      <c r="I470" s="28" t="s">
        <v>198</v>
      </c>
      <c r="M470" s="28" t="s">
        <v>127</v>
      </c>
      <c r="N470" s="28" t="s">
        <v>258</v>
      </c>
      <c r="O470" s="29"/>
      <c r="P470" s="28"/>
      <c r="T470" s="35"/>
      <c r="U470" s="35"/>
      <c r="V470" s="35"/>
      <c r="W470" s="28"/>
      <c r="Y470" s="29"/>
      <c r="Z470" s="29"/>
      <c r="AA470" s="29"/>
      <c r="AB470" s="29"/>
      <c r="AJ470" s="29"/>
      <c r="AK470" s="29"/>
      <c r="AV470" s="28"/>
      <c r="AW470" s="38"/>
      <c r="AY470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Z4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BA4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0" s="28" t="s">
        <v>1356</v>
      </c>
      <c r="BD470" s="28" t="str">
        <f>IF(ISBLANK(Table2[[#This Row],[device_model]]), "", Table2[[#This Row],[device_suggested_area]])</f>
        <v>Edwin</v>
      </c>
      <c r="BE470" s="28" t="str">
        <f>Table2[[#This Row],[device_suggested_area]]</f>
        <v>Edwin</v>
      </c>
      <c r="BF470" s="28" t="s">
        <v>356</v>
      </c>
      <c r="BG470" s="28" t="s">
        <v>222</v>
      </c>
      <c r="BI470" s="28" t="s">
        <v>357</v>
      </c>
      <c r="BJ470" s="28" t="s">
        <v>118</v>
      </c>
      <c r="BN470" s="28" t="s">
        <v>1186</v>
      </c>
      <c r="BO470" s="28" t="s">
        <v>355</v>
      </c>
      <c r="BP470" s="28" t="s">
        <v>1242</v>
      </c>
      <c r="BQ4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69" ht="16" customHeight="1" x14ac:dyDescent="0.2">
      <c r="A471" s="28">
        <v>2771</v>
      </c>
      <c r="B471" s="28" t="s">
        <v>26</v>
      </c>
      <c r="C471" s="28" t="s">
        <v>409</v>
      </c>
      <c r="D471" s="28" t="s">
        <v>304</v>
      </c>
      <c r="E471" s="28" t="s">
        <v>303</v>
      </c>
      <c r="F471" s="34" t="str">
        <f>IF(ISBLANK(Table2[[#This Row],[unique_id]]), "", PROPER(SUBSTITUTE(Table2[[#This Row],[unique_id]], "_", " ")))</f>
        <v>Column Break</v>
      </c>
      <c r="G471" s="28" t="s">
        <v>300</v>
      </c>
      <c r="H471" s="28" t="s">
        <v>597</v>
      </c>
      <c r="I471" s="28" t="s">
        <v>198</v>
      </c>
      <c r="M471" s="28" t="s">
        <v>301</v>
      </c>
      <c r="N471" s="28" t="s">
        <v>302</v>
      </c>
      <c r="O471" s="29"/>
      <c r="P471" s="28"/>
      <c r="T471" s="35"/>
      <c r="U471" s="35"/>
      <c r="V471" s="35"/>
      <c r="W471" s="28"/>
      <c r="Y471" s="29"/>
      <c r="Z471" s="29"/>
      <c r="AA471" s="29"/>
      <c r="AB471" s="29"/>
      <c r="AJ471" s="29"/>
      <c r="AK471" s="29"/>
      <c r="AV471" s="28"/>
      <c r="AW471" s="38"/>
      <c r="AX471" s="29"/>
      <c r="AY471" s="28"/>
      <c r="AZ4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71" s="28" t="str">
        <f>IF(ISBLANK(Table2[[#This Row],[device_model]]), "", Table2[[#This Row],[device_suggested_area]])</f>
        <v/>
      </c>
      <c r="BI471" s="29"/>
      <c r="BO471" s="28"/>
      <c r="BQ4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9" ht="16" customHeight="1" x14ac:dyDescent="0.2">
      <c r="A472" s="28">
        <v>5000</v>
      </c>
      <c r="B472" s="37" t="s">
        <v>26</v>
      </c>
      <c r="C472" s="28" t="s">
        <v>222</v>
      </c>
      <c r="F472" s="34" t="str">
        <f>IF(ISBLANK(Table2[[#This Row],[unique_id]]), "", PROPER(SUBSTITUTE(Table2[[#This Row],[unique_id]], "_", " ")))</f>
        <v/>
      </c>
      <c r="O472" s="29"/>
      <c r="P472" s="28"/>
      <c r="T472" s="35"/>
      <c r="U472" s="35"/>
      <c r="V472" s="35"/>
      <c r="W472" s="28"/>
      <c r="Y472" s="29"/>
      <c r="Z472" s="29"/>
      <c r="AA472" s="29"/>
      <c r="AB472" s="29"/>
      <c r="AJ472" s="29"/>
      <c r="AK472" s="29"/>
      <c r="AV472" s="28"/>
      <c r="AW472" s="38"/>
      <c r="AY472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Z4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BA4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2" s="28" t="s">
        <v>1357</v>
      </c>
      <c r="BD472" s="28" t="str">
        <f>IF(ISBLANK(Table2[[#This Row],[device_model]]), "", Table2[[#This Row],[device_suggested_area]])</f>
        <v>Rack</v>
      </c>
      <c r="BF472" s="28" t="s">
        <v>974</v>
      </c>
      <c r="BG472" s="28" t="s">
        <v>222</v>
      </c>
      <c r="BI472" s="28" t="s">
        <v>373</v>
      </c>
      <c r="BJ472" s="28" t="s">
        <v>28</v>
      </c>
      <c r="BN472" s="28" t="s">
        <v>1179</v>
      </c>
      <c r="BO472" s="28" t="s">
        <v>376</v>
      </c>
      <c r="BP472" s="28" t="s">
        <v>1180</v>
      </c>
      <c r="BQ4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69" ht="16" customHeight="1" x14ac:dyDescent="0.2">
      <c r="A473" s="28">
        <v>5001</v>
      </c>
      <c r="B473" s="37" t="s">
        <v>26</v>
      </c>
      <c r="C473" s="28" t="s">
        <v>222</v>
      </c>
      <c r="F473" s="34" t="str">
        <f>IF(ISBLANK(Table2[[#This Row],[unique_id]]), "", PROPER(SUBSTITUTE(Table2[[#This Row],[unique_id]], "_", " ")))</f>
        <v/>
      </c>
      <c r="O473" s="29"/>
      <c r="P473" s="28"/>
      <c r="T473" s="35"/>
      <c r="U473" s="35"/>
      <c r="V473" s="35"/>
      <c r="W473" s="28"/>
      <c r="Y473" s="29"/>
      <c r="Z473" s="29"/>
      <c r="AA473" s="29"/>
      <c r="AB473" s="29"/>
      <c r="AJ473" s="29"/>
      <c r="AK473" s="29"/>
      <c r="AV473" s="28"/>
      <c r="AW473" s="38"/>
      <c r="AY473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Z4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BA4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3" s="28" t="s">
        <v>1358</v>
      </c>
      <c r="BD473" s="28" t="str">
        <f>IF(ISBLANK(Table2[[#This Row],[device_model]]), "", Table2[[#This Row],[device_suggested_area]])</f>
        <v>Rack</v>
      </c>
      <c r="BE473" s="28" t="str">
        <f>Table2[[#This Row],[device_suggested_area]]</f>
        <v>Rack</v>
      </c>
      <c r="BF473" s="28" t="s">
        <v>971</v>
      </c>
      <c r="BG473" s="28" t="s">
        <v>222</v>
      </c>
      <c r="BI473" s="28" t="s">
        <v>573</v>
      </c>
      <c r="BJ473" s="28" t="s">
        <v>28</v>
      </c>
      <c r="BN473" s="28" t="s">
        <v>1179</v>
      </c>
      <c r="BO473" s="28" t="s">
        <v>574</v>
      </c>
      <c r="BP473" s="28" t="s">
        <v>1181</v>
      </c>
      <c r="BQ4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69" ht="16" customHeight="1" x14ac:dyDescent="0.2">
      <c r="A474" s="28">
        <v>5002</v>
      </c>
      <c r="B474" s="37" t="s">
        <v>26</v>
      </c>
      <c r="C474" s="28" t="s">
        <v>222</v>
      </c>
      <c r="F474" s="34" t="str">
        <f>IF(ISBLANK(Table2[[#This Row],[unique_id]]), "", PROPER(SUBSTITUTE(Table2[[#This Row],[unique_id]], "_", " ")))</f>
        <v/>
      </c>
      <c r="O474" s="29"/>
      <c r="P474" s="28"/>
      <c r="T474" s="35"/>
      <c r="U474" s="35"/>
      <c r="V474" s="35"/>
      <c r="W474" s="28"/>
      <c r="Y474" s="29"/>
      <c r="Z474" s="29"/>
      <c r="AA474" s="29"/>
      <c r="AB474" s="29"/>
      <c r="AJ474" s="29"/>
      <c r="AK474" s="29"/>
      <c r="AV474" s="28"/>
      <c r="AW474" s="38"/>
      <c r="AY474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Z4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BA4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4" s="28" t="s">
        <v>1358</v>
      </c>
      <c r="BD474" s="28" t="str">
        <f>IF(ISBLANK(Table2[[#This Row],[device_model]]), "", Table2[[#This Row],[device_suggested_area]])</f>
        <v>Office</v>
      </c>
      <c r="BE474" s="28" t="str">
        <f>Table2[[#This Row],[device_suggested_area]]</f>
        <v>Office</v>
      </c>
      <c r="BF474" s="28" t="s">
        <v>972</v>
      </c>
      <c r="BG474" s="28" t="s">
        <v>222</v>
      </c>
      <c r="BI474" s="28" t="s">
        <v>1012</v>
      </c>
      <c r="BJ474" s="28" t="s">
        <v>201</v>
      </c>
      <c r="BN474" s="28" t="s">
        <v>1179</v>
      </c>
      <c r="BO474" s="28" t="s">
        <v>377</v>
      </c>
      <c r="BP474" s="28" t="s">
        <v>1394</v>
      </c>
      <c r="BQ4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69" ht="16" customHeight="1" x14ac:dyDescent="0.2">
      <c r="A475" s="28">
        <v>5003</v>
      </c>
      <c r="B475" s="37" t="s">
        <v>26</v>
      </c>
      <c r="C475" s="28" t="s">
        <v>222</v>
      </c>
      <c r="F475" s="34" t="str">
        <f>IF(ISBLANK(Table2[[#This Row],[unique_id]]), "", PROPER(SUBSTITUTE(Table2[[#This Row],[unique_id]], "_", " ")))</f>
        <v/>
      </c>
      <c r="O475" s="29"/>
      <c r="P475" s="28"/>
      <c r="T475" s="35"/>
      <c r="U475" s="35"/>
      <c r="V475" s="35"/>
      <c r="W475" s="28"/>
      <c r="Y475" s="29"/>
      <c r="Z475" s="29"/>
      <c r="AA475" s="29"/>
      <c r="AB475" s="29"/>
      <c r="AJ475" s="29"/>
      <c r="AK475" s="29"/>
      <c r="AV475" s="28"/>
      <c r="AW475" s="38"/>
      <c r="AY475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Z4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BA4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5" s="28" t="s">
        <v>1358</v>
      </c>
      <c r="BD475" s="28" t="str">
        <f>IF(ISBLANK(Table2[[#This Row],[device_model]]), "", Table2[[#This Row],[device_suggested_area]])</f>
        <v>Ceiling</v>
      </c>
      <c r="BE475" s="28" t="str">
        <f>Table2[[#This Row],[device_suggested_area]]</f>
        <v>Ceiling</v>
      </c>
      <c r="BF475" s="28" t="s">
        <v>1393</v>
      </c>
      <c r="BG475" s="28" t="s">
        <v>222</v>
      </c>
      <c r="BI475" s="28" t="s">
        <v>1012</v>
      </c>
      <c r="BJ475" s="28" t="s">
        <v>374</v>
      </c>
      <c r="BN475" s="28" t="s">
        <v>1179</v>
      </c>
      <c r="BO475" s="28" t="s">
        <v>1395</v>
      </c>
      <c r="BP475" s="28" t="s">
        <v>1182</v>
      </c>
      <c r="BQ4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69" ht="16" customHeight="1" x14ac:dyDescent="0.2">
      <c r="A476" s="28">
        <v>5004</v>
      </c>
      <c r="B476" s="37" t="s">
        <v>26</v>
      </c>
      <c r="C476" s="28" t="s">
        <v>222</v>
      </c>
      <c r="F476" s="34" t="str">
        <f>IF(ISBLANK(Table2[[#This Row],[unique_id]]), "", PROPER(SUBSTITUTE(Table2[[#This Row],[unique_id]], "_", " ")))</f>
        <v/>
      </c>
      <c r="O476" s="29"/>
      <c r="P476" s="28"/>
      <c r="T476" s="35"/>
      <c r="U476" s="35"/>
      <c r="V476" s="35"/>
      <c r="W476" s="28"/>
      <c r="Y476" s="29"/>
      <c r="Z476" s="29"/>
      <c r="AA476" s="29"/>
      <c r="AB476" s="29"/>
      <c r="AJ476" s="29"/>
      <c r="AK476" s="29"/>
      <c r="AV476" s="28"/>
      <c r="AW476" s="38"/>
      <c r="AY476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Z4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BA4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6" s="28" t="s">
        <v>1359</v>
      </c>
      <c r="BD476" s="28" t="str">
        <f>IF(ISBLANK(Table2[[#This Row],[device_model]]), "", Table2[[#This Row],[device_suggested_area]])</f>
        <v>Hallway</v>
      </c>
      <c r="BE476" s="28" t="str">
        <f>Table2[[#This Row],[device_suggested_area]]</f>
        <v>Hallway</v>
      </c>
      <c r="BF476" s="28" t="s">
        <v>1301</v>
      </c>
      <c r="BG476" s="28" t="s">
        <v>222</v>
      </c>
      <c r="BI476" s="28" t="s">
        <v>1011</v>
      </c>
      <c r="BJ476" s="28" t="s">
        <v>375</v>
      </c>
      <c r="BN476" s="28" t="s">
        <v>1179</v>
      </c>
      <c r="BO476" s="28" t="s">
        <v>1300</v>
      </c>
      <c r="BP476" s="28" t="s">
        <v>1183</v>
      </c>
      <c r="BQ4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69" ht="16" customHeight="1" x14ac:dyDescent="0.2">
      <c r="A477" s="28">
        <v>5005</v>
      </c>
      <c r="B477" s="37" t="s">
        <v>26</v>
      </c>
      <c r="C477" s="28" t="s">
        <v>222</v>
      </c>
      <c r="F477" s="34" t="str">
        <f>IF(ISBLANK(Table2[[#This Row],[unique_id]]), "", PROPER(SUBSTITUTE(Table2[[#This Row],[unique_id]], "_", " ")))</f>
        <v/>
      </c>
      <c r="O477" s="29"/>
      <c r="P477" s="28"/>
      <c r="T477" s="35"/>
      <c r="U477" s="35"/>
      <c r="V477" s="35"/>
      <c r="W477" s="28"/>
      <c r="Y477" s="29"/>
      <c r="Z477" s="29"/>
      <c r="AA477" s="29"/>
      <c r="AB477" s="29"/>
      <c r="AJ477" s="29"/>
      <c r="AK477" s="29"/>
      <c r="AV477" s="28"/>
      <c r="AW477" s="38"/>
      <c r="AY477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Z4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BA4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7" s="28" t="s">
        <v>1359</v>
      </c>
      <c r="BD477" s="28" t="str">
        <f>IF(ISBLANK(Table2[[#This Row],[device_model]]), "", Table2[[#This Row],[device_suggested_area]])</f>
        <v>Deck North</v>
      </c>
      <c r="BE477" s="28" t="str">
        <f>Table2[[#This Row],[device_suggested_area]]</f>
        <v>Deck North</v>
      </c>
      <c r="BF477" s="28" t="s">
        <v>973</v>
      </c>
      <c r="BG477" s="28" t="s">
        <v>222</v>
      </c>
      <c r="BI477" s="28" t="s">
        <v>1011</v>
      </c>
      <c r="BJ477" s="28" t="s">
        <v>1352</v>
      </c>
      <c r="BN477" s="28" t="s">
        <v>1179</v>
      </c>
      <c r="BO477" s="28" t="s">
        <v>1354</v>
      </c>
      <c r="BP477" s="28" t="s">
        <v>1184</v>
      </c>
      <c r="BQ4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69" ht="16" customHeight="1" x14ac:dyDescent="0.2">
      <c r="A478" s="28">
        <v>5006</v>
      </c>
      <c r="B478" s="37" t="s">
        <v>26</v>
      </c>
      <c r="C478" s="28" t="s">
        <v>222</v>
      </c>
      <c r="F478" s="34" t="str">
        <f>IF(ISBLANK(Table2[[#This Row],[unique_id]]), "", PROPER(SUBSTITUTE(Table2[[#This Row],[unique_id]], "_", " ")))</f>
        <v/>
      </c>
      <c r="O478" s="29"/>
      <c r="P478" s="28"/>
      <c r="T478" s="35"/>
      <c r="U478" s="35"/>
      <c r="V478" s="35"/>
      <c r="W478" s="28"/>
      <c r="Y478" s="29"/>
      <c r="Z478" s="29"/>
      <c r="AA478" s="29"/>
      <c r="AB478" s="29"/>
      <c r="AJ478" s="29"/>
      <c r="AK478" s="29"/>
      <c r="AV478" s="28"/>
      <c r="AW478" s="38"/>
      <c r="AY47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Z4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BA4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8" s="28" t="s">
        <v>1359</v>
      </c>
      <c r="BD478" s="28" t="str">
        <f>IF(ISBLANK(Table2[[#This Row],[device_model]]), "", Table2[[#This Row],[device_suggested_area]])</f>
        <v>Deck South</v>
      </c>
      <c r="BE478" s="28" t="str">
        <f>Table2[[#This Row],[device_suggested_area]]</f>
        <v>Deck South</v>
      </c>
      <c r="BF478" s="28" t="s">
        <v>973</v>
      </c>
      <c r="BG478" s="28" t="s">
        <v>222</v>
      </c>
      <c r="BI478" s="28" t="s">
        <v>1011</v>
      </c>
      <c r="BJ478" s="28" t="s">
        <v>1351</v>
      </c>
      <c r="BN478" s="28" t="s">
        <v>1179</v>
      </c>
      <c r="BO478" s="28" t="s">
        <v>378</v>
      </c>
      <c r="BP478" s="28" t="s">
        <v>1353</v>
      </c>
      <c r="BQ4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69" ht="16" customHeight="1" x14ac:dyDescent="0.2">
      <c r="A479" s="28">
        <v>5007</v>
      </c>
      <c r="B479" s="37" t="s">
        <v>543</v>
      </c>
      <c r="C479" s="37" t="s">
        <v>222</v>
      </c>
      <c r="D479" s="37"/>
      <c r="E479" s="37"/>
      <c r="F479" s="34" t="str">
        <f>IF(ISBLANK(Table2[[#This Row],[unique_id]]), "", PROPER(SUBSTITUTE(Table2[[#This Row],[unique_id]], "_", " ")))</f>
        <v/>
      </c>
      <c r="G479" s="37"/>
      <c r="H479" s="37"/>
      <c r="I479" s="37"/>
      <c r="K479" s="37"/>
      <c r="L479" s="37"/>
      <c r="M479" s="37"/>
      <c r="O479" s="29"/>
      <c r="P479" s="28"/>
      <c r="T479" s="35"/>
      <c r="U479" s="35"/>
      <c r="V479" s="35"/>
      <c r="W479" s="28"/>
      <c r="Y479" s="29"/>
      <c r="Z479" s="29"/>
      <c r="AA479" s="29"/>
      <c r="AB479" s="29"/>
      <c r="AJ479" s="29"/>
      <c r="AK479" s="29"/>
      <c r="AV479" s="28"/>
      <c r="AW479" s="38"/>
      <c r="AY47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Z4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BA4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9" s="28" t="s">
        <v>1287</v>
      </c>
      <c r="BD479" s="28" t="str">
        <f>IF(ISBLANK(Table2[[#This Row],[device_model]]), "", Table2[[#This Row],[device_suggested_area]])</f>
        <v>Rack</v>
      </c>
      <c r="BE479" s="28" t="s">
        <v>1298</v>
      </c>
      <c r="BF479" s="28" t="s">
        <v>1289</v>
      </c>
      <c r="BG479" s="28" t="s">
        <v>1287</v>
      </c>
      <c r="BI479" s="28" t="s">
        <v>1295</v>
      </c>
      <c r="BJ479" s="28" t="s">
        <v>28</v>
      </c>
      <c r="BO479" s="39"/>
      <c r="BP479" s="28" t="s">
        <v>1297</v>
      </c>
      <c r="BQ4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69" ht="16" customHeight="1" x14ac:dyDescent="0.2">
      <c r="A480" s="28">
        <v>5008</v>
      </c>
      <c r="B480" s="37" t="s">
        <v>543</v>
      </c>
      <c r="C480" s="37" t="s">
        <v>1287</v>
      </c>
      <c r="D480" s="37"/>
      <c r="E480" s="37"/>
      <c r="F480" s="34" t="str">
        <f>IF(ISBLANK(Table2[[#This Row],[unique_id]]), "", PROPER(SUBSTITUTE(Table2[[#This Row],[unique_id]], "_", " ")))</f>
        <v/>
      </c>
      <c r="G480" s="37"/>
      <c r="H480" s="37"/>
      <c r="I480" s="37"/>
      <c r="K480" s="37"/>
      <c r="L480" s="37"/>
      <c r="M480" s="37"/>
      <c r="O480" s="29"/>
      <c r="P480" s="28"/>
      <c r="T480" s="35"/>
      <c r="U480" s="35"/>
      <c r="V480" s="35"/>
      <c r="W480" s="28"/>
      <c r="Y480" s="29"/>
      <c r="Z480" s="29"/>
      <c r="AA480" s="29"/>
      <c r="AB480" s="29"/>
      <c r="AJ480" s="29"/>
      <c r="AK480" s="29"/>
      <c r="AV480" s="28"/>
      <c r="AW480" s="38"/>
      <c r="AY480" s="28" t="s">
        <v>1288</v>
      </c>
      <c r="AZ4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BA4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0" s="28" t="s">
        <v>1287</v>
      </c>
      <c r="BD480" s="28" t="str">
        <f>IF(ISBLANK(Table2[[#This Row],[device_model]]), "", Table2[[#This Row],[device_suggested_area]])</f>
        <v>Rack</v>
      </c>
      <c r="BE480" s="28" t="s">
        <v>970</v>
      </c>
      <c r="BF480" s="28" t="s">
        <v>1289</v>
      </c>
      <c r="BG480" s="28" t="s">
        <v>1287</v>
      </c>
      <c r="BI480" s="28" t="s">
        <v>1295</v>
      </c>
      <c r="BJ480" s="28" t="s">
        <v>28</v>
      </c>
      <c r="BO480" s="39"/>
      <c r="BP480" s="28" t="s">
        <v>1290</v>
      </c>
      <c r="BQ4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69" ht="16" customHeight="1" x14ac:dyDescent="0.2">
      <c r="A481" s="28">
        <v>5009</v>
      </c>
      <c r="B481" s="37" t="s">
        <v>543</v>
      </c>
      <c r="C481" s="37" t="s">
        <v>1291</v>
      </c>
      <c r="D481" s="37"/>
      <c r="E481" s="37"/>
      <c r="F481" s="34" t="str">
        <f>IF(ISBLANK(Table2[[#This Row],[unique_id]]), "", PROPER(SUBSTITUTE(Table2[[#This Row],[unique_id]], "_", " ")))</f>
        <v/>
      </c>
      <c r="G481" s="37"/>
      <c r="H481" s="37"/>
      <c r="I481" s="37"/>
      <c r="K481" s="37"/>
      <c r="L481" s="37"/>
      <c r="M481" s="37"/>
      <c r="O481" s="29"/>
      <c r="P481" s="28"/>
      <c r="T481" s="35"/>
      <c r="U481" s="35"/>
      <c r="V481" s="35"/>
      <c r="W481" s="28"/>
      <c r="Y481" s="29"/>
      <c r="Z481" s="29"/>
      <c r="AA481" s="29"/>
      <c r="AB481" s="29"/>
      <c r="AJ481" s="29"/>
      <c r="AK481" s="29"/>
      <c r="AV481" s="28"/>
      <c r="AW481" s="38"/>
      <c r="AY481" s="28" t="s">
        <v>1292</v>
      </c>
      <c r="AZ4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BA4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1" s="28" t="s">
        <v>1291</v>
      </c>
      <c r="BD481" s="28" t="str">
        <f>IF(ISBLANK(Table2[[#This Row],[device_model]]), "", Table2[[#This Row],[device_suggested_area]])</f>
        <v>Rack</v>
      </c>
      <c r="BE481" s="28" t="s">
        <v>1293</v>
      </c>
      <c r="BF481" s="28" t="s">
        <v>1294</v>
      </c>
      <c r="BG481" s="28" t="s">
        <v>1291</v>
      </c>
      <c r="BI481" s="28" t="s">
        <v>1295</v>
      </c>
      <c r="BJ481" s="28" t="s">
        <v>28</v>
      </c>
      <c r="BO481" s="39"/>
      <c r="BP481" s="28" t="s">
        <v>1296</v>
      </c>
      <c r="BQ4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69" ht="16" customHeight="1" x14ac:dyDescent="0.2">
      <c r="A482" s="28">
        <v>5010</v>
      </c>
      <c r="B482" s="37" t="s">
        <v>543</v>
      </c>
      <c r="C482" s="37" t="s">
        <v>358</v>
      </c>
      <c r="D482" s="37"/>
      <c r="E482" s="37"/>
      <c r="F482" s="34" t="str">
        <f>IF(ISBLANK(Table2[[#This Row],[unique_id]]), "", PROPER(SUBSTITUTE(Table2[[#This Row],[unique_id]], "_", " ")))</f>
        <v/>
      </c>
      <c r="G482" s="37"/>
      <c r="H482" s="37"/>
      <c r="I482" s="37"/>
      <c r="K482" s="37"/>
      <c r="L482" s="37"/>
      <c r="M482" s="37"/>
      <c r="O482" s="29"/>
      <c r="P482" s="28"/>
      <c r="T482" s="35"/>
      <c r="U482" s="35"/>
      <c r="V482" s="35"/>
      <c r="W482" s="28"/>
      <c r="Y482" s="29"/>
      <c r="Z482" s="29"/>
      <c r="AA482" s="29"/>
      <c r="AB482" s="29"/>
      <c r="AJ482" s="29"/>
      <c r="AK482" s="29"/>
      <c r="AV482" s="28"/>
      <c r="AW482" s="38"/>
      <c r="AY4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Z4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BA4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2" s="28" t="s">
        <v>975</v>
      </c>
      <c r="BD482" s="28" t="str">
        <f>IF(ISBLANK(Table2[[#This Row],[device_model]]), "", Table2[[#This Row],[device_suggested_area]])</f>
        <v>Rack</v>
      </c>
      <c r="BE482" s="28" t="s">
        <v>358</v>
      </c>
      <c r="BF482" s="28" t="s">
        <v>359</v>
      </c>
      <c r="BG482" s="28" t="s">
        <v>361</v>
      </c>
      <c r="BI482" s="28" t="s">
        <v>360</v>
      </c>
      <c r="BJ482" s="28" t="s">
        <v>28</v>
      </c>
      <c r="BN482" s="28" t="s">
        <v>1185</v>
      </c>
      <c r="BO482" s="39" t="s">
        <v>403</v>
      </c>
      <c r="BP482" s="28" t="s">
        <v>1203</v>
      </c>
      <c r="BQ4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69" ht="16" customHeight="1" x14ac:dyDescent="0.2">
      <c r="A483" s="28">
        <v>5011</v>
      </c>
      <c r="B483" s="37" t="s">
        <v>26</v>
      </c>
      <c r="C483" s="37" t="s">
        <v>349</v>
      </c>
      <c r="D483" s="37"/>
      <c r="E483" s="37"/>
      <c r="F483" s="28" t="str">
        <f>IF(ISBLANK(Table2[[#This Row],[unique_id]]), "", PROPER(SUBSTITUTE(Table2[[#This Row],[unique_id]], "_", " ")))</f>
        <v/>
      </c>
      <c r="G483" s="37"/>
      <c r="H483" s="37"/>
      <c r="I483" s="37"/>
      <c r="K483" s="37"/>
      <c r="M483" s="37"/>
      <c r="O483" s="29"/>
      <c r="P483" s="28"/>
      <c r="T483" s="35"/>
      <c r="U483" s="35"/>
      <c r="V483" s="35"/>
      <c r="W483" s="28"/>
      <c r="Y483" s="29"/>
      <c r="Z483" s="29"/>
      <c r="AA483" s="29"/>
      <c r="AB483" s="29"/>
      <c r="AJ483" s="29"/>
      <c r="AK483" s="29"/>
      <c r="AM483" s="28" t="str">
        <f t="shared" ref="AM483:AM488" si="3">IF(ISBLANK(AL483),  "", _xlfn.CONCAT("haas/entity/sensor/", LOWER(C483), "/", E483, "/config"))</f>
        <v/>
      </c>
      <c r="AN483" s="28" t="str">
        <f t="shared" ref="AN483:AN488" si="4">IF(ISBLANK(AL483),  "", _xlfn.CONCAT(LOWER(C483), "/", E483))</f>
        <v/>
      </c>
      <c r="AV483" s="28"/>
      <c r="AW483" s="38"/>
      <c r="AX483" s="38"/>
      <c r="AY4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Z4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BA4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3" s="28" t="s">
        <v>1002</v>
      </c>
      <c r="BD483" s="28" t="str">
        <f>IF(ISBLANK(Table2[[#This Row],[device_model]]), "", Table2[[#This Row],[device_suggested_area]])</f>
        <v>Wardrobe</v>
      </c>
      <c r="BE483" s="28" t="s">
        <v>1377</v>
      </c>
      <c r="BF483" s="28" t="s">
        <v>981</v>
      </c>
      <c r="BG483" s="28" t="s">
        <v>518</v>
      </c>
      <c r="BI483" s="60" t="s">
        <v>1381</v>
      </c>
      <c r="BJ483" s="28" t="s">
        <v>460</v>
      </c>
      <c r="BN483" s="28" t="s">
        <v>372</v>
      </c>
      <c r="BO483" s="28" t="s">
        <v>517</v>
      </c>
      <c r="BP483" s="28" t="s">
        <v>1178</v>
      </c>
      <c r="BQ4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69" ht="16" customHeight="1" x14ac:dyDescent="0.2">
      <c r="A484" s="28">
        <v>5012</v>
      </c>
      <c r="B484" s="37" t="s">
        <v>543</v>
      </c>
      <c r="C484" s="37" t="s">
        <v>349</v>
      </c>
      <c r="D484" s="37"/>
      <c r="E484" s="37"/>
      <c r="F484" s="28" t="str">
        <f>IF(ISBLANK(Table2[[#This Row],[unique_id]]), "", PROPER(SUBSTITUTE(Table2[[#This Row],[unique_id]], "_", " ")))</f>
        <v/>
      </c>
      <c r="G484" s="37"/>
      <c r="H484" s="37"/>
      <c r="I484" s="37"/>
      <c r="K484" s="37"/>
      <c r="M484" s="37"/>
      <c r="O484" s="29"/>
      <c r="P484" s="28"/>
      <c r="T484" s="35"/>
      <c r="U484" s="35"/>
      <c r="V484" s="35"/>
      <c r="W484" s="28"/>
      <c r="Y484" s="29"/>
      <c r="Z484" s="29"/>
      <c r="AA484" s="29"/>
      <c r="AB484" s="29"/>
      <c r="AJ484" s="29"/>
      <c r="AK484" s="29"/>
      <c r="AM484" s="28" t="str">
        <f t="shared" si="3"/>
        <v/>
      </c>
      <c r="AN484" s="28" t="str">
        <f t="shared" si="4"/>
        <v/>
      </c>
      <c r="AV484" s="28"/>
      <c r="AW484" s="38"/>
      <c r="AX484" s="38"/>
      <c r="AY4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Z4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BA4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4" s="28" t="s">
        <v>1002</v>
      </c>
      <c r="BD484" s="28" t="str">
        <f>IF(ISBLANK(Table2[[#This Row],[device_model]]), "", Table2[[#This Row],[device_suggested_area]])</f>
        <v>Guildford</v>
      </c>
      <c r="BE484" s="28" t="s">
        <v>1379</v>
      </c>
      <c r="BF484" s="28" t="s">
        <v>1380</v>
      </c>
      <c r="BG484" s="28" t="s">
        <v>518</v>
      </c>
      <c r="BI484" s="60" t="s">
        <v>1381</v>
      </c>
      <c r="BJ484" s="28" t="s">
        <v>1378</v>
      </c>
      <c r="BO484" s="28" t="s">
        <v>1385</v>
      </c>
      <c r="BQ4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69" ht="16" customHeight="1" x14ac:dyDescent="0.2">
      <c r="A485" s="28">
        <v>5013</v>
      </c>
      <c r="B485" s="37" t="s">
        <v>26</v>
      </c>
      <c r="C485" s="37" t="s">
        <v>349</v>
      </c>
      <c r="D485" s="37"/>
      <c r="E485" s="37"/>
      <c r="F485" s="28" t="str">
        <f>IF(ISBLANK(Table2[[#This Row],[unique_id]]), "", PROPER(SUBSTITUTE(Table2[[#This Row],[unique_id]], "_", " ")))</f>
        <v/>
      </c>
      <c r="G485" s="37"/>
      <c r="H485" s="37"/>
      <c r="I485" s="37"/>
      <c r="K485" s="37"/>
      <c r="M485" s="37"/>
      <c r="O485" s="29"/>
      <c r="P485" s="28"/>
      <c r="T485" s="35"/>
      <c r="U485" s="35"/>
      <c r="V485" s="35"/>
      <c r="W485" s="28"/>
      <c r="Y485" s="29"/>
      <c r="Z485" s="29"/>
      <c r="AA485" s="29"/>
      <c r="AB485" s="29"/>
      <c r="AJ485" s="29"/>
      <c r="AK485" s="29"/>
      <c r="AM485" s="28" t="str">
        <f t="shared" si="3"/>
        <v/>
      </c>
      <c r="AN485" s="28" t="str">
        <f t="shared" si="4"/>
        <v/>
      </c>
      <c r="AV485" s="28"/>
      <c r="AW485" s="38"/>
      <c r="AX485" s="38"/>
      <c r="AY4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Z4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BA4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5" s="28" t="s">
        <v>1001</v>
      </c>
      <c r="BD485" s="28" t="str">
        <f>IF(ISBLANK(Table2[[#This Row],[device_model]]), "", Table2[[#This Row],[device_suggested_area]])</f>
        <v>Rack</v>
      </c>
      <c r="BE485" s="28" t="s">
        <v>1382</v>
      </c>
      <c r="BF485" s="28" t="s">
        <v>1383</v>
      </c>
      <c r="BG485" s="28" t="s">
        <v>251</v>
      </c>
      <c r="BI485" s="60" t="s">
        <v>1387</v>
      </c>
      <c r="BJ485" s="28" t="s">
        <v>28</v>
      </c>
      <c r="BN485" s="28" t="s">
        <v>372</v>
      </c>
      <c r="BO485" s="39" t="s">
        <v>1386</v>
      </c>
      <c r="BP485" s="28" t="s">
        <v>1174</v>
      </c>
      <c r="BQ4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69" ht="16" customHeight="1" x14ac:dyDescent="0.2">
      <c r="A486" s="28">
        <v>5014</v>
      </c>
      <c r="B486" s="37" t="s">
        <v>26</v>
      </c>
      <c r="C486" s="37" t="s">
        <v>349</v>
      </c>
      <c r="D486" s="37"/>
      <c r="E486" s="37"/>
      <c r="F486" s="28" t="str">
        <f>IF(ISBLANK(Table2[[#This Row],[unique_id]]), "", PROPER(SUBSTITUTE(Table2[[#This Row],[unique_id]], "_", " ")))</f>
        <v/>
      </c>
      <c r="G486" s="37"/>
      <c r="H486" s="37"/>
      <c r="I486" s="37"/>
      <c r="K486" s="37"/>
      <c r="M486" s="37"/>
      <c r="O486" s="29"/>
      <c r="P486" s="28"/>
      <c r="T486" s="35"/>
      <c r="U486" s="35"/>
      <c r="V486" s="35"/>
      <c r="W486" s="28"/>
      <c r="Y486" s="29"/>
      <c r="Z486" s="29"/>
      <c r="AA486" s="29"/>
      <c r="AB486" s="29"/>
      <c r="AJ486" s="29"/>
      <c r="AK486" s="29"/>
      <c r="AM486" s="28" t="str">
        <f t="shared" si="3"/>
        <v/>
      </c>
      <c r="AN486" s="28" t="str">
        <f t="shared" si="4"/>
        <v/>
      </c>
      <c r="AV486" s="28"/>
      <c r="AW486" s="38"/>
      <c r="AX486" s="38"/>
      <c r="AY4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Z4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BA4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6" s="28" t="s">
        <v>1001</v>
      </c>
      <c r="BD486" s="28" t="str">
        <f>IF(ISBLANK(Table2[[#This Row],[device_model]]), "", Table2[[#This Row],[device_suggested_area]])</f>
        <v>Rack</v>
      </c>
      <c r="BE486" s="28" t="s">
        <v>1384</v>
      </c>
      <c r="BF486" s="28" t="s">
        <v>979</v>
      </c>
      <c r="BG486" s="28" t="s">
        <v>251</v>
      </c>
      <c r="BI486" s="60" t="s">
        <v>1391</v>
      </c>
      <c r="BJ486" s="28" t="s">
        <v>28</v>
      </c>
      <c r="BN486" s="28" t="s">
        <v>372</v>
      </c>
      <c r="BO486" s="44" t="s">
        <v>1392</v>
      </c>
      <c r="BP486" s="28" t="s">
        <v>1175</v>
      </c>
      <c r="BQ4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69" ht="16" customHeight="1" x14ac:dyDescent="0.2">
      <c r="A487" s="28">
        <v>5015</v>
      </c>
      <c r="B487" s="37" t="s">
        <v>26</v>
      </c>
      <c r="C487" s="37" t="s">
        <v>349</v>
      </c>
      <c r="D487" s="37"/>
      <c r="E487" s="37"/>
      <c r="F487" s="28" t="str">
        <f>IF(ISBLANK(Table2[[#This Row],[unique_id]]), "", PROPER(SUBSTITUTE(Table2[[#This Row],[unique_id]], "_", " ")))</f>
        <v/>
      </c>
      <c r="G487" s="37"/>
      <c r="H487" s="37"/>
      <c r="I487" s="37"/>
      <c r="K487" s="37"/>
      <c r="M487" s="37"/>
      <c r="O487" s="29"/>
      <c r="P487" s="28"/>
      <c r="T487" s="35"/>
      <c r="U487" s="35"/>
      <c r="V487" s="35"/>
      <c r="W487" s="28"/>
      <c r="Y487" s="29"/>
      <c r="Z487" s="29"/>
      <c r="AA487" s="29"/>
      <c r="AB487" s="29"/>
      <c r="AJ487" s="29"/>
      <c r="AK487" s="29"/>
      <c r="AM487" s="28" t="str">
        <f t="shared" si="3"/>
        <v/>
      </c>
      <c r="AN487" s="28" t="str">
        <f t="shared" si="4"/>
        <v/>
      </c>
      <c r="AV487" s="28"/>
      <c r="AW487" s="38"/>
      <c r="AX487" s="38"/>
      <c r="AY4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Z4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BA4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7" s="28" t="s">
        <v>1001</v>
      </c>
      <c r="BD487" s="28" t="str">
        <f>IF(ISBLANK(Table2[[#This Row],[device_model]]), "", Table2[[#This Row],[device_suggested_area]])</f>
        <v>Rack</v>
      </c>
      <c r="BE487" s="28" t="s">
        <v>1366</v>
      </c>
      <c r="BF487" s="28" t="s">
        <v>979</v>
      </c>
      <c r="BG487" s="28" t="s">
        <v>251</v>
      </c>
      <c r="BI487" s="60" t="s">
        <v>1381</v>
      </c>
      <c r="BJ487" s="28" t="s">
        <v>28</v>
      </c>
      <c r="BN487" s="28" t="s">
        <v>372</v>
      </c>
      <c r="BO487" s="44" t="s">
        <v>1253</v>
      </c>
      <c r="BP487" s="28" t="s">
        <v>1176</v>
      </c>
      <c r="BQ4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69" ht="16" customHeight="1" x14ac:dyDescent="0.2">
      <c r="A488" s="28">
        <v>5016</v>
      </c>
      <c r="B488" s="37" t="s">
        <v>26</v>
      </c>
      <c r="C488" s="37" t="s">
        <v>349</v>
      </c>
      <c r="D488" s="37"/>
      <c r="E488" s="37"/>
      <c r="F488" s="28" t="str">
        <f>IF(ISBLANK(Table2[[#This Row],[unique_id]]), "", PROPER(SUBSTITUTE(Table2[[#This Row],[unique_id]], "_", " ")))</f>
        <v/>
      </c>
      <c r="G488" s="37"/>
      <c r="H488" s="37"/>
      <c r="I488" s="37"/>
      <c r="K488" s="37"/>
      <c r="M488" s="37"/>
      <c r="O488" s="29"/>
      <c r="P488" s="28"/>
      <c r="T488" s="35"/>
      <c r="U488" s="35"/>
      <c r="V488" s="35"/>
      <c r="W488" s="28"/>
      <c r="Y488" s="29"/>
      <c r="Z488" s="29"/>
      <c r="AA488" s="29"/>
      <c r="AB488" s="29"/>
      <c r="AJ488" s="29"/>
      <c r="AK488" s="29"/>
      <c r="AM488" s="28" t="str">
        <f t="shared" si="3"/>
        <v/>
      </c>
      <c r="AN488" s="28" t="str">
        <f t="shared" si="4"/>
        <v/>
      </c>
      <c r="AV488" s="28"/>
      <c r="AW488" s="38"/>
      <c r="AX488" s="38"/>
      <c r="AY4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Z4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BA4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8" s="28" t="s">
        <v>1001</v>
      </c>
      <c r="BD488" s="28" t="str">
        <f>IF(ISBLANK(Table2[[#This Row],[device_model]]), "", Table2[[#This Row],[device_suggested_area]])</f>
        <v>Rack</v>
      </c>
      <c r="BE488" s="28" t="s">
        <v>980</v>
      </c>
      <c r="BF488" s="28" t="s">
        <v>979</v>
      </c>
      <c r="BG488" s="28" t="s">
        <v>251</v>
      </c>
      <c r="BI488" s="60" t="s">
        <v>1381</v>
      </c>
      <c r="BJ488" s="28" t="s">
        <v>28</v>
      </c>
      <c r="BN488" s="28" t="s">
        <v>372</v>
      </c>
      <c r="BO488" s="28" t="s">
        <v>551</v>
      </c>
      <c r="BP488" s="28" t="s">
        <v>1177</v>
      </c>
      <c r="BQ4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69" ht="16" customHeight="1" x14ac:dyDescent="0.2">
      <c r="A489" s="28">
        <v>5017</v>
      </c>
      <c r="B489" s="28" t="s">
        <v>26</v>
      </c>
      <c r="C489" s="28" t="s">
        <v>353</v>
      </c>
      <c r="E489" s="37"/>
      <c r="F489" s="34" t="str">
        <f>IF(ISBLANK(Table2[[#This Row],[unique_id]]), "", PROPER(SUBSTITUTE(Table2[[#This Row],[unique_id]], "_", " ")))</f>
        <v/>
      </c>
      <c r="I489" s="37"/>
      <c r="O489" s="29"/>
      <c r="P489" s="28"/>
      <c r="T489" s="35"/>
      <c r="U489" s="35"/>
      <c r="V489" s="35"/>
      <c r="W489" s="28"/>
      <c r="Y489" s="29"/>
      <c r="Z489" s="29"/>
      <c r="AA489" s="29"/>
      <c r="AB489" s="29"/>
      <c r="AJ489" s="29"/>
      <c r="AK489" s="29"/>
      <c r="AV489" s="28"/>
      <c r="AW489" s="38"/>
      <c r="AY4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Z4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BA4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9" s="28" t="s">
        <v>351</v>
      </c>
      <c r="BD489" s="28" t="str">
        <f>IF(ISBLANK(Table2[[#This Row],[device_model]]), "", Table2[[#This Row],[device_suggested_area]])</f>
        <v>Rack</v>
      </c>
      <c r="BE489" s="28" t="s">
        <v>353</v>
      </c>
      <c r="BF489" s="28" t="s">
        <v>352</v>
      </c>
      <c r="BG489" s="28" t="s">
        <v>351</v>
      </c>
      <c r="BI489" s="28" t="s">
        <v>724</v>
      </c>
      <c r="BJ489" s="28" t="s">
        <v>28</v>
      </c>
      <c r="BN489" s="28" t="s">
        <v>1186</v>
      </c>
      <c r="BO489" s="28" t="s">
        <v>350</v>
      </c>
      <c r="BP489" s="28" t="s">
        <v>1243</v>
      </c>
      <c r="BQ4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69" ht="16" customHeight="1" x14ac:dyDescent="0.2">
      <c r="A490" s="28">
        <v>5018</v>
      </c>
      <c r="B490" s="28" t="s">
        <v>26</v>
      </c>
      <c r="C490" s="28" t="s">
        <v>425</v>
      </c>
      <c r="E490" s="37"/>
      <c r="F490" s="34" t="str">
        <f>IF(ISBLANK(Table2[[#This Row],[unique_id]]), "", PROPER(SUBSTITUTE(Table2[[#This Row],[unique_id]], "_", " ")))</f>
        <v/>
      </c>
      <c r="I490" s="37"/>
      <c r="O490" s="29"/>
      <c r="P490" s="28"/>
      <c r="T490" s="35"/>
      <c r="U490" s="35"/>
      <c r="V490" s="35"/>
      <c r="W490" s="28"/>
      <c r="Y490" s="29"/>
      <c r="Z490" s="29" t="s">
        <v>455</v>
      </c>
      <c r="AA490" s="29"/>
      <c r="AB490" s="40" t="s">
        <v>704</v>
      </c>
      <c r="AC490" s="40"/>
      <c r="AD490" s="40"/>
      <c r="AJ490" s="29"/>
      <c r="AK490" s="29"/>
      <c r="AV490" s="28"/>
      <c r="AW49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X490" s="35"/>
      <c r="AY4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Z4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BA4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90" s="35" t="str">
        <f>Table2[[#This Row],[device_suggested_area]]</f>
        <v>Home</v>
      </c>
      <c r="BD490" s="28" t="str">
        <f>IF(ISBLANK(Table2[[#This Row],[device_model]]), "", Table2[[#This Row],[device_suggested_area]])</f>
        <v>Home</v>
      </c>
      <c r="BE490" s="35" t="s">
        <v>977</v>
      </c>
      <c r="BF490" s="35" t="s">
        <v>447</v>
      </c>
      <c r="BG490" s="28" t="s">
        <v>425</v>
      </c>
      <c r="BI490" s="35" t="s">
        <v>448</v>
      </c>
      <c r="BJ490" s="28" t="s">
        <v>155</v>
      </c>
      <c r="BO490" s="28" t="s">
        <v>446</v>
      </c>
      <c r="BQ4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2026-10-07T05:01:32Z</dcterms:modified>
</cp:coreProperties>
</file>