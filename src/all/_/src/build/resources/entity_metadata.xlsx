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84B2CBAC-34ED-F04C-96F9-9C66AE30E6A7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01" i="1" l="1"/>
  <c r="BA301" i="1"/>
  <c r="AW301" i="1" s="1"/>
  <c r="AV301" i="1" s="1"/>
  <c r="AM301" i="1"/>
  <c r="AL301" i="1"/>
  <c r="AK301" i="1"/>
  <c r="AJ301" i="1"/>
  <c r="F301" i="1"/>
  <c r="BN337" i="1"/>
  <c r="BA337" i="1"/>
  <c r="AW337" i="1"/>
  <c r="AV337" i="1" s="1"/>
  <c r="AK337" i="1"/>
  <c r="AJ337" i="1"/>
  <c r="F337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5" i="1"/>
  <c r="AM313" i="1"/>
  <c r="AM26" i="1"/>
  <c r="AK26" i="1"/>
  <c r="AK313" i="1"/>
  <c r="AK315" i="1"/>
  <c r="AL315" i="1"/>
  <c r="AL313" i="1"/>
  <c r="AL26" i="1"/>
  <c r="AR315" i="1"/>
  <c r="AR313" i="1"/>
  <c r="AR26" i="1"/>
  <c r="AM327" i="1"/>
  <c r="AM323" i="1"/>
  <c r="AM321" i="1"/>
  <c r="AM319" i="1"/>
  <c r="AM317" i="1"/>
  <c r="AK327" i="1"/>
  <c r="AK323" i="1"/>
  <c r="AK321" i="1"/>
  <c r="AK319" i="1"/>
  <c r="AK317" i="1"/>
  <c r="AJ327" i="1"/>
  <c r="AJ323" i="1"/>
  <c r="AJ321" i="1"/>
  <c r="AJ319" i="1"/>
  <c r="AJ317" i="1"/>
  <c r="AJ310" i="1"/>
  <c r="AJ309" i="1"/>
  <c r="AJ308" i="1"/>
  <c r="AJ292" i="1"/>
  <c r="AJ307" i="1"/>
  <c r="AJ306" i="1"/>
  <c r="AJ298" i="1"/>
  <c r="AJ305" i="1"/>
  <c r="AJ294" i="1"/>
  <c r="AJ303" i="1"/>
  <c r="AJ302" i="1"/>
  <c r="AJ300" i="1"/>
  <c r="AJ304" i="1"/>
  <c r="AJ299" i="1"/>
  <c r="AJ297" i="1"/>
  <c r="AJ296" i="1"/>
  <c r="AJ295" i="1"/>
  <c r="AJ293" i="1"/>
  <c r="AJ291" i="1"/>
  <c r="AL310" i="1"/>
  <c r="AL309" i="1"/>
  <c r="AL308" i="1"/>
  <c r="AL292" i="1"/>
  <c r="AL307" i="1"/>
  <c r="AL306" i="1"/>
  <c r="AL298" i="1"/>
  <c r="AL305" i="1"/>
  <c r="AL294" i="1"/>
  <c r="AL303" i="1"/>
  <c r="AL302" i="1"/>
  <c r="AL300" i="1"/>
  <c r="AL304" i="1"/>
  <c r="AL299" i="1"/>
  <c r="AL297" i="1"/>
  <c r="AL296" i="1"/>
  <c r="AL295" i="1"/>
  <c r="AL293" i="1"/>
  <c r="AL291" i="1"/>
  <c r="BN329" i="1"/>
  <c r="BA329" i="1"/>
  <c r="AW329" i="1"/>
  <c r="AX329" i="1" s="1"/>
  <c r="AV329" i="1"/>
  <c r="F329" i="1"/>
  <c r="BN290" i="1"/>
  <c r="BA290" i="1"/>
  <c r="AW290" i="1"/>
  <c r="AV290" i="1"/>
  <c r="F290" i="1"/>
  <c r="BN311" i="1"/>
  <c r="BA311" i="1"/>
  <c r="AW311" i="1"/>
  <c r="AX311" i="1" s="1"/>
  <c r="AV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292" i="1"/>
  <c r="BA292" i="1"/>
  <c r="AW292" i="1" s="1"/>
  <c r="AM292" i="1"/>
  <c r="AK292" i="1"/>
  <c r="F292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8" i="1"/>
  <c r="BA298" i="1"/>
  <c r="AW298" i="1" s="1"/>
  <c r="AM298" i="1"/>
  <c r="AK298" i="1"/>
  <c r="F298" i="1"/>
  <c r="BN305" i="1"/>
  <c r="BA305" i="1"/>
  <c r="AW305" i="1" s="1"/>
  <c r="AM305" i="1"/>
  <c r="AK305" i="1"/>
  <c r="F305" i="1"/>
  <c r="BN294" i="1"/>
  <c r="BA294" i="1"/>
  <c r="AW294" i="1" s="1"/>
  <c r="AM294" i="1"/>
  <c r="AK294" i="1"/>
  <c r="F29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0" i="1"/>
  <c r="BA320" i="1"/>
  <c r="AX320" i="1"/>
  <c r="AK320" i="1"/>
  <c r="AJ320" i="1"/>
  <c r="F320" i="1"/>
  <c r="AY320" i="1" s="1"/>
  <c r="BN319" i="1"/>
  <c r="BA319" i="1"/>
  <c r="AW319" i="1" s="1"/>
  <c r="AV319" i="1" s="1"/>
  <c r="F319" i="1"/>
  <c r="BN318" i="1"/>
  <c r="BA318" i="1"/>
  <c r="AX318" i="1"/>
  <c r="AK318" i="1"/>
  <c r="AJ318" i="1"/>
  <c r="F318" i="1"/>
  <c r="AY318" i="1" s="1"/>
  <c r="BN317" i="1"/>
  <c r="BA317" i="1"/>
  <c r="AW317" i="1" s="1"/>
  <c r="AV317" i="1" s="1"/>
  <c r="F317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2" i="1"/>
  <c r="BA322" i="1"/>
  <c r="AX322" i="1"/>
  <c r="AK322" i="1"/>
  <c r="AJ322" i="1"/>
  <c r="F322" i="1"/>
  <c r="AY322" i="1" s="1"/>
  <c r="BN321" i="1"/>
  <c r="BA321" i="1"/>
  <c r="AW321" i="1" s="1"/>
  <c r="AV321" i="1" s="1"/>
  <c r="F321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2" i="1"/>
  <c r="AX314" i="1"/>
  <c r="AX316" i="1"/>
  <c r="AX324" i="1"/>
  <c r="AX325" i="1"/>
  <c r="AX326" i="1"/>
  <c r="AX32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2" i="1"/>
  <c r="F313" i="1"/>
  <c r="F314" i="1"/>
  <c r="F315" i="1"/>
  <c r="F316" i="1"/>
  <c r="F323" i="1"/>
  <c r="F324" i="1"/>
  <c r="AY324" i="1" s="1"/>
  <c r="F325" i="1"/>
  <c r="AY325" i="1" s="1"/>
  <c r="F326" i="1"/>
  <c r="F327" i="1"/>
  <c r="F328" i="1"/>
  <c r="F330" i="1"/>
  <c r="F331" i="1"/>
  <c r="F332" i="1"/>
  <c r="F333" i="1"/>
  <c r="F334" i="1"/>
  <c r="F335" i="1"/>
  <c r="F336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6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5" i="1"/>
  <c r="AJ313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5" i="1"/>
  <c r="BA325" i="1"/>
  <c r="AK325" i="1"/>
  <c r="AJ325" i="1"/>
  <c r="AJ326" i="1"/>
  <c r="AK326" i="1"/>
  <c r="BA326" i="1"/>
  <c r="BN326" i="1"/>
  <c r="AJ312" i="1"/>
  <c r="AK312" i="1"/>
  <c r="BA312" i="1"/>
  <c r="BN312" i="1"/>
  <c r="BN316" i="1"/>
  <c r="BA316" i="1"/>
  <c r="AK316" i="1"/>
  <c r="AJ316" i="1"/>
  <c r="BN315" i="1"/>
  <c r="BA315" i="1"/>
  <c r="AW315" i="1" s="1"/>
  <c r="AV315" i="1" s="1"/>
  <c r="BN314" i="1"/>
  <c r="BA314" i="1"/>
  <c r="AK314" i="1"/>
  <c r="AJ314" i="1"/>
  <c r="BN313" i="1"/>
  <c r="BA313" i="1"/>
  <c r="AW313" i="1" s="1"/>
  <c r="AV313" i="1" s="1"/>
  <c r="AJ324" i="1"/>
  <c r="AK324" i="1"/>
  <c r="BA324" i="1"/>
  <c r="BN324" i="1"/>
  <c r="AJ328" i="1"/>
  <c r="AK328" i="1"/>
  <c r="BA328" i="1"/>
  <c r="BN328" i="1"/>
  <c r="AR54" i="1"/>
  <c r="AR44" i="1"/>
  <c r="BN323" i="1"/>
  <c r="BA323" i="1"/>
  <c r="AW323" i="1" s="1"/>
  <c r="AV323" i="1" s="1"/>
  <c r="BA327" i="1"/>
  <c r="AW327" i="1" s="1"/>
  <c r="AV327" i="1" s="1"/>
  <c r="BN327" i="1"/>
  <c r="BN291" i="1"/>
  <c r="AR77" i="1"/>
  <c r="AR76" i="1"/>
  <c r="AR75" i="1"/>
  <c r="AR74" i="1"/>
  <c r="AR73" i="1"/>
  <c r="AR72" i="1"/>
  <c r="AY301" i="1" l="1"/>
  <c r="AX301" i="1"/>
  <c r="AX337" i="1"/>
  <c r="AY337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9" i="1"/>
  <c r="AX317" i="1"/>
  <c r="AY329" i="1"/>
  <c r="AY311" i="1"/>
  <c r="AY290" i="1"/>
  <c r="AX290" i="1"/>
  <c r="AX294" i="1"/>
  <c r="AX306" i="1"/>
  <c r="AX299" i="1"/>
  <c r="AX302" i="1"/>
  <c r="AX309" i="1"/>
  <c r="AX296" i="1"/>
  <c r="AX298" i="1"/>
  <c r="AY299" i="1"/>
  <c r="AY298" i="1"/>
  <c r="AY296" i="1"/>
  <c r="AY304" i="1"/>
  <c r="AY307" i="1"/>
  <c r="AX300" i="1"/>
  <c r="AY302" i="1"/>
  <c r="AX292" i="1"/>
  <c r="AY309" i="1"/>
  <c r="AY295" i="1"/>
  <c r="AY294" i="1"/>
  <c r="AV296" i="1"/>
  <c r="AX295" i="1"/>
  <c r="AY300" i="1"/>
  <c r="AY292" i="1"/>
  <c r="AY297" i="1"/>
  <c r="AY303" i="1"/>
  <c r="AX308" i="1"/>
  <c r="AY310" i="1"/>
  <c r="AX293" i="1"/>
  <c r="AY305" i="1"/>
  <c r="AX303" i="1"/>
  <c r="AX310" i="1"/>
  <c r="AX297" i="1"/>
  <c r="AX305" i="1"/>
  <c r="AY306" i="1"/>
  <c r="AY293" i="1"/>
  <c r="AX304" i="1"/>
  <c r="AX307" i="1"/>
  <c r="AY308" i="1"/>
  <c r="AV299" i="1"/>
  <c r="AV304" i="1"/>
  <c r="AV300" i="1"/>
  <c r="AV302" i="1"/>
  <c r="AV303" i="1"/>
  <c r="AV294" i="1"/>
  <c r="AV305" i="1"/>
  <c r="AV298" i="1"/>
  <c r="AV306" i="1"/>
  <c r="AV307" i="1"/>
  <c r="AV292" i="1"/>
  <c r="AV308" i="1"/>
  <c r="AV309" i="1"/>
  <c r="AV310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19" i="1"/>
  <c r="AY317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1" i="1"/>
  <c r="AY321" i="1"/>
  <c r="AY479" i="1"/>
  <c r="AV479" i="1"/>
  <c r="AV478" i="1"/>
  <c r="AY478" i="1"/>
  <c r="AY41" i="1"/>
  <c r="AY43" i="1"/>
  <c r="AX327" i="1"/>
  <c r="AX323" i="1"/>
  <c r="AX313" i="1"/>
  <c r="AX291" i="1"/>
  <c r="AX315" i="1"/>
  <c r="AY15" i="1"/>
  <c r="AY323" i="1"/>
  <c r="AY327" i="1"/>
  <c r="AY313" i="1"/>
  <c r="AY17" i="1"/>
  <c r="AY5" i="1"/>
  <c r="AY25" i="1"/>
  <c r="AY13" i="1"/>
  <c r="AY27" i="1"/>
  <c r="AY31" i="1"/>
  <c r="AY19" i="1"/>
  <c r="AY7" i="1"/>
  <c r="AY316" i="1"/>
  <c r="AY315" i="1"/>
  <c r="AY291" i="1"/>
  <c r="AY234" i="1"/>
  <c r="AY23" i="1"/>
  <c r="AY11" i="1"/>
  <c r="AY314" i="1"/>
  <c r="AY21" i="1"/>
  <c r="AY9" i="1"/>
  <c r="AY328" i="1"/>
  <c r="AY312" i="1"/>
  <c r="AY326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6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5" i="1"/>
  <c r="BA334" i="1"/>
  <c r="BA333" i="1"/>
  <c r="BA332" i="1"/>
  <c r="BA331" i="1"/>
  <c r="BA33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6" i="1"/>
  <c r="AW336" i="1" s="1"/>
  <c r="AX336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0" i="1"/>
  <c r="BN331" i="1"/>
  <c r="BN332" i="1"/>
  <c r="BN333" i="1"/>
  <c r="BN334" i="1"/>
  <c r="BN335" i="1"/>
  <c r="BN336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6" i="1"/>
  <c r="AY226" i="1"/>
  <c r="AV381" i="1"/>
  <c r="AV168" i="1"/>
  <c r="AY47" i="1"/>
  <c r="AV120" i="1"/>
  <c r="AY331" i="1"/>
  <c r="AY215" i="1"/>
  <c r="AY216" i="1"/>
  <c r="AY95" i="1"/>
  <c r="AY101" i="1"/>
  <c r="AY332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4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3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0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5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6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<sst xmlns="http://schemas.openxmlformats.org/spreadsheetml/2006/main" count="7736" uniqueCount="1526">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</sst>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>
    <filterColumn colId="2">
      <filters>
        <filter val="Tasmota"/>
      </filters>
    </filterColumn>
  </autoFilter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zoomScale="121" zoomScaleNormal="120" workbookViewId="0">
      <selection activeCell="E389" sqref="E38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hidden="1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hidden="1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hidden="1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hidden="1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hidden="1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hidden="1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1429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1524</v>
      </c>
      <c r="F300" s="30" t="str">
        <f>IF(ISBLANK(Table2[[#This Row],[unique_id]]), "", PROPER(SUBSTITUTE(Table2[[#This Row],[unique_id]], "_", " ")))</f>
        <v>Service Cloudflare</v>
      </c>
      <c r="G300" s="30" t="s">
        <v>1525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1472</v>
      </c>
      <c r="F301" s="30" t="str">
        <f>IF(ISBLANK(Table2[[#This Row],[unique_id]]), "", PROPER(SUBSTITUTE(Table2[[#This Row],[unique_id]], "_", " ")))</f>
        <v>Service Grafana</v>
      </c>
      <c r="G301" s="30" t="s">
        <v>1153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1473</v>
      </c>
      <c r="F302" s="30" t="str">
        <f>IF(ISBLANK(Table2[[#This Row],[unique_id]]), "", PROPER(SUBSTITUTE(Table2[[#This Row],[unique_id]], "_", " ")))</f>
        <v>Service Letsencrypt</v>
      </c>
      <c r="G302" s="30" t="s">
        <v>1488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1474</v>
      </c>
      <c r="F303" s="30" t="str">
        <f>IF(ISBLANK(Table2[[#This Row],[unique_id]]), "", PROPER(SUBSTITUTE(Table2[[#This Row],[unique_id]], "_", " ")))</f>
        <v>Service Sonarr</v>
      </c>
      <c r="G303" s="30" t="s">
        <v>1482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1498</v>
      </c>
      <c r="F304" s="30" t="str">
        <f>IF(ISBLANK(Table2[[#This Row],[unique_id]]), "", PROPER(SUBSTITUTE(Table2[[#This Row],[unique_id]], "_", " ")))</f>
        <v>Service Tempstat</v>
      </c>
      <c r="G304" s="30" t="s">
        <v>1494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1394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Homeassistant</v>
      </c>
      <c r="G305" s="30" t="s">
        <v>1157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1476</v>
      </c>
      <c r="F306" s="30" t="str">
        <f>IF(ISBLANK(Table2[[#This Row],[unique_id]]), "", PROPER(SUBSTITUTE(Table2[[#This Row],[unique_id]], "_", " ")))</f>
        <v>Service Mariadb</v>
      </c>
      <c r="G306" s="30" t="s">
        <v>1489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1477</v>
      </c>
      <c r="F307" s="30" t="str">
        <f>IF(ISBLANK(Table2[[#This Row],[unique_id]]), "", PROPER(SUBSTITUTE(Table2[[#This Row],[unique_id]], "_", " ")))</f>
        <v>Service Nginx</v>
      </c>
      <c r="G307" s="30" t="s">
        <v>1155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1479</v>
      </c>
      <c r="F308" s="30" t="str">
        <f>IF(ISBLANK(Table2[[#This Row],[unique_id]]), "", PROPER(SUBSTITUTE(Table2[[#This Row],[unique_id]], "_", " ")))</f>
        <v>Service Vernemq</v>
      </c>
      <c r="G308" s="30" t="s">
        <v>1490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1102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1480</v>
      </c>
      <c r="F309" s="30" t="str">
        <f>IF(ISBLANK(Table2[[#This Row],[unique_id]]), "", PROPER(SUBSTITUTE(Table2[[#This Row],[unique_id]], "_", " ")))</f>
        <v>Service Weewx</v>
      </c>
      <c r="G309" s="30" t="s">
        <v>39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1151</v>
      </c>
      <c r="D310" s="30" t="s">
        <v>133</v>
      </c>
      <c r="E310" s="30" t="s">
        <v>1481</v>
      </c>
      <c r="F310" s="30" t="str">
        <f>IF(ISBLANK(Table2[[#This Row],[unique_id]]), "", PROPER(SUBSTITUTE(Table2[[#This Row],[unique_id]], "_", " ")))</f>
        <v>Service Zigbee2Mqtt</v>
      </c>
      <c r="G310" s="30" t="s">
        <v>1491</v>
      </c>
      <c r="H310" s="30" t="s">
        <v>1501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1493</v>
      </c>
      <c r="AF310" s="30">
        <v>6</v>
      </c>
      <c r="AG310" s="31" t="s">
        <v>34</v>
      </c>
      <c r="AH310" s="31"/>
      <c r="AI310" s="30" t="s">
        <v>1397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1151</v>
      </c>
      <c r="BC310" s="30" t="s">
        <v>1464</v>
      </c>
      <c r="BD310" s="30" t="s">
        <v>1083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422</v>
      </c>
      <c r="D311" s="30" t="s">
        <v>315</v>
      </c>
      <c r="E311" s="30" t="s">
        <v>314</v>
      </c>
      <c r="F311" s="36" t="str">
        <f>IF(ISBLANK(Table2[[#This Row],[unique_id]]), "", PROPER(SUBSTITUTE(Table2[[#This Row],[unique_id]], "_", " ")))</f>
        <v>Column Break</v>
      </c>
      <c r="G311" s="30" t="s">
        <v>311</v>
      </c>
      <c r="H311" s="30" t="s">
        <v>1501</v>
      </c>
      <c r="I311" s="30" t="s">
        <v>273</v>
      </c>
      <c r="M311" s="30" t="s">
        <v>312</v>
      </c>
      <c r="N311" s="30" t="s">
        <v>313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G311" s="31"/>
      <c r="AH311" s="31"/>
      <c r="AR311" s="39"/>
      <c r="AT311" s="32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1162</v>
      </c>
      <c r="D312" s="30" t="s">
        <v>27</v>
      </c>
      <c r="E312" s="30" t="s">
        <v>1168</v>
      </c>
      <c r="F312" s="30" t="str">
        <f>IF(ISBLANK(Table2[[#This Row],[unique_id]]), "", PROPER(SUBSTITUTE(Table2[[#This Row],[unique_id]], "_", " ")))</f>
        <v>Template Utility Temperature Proxy</v>
      </c>
      <c r="G312" s="30" t="s">
        <v>1163</v>
      </c>
      <c r="H312" s="30" t="s">
        <v>1165</v>
      </c>
      <c r="I312" s="30" t="s">
        <v>273</v>
      </c>
      <c r="K312" s="30" t="s">
        <v>1133</v>
      </c>
      <c r="M312" s="30" t="s">
        <v>135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G312" s="31"/>
      <c r="AH312" s="31"/>
      <c r="AJ312" s="30" t="str">
        <f>IF(ISBLANK(AI312),  "", _xlfn.CONCAT("haas/entity/sensor/", LOWER(C312), "/", E312, "/config"))</f>
        <v/>
      </c>
      <c r="AK312" s="30" t="str">
        <f>IF(ISBLANK(AI312),  "", _xlfn.CONCAT(LOWER(C312), "/", E312))</f>
        <v/>
      </c>
      <c r="AR312" s="39"/>
      <c r="AT312" s="32"/>
      <c r="AU312" s="40"/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1080</v>
      </c>
      <c r="F313" s="36" t="str">
        <f>IF(ISBLANK(Table2[[#This Row],[unique_id]]), "", PROPER(SUBSTITUTE(Table2[[#This Row],[unique_id]], "_", " ")))</f>
        <v>Rack Top Temperature</v>
      </c>
      <c r="G313" s="30" t="s">
        <v>1082</v>
      </c>
      <c r="H313" s="30" t="s">
        <v>1165</v>
      </c>
      <c r="I313" s="30" t="s">
        <v>273</v>
      </c>
      <c r="K313" s="30" t="s">
        <v>1125</v>
      </c>
      <c r="O313" s="31"/>
      <c r="P313" s="30"/>
      <c r="T313" s="37"/>
      <c r="U313" s="30"/>
      <c r="V313" s="31" t="s">
        <v>1145</v>
      </c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F313" s="30">
        <v>300</v>
      </c>
      <c r="AG313" s="31" t="s">
        <v>34</v>
      </c>
      <c r="AH313" s="31"/>
      <c r="AI313" s="30" t="s">
        <v>1394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3" s="30" t="str">
        <f>IF(ISBLANK(Table2[[#This Row],[index]]),  "", _xlfn.CONCAT(LOWER(Table2[[#This Row],[device_via_device]]), "/data"))</f>
        <v>tempstat/data</v>
      </c>
      <c r="AL313" s="30" t="str">
        <f>IF(ISBLANK(Table2[[#This Row],[index]]), "", _xlfn.CONCAT(LOWER(Table2[[#This Row],[device_via_device]]), "/command"))</f>
        <v>tempstat/command</v>
      </c>
      <c r="AM313" s="30" t="str">
        <f>IF(ISBLANK(Table2[[#This Row],[index]]), "", _xlfn.CONCAT(LOWER(Table2[[#This Row],[device_via_device]]), "/status"))</f>
        <v>tempstat/status</v>
      </c>
      <c r="AR313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86</v>
      </c>
      <c r="BC313" s="30" t="s">
        <v>1496</v>
      </c>
      <c r="BD313" s="30" t="s">
        <v>1497</v>
      </c>
      <c r="BF313" s="30" t="s">
        <v>955</v>
      </c>
      <c r="BG313" s="30" t="s">
        <v>28</v>
      </c>
      <c r="BL313" s="30" t="s">
        <v>1101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4" spans="1:66" ht="16" hidden="1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1125</v>
      </c>
      <c r="F314" s="30" t="str">
        <f>IF(ISBLANK(Table2[[#This Row],[unique_id]]), "", PROPER(SUBSTITUTE(Table2[[#This Row],[unique_id]], "_", " ")))</f>
        <v>Compensation Sensor Rack Top Temperature</v>
      </c>
      <c r="G314" s="30" t="s">
        <v>1082</v>
      </c>
      <c r="H314" s="30" t="s">
        <v>1165</v>
      </c>
      <c r="I314" s="30" t="s">
        <v>273</v>
      </c>
      <c r="J314" s="30" t="s">
        <v>86</v>
      </c>
      <c r="M314" s="30" t="s">
        <v>135</v>
      </c>
      <c r="O314" s="31"/>
      <c r="P314" s="30"/>
      <c r="T314" s="37"/>
      <c r="U314" s="30" t="s">
        <v>418</v>
      </c>
      <c r="V314" s="31"/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G314" s="31"/>
      <c r="AH314" s="31"/>
      <c r="AJ314" s="30" t="str">
        <f>IF(ISBLANK(AI314),  "", _xlfn.CONCAT("haas/entity/sensor/", LOWER(C314), "/", E314, "/config"))</f>
        <v/>
      </c>
      <c r="AK314" s="30" t="str">
        <f>IF(ISBLANK(AI314),  "", _xlfn.CONCAT(LOWER(C314), "/", E314))</f>
        <v/>
      </c>
      <c r="AT314" s="32"/>
      <c r="AU314" s="40"/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/>
      </c>
      <c r="BF314" s="31"/>
      <c r="BG314" s="30" t="s">
        <v>28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1081</v>
      </c>
      <c r="F315" s="36" t="str">
        <f>IF(ISBLANK(Table2[[#This Row],[unique_id]]), "", PROPER(SUBSTITUTE(Table2[[#This Row],[unique_id]], "_", " ")))</f>
        <v>Rack Bottom Temperature</v>
      </c>
      <c r="G315" s="30" t="s">
        <v>1084</v>
      </c>
      <c r="H315" s="30" t="s">
        <v>1165</v>
      </c>
      <c r="I315" s="30" t="s">
        <v>273</v>
      </c>
      <c r="K315" s="30" t="s">
        <v>1126</v>
      </c>
      <c r="O315" s="31"/>
      <c r="P315" s="30"/>
      <c r="T315" s="37"/>
      <c r="U315" s="30"/>
      <c r="V315" s="31" t="s">
        <v>1145</v>
      </c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F315" s="30">
        <v>300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5" s="30" t="str">
        <f>IF(ISBLANK(Table2[[#This Row],[index]]),  "", _xlfn.CONCAT(LOWER(Table2[[#This Row],[device_via_device]]), "/data"))</f>
        <v>tempstat/data</v>
      </c>
      <c r="AL315" s="30" t="str">
        <f>IF(ISBLANK(Table2[[#This Row],[index]]), "", _xlfn.CONCAT(LOWER(Table2[[#This Row],[device_via_device]]), "/command"))</f>
        <v>tempstat/command</v>
      </c>
      <c r="AM315" s="30" t="str">
        <f>IF(ISBLANK(Table2[[#This Row],[index]]), "", _xlfn.CONCAT(LOWER(Table2[[#This Row],[device_via_device]]), "/status"))</f>
        <v>tempstat/status</v>
      </c>
      <c r="AR31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86</v>
      </c>
      <c r="BC315" s="30" t="s">
        <v>1496</v>
      </c>
      <c r="BD315" s="30" t="s">
        <v>1497</v>
      </c>
      <c r="BF315" s="30" t="s">
        <v>955</v>
      </c>
      <c r="BG315" s="30" t="s">
        <v>28</v>
      </c>
      <c r="BL315" s="30" t="s">
        <v>1100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6" spans="1:66" ht="16" hidden="1" customHeight="1" x14ac:dyDescent="0.2">
      <c r="A316" s="30">
        <v>2534</v>
      </c>
      <c r="B316" s="30" t="s">
        <v>26</v>
      </c>
      <c r="C316" s="30" t="s">
        <v>1494</v>
      </c>
      <c r="D316" s="30" t="s">
        <v>27</v>
      </c>
      <c r="E316" s="30" t="s">
        <v>1126</v>
      </c>
      <c r="F316" s="30" t="str">
        <f>IF(ISBLANK(Table2[[#This Row],[unique_id]]), "", PROPER(SUBSTITUTE(Table2[[#This Row],[unique_id]], "_", " ")))</f>
        <v>Compensation Sensor Rack Bottom Temperature</v>
      </c>
      <c r="G316" s="30" t="s">
        <v>1084</v>
      </c>
      <c r="H316" s="30" t="s">
        <v>1165</v>
      </c>
      <c r="I316" s="30" t="s">
        <v>273</v>
      </c>
      <c r="J316" s="30" t="s">
        <v>86</v>
      </c>
      <c r="M316" s="30" t="s">
        <v>135</v>
      </c>
      <c r="O316" s="31"/>
      <c r="P316" s="30"/>
      <c r="T316" s="37"/>
      <c r="U316" s="30" t="s">
        <v>418</v>
      </c>
      <c r="V316" s="31"/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G316" s="31"/>
      <c r="AH316" s="31"/>
      <c r="AJ316" s="30" t="str">
        <f>IF(ISBLANK(AI316),  "", _xlfn.CONCAT("haas/entity/sensor/", LOWER(C316), "/", E316, "/config"))</f>
        <v/>
      </c>
      <c r="AK316" s="30" t="str">
        <f>IF(ISBLANK(AI316),  "", _xlfn.CONCAT(LOWER(C316), "/", E316))</f>
        <v/>
      </c>
      <c r="AT316" s="32"/>
      <c r="AU316" s="40"/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1423</v>
      </c>
      <c r="F317" s="30" t="str">
        <f>IF(ISBLANK(Table2[[#This Row],[unique_id]]), "", PROPER(SUBSTITUTE(Table2[[#This Row],[unique_id]], "_", " ")))</f>
        <v>Host Mad Temperature</v>
      </c>
      <c r="G317" s="30" t="s">
        <v>1427</v>
      </c>
      <c r="H317" s="30" t="s">
        <v>1165</v>
      </c>
      <c r="I317" s="30" t="s">
        <v>273</v>
      </c>
      <c r="K317" s="30" t="s">
        <v>1424</v>
      </c>
      <c r="O317" s="31"/>
      <c r="P317" s="30"/>
      <c r="T317" s="37"/>
      <c r="U317" s="30"/>
      <c r="V317" s="31" t="s">
        <v>297</v>
      </c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F317" s="30">
        <v>5</v>
      </c>
      <c r="AG317" s="31" t="s">
        <v>34</v>
      </c>
      <c r="AH317" s="31"/>
      <c r="AI317" s="30" t="s">
        <v>1429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7" s="30" t="str">
        <f>IF(ISBLANK(Table2[[#This Row],[index]]),  "", _xlfn.CONCAT("supervisor/", Table2[[#This Row],[unique_id_device]], "/status"))</f>
        <v>supervisor/macmini-mad/status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1151</v>
      </c>
      <c r="BC317" s="30" t="s">
        <v>1464</v>
      </c>
      <c r="BD317" s="30" t="s">
        <v>1083</v>
      </c>
      <c r="BF317" s="30" t="s">
        <v>955</v>
      </c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1424</v>
      </c>
      <c r="F318" s="30" t="str">
        <f>IF(ISBLANK(Table2[[#This Row],[unique_id]]), "", PROPER(SUBSTITUTE(Table2[[#This Row],[unique_id]], "_", " ")))</f>
        <v>Compensation Sensor Host Mad Temperature</v>
      </c>
      <c r="G318" s="30" t="s">
        <v>1427</v>
      </c>
      <c r="H318" s="30" t="s">
        <v>1165</v>
      </c>
      <c r="I318" s="30" t="s">
        <v>273</v>
      </c>
      <c r="M318" s="30" t="s">
        <v>135</v>
      </c>
      <c r="O318" s="31"/>
      <c r="P318" s="30"/>
      <c r="T318" s="37"/>
      <c r="U318" s="30" t="s">
        <v>418</v>
      </c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1425</v>
      </c>
      <c r="F319" s="30" t="str">
        <f>IF(ISBLANK(Table2[[#This Row],[unique_id]]), "", PROPER(SUBSTITUTE(Table2[[#This Row],[unique_id]], "_", " ")))</f>
        <v>Host Max Temperature</v>
      </c>
      <c r="G319" s="30" t="s">
        <v>1428</v>
      </c>
      <c r="H319" s="30" t="s">
        <v>1165</v>
      </c>
      <c r="I319" s="30" t="s">
        <v>273</v>
      </c>
      <c r="K319" s="30" t="s">
        <v>1426</v>
      </c>
      <c r="O319" s="31"/>
      <c r="P319" s="30"/>
      <c r="T319" s="37"/>
      <c r="U319" s="30"/>
      <c r="V319" s="31" t="s">
        <v>297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5</v>
      </c>
      <c r="AG319" s="31" t="s">
        <v>34</v>
      </c>
      <c r="AH319" s="31"/>
      <c r="AI319" s="30" t="s">
        <v>1430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9" s="30" t="str">
        <f>IF(ISBLANK(Table2[[#This Row],[index]]),  "", _xlfn.CONCAT("supervisor/", Table2[[#This Row],[unique_id_device]], "/status"))</f>
        <v>supervisor/macmini-max/status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1151</v>
      </c>
      <c r="BC319" s="30" t="s">
        <v>1464</v>
      </c>
      <c r="BD319" s="30" t="s">
        <v>1083</v>
      </c>
      <c r="BF319" s="30" t="s">
        <v>955</v>
      </c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1426</v>
      </c>
      <c r="F320" s="30" t="str">
        <f>IF(ISBLANK(Table2[[#This Row],[unique_id]]), "", PROPER(SUBSTITUTE(Table2[[#This Row],[unique_id]], "_", " ")))</f>
        <v>Compensation Sensor Host Max Temperature</v>
      </c>
      <c r="G320" s="30" t="s">
        <v>1428</v>
      </c>
      <c r="H320" s="30" t="s">
        <v>1165</v>
      </c>
      <c r="I320" s="30" t="s">
        <v>273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1388</v>
      </c>
      <c r="F321" s="30" t="str">
        <f>IF(ISBLANK(Table2[[#This Row],[unique_id]]), "", PROPER(SUBSTITUTE(Table2[[#This Row],[unique_id]], "_", " ")))</f>
        <v>Host May Temperature</v>
      </c>
      <c r="G321" s="30" t="s">
        <v>1387</v>
      </c>
      <c r="H321" s="30" t="s">
        <v>1165</v>
      </c>
      <c r="I321" s="30" t="s">
        <v>273</v>
      </c>
      <c r="K321" s="30" t="s">
        <v>1389</v>
      </c>
      <c r="O321" s="31"/>
      <c r="P321" s="30"/>
      <c r="T321" s="37"/>
      <c r="U321" s="30"/>
      <c r="V321" s="31" t="s">
        <v>297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5</v>
      </c>
      <c r="AG321" s="31" t="s">
        <v>34</v>
      </c>
      <c r="AH321" s="31"/>
      <c r="AI321" s="30" t="s">
        <v>1394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1" s="30" t="str">
        <f>IF(ISBLANK(Table2[[#This Row],[index]]),  "", _xlfn.CONCAT("supervisor/", Table2[[#This Row],[unique_id_device]], "/status"))</f>
        <v>supervisor/macmini-may/status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1151</v>
      </c>
      <c r="BC321" s="30" t="s">
        <v>1464</v>
      </c>
      <c r="BD321" s="30" t="s">
        <v>1083</v>
      </c>
      <c r="BF321" s="30" t="s">
        <v>955</v>
      </c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1389</v>
      </c>
      <c r="F322" s="30" t="str">
        <f>IF(ISBLANK(Table2[[#This Row],[unique_id]]), "", PROPER(SUBSTITUTE(Table2[[#This Row],[unique_id]], "_", " ")))</f>
        <v>Compensation Sensor Host May Temperature</v>
      </c>
      <c r="G322" s="30" t="s">
        <v>1387</v>
      </c>
      <c r="H322" s="30" t="s">
        <v>1165</v>
      </c>
      <c r="I322" s="30" t="s">
        <v>273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1158</v>
      </c>
      <c r="F323" s="30" t="str">
        <f>IF(ISBLANK(Table2[[#This Row],[unique_id]]), "", PROPER(SUBSTITUTE(Table2[[#This Row],[unique_id]], "_", " ")))</f>
        <v>Host Meg Temperature</v>
      </c>
      <c r="G323" s="30" t="s">
        <v>1161</v>
      </c>
      <c r="H323" s="30" t="s">
        <v>1165</v>
      </c>
      <c r="I323" s="30" t="s">
        <v>273</v>
      </c>
      <c r="K323" s="30" t="s">
        <v>1160</v>
      </c>
      <c r="O323" s="31"/>
      <c r="P323" s="30"/>
      <c r="T323" s="37"/>
      <c r="U323" s="30"/>
      <c r="V323" s="31" t="s">
        <v>297</v>
      </c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F323" s="30">
        <v>5</v>
      </c>
      <c r="AG323" s="31" t="s">
        <v>34</v>
      </c>
      <c r="AH323" s="31"/>
      <c r="AI323" s="30" t="s">
        <v>1102</v>
      </c>
      <c r="AJ32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3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3" s="30" t="str">
        <f>IF(ISBLANK(Table2[[#This Row],[index]]),  "", _xlfn.CONCAT("supervisor/", Table2[[#This Row],[unique_id_device]], "/status"))</f>
        <v>supervisor/macmini-meg/status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1151</v>
      </c>
      <c r="BC323" s="30" t="s">
        <v>1464</v>
      </c>
      <c r="BD323" s="30" t="s">
        <v>1083</v>
      </c>
      <c r="BF323" s="30" t="s">
        <v>955</v>
      </c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1151</v>
      </c>
      <c r="D324" s="30" t="s">
        <v>27</v>
      </c>
      <c r="E324" s="30" t="s">
        <v>1160</v>
      </c>
      <c r="F324" s="30" t="str">
        <f>IF(ISBLANK(Table2[[#This Row],[unique_id]]), "", PROPER(SUBSTITUTE(Table2[[#This Row],[unique_id]], "_", " ")))</f>
        <v>Compensation Sensor Host Meg Temperature</v>
      </c>
      <c r="G324" s="30" t="s">
        <v>1161</v>
      </c>
      <c r="H324" s="30" t="s">
        <v>1165</v>
      </c>
      <c r="I324" s="30" t="s">
        <v>273</v>
      </c>
      <c r="M324" s="30" t="s">
        <v>135</v>
      </c>
      <c r="O324" s="31"/>
      <c r="P324" s="30"/>
      <c r="T324" s="37"/>
      <c r="U324" s="30" t="s">
        <v>418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1170</v>
      </c>
      <c r="F325" s="30" t="str">
        <f>IF(ISBLANK(Table2[[#This Row],[unique_id]]), "", PROPER(SUBSTITUTE(Table2[[#This Row],[unique_id]], "_", " ")))</f>
        <v>Template Deck Festoons Plug Temperature Proxy</v>
      </c>
      <c r="G325" s="30" t="s">
        <v>1167</v>
      </c>
      <c r="H325" s="30" t="s">
        <v>1166</v>
      </c>
      <c r="I325" s="30" t="s">
        <v>273</v>
      </c>
      <c r="K325" s="30" t="s">
        <v>1124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2544</v>
      </c>
      <c r="B326" s="30" t="s">
        <v>26</v>
      </c>
      <c r="C326" s="30" t="s">
        <v>1162</v>
      </c>
      <c r="D326" s="30" t="s">
        <v>27</v>
      </c>
      <c r="E326" s="30" t="s">
        <v>1169</v>
      </c>
      <c r="F326" s="30" t="str">
        <f>IF(ISBLANK(Table2[[#This Row],[unique_id]]), "", PROPER(SUBSTITUTE(Table2[[#This Row],[unique_id]], "_", " ")))</f>
        <v>Template Wardrobe Temperature Proxy</v>
      </c>
      <c r="G326" s="30" t="s">
        <v>1373</v>
      </c>
      <c r="H326" s="30" t="s">
        <v>1164</v>
      </c>
      <c r="I326" s="30" t="s">
        <v>273</v>
      </c>
      <c r="K326" s="30" t="s">
        <v>1130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1400</v>
      </c>
      <c r="F327" s="30" t="str">
        <f>IF(ISBLANK(Table2[[#This Row],[unique_id]]), "", PROPER(SUBSTITUTE(Table2[[#This Row],[unique_id]], "_", " ")))</f>
        <v>Host Jen Temperature</v>
      </c>
      <c r="G327" s="30" t="s">
        <v>1401</v>
      </c>
      <c r="H327" s="30" t="s">
        <v>1164</v>
      </c>
      <c r="I327" s="30" t="s">
        <v>273</v>
      </c>
      <c r="K327" s="30" t="s">
        <v>1396</v>
      </c>
      <c r="O327" s="31"/>
      <c r="P327" s="30"/>
      <c r="T327" s="37"/>
      <c r="U327" s="30"/>
      <c r="V327" s="31" t="s">
        <v>297</v>
      </c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F327" s="30">
        <v>5</v>
      </c>
      <c r="AG327" s="31" t="s">
        <v>34</v>
      </c>
      <c r="AH327" s="31"/>
      <c r="AI327" s="30" t="s">
        <v>1397</v>
      </c>
      <c r="AJ32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7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7" s="30" t="str">
        <f>IF(ISBLANK(Table2[[#This Row],[index]]),  "", _xlfn.CONCAT("supervisor/", Table2[[#This Row],[unique_id_device]], "/status"))</f>
        <v>supervisor/raspbpi-jen/status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Wardrobe</v>
      </c>
      <c r="BB327" s="30" t="s">
        <v>1151</v>
      </c>
      <c r="BC327" s="30" t="s">
        <v>1464</v>
      </c>
      <c r="BD327" s="30" t="s">
        <v>1083</v>
      </c>
      <c r="BF327" s="30" t="s">
        <v>955</v>
      </c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2546</v>
      </c>
      <c r="B328" s="30" t="s">
        <v>26</v>
      </c>
      <c r="C328" s="30" t="s">
        <v>1151</v>
      </c>
      <c r="D328" s="30" t="s">
        <v>27</v>
      </c>
      <c r="E328" s="30" t="s">
        <v>1396</v>
      </c>
      <c r="F328" s="30" t="str">
        <f>IF(ISBLANK(Table2[[#This Row],[unique_id]]), "", PROPER(SUBSTITUTE(Table2[[#This Row],[unique_id]], "_", " ")))</f>
        <v>Compensation Sensor Host Jen Temperature</v>
      </c>
      <c r="G328" s="30" t="s">
        <v>1401</v>
      </c>
      <c r="H328" s="30" t="s">
        <v>1164</v>
      </c>
      <c r="I328" s="30" t="s">
        <v>273</v>
      </c>
      <c r="M328" s="30" t="s">
        <v>135</v>
      </c>
      <c r="O328" s="31"/>
      <c r="P328" s="30"/>
      <c r="T328" s="37"/>
      <c r="U328" s="30" t="s">
        <v>418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422</v>
      </c>
      <c r="D329" s="30" t="s">
        <v>315</v>
      </c>
      <c r="E329" s="30" t="s">
        <v>314</v>
      </c>
      <c r="F329" s="36" t="str">
        <f>IF(ISBLANK(Table2[[#This Row],[unique_id]]), "", PROPER(SUBSTITUTE(Table2[[#This Row],[unique_id]], "_", " ")))</f>
        <v>Column Break</v>
      </c>
      <c r="G329" s="30" t="s">
        <v>311</v>
      </c>
      <c r="H329" s="30" t="s">
        <v>1164</v>
      </c>
      <c r="I329" s="30" t="s">
        <v>273</v>
      </c>
      <c r="M329" s="30" t="s">
        <v>312</v>
      </c>
      <c r="N329" s="30" t="s">
        <v>313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R329" s="39"/>
      <c r="AT329" s="32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641</v>
      </c>
      <c r="F330" s="36" t="str">
        <f>IF(ISBLANK(Table2[[#This Row],[unique_id]]), "", PROPER(SUBSTITUTE(Table2[[#This Row],[unique_id]], "_", " ")))</f>
        <v>Back Door Lock Battery</v>
      </c>
      <c r="G330" s="30" t="s">
        <v>627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642</v>
      </c>
      <c r="F331" s="36" t="str">
        <f>IF(ISBLANK(Table2[[#This Row],[unique_id]]), "", PROPER(SUBSTITUTE(Table2[[#This Row],[unique_id]], "_", " ")))</f>
        <v>Front Door Lock Battery</v>
      </c>
      <c r="G331" s="30" t="s">
        <v>626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644</v>
      </c>
      <c r="F332" s="36" t="str">
        <f>IF(ISBLANK(Table2[[#This Row],[unique_id]]), "", PROPER(SUBSTITUTE(Table2[[#This Row],[unique_id]], "_", " ")))</f>
        <v>Template Back Door Sensor Battery Last</v>
      </c>
      <c r="G332" s="30" t="s">
        <v>629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643</v>
      </c>
      <c r="F333" s="36" t="str">
        <f>IF(ISBLANK(Table2[[#This Row],[unique_id]]), "", PROPER(SUBSTITUTE(Table2[[#This Row],[unique_id]], "_", " ")))</f>
        <v>Template Front Door Sensor Battery Last</v>
      </c>
      <c r="G333" s="30" t="s">
        <v>628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561</v>
      </c>
      <c r="C334" s="30" t="s">
        <v>439</v>
      </c>
      <c r="D334" s="30" t="s">
        <v>27</v>
      </c>
      <c r="E334" s="30" t="s">
        <v>467</v>
      </c>
      <c r="F334" s="36" t="str">
        <f>IF(ISBLANK(Table2[[#This Row],[unique_id]]), "", PROPER(SUBSTITUTE(Table2[[#This Row],[unique_id]], "_", " ")))</f>
        <v>Home Cube Remote Battery</v>
      </c>
      <c r="G334" s="30" t="s">
        <v>447</v>
      </c>
      <c r="H334" s="30" t="s">
        <v>1149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hidden="1" customHeight="1" x14ac:dyDescent="0.2">
      <c r="A335" s="30">
        <v>2553</v>
      </c>
      <c r="B335" s="48" t="s">
        <v>26</v>
      </c>
      <c r="C335" s="48" t="s">
        <v>149</v>
      </c>
      <c r="D335" s="48" t="s">
        <v>27</v>
      </c>
      <c r="E335" s="48" t="s">
        <v>638</v>
      </c>
      <c r="F335" s="49" t="str">
        <f>IF(ISBLANK(Table2[[#This Row],[unique_id]]), "", PROPER(SUBSTITUTE(Table2[[#This Row],[unique_id]], "_", " ")))</f>
        <v>Template Weatherstation Console Battery Percent Int</v>
      </c>
      <c r="G335" s="48" t="s">
        <v>636</v>
      </c>
      <c r="H335" s="48" t="s">
        <v>1149</v>
      </c>
      <c r="I335" s="48" t="s">
        <v>273</v>
      </c>
      <c r="M335" s="48" t="s">
        <v>135</v>
      </c>
      <c r="O335" s="50"/>
      <c r="T335" s="51"/>
      <c r="V335" s="50"/>
      <c r="W335" s="50"/>
      <c r="X335" s="50"/>
      <c r="Y335" s="50"/>
      <c r="Z335" s="50"/>
      <c r="AA335" s="50"/>
      <c r="AB335" s="48" t="s">
        <v>31</v>
      </c>
      <c r="AC335" s="48" t="s">
        <v>32</v>
      </c>
      <c r="AD335" s="48" t="s">
        <v>637</v>
      </c>
      <c r="AG335" s="50"/>
      <c r="AH335" s="50"/>
      <c r="AR335" s="52"/>
      <c r="AT335" s="53"/>
      <c r="AU335" s="50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/>
      </c>
      <c r="BF335" s="50"/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hidden="1" customHeight="1" x14ac:dyDescent="0.2">
      <c r="A336" s="30">
        <v>2554</v>
      </c>
      <c r="B336" s="48" t="s">
        <v>26</v>
      </c>
      <c r="C336" s="48" t="s">
        <v>39</v>
      </c>
      <c r="D336" s="48" t="s">
        <v>27</v>
      </c>
      <c r="E336" s="48" t="s">
        <v>169</v>
      </c>
      <c r="F336" s="49" t="str">
        <f>IF(ISBLANK(Table2[[#This Row],[unique_id]]), "", PROPER(SUBSTITUTE(Table2[[#This Row],[unique_id]], "_", " ")))</f>
        <v>Weatherstation Console Battery Voltage</v>
      </c>
      <c r="G336" s="48" t="s">
        <v>446</v>
      </c>
      <c r="H336" s="48" t="s">
        <v>1149</v>
      </c>
      <c r="I336" s="48" t="s">
        <v>273</v>
      </c>
      <c r="O336" s="50"/>
      <c r="T336" s="51"/>
      <c r="V336" s="50" t="s">
        <v>1178</v>
      </c>
      <c r="W336" s="50"/>
      <c r="X336" s="50"/>
      <c r="Y336" s="50"/>
      <c r="Z336" s="50"/>
      <c r="AA336" s="50"/>
      <c r="AB336" s="48" t="s">
        <v>31</v>
      </c>
      <c r="AC336" s="48" t="s">
        <v>83</v>
      </c>
      <c r="AD336" s="48" t="s">
        <v>84</v>
      </c>
      <c r="AE336" s="48" t="s">
        <v>270</v>
      </c>
      <c r="AF336" s="48">
        <v>300</v>
      </c>
      <c r="AG336" s="50" t="s">
        <v>34</v>
      </c>
      <c r="AH336" s="50"/>
      <c r="AI336" s="48" t="s">
        <v>85</v>
      </c>
      <c r="AJ336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6" s="48" t="str">
        <f>IF(ISBLANK(Table2[[#This Row],[index]]),  "", _xlfn.CONCAT(LOWER(Table2[[#This Row],[device_via_device]]), "/", Table2[[#This Row],[unique_id]]))</f>
        <v>weewx/weatherstation_console_battery_voltage</v>
      </c>
      <c r="AR336" s="52" t="s">
        <v>1147</v>
      </c>
      <c r="AS336" s="48">
        <v>1</v>
      </c>
      <c r="AT336" s="53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>Wardrobe</v>
      </c>
      <c r="BB336" s="48" t="s">
        <v>1177</v>
      </c>
      <c r="BC336" s="48" t="s">
        <v>36</v>
      </c>
      <c r="BD336" s="48" t="s">
        <v>37</v>
      </c>
      <c r="BF336" s="48" t="s">
        <v>1029</v>
      </c>
      <c r="BG336" s="48" t="s">
        <v>477</v>
      </c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39</v>
      </c>
      <c r="D337" s="30" t="s">
        <v>27</v>
      </c>
      <c r="E337" s="30" t="s">
        <v>1520</v>
      </c>
      <c r="F337" s="36" t="str">
        <f>IF(ISBLANK(Table2[[#This Row],[unique_id]]), "", PROPER(SUBSTITUTE(Table2[[#This Row],[unique_id]], "_", " ")))</f>
        <v>Weatherstation Coms Signal Quality</v>
      </c>
      <c r="G337" s="30" t="s">
        <v>1521</v>
      </c>
      <c r="H337" s="30" t="s">
        <v>1149</v>
      </c>
      <c r="I337" s="30" t="s">
        <v>273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F337" s="30">
        <v>300</v>
      </c>
      <c r="AG337" s="31" t="s">
        <v>34</v>
      </c>
      <c r="AH337" s="31"/>
      <c r="AI337" s="30" t="s">
        <v>1522</v>
      </c>
      <c r="AJ33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7" s="30" t="str">
        <f>IF(ISBLANK(Table2[[#This Row],[index]]),  "", _xlfn.CONCAT(LOWER(Table2[[#This Row],[device_via_device]]), "/", Table2[[#This Row],[unique_id]]))</f>
        <v>weewx/weatherstation_coms_signal_quality</v>
      </c>
      <c r="AR337" s="39" t="s">
        <v>1523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1177</v>
      </c>
      <c r="BC337" s="30" t="s">
        <v>36</v>
      </c>
      <c r="BD337" s="30" t="s">
        <v>37</v>
      </c>
      <c r="BF337" s="30" t="s">
        <v>1029</v>
      </c>
      <c r="BG337" s="30" t="s">
        <v>477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1306</v>
      </c>
      <c r="F338" s="36" t="str">
        <f>IF(ISBLANK(Table2[[#This Row],[unique_id]]), "", PROPER(SUBSTITUTE(Table2[[#This Row],[unique_id]], "_", " ")))</f>
        <v>Office Pantry Battery</v>
      </c>
      <c r="G338" s="30" t="s">
        <v>440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1307</v>
      </c>
      <c r="F339" s="36" t="str">
        <f>IF(ISBLANK(Table2[[#This Row],[unique_id]]), "", PROPER(SUBSTITUTE(Table2[[#This Row],[unique_id]], "_", " ")))</f>
        <v>Office Lounge Battery</v>
      </c>
      <c r="G339" s="30" t="s">
        <v>441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1308</v>
      </c>
      <c r="F340" s="36" t="str">
        <f>IF(ISBLANK(Table2[[#This Row],[unique_id]]), "", PROPER(SUBSTITUTE(Table2[[#This Row],[unique_id]], "_", " ")))</f>
        <v>Office Dining Battery</v>
      </c>
      <c r="G340" s="30" t="s">
        <v>442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1309</v>
      </c>
      <c r="F341" s="36" t="str">
        <f>IF(ISBLANK(Table2[[#This Row],[unique_id]]), "", PROPER(SUBSTITUTE(Table2[[#This Row],[unique_id]], "_", " ")))</f>
        <v>Office Basement Battery</v>
      </c>
      <c r="G341" s="30" t="s">
        <v>443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702</v>
      </c>
      <c r="F342" s="36" t="str">
        <f>IF(ISBLANK(Table2[[#This Row],[unique_id]]), "", PROPER(SUBSTITUTE(Table2[[#This Row],[unique_id]], "_", " ")))</f>
        <v>Parents Move Battery</v>
      </c>
      <c r="G342" s="30" t="s">
        <v>444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701</v>
      </c>
      <c r="F343" s="36" t="str">
        <f>IF(ISBLANK(Table2[[#This Row],[unique_id]]), "", PROPER(SUBSTITUTE(Table2[[#This Row],[unique_id]], "_", " ")))</f>
        <v>Kitchen Move Battery</v>
      </c>
      <c r="G343" s="30" t="s">
        <v>445</v>
      </c>
      <c r="H343" s="30" t="s">
        <v>1149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422</v>
      </c>
      <c r="D344" s="30" t="s">
        <v>315</v>
      </c>
      <c r="E344" s="30" t="s">
        <v>314</v>
      </c>
      <c r="F344" s="36" t="str">
        <f>IF(ISBLANK(Table2[[#This Row],[unique_id]]), "", PROPER(SUBSTITUTE(Table2[[#This Row],[unique_id]], "_", " ")))</f>
        <v>Column Break</v>
      </c>
      <c r="G344" s="30" t="s">
        <v>311</v>
      </c>
      <c r="H344" s="30" t="s">
        <v>1149</v>
      </c>
      <c r="I344" s="30" t="s">
        <v>273</v>
      </c>
      <c r="M344" s="30" t="s">
        <v>312</v>
      </c>
      <c r="N344" s="30" t="s">
        <v>313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743</v>
      </c>
      <c r="D345" s="30" t="s">
        <v>27</v>
      </c>
      <c r="E345" s="30" t="s">
        <v>794</v>
      </c>
      <c r="F345" s="36" t="str">
        <f>IF(ISBLANK(Table2[[#This Row],[unique_id]]), "", PROPER(SUBSTITUTE(Table2[[#This Row],[unique_id]], "_", " ")))</f>
        <v>All Standby</v>
      </c>
      <c r="G345" s="30" t="s">
        <v>795</v>
      </c>
      <c r="H345" s="30" t="s">
        <v>508</v>
      </c>
      <c r="I345" s="30" t="s">
        <v>273</v>
      </c>
      <c r="O345" s="31" t="s">
        <v>754</v>
      </c>
      <c r="P345" s="30"/>
      <c r="R345" s="41"/>
      <c r="T345" s="37" t="s">
        <v>793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561</v>
      </c>
      <c r="C346" s="30" t="s">
        <v>676</v>
      </c>
      <c r="D346" s="30" t="s">
        <v>133</v>
      </c>
      <c r="E346" s="30" t="s">
        <v>1431</v>
      </c>
      <c r="F346" s="36" t="str">
        <f>IF(ISBLANK(Table2[[#This Row],[unique_id]]), "", PROPER(SUBSTITUTE(Table2[[#This Row],[unique_id]], "_", " ")))</f>
        <v>Rack Printer Plug</v>
      </c>
      <c r="G346" s="30" t="s">
        <v>1446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1432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364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1451</v>
      </c>
      <c r="BM346" s="30" t="s">
        <v>1447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1441</v>
      </c>
      <c r="F347" s="36" t="str">
        <f>IF(ISBLANK(Table2[[#This Row],[unique_id]]), "", PROPER(SUBSTITUTE(Table2[[#This Row],[unique_id]], "_", " ")))</f>
        <v>Rack Screen Plug</v>
      </c>
      <c r="G347" s="30" t="s">
        <v>1434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1435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1438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1443</v>
      </c>
      <c r="BM347" s="30" t="s">
        <v>1439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1415</v>
      </c>
      <c r="F348" s="36" t="str">
        <f>IF(ISBLANK(Table2[[#This Row],[unique_id]]), "", PROPER(SUBSTITUTE(Table2[[#This Row],[unique_id]], "_", " ")))</f>
        <v>Rack Backup Plug</v>
      </c>
      <c r="G348" s="30" t="s">
        <v>1433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1436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1437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1442</v>
      </c>
      <c r="BM348" s="30" t="s">
        <v>1440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854</v>
      </c>
      <c r="F349" s="36" t="str">
        <f>IF(ISBLANK(Table2[[#This Row],[unique_id]]), "", PROPER(SUBSTITUTE(Table2[[#This Row],[unique_id]], "_", " ")))</f>
        <v>Rack Fans Plug</v>
      </c>
      <c r="G349" s="30" t="s">
        <v>570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1074</v>
      </c>
      <c r="AB349" s="30"/>
      <c r="AC349" s="30"/>
      <c r="AE349" s="30" t="s">
        <v>1514</v>
      </c>
      <c r="AF349" s="30">
        <v>10</v>
      </c>
      <c r="AG349" s="31" t="s">
        <v>34</v>
      </c>
      <c r="AH349" s="31" t="s">
        <v>863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733</v>
      </c>
      <c r="BD349" s="30" t="s">
        <v>1075</v>
      </c>
      <c r="BF349" s="30" t="s">
        <v>853</v>
      </c>
      <c r="BG349" s="30" t="s">
        <v>28</v>
      </c>
      <c r="BK349" s="30" t="s">
        <v>1212</v>
      </c>
      <c r="BL349" s="30" t="s">
        <v>571</v>
      </c>
      <c r="BM349" s="30" t="s">
        <v>1266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hidden="1" customHeight="1" x14ac:dyDescent="0.2">
      <c r="A350" s="30">
        <v>2568</v>
      </c>
      <c r="B350" s="30" t="s">
        <v>26</v>
      </c>
      <c r="C350" s="30" t="s">
        <v>774</v>
      </c>
      <c r="D350" s="30" t="s">
        <v>147</v>
      </c>
      <c r="E350" s="37" t="s">
        <v>1036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508</v>
      </c>
      <c r="I350" s="30" t="s">
        <v>273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">
        <v>1033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1035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508</v>
      </c>
      <c r="I351" s="30" t="s">
        <v>273</v>
      </c>
      <c r="M351" s="30" t="s">
        <v>255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J351" s="30" t="s">
        <v>943</v>
      </c>
      <c r="BK351" s="30" t="s">
        <v>1212</v>
      </c>
      <c r="BL351" s="30" t="s">
        <v>331</v>
      </c>
      <c r="BM351" s="30" t="s">
        <v>1246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hidden="1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1349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758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">
        <v>1033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hidden="1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1350</v>
      </c>
      <c r="F353" s="56" t="str">
        <f>IF(ISBLANK(Table2[[#This Row],[unique_id]]), "", PROPER(SUBSTITUTE(Table2[[#This Row],[unique_id]], "_", " ")))</f>
        <v>Broken Lounge Sub Plug</v>
      </c>
      <c r="G353" s="54" t="s">
        <v>758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759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J353" s="54" t="s">
        <v>942</v>
      </c>
      <c r="BK353" s="54" t="s">
        <v>1212</v>
      </c>
      <c r="BL353" s="54" t="s">
        <v>322</v>
      </c>
      <c r="BM353" s="54" t="s">
        <v>1247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hidden="1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1351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hidden="1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1352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J355" s="54" t="s">
        <v>942</v>
      </c>
      <c r="BK355" s="54" t="s">
        <v>1212</v>
      </c>
      <c r="BL355" s="54" t="s">
        <v>333</v>
      </c>
      <c r="BM355" s="54" t="s">
        <v>1248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hidden="1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1353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hidden="1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1354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J357" s="54" t="s">
        <v>943</v>
      </c>
      <c r="BK357" s="54" t="s">
        <v>1212</v>
      </c>
      <c r="BL357" s="54" t="s">
        <v>334</v>
      </c>
      <c r="BM357" s="54" t="s">
        <v>1249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hidden="1" customHeight="1" x14ac:dyDescent="0.2">
      <c r="A358" s="30">
        <v>2576</v>
      </c>
      <c r="B358" s="54" t="s">
        <v>561</v>
      </c>
      <c r="C358" s="54" t="s">
        <v>774</v>
      </c>
      <c r="D358" s="54" t="s">
        <v>147</v>
      </c>
      <c r="E358" s="55" t="s">
        <v>1355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508</v>
      </c>
      <c r="I358" s="54" t="s">
        <v>273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">
        <v>1032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hidden="1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1356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J359" s="54" t="s">
        <v>943</v>
      </c>
      <c r="BK359" s="54" t="s">
        <v>1212</v>
      </c>
      <c r="BL359" s="54" t="s">
        <v>325</v>
      </c>
      <c r="BM359" s="54" t="s">
        <v>1250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774</v>
      </c>
      <c r="D360" s="30" t="s">
        <v>147</v>
      </c>
      <c r="E360" s="37" t="s">
        <v>930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508</v>
      </c>
      <c r="I360" s="30" t="s">
        <v>273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hidden="1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801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508</v>
      </c>
      <c r="I361" s="30" t="s">
        <v>273</v>
      </c>
      <c r="M361" s="30" t="s">
        <v>255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J361" s="30" t="s">
        <v>943</v>
      </c>
      <c r="BK361" s="30" t="s">
        <v>1212</v>
      </c>
      <c r="BL361" s="30" t="s">
        <v>337</v>
      </c>
      <c r="BM361" s="30" t="s">
        <v>1261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hidden="1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1357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hidden="1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1358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326</v>
      </c>
      <c r="BM363" s="54" t="s">
        <v>1251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hidden="1" customHeight="1" x14ac:dyDescent="0.2">
      <c r="A364" s="30">
        <v>2582</v>
      </c>
      <c r="B364" s="54" t="s">
        <v>561</v>
      </c>
      <c r="C364" s="54" t="s">
        <v>774</v>
      </c>
      <c r="D364" s="54" t="s">
        <v>147</v>
      </c>
      <c r="E364" s="55" t="s">
        <v>1359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hidden="1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1360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J365" s="54" t="s">
        <v>942</v>
      </c>
      <c r="BK365" s="54" t="s">
        <v>1212</v>
      </c>
      <c r="BL365" s="54" t="s">
        <v>327</v>
      </c>
      <c r="BM365" s="54" t="s">
        <v>1252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hidden="1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1445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hidden="1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1444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62" t="s">
        <v>1212</v>
      </c>
      <c r="BL367" s="62" t="s">
        <v>1416</v>
      </c>
      <c r="BM367" s="62" t="s">
        <v>1417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hidden="1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932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">
        <v>1033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hidden="1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803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J369" s="30" t="s">
        <v>943</v>
      </c>
      <c r="BK369" s="30" t="s">
        <v>1212</v>
      </c>
      <c r="BL369" s="30" t="s">
        <v>329</v>
      </c>
      <c r="BM369" s="30" t="s">
        <v>1254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hidden="1" customHeight="1" x14ac:dyDescent="0.2">
      <c r="A370" s="30">
        <v>2588</v>
      </c>
      <c r="B370" s="30" t="s">
        <v>26</v>
      </c>
      <c r="C370" s="30" t="s">
        <v>774</v>
      </c>
      <c r="D370" s="30" t="s">
        <v>147</v>
      </c>
      <c r="E370" s="37" t="s">
        <v>1341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1342</v>
      </c>
      <c r="H370" s="30" t="s">
        <v>508</v>
      </c>
      <c r="I370" s="30" t="s">
        <v>273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hidden="1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1340</v>
      </c>
      <c r="F371" s="36" t="str">
        <f>IF(ISBLANK(Table2[[#This Row],[unique_id]]), "", PROPER(SUBSTITUTE(Table2[[#This Row],[unique_id]], "_", " ")))</f>
        <v>Garden Sewerage Blower Plug</v>
      </c>
      <c r="G371" s="30" t="s">
        <v>1342</v>
      </c>
      <c r="H371" s="30" t="s">
        <v>508</v>
      </c>
      <c r="I371" s="30" t="s">
        <v>273</v>
      </c>
      <c r="M371" s="30" t="s">
        <v>255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1342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J371" s="30" t="s">
        <v>943</v>
      </c>
      <c r="BK371" s="30" t="s">
        <v>1212</v>
      </c>
      <c r="BL371" s="36" t="s">
        <v>345</v>
      </c>
      <c r="BM371" s="36" t="s">
        <v>1233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hidden="1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1361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hidden="1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1362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J373" s="54" t="s">
        <v>942</v>
      </c>
      <c r="BK373" s="54" t="s">
        <v>1212</v>
      </c>
      <c r="BL373" s="54" t="s">
        <v>323</v>
      </c>
      <c r="BM373" s="54" t="s">
        <v>1255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hidden="1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1363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hidden="1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1364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J375" s="54" t="s">
        <v>943</v>
      </c>
      <c r="BK375" s="54" t="s">
        <v>1212</v>
      </c>
      <c r="BL375" s="54" t="s">
        <v>324</v>
      </c>
      <c r="BM375" s="54" t="s">
        <v>1256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hidden="1" customHeight="1" x14ac:dyDescent="0.2">
      <c r="A376" s="30">
        <v>2594</v>
      </c>
      <c r="B376" s="54" t="s">
        <v>561</v>
      </c>
      <c r="C376" s="54" t="s">
        <v>774</v>
      </c>
      <c r="D376" s="54" t="s">
        <v>147</v>
      </c>
      <c r="E376" s="55" t="s">
        <v>1365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787</v>
      </c>
      <c r="H376" s="54" t="s">
        <v>508</v>
      </c>
      <c r="I376" s="54" t="s">
        <v>273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">
        <v>1032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hidden="1" customHeight="1" x14ac:dyDescent="0.2">
      <c r="A377" s="30">
        <v>2595</v>
      </c>
      <c r="B377" s="54" t="s">
        <v>561</v>
      </c>
      <c r="C377" s="54" t="s">
        <v>231</v>
      </c>
      <c r="D377" s="54" t="s">
        <v>133</v>
      </c>
      <c r="E377" s="54" t="s">
        <v>1366</v>
      </c>
      <c r="F377" s="56" t="str">
        <f>IF(ISBLANK(Table2[[#This Row],[unique_id]]), "", PROPER(SUBSTITUTE(Table2[[#This Row],[unique_id]], "_", " ")))</f>
        <v>Broken Ada Tablet Plug</v>
      </c>
      <c r="G377" s="54" t="s">
        <v>787</v>
      </c>
      <c r="H377" s="54" t="s">
        <v>508</v>
      </c>
      <c r="I377" s="54" t="s">
        <v>273</v>
      </c>
      <c r="M377" s="54" t="s">
        <v>255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788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J377" s="54" t="s">
        <v>942</v>
      </c>
      <c r="BK377" s="54" t="s">
        <v>1212</v>
      </c>
      <c r="BL377" s="54" t="s">
        <v>766</v>
      </c>
      <c r="BM377" s="54" t="s">
        <v>1257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hidden="1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593</v>
      </c>
      <c r="F378" s="36" t="str">
        <f>IF(ISBLANK(Table2[[#This Row],[unique_id]]), "", PROPER(SUBSTITUTE(Table2[[#This Row],[unique_id]], "_", " ")))</f>
        <v>Deck Fans Outlet</v>
      </c>
      <c r="G378" s="30" t="s">
        <v>596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980</v>
      </c>
      <c r="BC378" s="37" t="s">
        <v>598</v>
      </c>
      <c r="BD378" s="30" t="s">
        <v>359</v>
      </c>
      <c r="BF378" s="37" t="s">
        <v>599</v>
      </c>
      <c r="BG378" s="30" t="s">
        <v>339</v>
      </c>
      <c r="BL378" s="30" t="s">
        <v>600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594</v>
      </c>
      <c r="F379" s="36" t="str">
        <f>IF(ISBLANK(Table2[[#This Row],[unique_id]]), "", PROPER(SUBSTITUTE(Table2[[#This Row],[unique_id]], "_", " ")))</f>
        <v>Kitchen Fan Outlet</v>
      </c>
      <c r="G379" s="30" t="s">
        <v>595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981</v>
      </c>
      <c r="BC379" s="37" t="s">
        <v>598</v>
      </c>
      <c r="BD379" s="30" t="s">
        <v>359</v>
      </c>
      <c r="BF379" s="37" t="s">
        <v>599</v>
      </c>
      <c r="BG379" s="30" t="s">
        <v>204</v>
      </c>
      <c r="BL379" s="30" t="s">
        <v>601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hidden="1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1461</v>
      </c>
      <c r="F380" s="36" t="str">
        <f>IF(ISBLANK(Table2[[#This Row],[unique_id]]), "", PROPER(SUBSTITUTE(Table2[[#This Row],[unique_id]], "_", " ")))</f>
        <v>Ada Desk Outlet</v>
      </c>
      <c r="G380" s="30" t="s">
        <v>1460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129</v>
      </c>
      <c r="BL380" s="30" t="s">
        <v>1462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1449</v>
      </c>
      <c r="F381" s="36" t="str">
        <f>IF(ISBLANK(Table2[[#This Row],[unique_id]]), "", PROPER(SUBSTITUTE(Table2[[#This Row],[unique_id]], "_", " ")))</f>
        <v>Edwin Desk Outlet</v>
      </c>
      <c r="G381" s="30" t="s">
        <v>1448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1450</v>
      </c>
      <c r="BC381" s="37" t="s">
        <v>598</v>
      </c>
      <c r="BD381" s="30" t="s">
        <v>359</v>
      </c>
      <c r="BF381" s="37" t="s">
        <v>599</v>
      </c>
      <c r="BG381" s="30" t="s">
        <v>126</v>
      </c>
      <c r="BL381" s="30" t="s">
        <v>597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hidden="1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1390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hidden="1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1392</v>
      </c>
      <c r="F383" s="56" t="str">
        <f>IF(ISBLANK(Table2[[#This Row],[unique_id]]), "", PROPER(SUBSTITUTE(Table2[[#This Row],[unique_id]], "_", " ")))</f>
        <v>Broken Server May Plug</v>
      </c>
      <c r="G383" s="54" t="s">
        <v>1391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770</v>
      </c>
      <c r="BM383" s="54" t="s">
        <v>1258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hidden="1" customHeight="1" x14ac:dyDescent="0.2">
      <c r="A384" s="30">
        <v>2602</v>
      </c>
      <c r="B384" s="54" t="s">
        <v>561</v>
      </c>
      <c r="C384" s="54" t="s">
        <v>774</v>
      </c>
      <c r="D384" s="54" t="s">
        <v>147</v>
      </c>
      <c r="E384" s="55" t="s">
        <v>1367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771</v>
      </c>
      <c r="H384" s="54" t="s">
        <v>508</v>
      </c>
      <c r="I384" s="54" t="s">
        <v>273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">
        <v>1032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hidden="1" customHeight="1" x14ac:dyDescent="0.2">
      <c r="A385" s="30">
        <v>2603</v>
      </c>
      <c r="B385" s="54" t="s">
        <v>561</v>
      </c>
      <c r="C385" s="54" t="s">
        <v>231</v>
      </c>
      <c r="D385" s="54" t="s">
        <v>133</v>
      </c>
      <c r="E385" s="54" t="s">
        <v>1368</v>
      </c>
      <c r="F385" s="56" t="str">
        <f>IF(ISBLANK(Table2[[#This Row],[unique_id]]), "", PROPER(SUBSTITUTE(Table2[[#This Row],[unique_id]], "_", " ")))</f>
        <v>Broken Server Meg Plug</v>
      </c>
      <c r="G385" s="59" t="s">
        <v>771</v>
      </c>
      <c r="H385" s="54" t="s">
        <v>508</v>
      </c>
      <c r="I385" s="54" t="s">
        <v>273</v>
      </c>
      <c r="M385" s="54" t="s">
        <v>255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J385" s="54" t="s">
        <v>943</v>
      </c>
      <c r="BK385" s="54" t="s">
        <v>1212</v>
      </c>
      <c r="BL385" s="54" t="s">
        <v>769</v>
      </c>
      <c r="BM385" s="54" t="s">
        <v>1259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hidden="1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1398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1402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hidden="1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1399</v>
      </c>
      <c r="F387" s="36" t="str">
        <f>IF(ISBLANK(Table2[[#This Row],[unique_id]]), "", PROPER(SUBSTITUTE(Table2[[#This Row],[unique_id]], "_", " ")))</f>
        <v>Server Jen Plug</v>
      </c>
      <c r="G387" s="30" t="s">
        <v>1402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1403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J387" s="30" t="s">
        <v>943</v>
      </c>
      <c r="BK387" s="30" t="s">
        <v>1212</v>
      </c>
      <c r="BL387" s="30" t="s">
        <v>330</v>
      </c>
      <c r="BM387" s="30" t="s">
        <v>1260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hidden="1" customHeight="1" x14ac:dyDescent="0.2">
      <c r="A388" s="30">
        <v>2606</v>
      </c>
      <c r="B388" s="30" t="s">
        <v>26</v>
      </c>
      <c r="C388" s="30" t="s">
        <v>774</v>
      </c>
      <c r="D388" s="30" t="s">
        <v>147</v>
      </c>
      <c r="E388" s="37" t="s">
        <v>933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508</v>
      </c>
      <c r="I388" s="30" t="s">
        <v>273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">
        <v>1034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133</v>
      </c>
      <c r="E389" s="30" t="s">
        <v>804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508</v>
      </c>
      <c r="I389" s="30" t="s">
        <v>273</v>
      </c>
      <c r="M389" s="30" t="s">
        <v>255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1073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936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K389" s="30" t="s">
        <v>1212</v>
      </c>
      <c r="BL389" s="30" t="s">
        <v>880</v>
      </c>
      <c r="BM389" s="30" t="s">
        <v>1262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934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309</v>
      </c>
      <c r="AD390" s="30" t="s">
        <v>864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1069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935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310</v>
      </c>
      <c r="AD391" s="30" t="s">
        <v>865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1070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1075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hidden="1" customHeight="1" x14ac:dyDescent="0.2">
      <c r="A392" s="30">
        <v>2610</v>
      </c>
      <c r="B392" s="30" t="s">
        <v>26</v>
      </c>
      <c r="C392" s="30" t="s">
        <v>774</v>
      </c>
      <c r="D392" s="30" t="s">
        <v>147</v>
      </c>
      <c r="E392" s="37" t="s">
        <v>1059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1382</v>
      </c>
      <c r="H392" s="30" t="s">
        <v>508</v>
      </c>
      <c r="I392" s="30" t="s">
        <v>273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">
        <v>1034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133</v>
      </c>
      <c r="E393" s="30" t="s">
        <v>1060</v>
      </c>
      <c r="F393" s="36" t="str">
        <f>IF(ISBLANK(Table2[[#This Row],[unique_id]]), "", PROPER(SUBSTITUTE(Table2[[#This Row],[unique_id]], "_", " ")))</f>
        <v>Ceiling Network Switch Plug</v>
      </c>
      <c r="G393" s="30" t="s">
        <v>1382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1073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936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K393" s="30" t="s">
        <v>1212</v>
      </c>
      <c r="BL393" s="41" t="s">
        <v>945</v>
      </c>
      <c r="BM393" s="30" t="s">
        <v>1264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1061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309</v>
      </c>
      <c r="AD394" s="30" t="s">
        <v>864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1069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1062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1382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310</v>
      </c>
      <c r="AD395" s="30" t="s">
        <v>865</v>
      </c>
      <c r="AF395" s="30">
        <v>10</v>
      </c>
      <c r="AG395" s="31" t="s">
        <v>34</v>
      </c>
      <c r="AH395" s="31" t="s">
        <v>863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1070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1075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hidden="1" customHeight="1" x14ac:dyDescent="0.2">
      <c r="A396" s="30">
        <v>2614</v>
      </c>
      <c r="B396" s="54" t="s">
        <v>561</v>
      </c>
      <c r="C396" s="54" t="s">
        <v>774</v>
      </c>
      <c r="D396" s="54" t="s">
        <v>147</v>
      </c>
      <c r="E396" s="55" t="s">
        <v>1369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508</v>
      </c>
      <c r="I396" s="54" t="s">
        <v>273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">
        <v>1032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hidden="1" customHeight="1" x14ac:dyDescent="0.2">
      <c r="A397" s="30">
        <v>2615</v>
      </c>
      <c r="B397" s="54" t="s">
        <v>561</v>
      </c>
      <c r="C397" s="54" t="s">
        <v>231</v>
      </c>
      <c r="D397" s="54" t="s">
        <v>133</v>
      </c>
      <c r="E397" s="54" t="s">
        <v>1370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508</v>
      </c>
      <c r="I397" s="54" t="s">
        <v>273</v>
      </c>
      <c r="M397" s="54" t="s">
        <v>255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J397" s="54" t="s">
        <v>942</v>
      </c>
      <c r="BK397" s="54" t="s">
        <v>1212</v>
      </c>
      <c r="BL397" s="54" t="s">
        <v>336</v>
      </c>
      <c r="BM397" s="54" t="s">
        <v>1265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hidden="1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780</v>
      </c>
      <c r="F398" s="36" t="str">
        <f>IF(ISBLANK(Table2[[#This Row],[unique_id]]), "", PROPER(SUBSTITUTE(Table2[[#This Row],[unique_id]], "_", " ")))</f>
        <v>Garden Repeater Linkquality</v>
      </c>
      <c r="G398" s="30" t="s">
        <v>680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558</v>
      </c>
      <c r="BL398" s="30" t="s">
        <v>679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781</v>
      </c>
      <c r="F399" s="36" t="str">
        <f>IF(ISBLANK(Table2[[#This Row],[unique_id]]), "", PROPER(SUBSTITUTE(Table2[[#This Row],[unique_id]], "_", " ")))</f>
        <v>Landing Repeater Linkquality</v>
      </c>
      <c r="G399" s="30" t="s">
        <v>682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541</v>
      </c>
      <c r="BL399" s="30" t="s">
        <v>684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hidden="1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782</v>
      </c>
      <c r="F400" s="36" t="str">
        <f>IF(ISBLANK(Table2[[#This Row],[unique_id]]), "", PROPER(SUBSTITUTE(Table2[[#This Row],[unique_id]], "_", " ")))</f>
        <v>Driveway Repeater Linkquality</v>
      </c>
      <c r="G400" s="30" t="s">
        <v>681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683</v>
      </c>
      <c r="BL400" s="30" t="s">
        <v>685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0" t="s">
        <v>852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756</v>
      </c>
      <c r="H401" s="30" t="s">
        <v>526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513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507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514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390</v>
      </c>
      <c r="H404" s="30" t="s">
        <v>526</v>
      </c>
      <c r="I404" s="30" t="s">
        <v>273</v>
      </c>
      <c r="J404" s="30" t="s">
        <v>525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hidden="1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515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836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821</v>
      </c>
      <c r="H406" s="30" t="s">
        <v>526</v>
      </c>
      <c r="I406" s="30" t="s">
        <v>273</v>
      </c>
      <c r="J406" s="30" t="s">
        <v>837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hidden="1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516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hidden="1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517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hidden="1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568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1454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518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838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830</v>
      </c>
      <c r="H412" s="30" t="s">
        <v>526</v>
      </c>
      <c r="I412" s="30" t="s">
        <v>273</v>
      </c>
      <c r="J412" s="30" t="s">
        <v>840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839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831</v>
      </c>
      <c r="H413" s="30" t="s">
        <v>526</v>
      </c>
      <c r="I413" s="30" t="s">
        <v>273</v>
      </c>
      <c r="J413" s="30" t="s">
        <v>841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842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708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519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520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521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522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843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827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523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844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810</v>
      </c>
      <c r="H422" s="30" t="s">
        <v>526</v>
      </c>
      <c r="I422" s="30" t="s">
        <v>273</v>
      </c>
      <c r="J422" s="30" t="s">
        <v>837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524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477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2650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129</v>
      </c>
      <c r="BK424" s="30" t="s">
        <v>1211</v>
      </c>
      <c r="BL424" s="41" t="s">
        <v>402</v>
      </c>
      <c r="BM424" s="39" t="s">
        <v>1213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hidden="1" customHeight="1" x14ac:dyDescent="0.2">
      <c r="A425" s="30">
        <v>2651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126</v>
      </c>
      <c r="BK425" s="30" t="s">
        <v>1211</v>
      </c>
      <c r="BL425" s="41" t="s">
        <v>401</v>
      </c>
      <c r="BM425" s="39" t="s">
        <v>1214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hidden="1" customHeight="1" x14ac:dyDescent="0.2">
      <c r="A426" s="30">
        <v>2652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Parents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190</v>
      </c>
      <c r="BK426" s="30" t="s">
        <v>1211</v>
      </c>
      <c r="BL426" s="41" t="s">
        <v>618</v>
      </c>
      <c r="BM426" s="39" t="s">
        <v>1215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hidden="1" customHeight="1" x14ac:dyDescent="0.2">
      <c r="A427" s="30">
        <v>2653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Kitchen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204</v>
      </c>
      <c r="BK427" s="30" t="s">
        <v>1211</v>
      </c>
      <c r="BL427" s="41" t="s">
        <v>696</v>
      </c>
      <c r="BM427" s="39" t="s">
        <v>1216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hidden="1" customHeight="1" x14ac:dyDescent="0.2">
      <c r="A428" s="30">
        <v>2654</v>
      </c>
      <c r="B428" s="30" t="s">
        <v>26</v>
      </c>
      <c r="C428" s="30" t="s">
        <v>233</v>
      </c>
      <c r="D428" s="30" t="s">
        <v>144</v>
      </c>
      <c r="E428" s="30" t="s">
        <v>589</v>
      </c>
      <c r="F428" s="36" t="str">
        <f>IF(ISBLANK(Table2[[#This Row],[unique_id]]), "", PROPER(SUBSTITUTE(Table2[[#This Row],[unique_id]], "_", " ")))</f>
        <v>Office Home</v>
      </c>
      <c r="G428" s="30" t="s">
        <v>590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210</v>
      </c>
      <c r="BK428" s="30" t="s">
        <v>1211</v>
      </c>
      <c r="BL428" s="41" t="s">
        <v>399</v>
      </c>
      <c r="BM428" s="39" t="s">
        <v>1217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hidden="1" customHeight="1" x14ac:dyDescent="0.2">
      <c r="A429" s="30">
        <v>2655</v>
      </c>
      <c r="B429" s="30" t="s">
        <v>26</v>
      </c>
      <c r="C429" s="30" t="s">
        <v>233</v>
      </c>
      <c r="D429" s="30" t="s">
        <v>144</v>
      </c>
      <c r="E429" s="30" t="s">
        <v>621</v>
      </c>
      <c r="F429" s="36" t="str">
        <f>IF(ISBLANK(Table2[[#This Row],[unique_id]]), "", PROPER(SUBSTITUTE(Table2[[#This Row],[unique_id]], "_", " ")))</f>
        <v>Lounge Home</v>
      </c>
      <c r="G429" s="30" t="s">
        <v>622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192</v>
      </c>
      <c r="BK429" s="30" t="s">
        <v>1211</v>
      </c>
      <c r="BL429" s="41" t="s">
        <v>400</v>
      </c>
      <c r="BM429" s="39" t="s">
        <v>1218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hidden="1" customHeight="1" x14ac:dyDescent="0.2">
      <c r="A430" s="30">
        <v>2656</v>
      </c>
      <c r="B430" s="30" t="s">
        <v>26</v>
      </c>
      <c r="C430" s="30" t="s">
        <v>233</v>
      </c>
      <c r="D430" s="30" t="s">
        <v>144</v>
      </c>
      <c r="E430" s="30" t="s">
        <v>786</v>
      </c>
      <c r="F430" s="36" t="str">
        <f>IF(ISBLANK(Table2[[#This Row],[unique_id]]), "", PROPER(SUBSTITUTE(Table2[[#This Row],[unique_id]], "_", " ")))</f>
        <v>Ada Tablet</v>
      </c>
      <c r="G430" s="30" t="s">
        <v>787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787</v>
      </c>
      <c r="BC430" s="30" t="s">
        <v>1010</v>
      </c>
      <c r="BD430" s="30" t="s">
        <v>233</v>
      </c>
      <c r="BF430" s="30" t="s">
        <v>789</v>
      </c>
      <c r="BG430" s="30" t="s">
        <v>192</v>
      </c>
      <c r="BK430" s="30" t="s">
        <v>1211</v>
      </c>
      <c r="BL430" s="41" t="s">
        <v>1190</v>
      </c>
      <c r="BM430" s="39" t="s">
        <v>1219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hidden="1" customHeight="1" x14ac:dyDescent="0.2">
      <c r="A431" s="30">
        <v>2657</v>
      </c>
      <c r="B431" s="30" t="s">
        <v>26</v>
      </c>
      <c r="C431" s="30" t="s">
        <v>233</v>
      </c>
      <c r="D431" s="30" t="s">
        <v>144</v>
      </c>
      <c r="E431" s="30" t="s">
        <v>790</v>
      </c>
      <c r="F431" s="36" t="str">
        <f>IF(ISBLANK(Table2[[#This Row],[unique_id]]), "", PROPER(SUBSTITUTE(Table2[[#This Row],[unique_id]], "_", " ")))</f>
        <v>Edwin Tablet</v>
      </c>
      <c r="G431" s="30" t="s">
        <v>791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791</v>
      </c>
      <c r="BC431" s="30" t="s">
        <v>1010</v>
      </c>
      <c r="BD431" s="30" t="s">
        <v>233</v>
      </c>
      <c r="BF431" s="30" t="s">
        <v>789</v>
      </c>
      <c r="BG431" s="30" t="s">
        <v>204</v>
      </c>
      <c r="BK431" s="30" t="s">
        <v>1211</v>
      </c>
      <c r="BL431" s="41" t="s">
        <v>1191</v>
      </c>
      <c r="BM431" s="39" t="s">
        <v>1222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hidden="1" customHeight="1" x14ac:dyDescent="0.2">
      <c r="A432" s="30">
        <v>2658</v>
      </c>
      <c r="B432" s="30" t="s">
        <v>26</v>
      </c>
      <c r="C432" s="30" t="s">
        <v>562</v>
      </c>
      <c r="D432" s="30" t="s">
        <v>144</v>
      </c>
      <c r="E432" s="30" t="s">
        <v>586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946</v>
      </c>
      <c r="BC432" s="30" t="s">
        <v>565</v>
      </c>
      <c r="BD432" s="30" t="s">
        <v>562</v>
      </c>
      <c r="BF432" s="30" t="s">
        <v>564</v>
      </c>
      <c r="BG432" s="30" t="s">
        <v>192</v>
      </c>
      <c r="BK432" s="30" t="s">
        <v>1211</v>
      </c>
      <c r="BL432" s="41" t="s">
        <v>563</v>
      </c>
      <c r="BM432" s="39" t="s">
        <v>1220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hidden="1" customHeight="1" x14ac:dyDescent="0.2">
      <c r="A433" s="30">
        <v>2659</v>
      </c>
      <c r="B433" s="30" t="s">
        <v>561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946</v>
      </c>
      <c r="BC433" s="30" t="s">
        <v>1003</v>
      </c>
      <c r="BD433" s="30" t="s">
        <v>262</v>
      </c>
      <c r="BF433" s="30" t="s">
        <v>379</v>
      </c>
      <c r="BG433" s="30" t="s">
        <v>190</v>
      </c>
      <c r="BK433" s="30" t="s">
        <v>1211</v>
      </c>
      <c r="BL433" s="41" t="s">
        <v>381</v>
      </c>
      <c r="BM433" s="39" t="s">
        <v>1221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hidden="1" customHeight="1" x14ac:dyDescent="0.2">
      <c r="A434" s="30">
        <v>2660</v>
      </c>
      <c r="B434" s="30" t="s">
        <v>561</v>
      </c>
      <c r="C434" s="30" t="s">
        <v>233</v>
      </c>
      <c r="D434" s="30" t="s">
        <v>144</v>
      </c>
      <c r="E434" s="30" t="s">
        <v>666</v>
      </c>
      <c r="F434" s="36" t="str">
        <f>IF(ISBLANK(Table2[[#This Row],[unique_id]]), "", PROPER(SUBSTITUTE(Table2[[#This Row],[unique_id]], "_", " ")))</f>
        <v>Office Tv</v>
      </c>
      <c r="G434" s="30" t="s">
        <v>667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946</v>
      </c>
      <c r="BC434" s="30" t="s">
        <v>374</v>
      </c>
      <c r="BD434" s="30" t="s">
        <v>233</v>
      </c>
      <c r="BF434" s="30" t="s">
        <v>375</v>
      </c>
      <c r="BG434" s="30" t="s">
        <v>210</v>
      </c>
      <c r="BK434" s="30" t="s">
        <v>1211</v>
      </c>
      <c r="BL434" s="41" t="s">
        <v>403</v>
      </c>
      <c r="BM434" s="39" t="s">
        <v>1223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hidden="1" customHeight="1" x14ac:dyDescent="0.2">
      <c r="A435" s="30">
        <v>2661</v>
      </c>
      <c r="B435" s="30" t="s">
        <v>26</v>
      </c>
      <c r="C435" s="30" t="s">
        <v>422</v>
      </c>
      <c r="D435" s="30" t="s">
        <v>315</v>
      </c>
      <c r="E435" s="30" t="s">
        <v>314</v>
      </c>
      <c r="F435" s="36" t="str">
        <f>IF(ISBLANK(Table2[[#This Row],[unique_id]]), "", PROPER(SUBSTITUTE(Table2[[#This Row],[unique_id]], "_", " ")))</f>
        <v>Column Break</v>
      </c>
      <c r="G435" s="30" t="s">
        <v>311</v>
      </c>
      <c r="H435" s="30" t="s">
        <v>711</v>
      </c>
      <c r="I435" s="30" t="s">
        <v>143</v>
      </c>
      <c r="M435" s="30" t="s">
        <v>312</v>
      </c>
      <c r="N435" s="30" t="s">
        <v>313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hidden="1" customHeight="1" x14ac:dyDescent="0.2">
      <c r="A436" s="30">
        <v>2662</v>
      </c>
      <c r="B436" s="30" t="s">
        <v>26</v>
      </c>
      <c r="C436" s="30" t="s">
        <v>180</v>
      </c>
      <c r="D436" s="30" t="s">
        <v>144</v>
      </c>
      <c r="E436" s="30" t="s">
        <v>700</v>
      </c>
      <c r="F436" s="36" t="str">
        <f>IF(ISBLANK(Table2[[#This Row],[unique_id]]), "", PROPER(SUBSTITUTE(Table2[[#This Row],[unique_id]], "_", " ")))</f>
        <v>Lounge Arc</v>
      </c>
      <c r="G436" s="30" t="s">
        <v>703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566</v>
      </c>
      <c r="BC436" s="30" t="s">
        <v>1006</v>
      </c>
      <c r="BD436" s="30" t="s">
        <v>180</v>
      </c>
      <c r="BF436" s="30">
        <v>15.4</v>
      </c>
      <c r="BG436" s="30" t="s">
        <v>192</v>
      </c>
      <c r="BK436" s="30" t="s">
        <v>1211</v>
      </c>
      <c r="BL436" s="30" t="s">
        <v>567</v>
      </c>
      <c r="BM436" s="39" t="s">
        <v>1224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hidden="1" customHeight="1" x14ac:dyDescent="0.2">
      <c r="A437" s="30">
        <v>2663</v>
      </c>
      <c r="B437" s="30" t="s">
        <v>561</v>
      </c>
      <c r="C437" s="30" t="s">
        <v>774</v>
      </c>
      <c r="D437" s="30" t="s">
        <v>147</v>
      </c>
      <c r="E437" s="30" t="s">
        <v>776</v>
      </c>
      <c r="F437" s="36" t="str">
        <f>IF(ISBLANK(Table2[[#This Row],[unique_id]]), "", PROPER(SUBSTITUTE(Table2[[#This Row],[unique_id]], "_", " ")))</f>
        <v>Template Kitchen Move Proxy</v>
      </c>
      <c r="G437" s="30" t="s">
        <v>704</v>
      </c>
      <c r="H437" s="30" t="s">
        <v>711</v>
      </c>
      <c r="I437" s="30" t="s">
        <v>143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 t="s">
        <v>779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hidden="1" customHeight="1" x14ac:dyDescent="0.2">
      <c r="A438" s="30">
        <v>2664</v>
      </c>
      <c r="B438" s="30" t="s">
        <v>26</v>
      </c>
      <c r="C438" s="30" t="s">
        <v>180</v>
      </c>
      <c r="D438" s="30" t="s">
        <v>144</v>
      </c>
      <c r="E438" s="30" t="s">
        <v>699</v>
      </c>
      <c r="F438" s="36" t="str">
        <f>IF(ISBLANK(Table2[[#This Row],[unique_id]]), "", PROPER(SUBSTITUTE(Table2[[#This Row],[unique_id]], "_", " ")))</f>
        <v>Kitchen Move</v>
      </c>
      <c r="G438" s="30" t="s">
        <v>704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0" t="s">
        <v>350</v>
      </c>
      <c r="BM438" s="39" t="s">
        <v>1225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hidden="1" customHeight="1" x14ac:dyDescent="0.2">
      <c r="A439" s="30">
        <v>2665</v>
      </c>
      <c r="B439" s="30" t="s">
        <v>26</v>
      </c>
      <c r="C439" s="30" t="s">
        <v>180</v>
      </c>
      <c r="D439" s="30" t="s">
        <v>144</v>
      </c>
      <c r="E439" s="30" t="s">
        <v>698</v>
      </c>
      <c r="F439" s="36" t="str">
        <f>IF(ISBLANK(Table2[[#This Row],[unique_id]]), "", PROPER(SUBSTITUTE(Table2[[#This Row],[unique_id]], "_", " ")))</f>
        <v>Kitchen Five</v>
      </c>
      <c r="G439" s="30" t="s">
        <v>705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778</v>
      </c>
      <c r="BC439" s="30" t="s">
        <v>1005</v>
      </c>
      <c r="BD439" s="30" t="s">
        <v>180</v>
      </c>
      <c r="BF439" s="30">
        <v>15.4</v>
      </c>
      <c r="BG439" s="30" t="s">
        <v>204</v>
      </c>
      <c r="BK439" s="30" t="s">
        <v>1211</v>
      </c>
      <c r="BL439" s="37" t="s">
        <v>349</v>
      </c>
      <c r="BM439" s="39" t="s">
        <v>1226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hidden="1" customHeight="1" x14ac:dyDescent="0.2">
      <c r="A440" s="30">
        <v>2666</v>
      </c>
      <c r="B440" s="30" t="s">
        <v>561</v>
      </c>
      <c r="C440" s="30" t="s">
        <v>774</v>
      </c>
      <c r="D440" s="30" t="s">
        <v>147</v>
      </c>
      <c r="E440" s="30" t="s">
        <v>777</v>
      </c>
      <c r="F440" s="36" t="str">
        <f>IF(ISBLANK(Table2[[#This Row],[unique_id]]), "", PROPER(SUBSTITUTE(Table2[[#This Row],[unique_id]], "_", " ")))</f>
        <v>Template Parents Move Proxy</v>
      </c>
      <c r="G440" s="30" t="s">
        <v>706</v>
      </c>
      <c r="H440" s="30" t="s">
        <v>711</v>
      </c>
      <c r="I440" s="30" t="s">
        <v>143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 t="s">
        <v>779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hidden="1" customHeight="1" x14ac:dyDescent="0.2">
      <c r="A441" s="30">
        <v>2667</v>
      </c>
      <c r="B441" s="30" t="s">
        <v>26</v>
      </c>
      <c r="C441" s="30" t="s">
        <v>180</v>
      </c>
      <c r="D441" s="30" t="s">
        <v>144</v>
      </c>
      <c r="E441" s="30" t="s">
        <v>697</v>
      </c>
      <c r="F441" s="36" t="str">
        <f>IF(ISBLANK(Table2[[#This Row],[unique_id]]), "", PROPER(SUBSTITUTE(Table2[[#This Row],[unique_id]], "_", " ")))</f>
        <v>Parents Move</v>
      </c>
      <c r="G441" s="30" t="s">
        <v>706</v>
      </c>
      <c r="H441" s="30" t="s">
        <v>711</v>
      </c>
      <c r="I441" s="30" t="s">
        <v>143</v>
      </c>
      <c r="M441" s="30" t="s">
        <v>135</v>
      </c>
      <c r="N441" s="30" t="s">
        <v>268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K441" s="30" t="s">
        <v>1211</v>
      </c>
      <c r="BL441" s="30" t="s">
        <v>348</v>
      </c>
      <c r="BM441" s="39" t="s">
        <v>1227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hidden="1" customHeight="1" x14ac:dyDescent="0.2">
      <c r="A442" s="30">
        <v>2668</v>
      </c>
      <c r="B442" s="30" t="s">
        <v>26</v>
      </c>
      <c r="C442" s="30" t="s">
        <v>262</v>
      </c>
      <c r="D442" s="30" t="s">
        <v>144</v>
      </c>
      <c r="E442" s="30" t="s">
        <v>1270</v>
      </c>
      <c r="F442" s="36" t="str">
        <f>IF(ISBLANK(Table2[[#This Row],[unique_id]]), "", PROPER(SUBSTITUTE(Table2[[#This Row],[unique_id]], "_", " ")))</f>
        <v>Parents Homepod</v>
      </c>
      <c r="G442" s="30" t="s">
        <v>1271</v>
      </c>
      <c r="H442" s="30" t="s">
        <v>711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1272</v>
      </c>
      <c r="BC442" s="30" t="s">
        <v>1007</v>
      </c>
      <c r="BD442" s="30" t="s">
        <v>262</v>
      </c>
      <c r="BF442" s="30" t="s">
        <v>379</v>
      </c>
      <c r="BG442" s="30" t="s">
        <v>190</v>
      </c>
      <c r="BK442" s="30" t="s">
        <v>1211</v>
      </c>
      <c r="BL442" s="41" t="s">
        <v>382</v>
      </c>
      <c r="BM442" s="39" t="s">
        <v>1228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hidden="1" customHeight="1" x14ac:dyDescent="0.2">
      <c r="A443" s="30">
        <v>2700</v>
      </c>
      <c r="B443" s="30" t="s">
        <v>26</v>
      </c>
      <c r="C443" s="30" t="s">
        <v>149</v>
      </c>
      <c r="D443" s="30" t="s">
        <v>292</v>
      </c>
      <c r="E443" s="30" t="s">
        <v>634</v>
      </c>
      <c r="F443" s="36" t="str">
        <f>IF(ISBLANK(Table2[[#This Row],[unique_id]]), "", PROPER(SUBSTITUTE(Table2[[#This Row],[unique_id]], "_", " ")))</f>
        <v>Back Door Lock Security</v>
      </c>
      <c r="G443" s="30" t="s">
        <v>630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645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647</v>
      </c>
      <c r="F444" s="36" t="str">
        <f>IF(ISBLANK(Table2[[#This Row],[unique_id]]), "", PROPER(SUBSTITUTE(Table2[[#This Row],[unique_id]], "_", " ")))</f>
        <v>Template Back Door State</v>
      </c>
      <c r="G444" s="30" t="s">
        <v>272</v>
      </c>
      <c r="H444" s="30" t="s">
        <v>612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hidden="1" customHeight="1" x14ac:dyDescent="0.2">
      <c r="A445" s="30">
        <v>2702</v>
      </c>
      <c r="B445" s="30" t="s">
        <v>26</v>
      </c>
      <c r="C445" s="30" t="s">
        <v>603</v>
      </c>
      <c r="D445" s="30" t="s">
        <v>606</v>
      </c>
      <c r="E445" s="30" t="s">
        <v>607</v>
      </c>
      <c r="F445" s="36" t="str">
        <f>IF(ISBLANK(Table2[[#This Row],[unique_id]]), "", PROPER(SUBSTITUTE(Table2[[#This Row],[unique_id]], "_", " ")))</f>
        <v>Back Door Lock</v>
      </c>
      <c r="G445" s="30" t="s">
        <v>649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997</v>
      </c>
      <c r="BC445" s="30" t="s">
        <v>604</v>
      </c>
      <c r="BD445" s="30" t="s">
        <v>603</v>
      </c>
      <c r="BF445" s="30" t="s">
        <v>605</v>
      </c>
      <c r="BG445" s="30" t="s">
        <v>612</v>
      </c>
      <c r="BL445" s="30" t="s">
        <v>602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hidden="1" customHeight="1" x14ac:dyDescent="0.2">
      <c r="A446" s="30">
        <v>2703</v>
      </c>
      <c r="B446" s="30" t="s">
        <v>26</v>
      </c>
      <c r="C446" s="30" t="s">
        <v>316</v>
      </c>
      <c r="D446" s="30" t="s">
        <v>147</v>
      </c>
      <c r="E446" s="30" t="s">
        <v>640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648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1001</v>
      </c>
      <c r="BC446" s="37" t="s">
        <v>623</v>
      </c>
      <c r="BD446" s="30" t="s">
        <v>1075</v>
      </c>
      <c r="BF446" s="30" t="s">
        <v>605</v>
      </c>
      <c r="BG446" s="30" t="s">
        <v>612</v>
      </c>
      <c r="BL446" s="30" t="s">
        <v>625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hidden="1" customHeight="1" x14ac:dyDescent="0.2">
      <c r="A447" s="30">
        <v>2704</v>
      </c>
      <c r="B447" s="30" t="s">
        <v>561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612</v>
      </c>
      <c r="H447" s="30" t="s">
        <v>620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hidden="1" customHeight="1" x14ac:dyDescent="0.2">
      <c r="A448" s="30">
        <v>2705</v>
      </c>
      <c r="B448" s="30" t="s">
        <v>26</v>
      </c>
      <c r="C448" s="30" t="s">
        <v>149</v>
      </c>
      <c r="D448" s="30" t="s">
        <v>292</v>
      </c>
      <c r="E448" s="30" t="s">
        <v>635</v>
      </c>
      <c r="F448" s="36" t="str">
        <f>IF(ISBLANK(Table2[[#This Row],[unique_id]]), "", PROPER(SUBSTITUTE(Table2[[#This Row],[unique_id]], "_", " ")))</f>
        <v>Front Door Lock Security</v>
      </c>
      <c r="G448" s="30" t="s">
        <v>630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645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646</v>
      </c>
      <c r="F449" s="36" t="str">
        <f>IF(ISBLANK(Table2[[#This Row],[unique_id]]), "", PROPER(SUBSTITUTE(Table2[[#This Row],[unique_id]], "_", " ")))</f>
        <v>Template Front Door State</v>
      </c>
      <c r="G449" s="30" t="s">
        <v>272</v>
      </c>
      <c r="H449" s="30" t="s">
        <v>611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hidden="1" customHeight="1" x14ac:dyDescent="0.2">
      <c r="A450" s="30">
        <v>2707</v>
      </c>
      <c r="B450" s="30" t="s">
        <v>26</v>
      </c>
      <c r="C450" s="30" t="s">
        <v>603</v>
      </c>
      <c r="D450" s="30" t="s">
        <v>606</v>
      </c>
      <c r="E450" s="30" t="s">
        <v>608</v>
      </c>
      <c r="F450" s="36" t="str">
        <f>IF(ISBLANK(Table2[[#This Row],[unique_id]]), "", PROPER(SUBSTITUTE(Table2[[#This Row],[unique_id]], "_", " ")))</f>
        <v>Front Door Lock</v>
      </c>
      <c r="G450" s="30" t="s">
        <v>649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997</v>
      </c>
      <c r="BC450" s="30" t="s">
        <v>604</v>
      </c>
      <c r="BD450" s="30" t="s">
        <v>603</v>
      </c>
      <c r="BF450" s="30" t="s">
        <v>605</v>
      </c>
      <c r="BG450" s="30" t="s">
        <v>611</v>
      </c>
      <c r="BL450" s="30" t="s">
        <v>609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hidden="1" customHeight="1" x14ac:dyDescent="0.2">
      <c r="A451" s="30">
        <v>2708</v>
      </c>
      <c r="B451" s="30" t="s">
        <v>26</v>
      </c>
      <c r="C451" s="30" t="s">
        <v>316</v>
      </c>
      <c r="D451" s="30" t="s">
        <v>147</v>
      </c>
      <c r="E451" s="30" t="s">
        <v>639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648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1001</v>
      </c>
      <c r="BC451" s="37" t="s">
        <v>623</v>
      </c>
      <c r="BD451" s="30" t="s">
        <v>1075</v>
      </c>
      <c r="BF451" s="30" t="s">
        <v>605</v>
      </c>
      <c r="BG451" s="30" t="s">
        <v>611</v>
      </c>
      <c r="BL451" s="30" t="s">
        <v>624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hidden="1" customHeight="1" x14ac:dyDescent="0.2">
      <c r="A452" s="30">
        <v>2709</v>
      </c>
      <c r="B452" s="30" t="s">
        <v>561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611</v>
      </c>
      <c r="H452" s="30" t="s">
        <v>619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581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hidden="1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580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582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583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584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585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2716</v>
      </c>
      <c r="B459" s="30" t="s">
        <v>26</v>
      </c>
      <c r="C459" s="30" t="s">
        <v>422</v>
      </c>
      <c r="D459" s="30" t="s">
        <v>315</v>
      </c>
      <c r="E459" s="30" t="s">
        <v>314</v>
      </c>
      <c r="F459" s="36" t="str">
        <f>IF(ISBLANK(Table2[[#This Row],[unique_id]]), "", PROPER(SUBSTITUTE(Table2[[#This Row],[unique_id]], "_", " ")))</f>
        <v>Column Break</v>
      </c>
      <c r="G459" s="30" t="s">
        <v>311</v>
      </c>
      <c r="H459" s="30" t="s">
        <v>614</v>
      </c>
      <c r="I459" s="30" t="s">
        <v>207</v>
      </c>
      <c r="M459" s="30" t="s">
        <v>312</v>
      </c>
      <c r="N459" s="30" t="s">
        <v>313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610</v>
      </c>
      <c r="H460" s="30" t="s">
        <v>614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1283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616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367</v>
      </c>
      <c r="BD461" s="30" t="s">
        <v>232</v>
      </c>
      <c r="BF461" s="30" t="s">
        <v>368</v>
      </c>
      <c r="BG461" s="30" t="s">
        <v>129</v>
      </c>
      <c r="BK461" s="30" t="s">
        <v>1212</v>
      </c>
      <c r="BL461" s="30" t="s">
        <v>365</v>
      </c>
      <c r="BM461" s="30" t="s">
        <v>1267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hidden="1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610</v>
      </c>
      <c r="H462" s="30" t="s">
        <v>613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1284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615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1383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367</v>
      </c>
      <c r="BD463" s="30" t="s">
        <v>232</v>
      </c>
      <c r="BF463" s="30" t="s">
        <v>368</v>
      </c>
      <c r="BG463" s="30" t="s">
        <v>126</v>
      </c>
      <c r="BK463" s="30" t="s">
        <v>1212</v>
      </c>
      <c r="BL463" s="30" t="s">
        <v>366</v>
      </c>
      <c r="BM463" s="30" t="s">
        <v>1268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hidden="1" customHeight="1" x14ac:dyDescent="0.2">
      <c r="A464" s="30">
        <v>2721</v>
      </c>
      <c r="B464" s="30" t="s">
        <v>26</v>
      </c>
      <c r="C464" s="30" t="s">
        <v>422</v>
      </c>
      <c r="D464" s="30" t="s">
        <v>315</v>
      </c>
      <c r="E464" s="30" t="s">
        <v>314</v>
      </c>
      <c r="F464" s="36" t="str">
        <f>IF(ISBLANK(Table2[[#This Row],[unique_id]]), "", PROPER(SUBSTITUTE(Table2[[#This Row],[unique_id]], "_", " ")))</f>
        <v>Column Break</v>
      </c>
      <c r="G464" s="30" t="s">
        <v>311</v>
      </c>
      <c r="H464" s="30" t="s">
        <v>615</v>
      </c>
      <c r="I464" s="30" t="s">
        <v>207</v>
      </c>
      <c r="M464" s="30" t="s">
        <v>312</v>
      </c>
      <c r="N464" s="30" t="s">
        <v>313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1384</v>
      </c>
      <c r="BA465" s="30" t="str">
        <f>IF(ISBLANK(Table2[[#This Row],[device_model]]), "", Table2[[#This Row],[device_suggested_area]])</f>
        <v>Rack</v>
      </c>
      <c r="BC465" s="30" t="s">
        <v>993</v>
      </c>
      <c r="BD465" s="30" t="s">
        <v>232</v>
      </c>
      <c r="BF465" s="30" t="s">
        <v>384</v>
      </c>
      <c r="BG465" s="30" t="s">
        <v>28</v>
      </c>
      <c r="BK465" s="30" t="s">
        <v>1205</v>
      </c>
      <c r="BL465" s="30" t="s">
        <v>387</v>
      </c>
      <c r="BM465" s="30" t="s">
        <v>1206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hidden="1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990</v>
      </c>
      <c r="BD466" s="30" t="s">
        <v>232</v>
      </c>
      <c r="BF466" s="30" t="s">
        <v>591</v>
      </c>
      <c r="BG466" s="30" t="s">
        <v>28</v>
      </c>
      <c r="BK466" s="30" t="s">
        <v>1205</v>
      </c>
      <c r="BL466" s="30" t="s">
        <v>592</v>
      </c>
      <c r="BM466" s="30" t="s">
        <v>1207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hidden="1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991</v>
      </c>
      <c r="BD467" s="30" t="s">
        <v>232</v>
      </c>
      <c r="BF467" s="30" t="s">
        <v>1031</v>
      </c>
      <c r="BG467" s="30" t="s">
        <v>210</v>
      </c>
      <c r="BK467" s="30" t="s">
        <v>1205</v>
      </c>
      <c r="BL467" s="30" t="s">
        <v>388</v>
      </c>
      <c r="BM467" s="30" t="s">
        <v>1421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hidden="1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1385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1420</v>
      </c>
      <c r="BD468" s="30" t="s">
        <v>232</v>
      </c>
      <c r="BF468" s="30" t="s">
        <v>1031</v>
      </c>
      <c r="BG468" s="30" t="s">
        <v>385</v>
      </c>
      <c r="BK468" s="30" t="s">
        <v>1205</v>
      </c>
      <c r="BL468" s="30" t="s">
        <v>1422</v>
      </c>
      <c r="BM468" s="30" t="s">
        <v>1208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hidden="1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1328</v>
      </c>
      <c r="BD469" s="30" t="s">
        <v>232</v>
      </c>
      <c r="BF469" s="30" t="s">
        <v>1030</v>
      </c>
      <c r="BG469" s="30" t="s">
        <v>386</v>
      </c>
      <c r="BK469" s="30" t="s">
        <v>1205</v>
      </c>
      <c r="BL469" s="30" t="s">
        <v>1327</v>
      </c>
      <c r="BM469" s="30" t="s">
        <v>1209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hidden="1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992</v>
      </c>
      <c r="BD470" s="30" t="s">
        <v>232</v>
      </c>
      <c r="BF470" s="30" t="s">
        <v>1030</v>
      </c>
      <c r="BG470" s="30" t="s">
        <v>1379</v>
      </c>
      <c r="BK470" s="30" t="s">
        <v>1205</v>
      </c>
      <c r="BL470" s="30" t="s">
        <v>1381</v>
      </c>
      <c r="BM470" s="30" t="s">
        <v>1210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hidden="1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1386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992</v>
      </c>
      <c r="BD471" s="30" t="s">
        <v>232</v>
      </c>
      <c r="BF471" s="30" t="s">
        <v>1030</v>
      </c>
      <c r="BG471" s="30" t="s">
        <v>1378</v>
      </c>
      <c r="BK471" s="30" t="s">
        <v>1205</v>
      </c>
      <c r="BL471" s="30" t="s">
        <v>389</v>
      </c>
      <c r="BM471" s="30" t="s">
        <v>1380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hidden="1" customHeight="1" x14ac:dyDescent="0.2">
      <c r="A472" s="30">
        <v>5007</v>
      </c>
      <c r="B472" s="39" t="s">
        <v>561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1324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1323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hidden="1" customHeight="1" x14ac:dyDescent="0.2">
      <c r="A473" s="30">
        <v>5008</v>
      </c>
      <c r="B473" s="39" t="s">
        <v>561</v>
      </c>
      <c r="C473" s="39" t="s">
        <v>1313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1314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1313</v>
      </c>
      <c r="BA473" s="30" t="str">
        <f>IF(ISBLANK(Table2[[#This Row],[device_model]]), "", Table2[[#This Row],[device_suggested_area]])</f>
        <v>Rack</v>
      </c>
      <c r="BB473" s="30" t="s">
        <v>989</v>
      </c>
      <c r="BC473" s="30" t="s">
        <v>1315</v>
      </c>
      <c r="BD473" s="30" t="s">
        <v>1313</v>
      </c>
      <c r="BF473" s="30" t="s">
        <v>1321</v>
      </c>
      <c r="BG473" s="30" t="s">
        <v>28</v>
      </c>
      <c r="BL473" s="41"/>
      <c r="BM473" s="30" t="s">
        <v>1316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hidden="1" customHeight="1" x14ac:dyDescent="0.2">
      <c r="A474" s="30">
        <v>5009</v>
      </c>
      <c r="B474" s="39" t="s">
        <v>561</v>
      </c>
      <c r="C474" s="39" t="s">
        <v>1317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1318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1317</v>
      </c>
      <c r="BA474" s="30" t="str">
        <f>IF(ISBLANK(Table2[[#This Row],[device_model]]), "", Table2[[#This Row],[device_suggested_area]])</f>
        <v>Rack</v>
      </c>
      <c r="BB474" s="30" t="s">
        <v>1319</v>
      </c>
      <c r="BC474" s="30" t="s">
        <v>1320</v>
      </c>
      <c r="BD474" s="30" t="s">
        <v>1317</v>
      </c>
      <c r="BF474" s="30" t="s">
        <v>1321</v>
      </c>
      <c r="BG474" s="30" t="s">
        <v>28</v>
      </c>
      <c r="BL474" s="41"/>
      <c r="BM474" s="30" t="s">
        <v>1322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hidden="1" customHeight="1" x14ac:dyDescent="0.2">
      <c r="A475" s="30">
        <v>5010</v>
      </c>
      <c r="B475" s="39" t="s">
        <v>561</v>
      </c>
      <c r="C475" s="39" t="s">
        <v>369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994</v>
      </c>
      <c r="BA475" s="30" t="str">
        <f>IF(ISBLANK(Table2[[#This Row],[device_model]]), "", Table2[[#This Row],[device_suggested_area]])</f>
        <v>Rack</v>
      </c>
      <c r="BB475" s="30" t="s">
        <v>369</v>
      </c>
      <c r="BC475" s="30" t="s">
        <v>370</v>
      </c>
      <c r="BD475" s="30" t="s">
        <v>372</v>
      </c>
      <c r="BF475" s="30" t="s">
        <v>371</v>
      </c>
      <c r="BG475" s="30" t="s">
        <v>28</v>
      </c>
      <c r="BK475" s="30" t="s">
        <v>1211</v>
      </c>
      <c r="BL475" s="41" t="s">
        <v>414</v>
      </c>
      <c r="BM475" s="30" t="s">
        <v>1229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hidden="1" customHeight="1" x14ac:dyDescent="0.2">
      <c r="A476" s="30">
        <v>5011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ref="AJ476:AJ481" si="1">IF(ISBLANK(AI476),  "", _xlfn.CONCAT("haas/entity/sensor/", LOWER(C476), "/", E476, "/config"))</f>
        <v/>
      </c>
      <c r="AK476" s="30" t="str">
        <f t="shared" ref="AK476:AK481" si="2"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Wardrobe</v>
      </c>
      <c r="BB476" s="30" t="s">
        <v>1404</v>
      </c>
      <c r="BC476" s="30" t="s">
        <v>1000</v>
      </c>
      <c r="BD476" s="30" t="s">
        <v>536</v>
      </c>
      <c r="BF476" s="62" t="s">
        <v>1408</v>
      </c>
      <c r="BG476" s="30" t="s">
        <v>477</v>
      </c>
      <c r="BK476" s="30" t="s">
        <v>383</v>
      </c>
      <c r="BL476" s="30" t="s">
        <v>535</v>
      </c>
      <c r="BM476" s="30" t="s">
        <v>1204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hidden="1" customHeight="1" x14ac:dyDescent="0.2">
      <c r="A477" s="30">
        <v>5012</v>
      </c>
      <c r="B477" s="39" t="s">
        <v>561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Guildford</v>
      </c>
      <c r="BB477" s="30" t="s">
        <v>1406</v>
      </c>
      <c r="BC477" s="30" t="s">
        <v>1407</v>
      </c>
      <c r="BD477" s="30" t="s">
        <v>536</v>
      </c>
      <c r="BF477" s="62" t="s">
        <v>1408</v>
      </c>
      <c r="BG477" s="30" t="s">
        <v>1405</v>
      </c>
      <c r="BL477" s="30" t="s">
        <v>1412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hidden="1" customHeight="1" x14ac:dyDescent="0.2">
      <c r="A478" s="30">
        <v>5013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1409</v>
      </c>
      <c r="BC478" s="30" t="s">
        <v>1410</v>
      </c>
      <c r="BD478" s="30" t="s">
        <v>262</v>
      </c>
      <c r="BF478" s="62" t="s">
        <v>1414</v>
      </c>
      <c r="BG478" s="30" t="s">
        <v>28</v>
      </c>
      <c r="BK478" s="30" t="s">
        <v>383</v>
      </c>
      <c r="BL478" s="41" t="s">
        <v>1413</v>
      </c>
      <c r="BM478" s="30" t="s">
        <v>1200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hidden="1" customHeight="1" x14ac:dyDescent="0.2">
      <c r="A479" s="30">
        <v>5014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1411</v>
      </c>
      <c r="BC479" s="30" t="s">
        <v>998</v>
      </c>
      <c r="BD479" s="30" t="s">
        <v>262</v>
      </c>
      <c r="BF479" s="62" t="s">
        <v>1418</v>
      </c>
      <c r="BG479" s="30" t="s">
        <v>28</v>
      </c>
      <c r="BK479" s="30" t="s">
        <v>383</v>
      </c>
      <c r="BL479" s="46" t="s">
        <v>1419</v>
      </c>
      <c r="BM479" s="30" t="s">
        <v>1201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hidden="1" customHeight="1" x14ac:dyDescent="0.2">
      <c r="A480" s="30">
        <v>5015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1393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46" t="s">
        <v>1279</v>
      </c>
      <c r="BM480" s="30" t="s">
        <v>1202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hidden="1" customHeight="1" x14ac:dyDescent="0.2">
      <c r="A481" s="30">
        <v>5016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1"/>
        <v/>
      </c>
      <c r="AK481" s="30" t="str">
        <f t="shared" si="2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999</v>
      </c>
      <c r="BC481" s="30" t="s">
        <v>998</v>
      </c>
      <c r="BD481" s="30" t="s">
        <v>262</v>
      </c>
      <c r="BF481" s="62" t="s">
        <v>1408</v>
      </c>
      <c r="BG481" s="30" t="s">
        <v>28</v>
      </c>
      <c r="BK481" s="30" t="s">
        <v>383</v>
      </c>
      <c r="BL481" s="30" t="s">
        <v>569</v>
      </c>
      <c r="BM481" s="30" t="s">
        <v>1203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hidden="1" customHeight="1" x14ac:dyDescent="0.2">
      <c r="A482" s="30">
        <v>5017</v>
      </c>
      <c r="B482" s="30" t="s">
        <v>26</v>
      </c>
      <c r="C482" s="30" t="s">
        <v>364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362</v>
      </c>
      <c r="BA482" s="30" t="str">
        <f>IF(ISBLANK(Table2[[#This Row],[device_model]]), "", Table2[[#This Row],[device_suggested_area]])</f>
        <v>Rack</v>
      </c>
      <c r="BB482" s="30" t="s">
        <v>364</v>
      </c>
      <c r="BC482" s="30" t="s">
        <v>363</v>
      </c>
      <c r="BD482" s="30" t="s">
        <v>362</v>
      </c>
      <c r="BF482" s="30" t="s">
        <v>742</v>
      </c>
      <c r="BG482" s="30" t="s">
        <v>28</v>
      </c>
      <c r="BK482" s="30" t="s">
        <v>1212</v>
      </c>
      <c r="BL482" s="30" t="s">
        <v>361</v>
      </c>
      <c r="BM482" s="30" t="s">
        <v>1269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hidden="1" customHeight="1" x14ac:dyDescent="0.2">
      <c r="A483" s="30">
        <v>5018</v>
      </c>
      <c r="B483" s="30" t="s">
        <v>26</v>
      </c>
      <c r="C483" s="30" t="s">
        <v>439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471</v>
      </c>
      <c r="X483" s="31"/>
      <c r="Y483" s="42" t="s">
        <v>722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996</v>
      </c>
      <c r="BC483" s="37" t="s">
        <v>463</v>
      </c>
      <c r="BD483" s="30" t="s">
        <v>439</v>
      </c>
      <c r="BF483" s="37" t="s">
        <v>464</v>
      </c>
      <c r="BG483" s="30" t="s">
        <v>164</v>
      </c>
      <c r="BL483" s="30" t="s">
        <v>462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2026-08-20T12:58:37Z</dcterms:modified>
</cp:coreProperties>
</file>