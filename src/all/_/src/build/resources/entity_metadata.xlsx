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BADB719D-9C5A-8E41-A41D-8E45110CDCD6}" xr6:coauthVersionLast="47" xr6:coauthVersionMax="47" xr10:uidLastSave="{00000000-0000-0000-0000-000000000000}"/>
  <bookViews>
    <workbookView xWindow="9080" yWindow="1420" windowWidth="396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328" i="1" l="1"/>
  <c r="AK324" i="1"/>
  <c r="AK322" i="1"/>
  <c r="AK320" i="1"/>
  <c r="AK318" i="1"/>
  <c r="AK396" i="1"/>
  <c r="AK395" i="1"/>
  <c r="AK394" i="1"/>
  <c r="AK392" i="1"/>
  <c r="AK391" i="1"/>
  <c r="AK390" i="1"/>
  <c r="AK350" i="1"/>
  <c r="AK349" i="1"/>
  <c r="AK348" i="1"/>
  <c r="AK347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08" i="1"/>
  <c r="BA308" i="1"/>
  <c r="AW308" i="1" s="1"/>
  <c r="AV308" i="1" s="1"/>
  <c r="AM308" i="1"/>
  <c r="AL308" i="1"/>
  <c r="AK308" i="1"/>
  <c r="AJ308" i="1"/>
  <c r="F308" i="1"/>
  <c r="BN301" i="1"/>
  <c r="BA301" i="1"/>
  <c r="AW301" i="1" s="1"/>
  <c r="AV301" i="1" s="1"/>
  <c r="AM301" i="1"/>
  <c r="AL301" i="1"/>
  <c r="AK301" i="1"/>
  <c r="AJ301" i="1"/>
  <c r="F301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J328" i="1"/>
  <c r="AJ324" i="1"/>
  <c r="AJ322" i="1"/>
  <c r="AJ320" i="1"/>
  <c r="AJ318" i="1"/>
  <c r="AJ311" i="1"/>
  <c r="AJ310" i="1"/>
  <c r="AJ309" i="1"/>
  <c r="AJ293" i="1"/>
  <c r="AJ307" i="1"/>
  <c r="AJ306" i="1"/>
  <c r="AJ291" i="1"/>
  <c r="AJ305" i="1"/>
  <c r="AJ295" i="1"/>
  <c r="AJ303" i="1"/>
  <c r="AJ302" i="1"/>
  <c r="AJ300" i="1"/>
  <c r="AJ304" i="1"/>
  <c r="AJ299" i="1"/>
  <c r="AJ298" i="1"/>
  <c r="AJ297" i="1"/>
  <c r="AJ296" i="1"/>
  <c r="AJ294" i="1"/>
  <c r="AJ292" i="1"/>
  <c r="AL311" i="1"/>
  <c r="AL310" i="1"/>
  <c r="AL309" i="1"/>
  <c r="AL293" i="1"/>
  <c r="AL307" i="1"/>
  <c r="AL306" i="1"/>
  <c r="AL291" i="1"/>
  <c r="AL305" i="1"/>
  <c r="AL295" i="1"/>
  <c r="AL303" i="1"/>
  <c r="AL302" i="1"/>
  <c r="AL300" i="1"/>
  <c r="AL304" i="1"/>
  <c r="AL299" i="1"/>
  <c r="AL298" i="1"/>
  <c r="AL297" i="1"/>
  <c r="AL296" i="1"/>
  <c r="AL294" i="1"/>
  <c r="AL292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3" i="1"/>
  <c r="BA293" i="1"/>
  <c r="AW293" i="1" s="1"/>
  <c r="AM293" i="1"/>
  <c r="AK293" i="1"/>
  <c r="F293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1" i="1"/>
  <c r="BA291" i="1"/>
  <c r="AW291" i="1" s="1"/>
  <c r="AM291" i="1"/>
  <c r="AK291" i="1"/>
  <c r="F291" i="1"/>
  <c r="BN305" i="1"/>
  <c r="BA305" i="1"/>
  <c r="AW305" i="1" s="1"/>
  <c r="AM305" i="1"/>
  <c r="AK305" i="1"/>
  <c r="F305" i="1"/>
  <c r="BN295" i="1"/>
  <c r="BA295" i="1"/>
  <c r="AW295" i="1" s="1"/>
  <c r="AM295" i="1"/>
  <c r="AK295" i="1"/>
  <c r="F295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8" i="1"/>
  <c r="BA298" i="1"/>
  <c r="AW298" i="1" s="1"/>
  <c r="AV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V296" i="1" s="1"/>
  <c r="AM296" i="1"/>
  <c r="AK296" i="1"/>
  <c r="F296" i="1"/>
  <c r="BN294" i="1"/>
  <c r="BA294" i="1"/>
  <c r="AW294" i="1" s="1"/>
  <c r="AV294" i="1" s="1"/>
  <c r="AM294" i="1"/>
  <c r="AK294" i="1"/>
  <c r="F294" i="1"/>
  <c r="AK292" i="1"/>
  <c r="BA292" i="1"/>
  <c r="AW292" i="1" s="1"/>
  <c r="AV292" i="1" s="1"/>
  <c r="AM292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J392" i="1"/>
  <c r="F392" i="1"/>
  <c r="BN391" i="1"/>
  <c r="BA391" i="1"/>
  <c r="AW391" i="1" s="1"/>
  <c r="AM391" i="1"/>
  <c r="AJ391" i="1"/>
  <c r="F391" i="1"/>
  <c r="BN390" i="1"/>
  <c r="BA390" i="1"/>
  <c r="AW390" i="1" s="1"/>
  <c r="AT390" i="1"/>
  <c r="AM390" i="1"/>
  <c r="AL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J350" i="1"/>
  <c r="F350" i="1"/>
  <c r="BN349" i="1"/>
  <c r="BA349" i="1"/>
  <c r="AW349" i="1" s="1"/>
  <c r="AV349" i="1" s="1"/>
  <c r="AT349" i="1"/>
  <c r="AM349" i="1"/>
  <c r="AL349" i="1"/>
  <c r="AJ349" i="1"/>
  <c r="F349" i="1"/>
  <c r="BN348" i="1"/>
  <c r="BA348" i="1"/>
  <c r="AW348" i="1" s="1"/>
  <c r="AT348" i="1"/>
  <c r="AM348" i="1"/>
  <c r="AL348" i="1"/>
  <c r="AJ348" i="1"/>
  <c r="F348" i="1"/>
  <c r="BN347" i="1"/>
  <c r="BA347" i="1"/>
  <c r="AW347" i="1" s="1"/>
  <c r="AT347" i="1"/>
  <c r="AM347" i="1"/>
  <c r="AL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2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2" i="1"/>
  <c r="AR77" i="1"/>
  <c r="AR76" i="1"/>
  <c r="AR75" i="1"/>
  <c r="AR74" i="1"/>
  <c r="AR73" i="1"/>
  <c r="AR72" i="1"/>
  <c r="AY308" i="1" l="1"/>
  <c r="AX308" i="1"/>
  <c r="AY301" i="1"/>
  <c r="AX301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5" i="1"/>
  <c r="AX306" i="1"/>
  <c r="AX299" i="1"/>
  <c r="AX302" i="1"/>
  <c r="AX310" i="1"/>
  <c r="AX297" i="1"/>
  <c r="AX291" i="1"/>
  <c r="AY299" i="1"/>
  <c r="AY291" i="1"/>
  <c r="AY297" i="1"/>
  <c r="AY304" i="1"/>
  <c r="AY307" i="1"/>
  <c r="AX300" i="1"/>
  <c r="AY302" i="1"/>
  <c r="AX293" i="1"/>
  <c r="AY310" i="1"/>
  <c r="AY296" i="1"/>
  <c r="AY295" i="1"/>
  <c r="AV297" i="1"/>
  <c r="AX296" i="1"/>
  <c r="AY300" i="1"/>
  <c r="AY293" i="1"/>
  <c r="AY298" i="1"/>
  <c r="AY303" i="1"/>
  <c r="AX309" i="1"/>
  <c r="AY311" i="1"/>
  <c r="AX294" i="1"/>
  <c r="AY305" i="1"/>
  <c r="AX303" i="1"/>
  <c r="AX311" i="1"/>
  <c r="AX298" i="1"/>
  <c r="AX305" i="1"/>
  <c r="AY306" i="1"/>
  <c r="AY294" i="1"/>
  <c r="AX304" i="1"/>
  <c r="AX307" i="1"/>
  <c r="AY309" i="1"/>
  <c r="AV299" i="1"/>
  <c r="AV304" i="1"/>
  <c r="AV300" i="1"/>
  <c r="AV302" i="1"/>
  <c r="AV303" i="1"/>
  <c r="AV295" i="1"/>
  <c r="AV305" i="1"/>
  <c r="AV291" i="1"/>
  <c r="AV306" i="1"/>
  <c r="AV307" i="1"/>
  <c r="AV293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2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2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<sst xmlns="http://schemas.openxmlformats.org/spreadsheetml/2006/main" count="7783" uniqueCount="1531">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</sst>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>
    <filterColumn colId="26">
      <customFilters>
        <customFilter operator="notEqual" val=" "/>
      </customFilters>
    </filterColumn>
  </autoFilter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zoomScale="121" zoomScaleNormal="120" workbookViewId="0">
      <selection activeCell="AA485" sqref="AA485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hidden="1" customWidth="1"/>
    <col min="3" max="3" width="21.5" style="30" hidden="1" customWidth="1"/>
    <col min="4" max="4" width="20.6640625" style="30" hidden="1" customWidth="1"/>
    <col min="5" max="5" width="51.1640625" style="30" hidden="1" customWidth="1"/>
    <col min="6" max="6" width="55.1640625" style="30" hidden="1" customWidth="1"/>
    <col min="7" max="7" width="27.1640625" style="30" hidden="1" customWidth="1"/>
    <col min="8" max="8" width="24.5" style="30" hidden="1" customWidth="1"/>
    <col min="9" max="9" width="24.6640625" style="30" hidden="1" customWidth="1"/>
    <col min="10" max="10" width="36.6640625" style="30" hidden="1" customWidth="1"/>
    <col min="11" max="11" width="51" style="30" hidden="1" customWidth="1"/>
    <col min="12" max="12" width="25.1640625" style="30" hidden="1" customWidth="1"/>
    <col min="13" max="13" width="37.1640625" style="30" hidden="1" customWidth="1"/>
    <col min="14" max="14" width="28.5" style="30" hidden="1" customWidth="1"/>
    <col min="15" max="15" width="26" style="30" hidden="1" customWidth="1"/>
    <col min="16" max="16" width="21.83203125" style="31" hidden="1" customWidth="1"/>
    <col min="17" max="17" width="21.83203125" style="30" hidden="1" customWidth="1"/>
    <col min="18" max="18" width="22.5" style="30" hidden="1" customWidth="1"/>
    <col min="19" max="19" width="24.83203125" style="30" hidden="1" customWidth="1"/>
    <col min="20" max="20" width="26" style="30" hidden="1" customWidth="1"/>
    <col min="21" max="21" width="33.33203125" style="33" hidden="1" customWidth="1"/>
    <col min="22" max="22" width="30.6640625" style="33" hidden="1" customWidth="1"/>
    <col min="23" max="23" width="43.5" style="30" hidden="1" customWidth="1"/>
    <col min="24" max="24" width="32.1640625" style="30" hidden="1" customWidth="1"/>
    <col min="25" max="26" width="24" style="30" hidden="1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hidden="1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hidden="1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hidden="1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hidden="1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hidden="1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hidden="1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1275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1147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1516</v>
      </c>
      <c r="F291" s="30" t="str">
        <f>IF(ISBLANK(Table2[[#This Row],[unique_id]]), "", PROPER(SUBSTITUTE(Table2[[#This Row],[unique_id]], "_", " ")))</f>
        <v>Service Network</v>
      </c>
      <c r="G291" s="30" t="s">
        <v>768</v>
      </c>
      <c r="H291" s="30" t="s">
        <v>1498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1426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1463</v>
      </c>
      <c r="F292" s="30" t="str">
        <f>IF(ISBLANK(Table2[[#This Row],[unique_id]]), "", PROPER(SUBSTITUTE(Table2[[#This Row],[unique_id]], "_", " ")))</f>
        <v>Service Plex</v>
      </c>
      <c r="G292" s="30" t="s">
        <v>1149</v>
      </c>
      <c r="H292" s="30" t="s">
        <v>1498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1426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1475</v>
      </c>
      <c r="F293" s="30" t="str">
        <f>IF(ISBLANK(Table2[[#This Row],[unique_id]]), "", PROPER(SUBSTITUTE(Table2[[#This Row],[unique_id]], "_", " ")))</f>
        <v>Service Postgres</v>
      </c>
      <c r="G293" s="30" t="s">
        <v>1153</v>
      </c>
      <c r="H293" s="30" t="s">
        <v>1498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1426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1148</v>
      </c>
      <c r="D294" s="30" t="s">
        <v>133</v>
      </c>
      <c r="E294" s="30" t="s">
        <v>1464</v>
      </c>
      <c r="F294" s="30" t="str">
        <f>IF(ISBLANK(Table2[[#This Row],[unique_id]]), "", PROPER(SUBSTITUTE(Table2[[#This Row],[unique_id]], "_", " ")))</f>
        <v>Service Sabnzbd</v>
      </c>
      <c r="G294" s="30" t="s">
        <v>1481</v>
      </c>
      <c r="H294" s="30" t="s">
        <v>1498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1490</v>
      </c>
      <c r="AF294" s="30">
        <v>6</v>
      </c>
      <c r="AG294" s="31" t="s">
        <v>34</v>
      </c>
      <c r="AH294" s="31"/>
      <c r="AI294" s="30" t="s">
        <v>1426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1489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1148</v>
      </c>
      <c r="BC294" s="30" t="s">
        <v>1461</v>
      </c>
      <c r="BD294" s="30" t="s">
        <v>1080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1472</v>
      </c>
      <c r="F295" s="30" t="str">
        <f>IF(ISBLANK(Table2[[#This Row],[unique_id]]), "", PROPER(SUBSTITUTE(Table2[[#This Row],[unique_id]], "_", " ")))</f>
        <v>Service Wrangle</v>
      </c>
      <c r="G295" s="30" t="s">
        <v>1151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1465</v>
      </c>
      <c r="F296" s="30" t="str">
        <f>IF(ISBLANK(Table2[[#This Row],[unique_id]]), "", PROPER(SUBSTITUTE(Table2[[#This Row],[unique_id]], "_", " ")))</f>
        <v>Service Influxdb3</v>
      </c>
      <c r="G296" s="30" t="s">
        <v>1480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1427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1466</v>
      </c>
      <c r="F297" s="30" t="str">
        <f>IF(ISBLANK(Table2[[#This Row],[unique_id]]), "", PROPER(SUBSTITUTE(Table2[[#This Row],[unique_id]], "_", " ")))</f>
        <v>Service Mlflow</v>
      </c>
      <c r="G297" s="30" t="s">
        <v>1482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1427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1467</v>
      </c>
      <c r="F298" s="30" t="str">
        <f>IF(ISBLANK(Table2[[#This Row],[unique_id]]), "", PROPER(SUBSTITUTE(Table2[[#This Row],[unique_id]], "_", " ")))</f>
        <v>Service Mlserver</v>
      </c>
      <c r="G298" s="30" t="s">
        <v>1483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1427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1468</v>
      </c>
      <c r="F299" s="30" t="str">
        <f>IF(ISBLANK(Table2[[#This Row],[unique_id]]), "", PROPER(SUBSTITUTE(Table2[[#This Row],[unique_id]], "_", " ")))</f>
        <v>Service Openra</v>
      </c>
      <c r="G299" s="30" t="s">
        <v>1484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1427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1521</v>
      </c>
      <c r="F300" s="30" t="str">
        <f>IF(ISBLANK(Table2[[#This Row],[unique_id]]), "", PROPER(SUBSTITUTE(Table2[[#This Row],[unique_id]], "_", " ")))</f>
        <v>Service Cloudflare</v>
      </c>
      <c r="G300" s="30" t="s">
        <v>1522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1391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1469</v>
      </c>
      <c r="F301" s="30" t="str">
        <f>IF(ISBLANK(Table2[[#This Row],[unique_id]]), "", PROPER(SUBSTITUTE(Table2[[#This Row],[unique_id]], "_", " ")))</f>
        <v>Service Grafana</v>
      </c>
      <c r="G301" s="30" t="s">
        <v>1150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1391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1470</v>
      </c>
      <c r="F302" s="30" t="str">
        <f>IF(ISBLANK(Table2[[#This Row],[unique_id]]), "", PROPER(SUBSTITUTE(Table2[[#This Row],[unique_id]], "_", " ")))</f>
        <v>Service Letsencrypt</v>
      </c>
      <c r="G302" s="30" t="s">
        <v>1485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1391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1471</v>
      </c>
      <c r="F303" s="30" t="str">
        <f>IF(ISBLANK(Table2[[#This Row],[unique_id]]), "", PROPER(SUBSTITUTE(Table2[[#This Row],[unique_id]], "_", " ")))</f>
        <v>Service Sonarr</v>
      </c>
      <c r="G303" s="30" t="s">
        <v>1479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1391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1495</v>
      </c>
      <c r="F304" s="30" t="str">
        <f>IF(ISBLANK(Table2[[#This Row],[unique_id]]), "", PROPER(SUBSTITUTE(Table2[[#This Row],[unique_id]], "_", " ")))</f>
        <v>Service Tempstat</v>
      </c>
      <c r="G304" s="30" t="s">
        <v>1491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1462</v>
      </c>
      <c r="F305" s="30" t="str">
        <f>IF(ISBLANK(Table2[[#This Row],[unique_id]]), "", PROPER(SUBSTITUTE(Table2[[#This Row],[unique_id]], "_", " ")))</f>
        <v>Service Homeassistant</v>
      </c>
      <c r="G305" s="30" t="s">
        <v>1154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1099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1473</v>
      </c>
      <c r="F306" s="30" t="str">
        <f>IF(ISBLANK(Table2[[#This Row],[unique_id]]), "", PROPER(SUBSTITUTE(Table2[[#This Row],[unique_id]], "_", " ")))</f>
        <v>Service Mariadb</v>
      </c>
      <c r="G306" s="30" t="s">
        <v>1486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1099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1474</v>
      </c>
      <c r="F307" s="30" t="str">
        <f>IF(ISBLANK(Table2[[#This Row],[unique_id]]), "", PROPER(SUBSTITUTE(Table2[[#This Row],[unique_id]], "_", " ")))</f>
        <v>Service Nginx</v>
      </c>
      <c r="G307" s="30" t="s">
        <v>1152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1099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1523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1099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1476</v>
      </c>
      <c r="F309" s="30" t="str">
        <f>IF(ISBLANK(Table2[[#This Row],[unique_id]]), "", PROPER(SUBSTITUTE(Table2[[#This Row],[unique_id]], "_", " ")))</f>
        <v>Service Vernemq</v>
      </c>
      <c r="G309" s="30" t="s">
        <v>1487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1477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1394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1478</v>
      </c>
      <c r="F311" s="30" t="str">
        <f>IF(ISBLANK(Table2[[#This Row],[unique_id]]), "", PROPER(SUBSTITUTE(Table2[[#This Row],[unique_id]], "_", " ")))</f>
        <v>Service Zigbee2Mqtt</v>
      </c>
      <c r="G311" s="30" t="s">
        <v>1488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1394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1498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1159</v>
      </c>
      <c r="D313" s="30" t="s">
        <v>27</v>
      </c>
      <c r="E313" s="30" t="s">
        <v>1165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1160</v>
      </c>
      <c r="H313" s="30" t="s">
        <v>1162</v>
      </c>
      <c r="I313" s="30" t="s">
        <v>273</v>
      </c>
      <c r="K313" s="30" t="s">
        <v>1130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1491</v>
      </c>
      <c r="D314" s="30" t="s">
        <v>27</v>
      </c>
      <c r="E314" s="30" t="s">
        <v>1077</v>
      </c>
      <c r="F314" s="36" t="str">
        <f>IF(ISBLANK(Table2[[#This Row],[unique_id]]), "", PROPER(SUBSTITUTE(Table2[[#This Row],[unique_id]], "_", " ")))</f>
        <v>Rack Top Temperature</v>
      </c>
      <c r="G314" s="30" t="s">
        <v>1079</v>
      </c>
      <c r="H314" s="30" t="s">
        <v>1162</v>
      </c>
      <c r="I314" s="30" t="s">
        <v>273</v>
      </c>
      <c r="K314" s="30" t="s">
        <v>1122</v>
      </c>
      <c r="O314" s="31"/>
      <c r="P314" s="30"/>
      <c r="T314" s="37"/>
      <c r="U314" s="30"/>
      <c r="V314" s="31" t="s">
        <v>1142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1391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1493</v>
      </c>
      <c r="BD314" s="30" t="s">
        <v>1494</v>
      </c>
      <c r="BF314" s="30" t="s">
        <v>955</v>
      </c>
      <c r="BG314" s="30" t="s">
        <v>28</v>
      </c>
      <c r="BL314" s="30" t="s">
        <v>1098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hidden="1" customHeight="1" x14ac:dyDescent="0.2">
      <c r="A315" s="30">
        <v>2533</v>
      </c>
      <c r="B315" s="30" t="s">
        <v>26</v>
      </c>
      <c r="C315" s="30" t="s">
        <v>1491</v>
      </c>
      <c r="D315" s="30" t="s">
        <v>27</v>
      </c>
      <c r="E315" s="30" t="s">
        <v>1122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1079</v>
      </c>
      <c r="H315" s="30" t="s">
        <v>1162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1491</v>
      </c>
      <c r="D316" s="30" t="s">
        <v>27</v>
      </c>
      <c r="E316" s="30" t="s">
        <v>1078</v>
      </c>
      <c r="F316" s="36" t="str">
        <f>IF(ISBLANK(Table2[[#This Row],[unique_id]]), "", PROPER(SUBSTITUTE(Table2[[#This Row],[unique_id]], "_", " ")))</f>
        <v>Rack Bottom Temperature</v>
      </c>
      <c r="G316" s="30" t="s">
        <v>1081</v>
      </c>
      <c r="H316" s="30" t="s">
        <v>1162</v>
      </c>
      <c r="I316" s="30" t="s">
        <v>273</v>
      </c>
      <c r="K316" s="30" t="s">
        <v>1123</v>
      </c>
      <c r="O316" s="31"/>
      <c r="P316" s="30"/>
      <c r="T316" s="37"/>
      <c r="U316" s="30"/>
      <c r="V316" s="31" t="s">
        <v>1142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1391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1493</v>
      </c>
      <c r="BD316" s="30" t="s">
        <v>1494</v>
      </c>
      <c r="BF316" s="30" t="s">
        <v>955</v>
      </c>
      <c r="BG316" s="30" t="s">
        <v>28</v>
      </c>
      <c r="BL316" s="30" t="s">
        <v>1097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hidden="1" customHeight="1" x14ac:dyDescent="0.2">
      <c r="A317" s="30">
        <v>2535</v>
      </c>
      <c r="B317" s="30" t="s">
        <v>26</v>
      </c>
      <c r="C317" s="30" t="s">
        <v>1491</v>
      </c>
      <c r="D317" s="30" t="s">
        <v>27</v>
      </c>
      <c r="E317" s="30" t="s">
        <v>1123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1081</v>
      </c>
      <c r="H317" s="30" t="s">
        <v>1162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1148</v>
      </c>
      <c r="D318" s="30" t="s">
        <v>27</v>
      </c>
      <c r="E318" s="30" t="s">
        <v>1420</v>
      </c>
      <c r="F318" s="30" t="str">
        <f>IF(ISBLANK(Table2[[#This Row],[unique_id]]), "", PROPER(SUBSTITUTE(Table2[[#This Row],[unique_id]], "_", " ")))</f>
        <v>Host Mad Temperature</v>
      </c>
      <c r="G318" s="30" t="s">
        <v>1424</v>
      </c>
      <c r="H318" s="30" t="s">
        <v>1162</v>
      </c>
      <c r="I318" s="30" t="s">
        <v>273</v>
      </c>
      <c r="K318" s="30" t="s">
        <v>1421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1426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"", _xlfn.CONCAT("supervisor/", Table2[[#This Row],[unique_id_device]], "/data/host/temperature"))</f>
        <v>supervisor/macmini-mad/data/host/temperature</v>
      </c>
      <c r="AM318" s="30" t="str">
        <f>IF(ISBLANK(Table2[[#This Row],[index]]),  "", _xlfn.CONCAT("supervisor/", Table2[[#This Row],[unique_id_device]], "/status"))</f>
        <v>supervisor/macmini-mad/status</v>
      </c>
      <c r="AR318" s="30" t="s">
        <v>1524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1148</v>
      </c>
      <c r="BC318" s="30" t="s">
        <v>1461</v>
      </c>
      <c r="BD318" s="30" t="s">
        <v>1080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1148</v>
      </c>
      <c r="D319" s="30" t="s">
        <v>27</v>
      </c>
      <c r="E319" s="30" t="s">
        <v>1421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1424</v>
      </c>
      <c r="H319" s="30" t="s">
        <v>1162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1148</v>
      </c>
      <c r="D320" s="30" t="s">
        <v>27</v>
      </c>
      <c r="E320" s="30" t="s">
        <v>1422</v>
      </c>
      <c r="F320" s="30" t="str">
        <f>IF(ISBLANK(Table2[[#This Row],[unique_id]]), "", PROPER(SUBSTITUTE(Table2[[#This Row],[unique_id]], "_", " ")))</f>
        <v>Host Max Temperature</v>
      </c>
      <c r="G320" s="30" t="s">
        <v>1425</v>
      </c>
      <c r="H320" s="30" t="s">
        <v>1162</v>
      </c>
      <c r="I320" s="30" t="s">
        <v>273</v>
      </c>
      <c r="K320" s="30" t="s">
        <v>1423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1427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"", _xlfn.CONCAT("supervisor/", Table2[[#This Row],[unique_id_device]], "/data/host/temperature"))</f>
        <v>supervisor/macmini-max/data/host/temperature</v>
      </c>
      <c r="AM320" s="30" t="str">
        <f>IF(ISBLANK(Table2[[#This Row],[index]]),  "", _xlfn.CONCAT("supervisor/", Table2[[#This Row],[unique_id_device]], "/status"))</f>
        <v>supervisor/macmini-max/status</v>
      </c>
      <c r="AR320" s="30" t="s">
        <v>1524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1148</v>
      </c>
      <c r="BC320" s="30" t="s">
        <v>1461</v>
      </c>
      <c r="BD320" s="30" t="s">
        <v>1080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1148</v>
      </c>
      <c r="D321" s="30" t="s">
        <v>27</v>
      </c>
      <c r="E321" s="30" t="s">
        <v>1423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1425</v>
      </c>
      <c r="H321" s="30" t="s">
        <v>1162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1385</v>
      </c>
      <c r="F322" s="30" t="str">
        <f>IF(ISBLANK(Table2[[#This Row],[unique_id]]), "", PROPER(SUBSTITUTE(Table2[[#This Row],[unique_id]], "_", " ")))</f>
        <v>Host May Temperature</v>
      </c>
      <c r="G322" s="30" t="s">
        <v>1384</v>
      </c>
      <c r="H322" s="30" t="s">
        <v>1162</v>
      </c>
      <c r="I322" s="30" t="s">
        <v>273</v>
      </c>
      <c r="K322" s="30" t="s">
        <v>1386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1391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"", _xlfn.CONCAT("supervisor/", Table2[[#This Row],[unique_id_device]], "/data/host/temperature"))</f>
        <v>supervisor/macmini-may/data/host/temperature</v>
      </c>
      <c r="AM322" s="30" t="str">
        <f>IF(ISBLANK(Table2[[#This Row],[index]]),  "", _xlfn.CONCAT("supervisor/", Table2[[#This Row],[unique_id_device]], "/status"))</f>
        <v>supervisor/macmini-may/status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1386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1155</v>
      </c>
      <c r="F324" s="30" t="str">
        <f>IF(ISBLANK(Table2[[#This Row],[unique_id]]), "", PROPER(SUBSTITUTE(Table2[[#This Row],[unique_id]], "_", " ")))</f>
        <v>Host Meg Temperature</v>
      </c>
      <c r="G324" s="30" t="s">
        <v>1158</v>
      </c>
      <c r="H324" s="30" t="s">
        <v>1162</v>
      </c>
      <c r="I324" s="30" t="s">
        <v>273</v>
      </c>
      <c r="K324" s="30" t="s">
        <v>1157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1099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"", _xlfn.CONCAT("supervisor/", Table2[[#This Row],[unique_id_device]], "/data/host/temperature"))</f>
        <v>supervisor/macmini-meg/data/host/temperature</v>
      </c>
      <c r="AM324" s="30" t="str">
        <f>IF(ISBLANK(Table2[[#This Row],[index]]),  "", _xlfn.CONCAT("supervisor/", Table2[[#This Row],[unique_id_device]], "/status"))</f>
        <v>supervisor/macmini-meg/status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1157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1158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2544</v>
      </c>
      <c r="B326" s="30" t="s">
        <v>26</v>
      </c>
      <c r="C326" s="30" t="s">
        <v>1159</v>
      </c>
      <c r="D326" s="30" t="s">
        <v>27</v>
      </c>
      <c r="E326" s="30" t="s">
        <v>1167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1164</v>
      </c>
      <c r="H326" s="30" t="s">
        <v>1163</v>
      </c>
      <c r="I326" s="30" t="s">
        <v>273</v>
      </c>
      <c r="K326" s="30" t="s">
        <v>1121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1159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1370</v>
      </c>
      <c r="H327" s="30" t="s">
        <v>1161</v>
      </c>
      <c r="I327" s="30" t="s">
        <v>273</v>
      </c>
      <c r="K327" s="30" t="s">
        <v>1127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1397</v>
      </c>
      <c r="F328" s="30" t="str">
        <f>IF(ISBLANK(Table2[[#This Row],[unique_id]]), "", PROPER(SUBSTITUTE(Table2[[#This Row],[unique_id]], "_", " ")))</f>
        <v>Host Jen Temperature</v>
      </c>
      <c r="G328" s="30" t="s">
        <v>1398</v>
      </c>
      <c r="H328" s="30" t="s">
        <v>1161</v>
      </c>
      <c r="I328" s="30" t="s">
        <v>273</v>
      </c>
      <c r="K328" s="30" t="s">
        <v>1393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1394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"", _xlfn.CONCAT("supervisor/", Table2[[#This Row],[unique_id_device]], "/data/host/temperature"))</f>
        <v>supervisor/raspbpi-jen/data/host/temperature</v>
      </c>
      <c r="AM328" s="30" t="str">
        <f>IF(ISBLANK(Table2[[#This Row],[index]]),  "", _xlfn.CONCAT("supervisor/", Table2[[#This Row],[unique_id_device]], "/status"))</f>
        <v>supervisor/raspbpi-jen/status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1393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1398</v>
      </c>
      <c r="H329" s="30" t="s">
        <v>1161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1161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1146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1146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1146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1146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hidden="1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1146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hidden="1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1146</v>
      </c>
      <c r="I337" s="48" t="s">
        <v>273</v>
      </c>
      <c r="O337" s="50"/>
      <c r="T337" s="51"/>
      <c r="V337" s="50" t="s">
        <v>1175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1144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1174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1517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1518</v>
      </c>
      <c r="H338" s="30" t="s">
        <v>1146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1519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1520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1174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1303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1304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1305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1146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1306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1146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1146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1428</v>
      </c>
      <c r="F347" s="36" t="str">
        <f>IF(ISBLANK(Table2[[#This Row],[unique_id]]), "", PROPER(SUBSTITUTE(Table2[[#This Row],[unique_id]], "_", " ")))</f>
        <v>Rack Printer Plug</v>
      </c>
      <c r="G347" s="30" t="s">
        <v>1443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1071</v>
      </c>
      <c r="AB347" s="30"/>
      <c r="AC347" s="30"/>
      <c r="AE347" s="30" t="s">
        <v>1429</v>
      </c>
      <c r="AF347" s="30">
        <v>10</v>
      </c>
      <c r="AG347" s="31" t="s">
        <v>34</v>
      </c>
      <c r="AH347" s="31" t="s">
        <v>863</v>
      </c>
      <c r="AI347" s="30" t="s">
        <v>1428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1072</v>
      </c>
      <c r="BF347" s="30" t="s">
        <v>853</v>
      </c>
      <c r="BG347" s="30" t="s">
        <v>28</v>
      </c>
      <c r="BK347" s="30" t="s">
        <v>1209</v>
      </c>
      <c r="BL347" s="30" t="s">
        <v>1448</v>
      </c>
      <c r="BM347" s="30" t="s">
        <v>1444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1438</v>
      </c>
      <c r="F348" s="36" t="str">
        <f>IF(ISBLANK(Table2[[#This Row],[unique_id]]), "", PROPER(SUBSTITUTE(Table2[[#This Row],[unique_id]], "_", " ")))</f>
        <v>Rack Screen Plug</v>
      </c>
      <c r="G348" s="30" t="s">
        <v>1431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1528</v>
      </c>
      <c r="AB348" s="30"/>
      <c r="AC348" s="30"/>
      <c r="AE348" s="30" t="s">
        <v>1432</v>
      </c>
      <c r="AF348" s="30">
        <v>10</v>
      </c>
      <c r="AG348" s="31" t="s">
        <v>34</v>
      </c>
      <c r="AH348" s="31" t="s">
        <v>863</v>
      </c>
      <c r="AI348" s="30" t="s">
        <v>1438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1435</v>
      </c>
      <c r="BC348" s="39" t="s">
        <v>733</v>
      </c>
      <c r="BD348" s="30" t="s">
        <v>1072</v>
      </c>
      <c r="BF348" s="30" t="s">
        <v>853</v>
      </c>
      <c r="BG348" s="30" t="s">
        <v>28</v>
      </c>
      <c r="BK348" s="30" t="s">
        <v>1209</v>
      </c>
      <c r="BL348" s="30" t="s">
        <v>1440</v>
      </c>
      <c r="BM348" s="30" t="s">
        <v>1436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1412</v>
      </c>
      <c r="F349" s="36" t="str">
        <f>IF(ISBLANK(Table2[[#This Row],[unique_id]]), "", PROPER(SUBSTITUTE(Table2[[#This Row],[unique_id]], "_", " ")))</f>
        <v>Rack Backup Plug</v>
      </c>
      <c r="G349" s="30" t="s">
        <v>1430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1528</v>
      </c>
      <c r="AB349" s="30"/>
      <c r="AC349" s="30"/>
      <c r="AE349" s="30" t="s">
        <v>1433</v>
      </c>
      <c r="AF349" s="30">
        <v>10</v>
      </c>
      <c r="AG349" s="31" t="s">
        <v>34</v>
      </c>
      <c r="AH349" s="31" t="s">
        <v>863</v>
      </c>
      <c r="AI349" s="30" t="s">
        <v>1412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1434</v>
      </c>
      <c r="BC349" s="39" t="s">
        <v>733</v>
      </c>
      <c r="BD349" s="30" t="s">
        <v>1072</v>
      </c>
      <c r="BF349" s="30" t="s">
        <v>853</v>
      </c>
      <c r="BG349" s="30" t="s">
        <v>28</v>
      </c>
      <c r="BK349" s="30" t="s">
        <v>1209</v>
      </c>
      <c r="BL349" s="30" t="s">
        <v>1439</v>
      </c>
      <c r="BM349" s="30" t="s">
        <v>1437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1528</v>
      </c>
      <c r="AB350" s="30"/>
      <c r="AC350" s="30"/>
      <c r="AE350" s="30" t="s">
        <v>1511</v>
      </c>
      <c r="AF350" s="30">
        <v>10</v>
      </c>
      <c r="AG350" s="31" t="s">
        <v>34</v>
      </c>
      <c r="AH350" s="31" t="s">
        <v>863</v>
      </c>
      <c r="AI350" s="30" t="s">
        <v>854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1072</v>
      </c>
      <c r="BF350" s="30" t="s">
        <v>853</v>
      </c>
      <c r="BG350" s="30" t="s">
        <v>28</v>
      </c>
      <c r="BK350" s="30" t="s">
        <v>1209</v>
      </c>
      <c r="BL350" s="30" t="s">
        <v>571</v>
      </c>
      <c r="BM350" s="30" t="s">
        <v>1263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hidden="1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1209</v>
      </c>
      <c r="BL352" s="30" t="s">
        <v>331</v>
      </c>
      <c r="BM352" s="30" t="s">
        <v>1243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hidden="1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1346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hidden="1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1347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1209</v>
      </c>
      <c r="BL354" s="54" t="s">
        <v>322</v>
      </c>
      <c r="BM354" s="54" t="s">
        <v>1244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hidden="1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1348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hidden="1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1349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1209</v>
      </c>
      <c r="BL356" s="54" t="s">
        <v>333</v>
      </c>
      <c r="BM356" s="54" t="s">
        <v>1245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hidden="1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1350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hidden="1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1351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1209</v>
      </c>
      <c r="BL358" s="54" t="s">
        <v>334</v>
      </c>
      <c r="BM358" s="54" t="s">
        <v>1246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hidden="1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1352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hidden="1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1353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1209</v>
      </c>
      <c r="BL360" s="54" t="s">
        <v>325</v>
      </c>
      <c r="BM360" s="54" t="s">
        <v>1247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1209</v>
      </c>
      <c r="BL362" s="30" t="s">
        <v>337</v>
      </c>
      <c r="BM362" s="30" t="s">
        <v>1258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hidden="1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1354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hidden="1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1355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1209</v>
      </c>
      <c r="BL364" s="54" t="s">
        <v>326</v>
      </c>
      <c r="BM364" s="54" t="s">
        <v>1248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hidden="1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1356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hidden="1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1357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1209</v>
      </c>
      <c r="BL366" s="54" t="s">
        <v>327</v>
      </c>
      <c r="BM366" s="54" t="s">
        <v>1249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hidden="1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1442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hidden="1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1441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1209</v>
      </c>
      <c r="BL368" s="62" t="s">
        <v>1413</v>
      </c>
      <c r="BM368" s="62" t="s">
        <v>1414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hidden="1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1209</v>
      </c>
      <c r="BL370" s="30" t="s">
        <v>329</v>
      </c>
      <c r="BM370" s="30" t="s">
        <v>1251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1338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1339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1339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1337</v>
      </c>
      <c r="F372" s="36" t="str">
        <f>IF(ISBLANK(Table2[[#This Row],[unique_id]]), "", PROPER(SUBSTITUTE(Table2[[#This Row],[unique_id]], "_", " ")))</f>
        <v>Garden Sewerage Blower Plug</v>
      </c>
      <c r="G372" s="30" t="s">
        <v>1339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1339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1209</v>
      </c>
      <c r="BL372" s="36" t="s">
        <v>345</v>
      </c>
      <c r="BM372" s="36" t="s">
        <v>1230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hidden="1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1358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hidden="1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1359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1209</v>
      </c>
      <c r="BL374" s="54" t="s">
        <v>323</v>
      </c>
      <c r="BM374" s="54" t="s">
        <v>1252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hidden="1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1360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hidden="1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1361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1209</v>
      </c>
      <c r="BL376" s="54" t="s">
        <v>324</v>
      </c>
      <c r="BM376" s="54" t="s">
        <v>1253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hidden="1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1362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hidden="1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1363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1209</v>
      </c>
      <c r="BL378" s="54" t="s">
        <v>766</v>
      </c>
      <c r="BM378" s="54" t="s">
        <v>1254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hidden="1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1458</v>
      </c>
      <c r="F381" s="36" t="str">
        <f>IF(ISBLANK(Table2[[#This Row],[unique_id]]), "", PROPER(SUBSTITUTE(Table2[[#This Row],[unique_id]], "_", " ")))</f>
        <v>Ada Desk Outlet</v>
      </c>
      <c r="G381" s="30" t="s">
        <v>1457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1447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1459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hidden="1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1446</v>
      </c>
      <c r="F382" s="36" t="str">
        <f>IF(ISBLANK(Table2[[#This Row],[unique_id]]), "", PROPER(SUBSTITUTE(Table2[[#This Row],[unique_id]], "_", " ")))</f>
        <v>Edwin Desk Outlet</v>
      </c>
      <c r="G382" s="30" t="s">
        <v>1445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1447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hidden="1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1387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1388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1392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hidden="1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1389</v>
      </c>
      <c r="F384" s="56" t="str">
        <f>IF(ISBLANK(Table2[[#This Row],[unique_id]]), "", PROPER(SUBSTITUTE(Table2[[#This Row],[unique_id]], "_", " ")))</f>
        <v>Broken Server May Plug</v>
      </c>
      <c r="G384" s="54" t="s">
        <v>1388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1392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1209</v>
      </c>
      <c r="BL384" s="54" t="s">
        <v>770</v>
      </c>
      <c r="BM384" s="54" t="s">
        <v>1255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hidden="1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1364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hidden="1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1365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1209</v>
      </c>
      <c r="BL386" s="54" t="s">
        <v>769</v>
      </c>
      <c r="BM386" s="54" t="s">
        <v>1256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hidden="1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1395</v>
      </c>
      <c r="F387" s="36" t="str">
        <f>IF(ISBLANK(Table2[[#This Row],[unique_id]]), "", PROPER(SUBSTITUTE(Table2[[#This Row],[unique_id]], "_", " ")))</f>
        <v>Template Server Jen Plug Proxy</v>
      </c>
      <c r="G387" s="30" t="s">
        <v>1399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1400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hidden="1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1396</v>
      </c>
      <c r="F388" s="36" t="str">
        <f>IF(ISBLANK(Table2[[#This Row],[unique_id]]), "", PROPER(SUBSTITUTE(Table2[[#This Row],[unique_id]], "_", " ")))</f>
        <v>Server Jen Plug</v>
      </c>
      <c r="G388" s="30" t="s">
        <v>1399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1400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1209</v>
      </c>
      <c r="BL388" s="30" t="s">
        <v>330</v>
      </c>
      <c r="BM388" s="30" t="s">
        <v>1257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1072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1529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I390" s="30" t="s">
        <v>804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1072</v>
      </c>
      <c r="BF390" s="30" t="s">
        <v>853</v>
      </c>
      <c r="BG390" s="30" t="s">
        <v>28</v>
      </c>
      <c r="BK390" s="30" t="s">
        <v>1209</v>
      </c>
      <c r="BL390" s="30" t="s">
        <v>880</v>
      </c>
      <c r="BM390" s="30" t="s">
        <v>1259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I391" s="30" t="s">
        <v>804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1068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1072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I392" s="30" t="s">
        <v>804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1072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hidden="1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1379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1072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1379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1530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I394" s="30" t="s">
        <v>1060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1072</v>
      </c>
      <c r="BF394" s="30" t="s">
        <v>853</v>
      </c>
      <c r="BG394" s="30" t="s">
        <v>385</v>
      </c>
      <c r="BK394" s="30" t="s">
        <v>1209</v>
      </c>
      <c r="BL394" s="41" t="s">
        <v>945</v>
      </c>
      <c r="BM394" s="30" t="s">
        <v>1261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hidden="1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1379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1060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1072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1379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1060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1072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hidden="1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1366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hidden="1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1367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1209</v>
      </c>
      <c r="BL398" s="54" t="s">
        <v>336</v>
      </c>
      <c r="BM398" s="54" t="s">
        <v>1262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hidden="1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hidden="1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1451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1208</v>
      </c>
      <c r="BL425" s="41" t="s">
        <v>402</v>
      </c>
      <c r="BM425" s="39" t="s">
        <v>1210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hidden="1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1208</v>
      </c>
      <c r="BL426" s="41" t="s">
        <v>401</v>
      </c>
      <c r="BM426" s="39" t="s">
        <v>1211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hidden="1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1208</v>
      </c>
      <c r="BL427" s="41" t="s">
        <v>618</v>
      </c>
      <c r="BM427" s="39" t="s">
        <v>1212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hidden="1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1208</v>
      </c>
      <c r="BL428" s="41" t="s">
        <v>696</v>
      </c>
      <c r="BM428" s="39" t="s">
        <v>1213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hidden="1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1208</v>
      </c>
      <c r="BL429" s="41" t="s">
        <v>399</v>
      </c>
      <c r="BM429" s="39" t="s">
        <v>1214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hidden="1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1208</v>
      </c>
      <c r="BL430" s="41" t="s">
        <v>400</v>
      </c>
      <c r="BM430" s="39" t="s">
        <v>1215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hidden="1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1208</v>
      </c>
      <c r="BL431" s="41" t="s">
        <v>1187</v>
      </c>
      <c r="BM431" s="39" t="s">
        <v>1216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hidden="1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1208</v>
      </c>
      <c r="BL432" s="41" t="s">
        <v>1188</v>
      </c>
      <c r="BM432" s="39" t="s">
        <v>1219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hidden="1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1208</v>
      </c>
      <c r="BL433" s="41" t="s">
        <v>563</v>
      </c>
      <c r="BM433" s="39" t="s">
        <v>1217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hidden="1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1208</v>
      </c>
      <c r="BL434" s="41" t="s">
        <v>381</v>
      </c>
      <c r="BM434" s="39" t="s">
        <v>1218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hidden="1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1208</v>
      </c>
      <c r="BL435" s="41" t="s">
        <v>403</v>
      </c>
      <c r="BM435" s="39" t="s">
        <v>1220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hidden="1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hidden="1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1208</v>
      </c>
      <c r="BL437" s="30" t="s">
        <v>567</v>
      </c>
      <c r="BM437" s="39" t="s">
        <v>1221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hidden="1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1208</v>
      </c>
      <c r="BL439" s="30" t="s">
        <v>350</v>
      </c>
      <c r="BM439" s="39" t="s">
        <v>1222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hidden="1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1208</v>
      </c>
      <c r="BL440" s="37" t="s">
        <v>349</v>
      </c>
      <c r="BM440" s="39" t="s">
        <v>1223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hidden="1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hidden="1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1208</v>
      </c>
      <c r="BL442" s="30" t="s">
        <v>348</v>
      </c>
      <c r="BM442" s="39" t="s">
        <v>1224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hidden="1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1267</v>
      </c>
      <c r="F443" s="36" t="str">
        <f>IF(ISBLANK(Table2[[#This Row],[unique_id]]), "", PROPER(SUBSTITUTE(Table2[[#This Row],[unique_id]], "_", " ")))</f>
        <v>Parents Homepod</v>
      </c>
      <c r="G443" s="30" t="s">
        <v>1268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1269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1208</v>
      </c>
      <c r="BL443" s="41" t="s">
        <v>382</v>
      </c>
      <c r="BM443" s="39" t="s">
        <v>1225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hidden="1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hidden="1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hidden="1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hidden="1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1072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hidden="1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hidden="1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hidden="1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hidden="1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hidden="1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1280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1380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1209</v>
      </c>
      <c r="BL462" s="30" t="s">
        <v>365</v>
      </c>
      <c r="BM462" s="30" t="s">
        <v>1264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hidden="1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1281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1380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1209</v>
      </c>
      <c r="BL464" s="30" t="s">
        <v>366</v>
      </c>
      <c r="BM464" s="30" t="s">
        <v>1265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hidden="1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1381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1202</v>
      </c>
      <c r="BL466" s="30" t="s">
        <v>387</v>
      </c>
      <c r="BM466" s="30" t="s">
        <v>1203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hidden="1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1382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1202</v>
      </c>
      <c r="BL467" s="30" t="s">
        <v>592</v>
      </c>
      <c r="BM467" s="30" t="s">
        <v>1204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hidden="1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1382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1202</v>
      </c>
      <c r="BL468" s="30" t="s">
        <v>388</v>
      </c>
      <c r="BM468" s="30" t="s">
        <v>1418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hidden="1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1382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1417</v>
      </c>
      <c r="BD469" s="30" t="s">
        <v>232</v>
      </c>
      <c r="BF469" s="30" t="s">
        <v>1031</v>
      </c>
      <c r="BG469" s="30" t="s">
        <v>385</v>
      </c>
      <c r="BK469" s="30" t="s">
        <v>1202</v>
      </c>
      <c r="BL469" s="30" t="s">
        <v>1419</v>
      </c>
      <c r="BM469" s="30" t="s">
        <v>1205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hidden="1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1383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1325</v>
      </c>
      <c r="BD470" s="30" t="s">
        <v>232</v>
      </c>
      <c r="BF470" s="30" t="s">
        <v>1030</v>
      </c>
      <c r="BG470" s="30" t="s">
        <v>386</v>
      </c>
      <c r="BK470" s="30" t="s">
        <v>1202</v>
      </c>
      <c r="BL470" s="30" t="s">
        <v>1324</v>
      </c>
      <c r="BM470" s="30" t="s">
        <v>1206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hidden="1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1383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1376</v>
      </c>
      <c r="BK471" s="30" t="s">
        <v>1202</v>
      </c>
      <c r="BL471" s="30" t="s">
        <v>1378</v>
      </c>
      <c r="BM471" s="30" t="s">
        <v>1207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hidden="1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1383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1375</v>
      </c>
      <c r="BK472" s="30" t="s">
        <v>1202</v>
      </c>
      <c r="BL472" s="30" t="s">
        <v>389</v>
      </c>
      <c r="BM472" s="30" t="s">
        <v>1377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hidden="1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1310</v>
      </c>
      <c r="BA473" s="30" t="str">
        <f>IF(ISBLANK(Table2[[#This Row],[device_model]]), "", Table2[[#This Row],[device_suggested_area]])</f>
        <v>Rack</v>
      </c>
      <c r="BB473" s="30" t="s">
        <v>1321</v>
      </c>
      <c r="BC473" s="30" t="s">
        <v>1312</v>
      </c>
      <c r="BD473" s="30" t="s">
        <v>1310</v>
      </c>
      <c r="BF473" s="30" t="s">
        <v>1318</v>
      </c>
      <c r="BG473" s="30" t="s">
        <v>28</v>
      </c>
      <c r="BL473" s="41"/>
      <c r="BM473" s="30" t="s">
        <v>1320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hidden="1" customHeight="1" x14ac:dyDescent="0.2">
      <c r="A474" s="30">
        <v>5008</v>
      </c>
      <c r="B474" s="39" t="s">
        <v>561</v>
      </c>
      <c r="C474" s="39" t="s">
        <v>1310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1311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1310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1312</v>
      </c>
      <c r="BD474" s="30" t="s">
        <v>1310</v>
      </c>
      <c r="BF474" s="30" t="s">
        <v>1318</v>
      </c>
      <c r="BG474" s="30" t="s">
        <v>28</v>
      </c>
      <c r="BL474" s="41"/>
      <c r="BM474" s="30" t="s">
        <v>1313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hidden="1" customHeight="1" x14ac:dyDescent="0.2">
      <c r="A475" s="30">
        <v>5009</v>
      </c>
      <c r="B475" s="39" t="s">
        <v>561</v>
      </c>
      <c r="C475" s="39" t="s">
        <v>1314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1315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1314</v>
      </c>
      <c r="BA475" s="30" t="str">
        <f>IF(ISBLANK(Table2[[#This Row],[device_model]]), "", Table2[[#This Row],[device_suggested_area]])</f>
        <v>Rack</v>
      </c>
      <c r="BB475" s="30" t="s">
        <v>1316</v>
      </c>
      <c r="BC475" s="30" t="s">
        <v>1317</v>
      </c>
      <c r="BD475" s="30" t="s">
        <v>1314</v>
      </c>
      <c r="BF475" s="30" t="s">
        <v>1318</v>
      </c>
      <c r="BG475" s="30" t="s">
        <v>28</v>
      </c>
      <c r="BL475" s="41"/>
      <c r="BM475" s="30" t="s">
        <v>1319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hidden="1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1208</v>
      </c>
      <c r="BL476" s="41" t="s">
        <v>414</v>
      </c>
      <c r="BM476" s="30" t="s">
        <v>1226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hidden="1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ref="AJ477:AJ482" si="1">IF(ISBLANK(AI477),  "", _xlfn.CONCAT("haas/entity/sensor/", LOWER(C477), "/", E477, "/config"))</f>
        <v/>
      </c>
      <c r="AK477" s="30" t="str">
        <f t="shared" ref="AK477:AK482" si="2"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1401</v>
      </c>
      <c r="BC477" s="30" t="s">
        <v>1000</v>
      </c>
      <c r="BD477" s="30" t="s">
        <v>536</v>
      </c>
      <c r="BF477" s="62" t="s">
        <v>1405</v>
      </c>
      <c r="BG477" s="30" t="s">
        <v>477</v>
      </c>
      <c r="BK477" s="30" t="s">
        <v>383</v>
      </c>
      <c r="BL477" s="30" t="s">
        <v>535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hidden="1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1403</v>
      </c>
      <c r="BC478" s="30" t="s">
        <v>1404</v>
      </c>
      <c r="BD478" s="30" t="s">
        <v>536</v>
      </c>
      <c r="BF478" s="62" t="s">
        <v>1405</v>
      </c>
      <c r="BG478" s="30" t="s">
        <v>1402</v>
      </c>
      <c r="BL478" s="30" t="s">
        <v>1409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hidden="1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1406</v>
      </c>
      <c r="BC479" s="30" t="s">
        <v>1407</v>
      </c>
      <c r="BD479" s="30" t="s">
        <v>262</v>
      </c>
      <c r="BF479" s="62" t="s">
        <v>1411</v>
      </c>
      <c r="BG479" s="30" t="s">
        <v>28</v>
      </c>
      <c r="BK479" s="30" t="s">
        <v>383</v>
      </c>
      <c r="BL479" s="41" t="s">
        <v>1410</v>
      </c>
      <c r="BM479" s="30" t="s">
        <v>1197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hidden="1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1408</v>
      </c>
      <c r="BC480" s="30" t="s">
        <v>998</v>
      </c>
      <c r="BD480" s="30" t="s">
        <v>262</v>
      </c>
      <c r="BF480" s="62" t="s">
        <v>1415</v>
      </c>
      <c r="BG480" s="30" t="s">
        <v>28</v>
      </c>
      <c r="BK480" s="30" t="s">
        <v>383</v>
      </c>
      <c r="BL480" s="46" t="s">
        <v>1416</v>
      </c>
      <c r="BM480" s="30" t="s">
        <v>1198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hidden="1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1390</v>
      </c>
      <c r="BC481" s="30" t="s">
        <v>998</v>
      </c>
      <c r="BD481" s="30" t="s">
        <v>262</v>
      </c>
      <c r="BF481" s="62" t="s">
        <v>1405</v>
      </c>
      <c r="BG481" s="30" t="s">
        <v>28</v>
      </c>
      <c r="BK481" s="30" t="s">
        <v>383</v>
      </c>
      <c r="BL481" s="46" t="s">
        <v>1276</v>
      </c>
      <c r="BM481" s="30" t="s">
        <v>1199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hidden="1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1"/>
        <v/>
      </c>
      <c r="AK482" s="30" t="str">
        <f t="shared" si="2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1405</v>
      </c>
      <c r="BG482" s="30" t="s">
        <v>28</v>
      </c>
      <c r="BK482" s="30" t="s">
        <v>383</v>
      </c>
      <c r="BL482" s="30" t="s">
        <v>569</v>
      </c>
      <c r="BM482" s="30" t="s">
        <v>1200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hidden="1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1209</v>
      </c>
      <c r="BL483" s="30" t="s">
        <v>361</v>
      </c>
      <c r="BM483" s="30" t="s">
        <v>1266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hidden="1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2026-09-04T03:39:09Z</dcterms:modified>
</cp:coreProperties>
</file>