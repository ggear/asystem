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7E17FD4E-B6A0-0044-BD5F-9E1A19115B26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89" i="1" l="1"/>
  <c r="AL289" i="1"/>
  <c r="BN289" i="1"/>
  <c r="BA289" i="1"/>
  <c r="AW289" i="1"/>
  <c r="AV289" i="1"/>
  <c r="AJ289" i="1"/>
  <c r="F289" i="1"/>
  <c r="BN294" i="1"/>
  <c r="BA294" i="1"/>
  <c r="AW294" i="1"/>
  <c r="AV294" i="1" s="1"/>
  <c r="AM294" i="1"/>
  <c r="AL294" i="1"/>
  <c r="AK294" i="1"/>
  <c r="AJ294" i="1"/>
  <c r="F294" i="1"/>
  <c r="G294" i="1" s="1"/>
  <c r="BN293" i="1"/>
  <c r="BA293" i="1"/>
  <c r="AW293" i="1"/>
  <c r="AV293" i="1" s="1"/>
  <c r="AM293" i="1"/>
  <c r="AL293" i="1"/>
  <c r="AK293" i="1"/>
  <c r="AJ293" i="1"/>
  <c r="F293" i="1"/>
  <c r="G293" i="1" s="1"/>
  <c r="BN292" i="1"/>
  <c r="BA292" i="1"/>
  <c r="AW292" i="1" s="1"/>
  <c r="AV292" i="1" s="1"/>
  <c r="AM292" i="1"/>
  <c r="AL292" i="1"/>
  <c r="AK292" i="1"/>
  <c r="AJ292" i="1"/>
  <c r="F292" i="1"/>
  <c r="G292" i="1" s="1"/>
  <c r="BN291" i="1"/>
  <c r="BA291" i="1"/>
  <c r="AW291" i="1" s="1"/>
  <c r="AV291" i="1" s="1"/>
  <c r="AM291" i="1"/>
  <c r="AL291" i="1"/>
  <c r="AK291" i="1"/>
  <c r="AJ291" i="1"/>
  <c r="F291" i="1"/>
  <c r="G291" i="1" s="1"/>
  <c r="AK290" i="1"/>
  <c r="BN290" i="1"/>
  <c r="BA290" i="1"/>
  <c r="AW290" i="1" s="1"/>
  <c r="AV290" i="1" s="1"/>
  <c r="AM290" i="1"/>
  <c r="AL290" i="1"/>
  <c r="AJ290" i="1"/>
  <c r="F290" i="1"/>
  <c r="G290" i="1" s="1"/>
  <c r="AK333" i="1"/>
  <c r="AK329" i="1"/>
  <c r="AK327" i="1"/>
  <c r="AK325" i="1"/>
  <c r="AK323" i="1"/>
  <c r="AK401" i="1"/>
  <c r="AK400" i="1"/>
  <c r="AK399" i="1"/>
  <c r="AK397" i="1"/>
  <c r="AK396" i="1"/>
  <c r="AK395" i="1"/>
  <c r="AK355" i="1"/>
  <c r="AK354" i="1"/>
  <c r="AK353" i="1"/>
  <c r="AK352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3" i="1"/>
  <c r="BA313" i="1"/>
  <c r="AW313" i="1" s="1"/>
  <c r="AV313" i="1" s="1"/>
  <c r="AM313" i="1"/>
  <c r="AL313" i="1"/>
  <c r="AK313" i="1"/>
  <c r="AJ313" i="1"/>
  <c r="F313" i="1"/>
  <c r="BN302" i="1"/>
  <c r="BA302" i="1"/>
  <c r="AW302" i="1" s="1"/>
  <c r="AV302" i="1" s="1"/>
  <c r="AM302" i="1"/>
  <c r="AL302" i="1"/>
  <c r="AK302" i="1"/>
  <c r="AJ302" i="1"/>
  <c r="F302" i="1"/>
  <c r="BN343" i="1"/>
  <c r="BA343" i="1"/>
  <c r="AW343" i="1" s="1"/>
  <c r="AV343" i="1" s="1"/>
  <c r="AK343" i="1"/>
  <c r="AJ343" i="1"/>
  <c r="F343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30" i="1"/>
  <c r="BA430" i="1"/>
  <c r="AW430" i="1"/>
  <c r="AX430" i="1" s="1"/>
  <c r="AV430" i="1"/>
  <c r="F430" i="1"/>
  <c r="BN282" i="1"/>
  <c r="BA282" i="1"/>
  <c r="AW282" i="1" s="1"/>
  <c r="AV282" i="1" s="1"/>
  <c r="F282" i="1"/>
  <c r="AM321" i="1"/>
  <c r="AM319" i="1"/>
  <c r="AM26" i="1"/>
  <c r="AK26" i="1"/>
  <c r="AK319" i="1"/>
  <c r="AK321" i="1"/>
  <c r="AL321" i="1"/>
  <c r="AL319" i="1"/>
  <c r="AL26" i="1"/>
  <c r="AR321" i="1"/>
  <c r="AR319" i="1"/>
  <c r="AR26" i="1"/>
  <c r="AM333" i="1"/>
  <c r="AM329" i="1"/>
  <c r="AM327" i="1"/>
  <c r="AM325" i="1"/>
  <c r="AM323" i="1"/>
  <c r="AJ333" i="1"/>
  <c r="AJ329" i="1"/>
  <c r="AJ327" i="1"/>
  <c r="AJ325" i="1"/>
  <c r="AJ323" i="1"/>
  <c r="AJ316" i="1"/>
  <c r="AJ315" i="1"/>
  <c r="AJ314" i="1"/>
  <c r="AJ298" i="1"/>
  <c r="AJ312" i="1"/>
  <c r="AJ311" i="1"/>
  <c r="AJ296" i="1"/>
  <c r="AJ310" i="1"/>
  <c r="AJ300" i="1"/>
  <c r="AJ308" i="1"/>
  <c r="AJ303" i="1"/>
  <c r="AJ301" i="1"/>
  <c r="AJ309" i="1"/>
  <c r="AJ304" i="1"/>
  <c r="AJ307" i="1"/>
  <c r="AJ306" i="1"/>
  <c r="AJ305" i="1"/>
  <c r="AJ299" i="1"/>
  <c r="AJ297" i="1"/>
  <c r="AL316" i="1"/>
  <c r="AL315" i="1"/>
  <c r="AL314" i="1"/>
  <c r="AL298" i="1"/>
  <c r="AL312" i="1"/>
  <c r="AL311" i="1"/>
  <c r="AL296" i="1"/>
  <c r="AL310" i="1"/>
  <c r="AL300" i="1"/>
  <c r="AL308" i="1"/>
  <c r="AL303" i="1"/>
  <c r="AL301" i="1"/>
  <c r="AL309" i="1"/>
  <c r="AL304" i="1"/>
  <c r="AL307" i="1"/>
  <c r="AL306" i="1"/>
  <c r="AL305" i="1"/>
  <c r="AL299" i="1"/>
  <c r="AL297" i="1"/>
  <c r="BN335" i="1"/>
  <c r="BA335" i="1"/>
  <c r="AW335" i="1"/>
  <c r="AX335" i="1" s="1"/>
  <c r="AV335" i="1"/>
  <c r="F335" i="1"/>
  <c r="BN295" i="1"/>
  <c r="BA295" i="1"/>
  <c r="AW295" i="1"/>
  <c r="AV295" i="1"/>
  <c r="F295" i="1"/>
  <c r="BN317" i="1"/>
  <c r="BA317" i="1"/>
  <c r="AW317" i="1"/>
  <c r="AX317" i="1" s="1"/>
  <c r="AV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298" i="1"/>
  <c r="BA298" i="1"/>
  <c r="AW298" i="1" s="1"/>
  <c r="AM298" i="1"/>
  <c r="AK298" i="1"/>
  <c r="F298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296" i="1"/>
  <c r="BA296" i="1"/>
  <c r="AW296" i="1" s="1"/>
  <c r="AM296" i="1"/>
  <c r="AK296" i="1"/>
  <c r="F296" i="1"/>
  <c r="BN310" i="1"/>
  <c r="BA310" i="1"/>
  <c r="AW310" i="1" s="1"/>
  <c r="AM310" i="1"/>
  <c r="AK310" i="1"/>
  <c r="F310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1" i="1"/>
  <c r="BA301" i="1"/>
  <c r="AW301" i="1" s="1"/>
  <c r="AM301" i="1"/>
  <c r="AK301" i="1"/>
  <c r="F301" i="1"/>
  <c r="BN309" i="1"/>
  <c r="BA309" i="1"/>
  <c r="AW309" i="1" s="1"/>
  <c r="AM309" i="1"/>
  <c r="AK309" i="1"/>
  <c r="F309" i="1"/>
  <c r="BN304" i="1"/>
  <c r="BA304" i="1"/>
  <c r="AW304" i="1" s="1"/>
  <c r="AM304" i="1"/>
  <c r="AK304" i="1"/>
  <c r="F304" i="1"/>
  <c r="BN307" i="1"/>
  <c r="BA307" i="1"/>
  <c r="AW307" i="1" s="1"/>
  <c r="AV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299" i="1"/>
  <c r="BA299" i="1"/>
  <c r="AW299" i="1" s="1"/>
  <c r="AV299" i="1" s="1"/>
  <c r="AM299" i="1"/>
  <c r="AK299" i="1"/>
  <c r="F299" i="1"/>
  <c r="AK297" i="1"/>
  <c r="BA297" i="1"/>
  <c r="AW297" i="1" s="1"/>
  <c r="AV297" i="1" s="1"/>
  <c r="AM297" i="1"/>
  <c r="G161" i="1"/>
  <c r="BN386" i="1"/>
  <c r="BA386" i="1"/>
  <c r="AZ386" i="1"/>
  <c r="AW386" i="1" s="1"/>
  <c r="AX386" i="1" s="1"/>
  <c r="AT386" i="1"/>
  <c r="F386" i="1"/>
  <c r="BN415" i="1"/>
  <c r="BA415" i="1"/>
  <c r="AW415" i="1"/>
  <c r="AX415" i="1" s="1"/>
  <c r="AV415" i="1"/>
  <c r="F415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7" i="1"/>
  <c r="AW377" i="1"/>
  <c r="AV377" i="1" s="1"/>
  <c r="T377" i="1"/>
  <c r="S377" i="1"/>
  <c r="F377" i="1"/>
  <c r="BN376" i="1"/>
  <c r="AW376" i="1"/>
  <c r="AX376" i="1" s="1"/>
  <c r="T376" i="1"/>
  <c r="S376" i="1"/>
  <c r="F376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J401" i="1"/>
  <c r="F401" i="1"/>
  <c r="BN400" i="1"/>
  <c r="BA400" i="1"/>
  <c r="AW400" i="1" s="1"/>
  <c r="AM400" i="1"/>
  <c r="AJ400" i="1"/>
  <c r="F400" i="1"/>
  <c r="BN399" i="1"/>
  <c r="BA399" i="1"/>
  <c r="AW399" i="1" s="1"/>
  <c r="AT399" i="1"/>
  <c r="AM399" i="1"/>
  <c r="AL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J397" i="1"/>
  <c r="F397" i="1"/>
  <c r="BN396" i="1"/>
  <c r="BA396" i="1"/>
  <c r="AW396" i="1" s="1"/>
  <c r="AM396" i="1"/>
  <c r="AJ396" i="1"/>
  <c r="F396" i="1"/>
  <c r="BN395" i="1"/>
  <c r="BA395" i="1"/>
  <c r="AW395" i="1" s="1"/>
  <c r="AT395" i="1"/>
  <c r="AM395" i="1"/>
  <c r="AL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5" i="1"/>
  <c r="BA355" i="1"/>
  <c r="AW355" i="1" s="1"/>
  <c r="AV355" i="1" s="1"/>
  <c r="AT355" i="1"/>
  <c r="AM355" i="1"/>
  <c r="AL355" i="1"/>
  <c r="AJ355" i="1"/>
  <c r="F355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26" i="1"/>
  <c r="BA326" i="1"/>
  <c r="AX326" i="1"/>
  <c r="AK326" i="1"/>
  <c r="AJ326" i="1"/>
  <c r="F326" i="1"/>
  <c r="AY326" i="1" s="1"/>
  <c r="BN325" i="1"/>
  <c r="BA325" i="1"/>
  <c r="AW325" i="1" s="1"/>
  <c r="AV325" i="1" s="1"/>
  <c r="F325" i="1"/>
  <c r="BN324" i="1"/>
  <c r="BA324" i="1"/>
  <c r="AX324" i="1"/>
  <c r="AK324" i="1"/>
  <c r="AJ324" i="1"/>
  <c r="F324" i="1"/>
  <c r="AY324" i="1" s="1"/>
  <c r="BN323" i="1"/>
  <c r="BA323" i="1"/>
  <c r="AW323" i="1" s="1"/>
  <c r="AV323" i="1" s="1"/>
  <c r="F323" i="1"/>
  <c r="BA474" i="1"/>
  <c r="BN475" i="1"/>
  <c r="BB475" i="1"/>
  <c r="AW475" i="1" s="1"/>
  <c r="BA475" i="1"/>
  <c r="F475" i="1"/>
  <c r="BN476" i="1"/>
  <c r="BB476" i="1"/>
  <c r="AW476" i="1" s="1"/>
  <c r="BA476" i="1"/>
  <c r="F476" i="1"/>
  <c r="BN488" i="1"/>
  <c r="BA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BA485" i="1"/>
  <c r="BA484" i="1"/>
  <c r="BN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AV469" i="1"/>
  <c r="AV454" i="1"/>
  <c r="AV459" i="1"/>
  <c r="AV467" i="1"/>
  <c r="BB477" i="1"/>
  <c r="AW477" i="1" s="1"/>
  <c r="AV477" i="1" s="1"/>
  <c r="BN477" i="1"/>
  <c r="BA477" i="1"/>
  <c r="F477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6" i="1"/>
  <c r="AW366" i="1" s="1"/>
  <c r="BA367" i="1"/>
  <c r="AW367" i="1" s="1"/>
  <c r="S367" i="1"/>
  <c r="S366" i="1"/>
  <c r="BN367" i="1"/>
  <c r="T367" i="1"/>
  <c r="F367" i="1"/>
  <c r="BN366" i="1"/>
  <c r="T366" i="1"/>
  <c r="F366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9" i="1"/>
  <c r="BA479" i="1"/>
  <c r="AW479" i="1"/>
  <c r="AX479" i="1" s="1"/>
  <c r="F479" i="1"/>
  <c r="BN481" i="1"/>
  <c r="BA481" i="1"/>
  <c r="AW481" i="1"/>
  <c r="AX481" i="1" s="1"/>
  <c r="F481" i="1"/>
  <c r="AW480" i="1"/>
  <c r="AX480" i="1" s="1"/>
  <c r="BN480" i="1"/>
  <c r="BA480" i="1"/>
  <c r="F480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38" i="1"/>
  <c r="BA438" i="1"/>
  <c r="AW438" i="1" s="1"/>
  <c r="AX438" i="1" s="1"/>
  <c r="F438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8" i="1"/>
  <c r="BA328" i="1"/>
  <c r="AX328" i="1"/>
  <c r="AK328" i="1"/>
  <c r="AJ328" i="1"/>
  <c r="F328" i="1"/>
  <c r="AY328" i="1" s="1"/>
  <c r="BN327" i="1"/>
  <c r="BA327" i="1"/>
  <c r="AW327" i="1" s="1"/>
  <c r="AV327" i="1" s="1"/>
  <c r="F327" i="1"/>
  <c r="BA486" i="1"/>
  <c r="AW485" i="1"/>
  <c r="AX485" i="1" s="1"/>
  <c r="AW486" i="1"/>
  <c r="AX486" i="1" s="1"/>
  <c r="F485" i="1"/>
  <c r="AJ485" i="1"/>
  <c r="AK485" i="1"/>
  <c r="BN485" i="1"/>
  <c r="F486" i="1"/>
  <c r="AJ486" i="1"/>
  <c r="AK486" i="1"/>
  <c r="BN486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8" i="1"/>
  <c r="AX320" i="1"/>
  <c r="AX322" i="1"/>
  <c r="AX330" i="1"/>
  <c r="AX331" i="1"/>
  <c r="AX332" i="1"/>
  <c r="AX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AY330" i="1" s="1"/>
  <c r="F331" i="1"/>
  <c r="AY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J342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1" i="1"/>
  <c r="AJ319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1" i="1"/>
  <c r="BA331" i="1"/>
  <c r="AK331" i="1"/>
  <c r="AJ331" i="1"/>
  <c r="AJ332" i="1"/>
  <c r="AK332" i="1"/>
  <c r="BA332" i="1"/>
  <c r="BN332" i="1"/>
  <c r="AJ318" i="1"/>
  <c r="AK318" i="1"/>
  <c r="BA318" i="1"/>
  <c r="BN318" i="1"/>
  <c r="BN322" i="1"/>
  <c r="BA322" i="1"/>
  <c r="AK322" i="1"/>
  <c r="AJ322" i="1"/>
  <c r="BN321" i="1"/>
  <c r="BA321" i="1"/>
  <c r="AW321" i="1" s="1"/>
  <c r="AV321" i="1" s="1"/>
  <c r="BN320" i="1"/>
  <c r="BA320" i="1"/>
  <c r="AK320" i="1"/>
  <c r="AJ320" i="1"/>
  <c r="BN319" i="1"/>
  <c r="BA319" i="1"/>
  <c r="AW319" i="1" s="1"/>
  <c r="AV319" i="1" s="1"/>
  <c r="AJ330" i="1"/>
  <c r="AK330" i="1"/>
  <c r="BA330" i="1"/>
  <c r="BN330" i="1"/>
  <c r="AJ334" i="1"/>
  <c r="AK334" i="1"/>
  <c r="BA334" i="1"/>
  <c r="BN334" i="1"/>
  <c r="AR54" i="1"/>
  <c r="AR44" i="1"/>
  <c r="BN329" i="1"/>
  <c r="BA329" i="1"/>
  <c r="AW329" i="1" s="1"/>
  <c r="AV329" i="1" s="1"/>
  <c r="BA333" i="1"/>
  <c r="AW333" i="1" s="1"/>
  <c r="AV333" i="1" s="1"/>
  <c r="BN333" i="1"/>
  <c r="BN297" i="1"/>
  <c r="AR77" i="1"/>
  <c r="AR76" i="1"/>
  <c r="AR75" i="1"/>
  <c r="AR74" i="1"/>
  <c r="AR73" i="1"/>
  <c r="AR72" i="1"/>
  <c r="AX289" i="1" l="1"/>
  <c r="AY289" i="1"/>
  <c r="G289" i="1"/>
  <c r="AY293" i="1"/>
  <c r="AY294" i="1"/>
  <c r="AY290" i="1"/>
  <c r="AY291" i="1"/>
  <c r="AY292" i="1"/>
  <c r="AX291" i="1"/>
  <c r="AX293" i="1"/>
  <c r="AX292" i="1"/>
  <c r="AX294" i="1"/>
  <c r="AX290" i="1"/>
  <c r="AY313" i="1"/>
  <c r="AX313" i="1"/>
  <c r="AY302" i="1"/>
  <c r="AX302" i="1"/>
  <c r="AX343" i="1"/>
  <c r="AY343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30" i="1"/>
  <c r="AY282" i="1"/>
  <c r="G282" i="1"/>
  <c r="AX282" i="1"/>
  <c r="AX325" i="1"/>
  <c r="AX323" i="1"/>
  <c r="AY335" i="1"/>
  <c r="AY317" i="1"/>
  <c r="AY295" i="1"/>
  <c r="AX295" i="1"/>
  <c r="AX300" i="1"/>
  <c r="AX311" i="1"/>
  <c r="AX304" i="1"/>
  <c r="AX303" i="1"/>
  <c r="AX315" i="1"/>
  <c r="AX306" i="1"/>
  <c r="AX296" i="1"/>
  <c r="AY304" i="1"/>
  <c r="AY296" i="1"/>
  <c r="AY306" i="1"/>
  <c r="AY309" i="1"/>
  <c r="AY312" i="1"/>
  <c r="AX301" i="1"/>
  <c r="AY303" i="1"/>
  <c r="AX298" i="1"/>
  <c r="AY315" i="1"/>
  <c r="AY305" i="1"/>
  <c r="AY300" i="1"/>
  <c r="AV306" i="1"/>
  <c r="AX305" i="1"/>
  <c r="AY301" i="1"/>
  <c r="AY298" i="1"/>
  <c r="AY307" i="1"/>
  <c r="AY308" i="1"/>
  <c r="AX314" i="1"/>
  <c r="AY316" i="1"/>
  <c r="AX299" i="1"/>
  <c r="AY310" i="1"/>
  <c r="AX308" i="1"/>
  <c r="AX316" i="1"/>
  <c r="AX307" i="1"/>
  <c r="AX310" i="1"/>
  <c r="AY311" i="1"/>
  <c r="AY299" i="1"/>
  <c r="AX309" i="1"/>
  <c r="AX312" i="1"/>
  <c r="AY314" i="1"/>
  <c r="AV304" i="1"/>
  <c r="AV309" i="1"/>
  <c r="AV301" i="1"/>
  <c r="AV303" i="1"/>
  <c r="AV308" i="1"/>
  <c r="AV300" i="1"/>
  <c r="AV310" i="1"/>
  <c r="AV296" i="1"/>
  <c r="AV311" i="1"/>
  <c r="AV312" i="1"/>
  <c r="AV298" i="1"/>
  <c r="AV314" i="1"/>
  <c r="AV315" i="1"/>
  <c r="AV316" i="1"/>
  <c r="AY386" i="1"/>
  <c r="AV386" i="1"/>
  <c r="AY162" i="1"/>
  <c r="AY415" i="1"/>
  <c r="AV161" i="1"/>
  <c r="AY377" i="1"/>
  <c r="AY161" i="1"/>
  <c r="AV162" i="1"/>
  <c r="AX162" i="1"/>
  <c r="AV376" i="1"/>
  <c r="AY376" i="1"/>
  <c r="AY394" i="1"/>
  <c r="AX377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2" i="1"/>
  <c r="AX354" i="1"/>
  <c r="AY355" i="1"/>
  <c r="AX352" i="1"/>
  <c r="AY353" i="1"/>
  <c r="AX353" i="1"/>
  <c r="AV353" i="1"/>
  <c r="AY354" i="1"/>
  <c r="AX355" i="1"/>
  <c r="AV352" i="1"/>
  <c r="AY325" i="1"/>
  <c r="AY323" i="1"/>
  <c r="AY475" i="1"/>
  <c r="AV475" i="1"/>
  <c r="AX475" i="1"/>
  <c r="AX476" i="1"/>
  <c r="AV476" i="1"/>
  <c r="AY476" i="1"/>
  <c r="AY488" i="1"/>
  <c r="AV488" i="1"/>
  <c r="AY483" i="1"/>
  <c r="AV483" i="1"/>
  <c r="AY487" i="1"/>
  <c r="AV487" i="1"/>
  <c r="AY484" i="1"/>
  <c r="AV484" i="1"/>
  <c r="AV479" i="1"/>
  <c r="AY127" i="1"/>
  <c r="AY477" i="1"/>
  <c r="AX477" i="1"/>
  <c r="AV127" i="1"/>
  <c r="AY128" i="1"/>
  <c r="AV128" i="1"/>
  <c r="AY42" i="1"/>
  <c r="AY109" i="1"/>
  <c r="AY108" i="1"/>
  <c r="AV108" i="1"/>
  <c r="AX108" i="1"/>
  <c r="AV109" i="1"/>
  <c r="AY366" i="1"/>
  <c r="AX367" i="1"/>
  <c r="AV367" i="1"/>
  <c r="AY367" i="1"/>
  <c r="AX366" i="1"/>
  <c r="AV366" i="1"/>
  <c r="AY479" i="1"/>
  <c r="AY481" i="1"/>
  <c r="AY480" i="1"/>
  <c r="AY465" i="1"/>
  <c r="AX107" i="1"/>
  <c r="AV107" i="1"/>
  <c r="AY107" i="1"/>
  <c r="AX106" i="1"/>
  <c r="AV106" i="1"/>
  <c r="AY106" i="1"/>
  <c r="AY56" i="1"/>
  <c r="AY463" i="1"/>
  <c r="AY462" i="1"/>
  <c r="AY460" i="1"/>
  <c r="AY461" i="1"/>
  <c r="AY464" i="1"/>
  <c r="AY438" i="1"/>
  <c r="AV438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7" i="1"/>
  <c r="AY327" i="1"/>
  <c r="AY486" i="1"/>
  <c r="AV486" i="1"/>
  <c r="AV485" i="1"/>
  <c r="AY485" i="1"/>
  <c r="AY41" i="1"/>
  <c r="AY43" i="1"/>
  <c r="AX333" i="1"/>
  <c r="AX329" i="1"/>
  <c r="AX319" i="1"/>
  <c r="AX297" i="1"/>
  <c r="AX321" i="1"/>
  <c r="AY15" i="1"/>
  <c r="AY329" i="1"/>
  <c r="AY333" i="1"/>
  <c r="AY319" i="1"/>
  <c r="AY17" i="1"/>
  <c r="AY5" i="1"/>
  <c r="AY25" i="1"/>
  <c r="AY13" i="1"/>
  <c r="AY27" i="1"/>
  <c r="AY31" i="1"/>
  <c r="AY19" i="1"/>
  <c r="AY7" i="1"/>
  <c r="AY322" i="1"/>
  <c r="AY321" i="1"/>
  <c r="AY297" i="1"/>
  <c r="AY234" i="1"/>
  <c r="AY23" i="1"/>
  <c r="AY11" i="1"/>
  <c r="AY320" i="1"/>
  <c r="AY21" i="1"/>
  <c r="AY9" i="1"/>
  <c r="AY334" i="1"/>
  <c r="AY318" i="1"/>
  <c r="AY332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2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1" i="1"/>
  <c r="AX471" i="1" s="1"/>
  <c r="AW469" i="1"/>
  <c r="AX469" i="1" s="1"/>
  <c r="AW467" i="1"/>
  <c r="AX467" i="1" s="1"/>
  <c r="AW466" i="1"/>
  <c r="AX466" i="1" s="1"/>
  <c r="AV466" i="1"/>
  <c r="AW459" i="1"/>
  <c r="AX459" i="1" s="1"/>
  <c r="AW456" i="1"/>
  <c r="AX456" i="1" s="1"/>
  <c r="AV456" i="1"/>
  <c r="AW455" i="1"/>
  <c r="AX455" i="1" s="1"/>
  <c r="AV455" i="1"/>
  <c r="AW454" i="1"/>
  <c r="AX454" i="1" s="1"/>
  <c r="AW451" i="1"/>
  <c r="AX451" i="1" s="1"/>
  <c r="AV451" i="1"/>
  <c r="AW450" i="1"/>
  <c r="AX450" i="1" s="1"/>
  <c r="AV450" i="1"/>
  <c r="AW442" i="1"/>
  <c r="AX442" i="1" s="1"/>
  <c r="AV442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1" i="1"/>
  <c r="AX351" i="1" s="1"/>
  <c r="AV351" i="1"/>
  <c r="AW350" i="1"/>
  <c r="AX350" i="1" s="1"/>
  <c r="AV350" i="1"/>
  <c r="AW349" i="1"/>
  <c r="AX349" i="1" s="1"/>
  <c r="AV349" i="1"/>
  <c r="AW348" i="1"/>
  <c r="AX348" i="1" s="1"/>
  <c r="AV348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2" i="1"/>
  <c r="AV472" i="1" s="1"/>
  <c r="AW482" i="1"/>
  <c r="AW489" i="1"/>
  <c r="AX489" i="1" s="1"/>
  <c r="BA471" i="1"/>
  <c r="BA469" i="1"/>
  <c r="BA467" i="1"/>
  <c r="BA466" i="1"/>
  <c r="BA459" i="1"/>
  <c r="BA456" i="1"/>
  <c r="BA455" i="1"/>
  <c r="BA454" i="1"/>
  <c r="BA451" i="1"/>
  <c r="BA450" i="1"/>
  <c r="BA442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1" i="1"/>
  <c r="BA350" i="1"/>
  <c r="BA349" i="1"/>
  <c r="BA348" i="1"/>
  <c r="BA341" i="1"/>
  <c r="BA340" i="1"/>
  <c r="BA339" i="1"/>
  <c r="BA338" i="1"/>
  <c r="BA337" i="1"/>
  <c r="BA336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7" i="1"/>
  <c r="BA452" i="1"/>
  <c r="BA490" i="1"/>
  <c r="BA281" i="1"/>
  <c r="AW281" i="1" s="1"/>
  <c r="AX281" i="1" s="1"/>
  <c r="BA478" i="1"/>
  <c r="BA473" i="1"/>
  <c r="BA472" i="1"/>
  <c r="BA470" i="1"/>
  <c r="BA468" i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58" i="1"/>
  <c r="BA453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2" i="1"/>
  <c r="BA347" i="1"/>
  <c r="AW347" i="1" s="1"/>
  <c r="AX347" i="1" s="1"/>
  <c r="BA346" i="1"/>
  <c r="AW346" i="1" s="1"/>
  <c r="AX346" i="1" s="1"/>
  <c r="BA345" i="1"/>
  <c r="AW345" i="1" s="1"/>
  <c r="AX345" i="1" s="1"/>
  <c r="BA344" i="1"/>
  <c r="AW344" i="1" s="1"/>
  <c r="AX344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9" i="1"/>
  <c r="AW439" i="1" s="1"/>
  <c r="AX439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1" i="1"/>
  <c r="AW441" i="1" s="1"/>
  <c r="AX441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342" i="1"/>
  <c r="AW342" i="1" s="1"/>
  <c r="AX342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9" i="1"/>
  <c r="BA449" i="1"/>
  <c r="BA440" i="1"/>
  <c r="AW440" i="1" s="1"/>
  <c r="AX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B478" i="1"/>
  <c r="AW478" i="1" s="1"/>
  <c r="BB474" i="1"/>
  <c r="AW474" i="1" s="1"/>
  <c r="BB473" i="1"/>
  <c r="AW473" i="1" s="1"/>
  <c r="BB470" i="1"/>
  <c r="AW470" i="1" s="1"/>
  <c r="BB468" i="1"/>
  <c r="AW468" i="1" s="1"/>
  <c r="AZ490" i="1"/>
  <c r="AW490" i="1" s="1"/>
  <c r="AX490" i="1" s="1"/>
  <c r="AZ457" i="1"/>
  <c r="AW457" i="1" s="1"/>
  <c r="AX457" i="1" s="1"/>
  <c r="AZ452" i="1"/>
  <c r="AW452" i="1" s="1"/>
  <c r="AX452" i="1" s="1"/>
  <c r="AZ458" i="1"/>
  <c r="AW458" i="1" s="1"/>
  <c r="AX458" i="1" s="1"/>
  <c r="AZ453" i="1"/>
  <c r="AW453" i="1" s="1"/>
  <c r="AX453" i="1" s="1"/>
  <c r="AZ387" i="1"/>
  <c r="AW387" i="1" s="1"/>
  <c r="AX387" i="1" s="1"/>
  <c r="AZ385" i="1"/>
  <c r="AW385" i="1" s="1"/>
  <c r="AX385" i="1" s="1"/>
  <c r="AZ384" i="1"/>
  <c r="AW384" i="1" s="1"/>
  <c r="AX384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4" i="1"/>
  <c r="S372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6" i="1"/>
  <c r="BN337" i="1"/>
  <c r="BN338" i="1"/>
  <c r="BN339" i="1"/>
  <c r="BN340" i="1"/>
  <c r="BN341" i="1"/>
  <c r="BN342" i="1"/>
  <c r="BN344" i="1"/>
  <c r="BN345" i="1"/>
  <c r="BN346" i="1"/>
  <c r="BN347" i="1"/>
  <c r="BN348" i="1"/>
  <c r="BN349" i="1"/>
  <c r="BN350" i="1"/>
  <c r="BN351" i="1"/>
  <c r="BN356" i="1"/>
  <c r="BN357" i="1"/>
  <c r="BN358" i="1"/>
  <c r="BN359" i="1"/>
  <c r="BN360" i="1"/>
  <c r="BN361" i="1"/>
  <c r="BN362" i="1"/>
  <c r="BN363" i="1"/>
  <c r="BN364" i="1"/>
  <c r="BN365" i="1"/>
  <c r="BN368" i="1"/>
  <c r="BN369" i="1"/>
  <c r="BN370" i="1"/>
  <c r="BN371" i="1"/>
  <c r="BN372" i="1"/>
  <c r="BN373" i="1"/>
  <c r="BN374" i="1"/>
  <c r="BN375" i="1"/>
  <c r="BN378" i="1"/>
  <c r="BN379" i="1"/>
  <c r="BN380" i="1"/>
  <c r="BN381" i="1"/>
  <c r="BN382" i="1"/>
  <c r="BN383" i="1"/>
  <c r="BN384" i="1"/>
  <c r="BN385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6" i="1"/>
  <c r="BN467" i="1"/>
  <c r="BN468" i="1"/>
  <c r="BN469" i="1"/>
  <c r="BN470" i="1"/>
  <c r="BN471" i="1"/>
  <c r="BN472" i="1"/>
  <c r="BN473" i="1"/>
  <c r="BN474" i="1"/>
  <c r="BN478" i="1"/>
  <c r="BN482" i="1"/>
  <c r="BN489" i="1"/>
  <c r="BN490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90" i="1"/>
  <c r="AT404" i="1"/>
  <c r="AT387" i="1"/>
  <c r="AT385" i="1"/>
  <c r="AT384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3" i="1" l="1"/>
  <c r="AV473" i="1"/>
  <c r="AX474" i="1"/>
  <c r="AV474" i="1"/>
  <c r="AX482" i="1"/>
  <c r="AV482" i="1"/>
  <c r="AX468" i="1"/>
  <c r="AV468" i="1"/>
  <c r="AX478" i="1"/>
  <c r="AV478" i="1"/>
  <c r="AX470" i="1"/>
  <c r="AV470" i="1"/>
  <c r="AX472" i="1"/>
  <c r="AW449" i="1"/>
  <c r="AX449" i="1" s="1"/>
  <c r="AY342" i="1"/>
  <c r="AY226" i="1"/>
  <c r="AV387" i="1"/>
  <c r="AV168" i="1"/>
  <c r="AY47" i="1"/>
  <c r="AV120" i="1"/>
  <c r="AY337" i="1"/>
  <c r="AY215" i="1"/>
  <c r="AY216" i="1"/>
  <c r="AY95" i="1"/>
  <c r="AY101" i="1"/>
  <c r="AY338" i="1"/>
  <c r="AY350" i="1"/>
  <c r="AV81" i="1"/>
  <c r="AY8" i="1"/>
  <c r="AY360" i="1"/>
  <c r="AV142" i="1"/>
  <c r="AV192" i="1"/>
  <c r="AY230" i="1"/>
  <c r="AY200" i="1"/>
  <c r="AY233" i="1"/>
  <c r="AY152" i="1"/>
  <c r="AV448" i="1"/>
  <c r="AY451" i="1"/>
  <c r="AY140" i="1"/>
  <c r="AY73" i="1"/>
  <c r="AV435" i="1"/>
  <c r="AY435" i="1"/>
  <c r="AY231" i="1"/>
  <c r="AY489" i="1"/>
  <c r="AY96" i="1"/>
  <c r="AY351" i="1"/>
  <c r="AY411" i="1"/>
  <c r="AY424" i="1"/>
  <c r="AY4" i="1"/>
  <c r="AY28" i="1"/>
  <c r="AY26" i="1"/>
  <c r="AV167" i="1"/>
  <c r="AY167" i="1"/>
  <c r="AY371" i="1"/>
  <c r="AY468" i="1"/>
  <c r="AY86" i="1"/>
  <c r="AY178" i="1"/>
  <c r="AY219" i="1"/>
  <c r="AY74" i="1"/>
  <c r="AY87" i="1"/>
  <c r="AV436" i="1"/>
  <c r="AY436" i="1"/>
  <c r="AV202" i="1"/>
  <c r="AY202" i="1"/>
  <c r="AY205" i="1"/>
  <c r="AY357" i="1"/>
  <c r="AY427" i="1"/>
  <c r="AY457" i="1"/>
  <c r="AY89" i="1"/>
  <c r="AV437" i="1"/>
  <c r="AY437" i="1"/>
  <c r="AY68" i="1"/>
  <c r="AV203" i="1"/>
  <c r="AY203" i="1"/>
  <c r="AY206" i="1"/>
  <c r="AY365" i="1"/>
  <c r="AV379" i="1"/>
  <c r="AY240" i="1"/>
  <c r="AY246" i="1"/>
  <c r="AY252" i="1"/>
  <c r="AY264" i="1"/>
  <c r="AY276" i="1"/>
  <c r="AY340" i="1"/>
  <c r="AY412" i="1"/>
  <c r="AY425" i="1"/>
  <c r="AV458" i="1"/>
  <c r="AY372" i="1"/>
  <c r="AY188" i="1"/>
  <c r="AV190" i="1"/>
  <c r="AY190" i="1"/>
  <c r="AY474" i="1"/>
  <c r="AY440" i="1"/>
  <c r="AV32" i="1"/>
  <c r="AV69" i="1"/>
  <c r="AY69" i="1"/>
  <c r="AY204" i="1"/>
  <c r="AY368" i="1"/>
  <c r="AY380" i="1"/>
  <c r="AV154" i="1"/>
  <c r="AV191" i="1"/>
  <c r="AY191" i="1"/>
  <c r="AY150" i="1"/>
  <c r="AV384" i="1"/>
  <c r="AY384" i="1"/>
  <c r="AY70" i="1"/>
  <c r="AV112" i="1"/>
  <c r="AY112" i="1"/>
  <c r="AY207" i="1"/>
  <c r="AY241" i="1"/>
  <c r="AY253" i="1"/>
  <c r="AY265" i="1"/>
  <c r="AY277" i="1"/>
  <c r="AY426" i="1"/>
  <c r="AY466" i="1"/>
  <c r="AY383" i="1"/>
  <c r="AV169" i="1"/>
  <c r="AY169" i="1"/>
  <c r="AY75" i="1"/>
  <c r="AY166" i="1"/>
  <c r="AV92" i="1"/>
  <c r="AY92" i="1"/>
  <c r="AY71" i="1"/>
  <c r="AY117" i="1"/>
  <c r="AY208" i="1"/>
  <c r="AV447" i="1"/>
  <c r="AY447" i="1"/>
  <c r="AY370" i="1"/>
  <c r="AY382" i="1"/>
  <c r="AY62" i="1"/>
  <c r="AY404" i="1"/>
  <c r="AY470" i="1"/>
  <c r="AY482" i="1"/>
  <c r="AY405" i="1"/>
  <c r="AV145" i="1"/>
  <c r="AY199" i="1"/>
  <c r="AY18" i="1"/>
  <c r="AY55" i="1"/>
  <c r="AV110" i="1"/>
  <c r="AY346" i="1"/>
  <c r="AV181" i="1"/>
  <c r="AY441" i="1"/>
  <c r="AY85" i="1"/>
  <c r="AY183" i="1"/>
  <c r="AY195" i="1"/>
  <c r="AY453" i="1"/>
  <c r="AY133" i="1"/>
  <c r="AY237" i="1"/>
  <c r="AY273" i="1"/>
  <c r="AY416" i="1"/>
  <c r="AY454" i="1"/>
  <c r="AY49" i="1"/>
  <c r="AY63" i="1"/>
  <c r="AV347" i="1"/>
  <c r="AY48" i="1"/>
  <c r="AY249" i="1"/>
  <c r="AV156" i="1"/>
  <c r="AY50" i="1"/>
  <c r="AY361" i="1"/>
  <c r="AY373" i="1"/>
  <c r="AY238" i="1"/>
  <c r="AY417" i="1"/>
  <c r="AY429" i="1"/>
  <c r="AY6" i="1"/>
  <c r="AY428" i="1"/>
  <c r="AY170" i="1"/>
  <c r="AV157" i="1"/>
  <c r="AY12" i="1"/>
  <c r="AY362" i="1"/>
  <c r="AV171" i="1"/>
  <c r="AV193" i="1"/>
  <c r="AY471" i="1"/>
  <c r="AY239" i="1"/>
  <c r="AY251" i="1"/>
  <c r="AY263" i="1"/>
  <c r="AY159" i="1"/>
  <c r="AV111" i="1"/>
  <c r="AY223" i="1"/>
  <c r="AY51" i="1"/>
  <c r="AY135" i="1"/>
  <c r="AY211" i="1"/>
  <c r="AV364" i="1"/>
  <c r="AY348" i="1"/>
  <c r="AY30" i="1"/>
  <c r="AY275" i="1"/>
  <c r="AV378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5" i="1"/>
  <c r="AY259" i="1"/>
  <c r="AY235" i="1"/>
  <c r="AY452" i="1"/>
  <c r="AY212" i="1"/>
  <c r="AY61" i="1"/>
  <c r="AY469" i="1"/>
  <c r="AY143" i="1"/>
  <c r="AY409" i="1"/>
  <c r="AY20" i="1"/>
  <c r="AY250" i="1"/>
  <c r="AY369" i="1"/>
  <c r="AV176" i="1"/>
  <c r="AV434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4" i="1"/>
  <c r="AY32" i="1"/>
  <c r="AY155" i="1"/>
  <c r="AY111" i="1"/>
  <c r="AY262" i="1"/>
  <c r="AY413" i="1"/>
  <c r="AY72" i="1"/>
  <c r="AY229" i="1"/>
  <c r="AY381" i="1"/>
  <c r="AY138" i="1"/>
  <c r="AY99" i="1"/>
  <c r="AY80" i="1"/>
  <c r="AY410" i="1"/>
  <c r="AY65" i="1"/>
  <c r="AV172" i="1"/>
  <c r="AY172" i="1"/>
  <c r="AV198" i="1"/>
  <c r="AV16" i="1"/>
  <c r="AY53" i="1"/>
  <c r="AY232" i="1"/>
  <c r="AY443" i="1"/>
  <c r="AY79" i="1"/>
  <c r="AY46" i="1"/>
  <c r="AY467" i="1"/>
  <c r="AY274" i="1"/>
  <c r="AY478" i="1"/>
  <c r="AY363" i="1"/>
  <c r="AY444" i="1"/>
  <c r="AY459" i="1"/>
  <c r="AY186" i="1"/>
  <c r="AY179" i="1"/>
  <c r="AY375" i="1"/>
  <c r="AY163" i="1"/>
  <c r="AV199" i="1"/>
  <c r="AY220" i="1"/>
  <c r="AV55" i="1"/>
  <c r="AY97" i="1"/>
  <c r="AY419" i="1"/>
  <c r="AY442" i="1"/>
  <c r="AY58" i="1"/>
  <c r="AY214" i="1"/>
  <c r="AY364" i="1"/>
  <c r="AY472" i="1"/>
  <c r="AY144" i="1"/>
  <c r="AY439" i="1"/>
  <c r="AY387" i="1"/>
  <c r="AY339" i="1"/>
  <c r="AY490" i="1"/>
  <c r="AY281" i="1"/>
  <c r="AY201" i="1"/>
  <c r="AY66" i="1"/>
  <c r="AY91" i="1"/>
  <c r="AY406" i="1"/>
  <c r="AY149" i="1"/>
  <c r="AY209" i="1"/>
  <c r="AY221" i="1"/>
  <c r="AY76" i="1"/>
  <c r="AV445" i="1"/>
  <c r="AV223" i="1"/>
  <c r="AY258" i="1"/>
  <c r="AY378" i="1"/>
  <c r="AY336" i="1"/>
  <c r="AY156" i="1"/>
  <c r="AY450" i="1"/>
  <c r="AY414" i="1"/>
  <c r="AY356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1" i="1"/>
  <c r="AY270" i="1"/>
  <c r="AY422" i="1"/>
  <c r="AY81" i="1"/>
  <c r="AY236" i="1"/>
  <c r="AY349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3" i="1"/>
  <c r="AY145" i="1"/>
  <c r="AY445" i="1"/>
  <c r="AY271" i="1"/>
  <c r="AY247" i="1"/>
  <c r="AY16" i="1"/>
  <c r="AY198" i="1"/>
  <c r="AY100" i="1"/>
  <c r="AY257" i="1"/>
  <c r="AY136" i="1"/>
  <c r="AY184" i="1"/>
  <c r="AV344" i="1"/>
  <c r="AY40" i="1"/>
  <c r="AY88" i="1"/>
  <c r="AY242" i="1"/>
  <c r="AY254" i="1"/>
  <c r="AY266" i="1"/>
  <c r="AY278" i="1"/>
  <c r="AY446" i="1"/>
  <c r="AY260" i="1"/>
  <c r="AY379" i="1"/>
  <c r="AY34" i="1"/>
  <c r="AY192" i="1"/>
  <c r="AY157" i="1"/>
  <c r="AY407" i="1"/>
  <c r="AY420" i="1"/>
  <c r="AY116" i="1"/>
  <c r="AY45" i="1"/>
  <c r="AY118" i="1"/>
  <c r="AV146" i="1"/>
  <c r="AY146" i="1"/>
  <c r="AY196" i="1"/>
  <c r="AY137" i="1"/>
  <c r="AY185" i="1"/>
  <c r="AV345" i="1"/>
  <c r="AY358" i="1"/>
  <c r="AY458" i="1"/>
  <c r="AY119" i="1"/>
  <c r="AY272" i="1"/>
  <c r="AY82" i="1"/>
  <c r="AY171" i="1"/>
  <c r="AY456" i="1"/>
  <c r="AY347" i="1"/>
  <c r="AY39" i="1"/>
  <c r="AY256" i="1"/>
  <c r="AY139" i="1"/>
  <c r="AY345" i="1"/>
  <c r="AY217" i="1"/>
  <c r="AY197" i="1"/>
  <c r="AY431" i="1"/>
  <c r="AY113" i="1"/>
  <c r="AY359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2" i="1"/>
  <c r="AY114" i="1"/>
  <c r="AV360" i="1"/>
  <c r="AV372" i="1"/>
  <c r="AY154" i="1"/>
  <c r="AY448" i="1"/>
  <c r="AY110" i="1"/>
  <c r="AY261" i="1"/>
  <c r="AY228" i="1"/>
  <c r="AY193" i="1"/>
  <c r="AY189" i="1"/>
  <c r="AY423" i="1"/>
  <c r="AY165" i="1"/>
  <c r="AY421" i="1"/>
  <c r="AY175" i="1"/>
  <c r="AV457" i="1"/>
  <c r="AV54" i="1"/>
  <c r="AV433" i="1"/>
  <c r="AY64" i="1"/>
  <c r="AV115" i="1"/>
  <c r="AV361" i="1"/>
  <c r="AV373" i="1"/>
  <c r="AY455" i="1"/>
  <c r="AY168" i="1"/>
  <c r="AY120" i="1"/>
  <c r="AY434" i="1"/>
  <c r="AY408" i="1"/>
  <c r="AY344" i="1"/>
  <c r="AY77" i="1"/>
  <c r="AY433" i="1"/>
  <c r="AY177" i="1"/>
  <c r="AV65" i="1"/>
  <c r="AV159" i="1"/>
  <c r="AV219" i="1"/>
  <c r="AV53" i="1"/>
  <c r="AV443" i="1"/>
  <c r="AV220" i="1"/>
  <c r="AV76" i="1"/>
  <c r="AV441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69" i="1"/>
  <c r="AV381" i="1"/>
  <c r="AV216" i="1"/>
  <c r="AV64" i="1"/>
  <c r="AV34" i="1"/>
  <c r="AV59" i="1"/>
  <c r="AV208" i="1"/>
  <c r="AV356" i="1"/>
  <c r="AV370" i="1"/>
  <c r="AV382" i="1"/>
  <c r="AV233" i="1"/>
  <c r="AV74" i="1"/>
  <c r="AV60" i="1"/>
  <c r="AV357" i="1"/>
  <c r="AV371" i="1"/>
  <c r="AV383" i="1"/>
  <c r="AV10" i="1"/>
  <c r="AV86" i="1"/>
  <c r="AV231" i="1"/>
  <c r="AV404" i="1"/>
  <c r="AV87" i="1"/>
  <c r="AV405" i="1"/>
  <c r="AV453" i="1"/>
  <c r="AV36" i="1"/>
  <c r="AV342" i="1"/>
  <c r="AV439" i="1"/>
  <c r="AV358" i="1"/>
  <c r="AV48" i="1"/>
  <c r="AV62" i="1"/>
  <c r="AV346" i="1"/>
  <c r="AV113" i="1"/>
  <c r="AV359" i="1"/>
  <c r="AV490" i="1"/>
  <c r="AV230" i="1"/>
  <c r="AV14" i="1"/>
  <c r="AV489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5" i="1"/>
  <c r="AV45" i="1"/>
  <c r="AV71" i="1"/>
  <c r="AV117" i="1"/>
  <c r="AV432" i="1"/>
  <c r="AV46" i="1"/>
  <c r="AV119" i="1"/>
  <c r="AV431" i="1"/>
  <c r="AV196" i="1"/>
  <c r="AV47" i="1"/>
  <c r="AV226" i="1"/>
  <c r="AV83" i="1"/>
  <c r="AV197" i="1"/>
  <c r="AV227" i="1"/>
  <c r="AV144" i="1"/>
  <c r="AV444" i="1"/>
  <c r="AV365" i="1"/>
  <c r="AV440" i="1"/>
  <c r="AV368" i="1"/>
  <c r="AV141" i="1"/>
  <c r="AV175" i="1"/>
  <c r="AV188" i="1"/>
  <c r="AV229" i="1"/>
  <c r="AV72" i="1"/>
  <c r="AV200" i="1"/>
  <c r="AV362" i="1"/>
  <c r="AV374" i="1"/>
  <c r="AV73" i="1"/>
  <c r="AV201" i="1"/>
  <c r="AV363" i="1"/>
  <c r="AV375" i="1"/>
  <c r="AV178" i="1"/>
  <c r="AV67" i="1"/>
  <c r="AV189" i="1"/>
  <c r="AV163" i="1"/>
  <c r="AV179" i="1"/>
  <c r="AV89" i="1"/>
  <c r="AV18" i="1"/>
  <c r="AV68" i="1"/>
  <c r="AV206" i="1"/>
  <c r="AV90" i="1"/>
  <c r="AV20" i="1"/>
  <c r="AV380" i="1"/>
  <c r="AV77" i="1"/>
  <c r="AV91" i="1"/>
  <c r="AV446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2" i="1"/>
  <c r="AV221" i="1"/>
  <c r="AV174" i="1"/>
  <c r="AV170" i="1"/>
  <c r="AY449" i="1" l="1"/>
  <c r="AV449" i="1"/>
  <c r="AY180" i="1"/>
  <c r="AV180" i="1"/>
  <c r="AY187" i="1"/>
  <c r="AV187" i="1"/>
</calcChain>
</file>

<file path=xl/sharedStrings.xml><?xml version="1.0" encoding="utf-8"?>
<sst xmlns="http://schemas.openxmlformats.org/spreadsheetml/2006/main" count="7878" uniqueCount="1540">
  <si>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</si>
  <si>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</si>
  <si>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</si>
  <si>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</si>
  <si>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</si>
  <si>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</si>
  <si>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</si>
  <si>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</si>
  <si>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</si>
  <si>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</si>
  <si>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</si>
  <si>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</si>
  <si>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</si>
  <si>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</si>
  <si>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</si>
  <si>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</si>
  <si>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</si>
  <si>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</si>
  <si>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</si>
  <si>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</si>
  <si>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</si>
  <si>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</si>
  <si>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</si>
  <si>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</si>
  <si>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</si>
  <si>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</si>
  <si>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</si>
  <si>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</si>
  <si>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</si>
  <si>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</si>
  <si>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</si>
  <si>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</si>
  <si>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</si>
  <si>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</si>
  <si>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</si>
  <si>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</si>
  <si>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</si>
  <si>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</si>
  <si>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</si>
  <si>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</si>
  <si>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</si>
  <si>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</si>
  <si>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</si>
  <si>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</si>
  <si>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</si>
  <si>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</si>
  <si>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</si>
  <si>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</si>
  <si>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</si>
  <si>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</si>
  <si>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</si>
  <si>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</si>
  <si>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</si>
  <si>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</si>
  <si>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</si>
  <si>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</si>
  <si>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</si>
  <si>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</si>
  <si>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</si>
  <si>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</si>
  <si>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</si>
  <si>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</si>
  <si>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</si>
  <si>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</si>
  <si>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</si>
  <si>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</si>
  <si>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</si>
  <si>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</si>
  <si>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</si>
  <si>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</si>
  <si>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</si>
  <si>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</si>
  <si>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</si>
  <si>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</si>
  <si>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</si>
  <si>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</si>
  <si>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</si>
  <si>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</si>
  <si>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</si>
  <si>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</si>
  <si>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</si>
  <si>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</si>
  <si>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</si>
  <si>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</si>
  <si>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</si>
  <si>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</si>
  <si>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</si>
  <si>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</si>
  <si>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</si>
  <si>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</si>
  <si>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</si>
  <si>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</si>
  <si>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</si>
  <si>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</si>
  <si>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</si>
  <si>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</si>
  <si>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</si>
  <si>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</si>
  <si>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</si>
  <si>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</si>
  <si>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</si>
  <si>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</si>
  <si>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</si>
  <si>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</si>
  <si>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</si>
  <si>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</si>
  <si>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</si>
  <si>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</si>
  <si>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</si>
  <si>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</si>
  <si>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</si>
  <si>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</si>
  <si>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</si>
  <si>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</si>
  <si>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</si>
  <si>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</si>
  <si>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</si>
  <si>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</si>
  <si>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</si>
  <si>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</si>
  <si>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</si>
  <si>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</si>
  <si>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</si>
  <si>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</si>
  <si>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</si>
  <si>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</si>
  <si>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</si>
  <si>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</si>
  <si>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</si>
  <si>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</si>
  <si>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</si>
  <si>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</si>
  <si>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</si>
  <si>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</si>
  <si>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</si>
  <si>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</si>
  <si>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</si>
  <si>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</si>
  <si>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</si>
  <si>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</si>
  <si>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</si>
  <si>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</si>
  <si>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</si>
  <si>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</si>
  <si>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</si>
  <si>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</si>
  <si>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</si>
  <si>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</si>
  <si>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</si>
  <si>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</si>
  <si>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</si>
  <si>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</si>
  <si>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</si>
  <si>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</si>
  <si>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</si>
  <si>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</si>
  <si>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</si>
  <si>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</si>
  <si>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</si>
  <si>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</si>
  <si>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</si>
  <si>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</si>
  <si>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</si>
  <si>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</si>
  <si>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</si>
  <si>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</si>
  <si>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</si>
  <si>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</si>
  <si>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</si>
  <si>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</si>
  <si>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</si>
  <si>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</si>
  <si>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</si>
  <si>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</si>
  <si>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</si>
  <si>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</si>
  <si>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</si>
  <si>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</si>
  <si>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</si>
  <si>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</si>
  <si>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</si>
  <si>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</si>
  <si>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</si>
  <si>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</si>
  <si>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</si>
  <si>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</si>
  <si>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</si>
  <si>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</si>
  <si>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</si>
  <si>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</si>
  <si>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</si>
  <si>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</si>
  <si>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</si>
  <si>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</si>
  <si>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</si>
  <si>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</si>
  <si>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</si>
  <si>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</si>
  <si>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</si>
  <si>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</si>
  <si>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</si>
  <si>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</si>
  <si>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</si>
  <si>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</si>
  <si>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</si>
  <si>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</si>
  <si>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</si>
  <si>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</si>
  <si>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</si>
  <si>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</si>
  <si>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</si>
  <si>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</si>
  <si>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</si>
  <si>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</si>
  <si>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</si>
  <si>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</si>
  <si>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</si>
  <si>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</si>
  <si>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</si>
  <si>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</si>
  <si>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</si>
  <si>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</si>
  <si>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</si>
  <si>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</si>
  <si>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</si>
  <si>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</si>
  <si>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</si>
  <si>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</si>
  <si>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</si>
  <si>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</si>
  <si>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</si>
  <si>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</si>
  <si>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</si>
  <si>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</si>
  <si>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</si>
  <si>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</si>
  <si>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</si>
  <si>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</si>
  <si>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</si>
  <si>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</si>
  <si>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</si>
  <si>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</si>
  <si>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</si>
  <si>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</si>
  <si>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</si>
  <si>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</si>
  <si>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</si>
  <si>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</si>
  <si>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</si>
  <si>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</si>
  <si>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</si>
  <si>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</si>
  <si>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</si>
  <si>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</si>
  <si>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</si>
  <si>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</si>
  <si>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</si>
  <si>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</si>
  <si>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</si>
  <si>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</si>
  <si>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</si>
  <si>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</si>
  <si>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</si>
  <si>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</si>
  <si>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</si>
  <si>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</si>
  <si>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</si>
  <si>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</si>
  <si>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</si>
  <si>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</si>
  <si>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</si>
  <si>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</si>
  <si>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</si>
  <si>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</si>
  <si>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</si>
  <si>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</si>
  <si>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</si>
  <si>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</si>
  <si>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</si>
  <si>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</si>
  <si>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</si>
  <si>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</si>
  <si>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</si>
  <si>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</si>
  <si>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</si>
  <si>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</si>
  <si>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</si>
  <si>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</si>
  <si>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</si>
  <si>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</si>
  <si>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</si>
  <si>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</si>
  <si>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</si>
  <si>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</si>
  <si>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</si>
  <si>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</si>
  <si>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</si>
  <si>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</si>
  <si>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</si>
  <si>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</si>
  <si>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</si>
  <si>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</si>
  <si>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</si>
  <si>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</si>
  <si>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</si>
  <si>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</si>
  <si>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</si>
  <si>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</si>
  <si>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</si>
  <si>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</si>
  <si>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</si>
  <si>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</si>
  <si>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</si>
  <si>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</si>
  <si>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</si>
  <si>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</si>
  <si>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</si>
  <si>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</si>
  <si>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</si>
  <si>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</si>
  <si>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</si>
  <si>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</si>
  <si>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</si>
  <si>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</si>
  <si>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</si>
  <si>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</si>
  <si>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</si>
  <si>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</si>
  <si>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</si>
  <si>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</si>
  <si>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</si>
  <si>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</si>
  <si>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</si>
  <si>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</si>
  <si>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</si>
  <si>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</si>
  <si>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</si>
  <si>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</si>
  <si>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</si>
  <si>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</si>
  <si>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</si>
  <si>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</si>
  <si>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</si>
  <si>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</si>
  <si>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</si>
  <si>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</si>
  <si>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</si>
  <si>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</si>
  <si>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</si>
  <si>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</si>
  <si>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</si>
  <si>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</si>
  <si>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</si>
  <si>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</si>
  <si>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</si>
  <si>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</si>
  <si>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</si>
  <si>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</si>
  <si>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</si>
  <si>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</si>
  <si>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</si>
  <si>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</si>
  <si>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</si>
  <si>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</si>
  <si>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</si>
  <si>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</si>
  <si>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</si>
  <si>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</si>
  <si>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</si>
  <si>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</si>
  <si>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</si>
  <si>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</si>
  <si>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</si>
  <si>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</si>
  <si>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</si>
  <si>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</si>
  <si>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</si>
  <si>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</si>
  <si>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</si>
  <si>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</si>
  <si>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</si>
  <si>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</si>
  <si>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</si>
  <si>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</si>
  <si>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</si>
  <si>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</si>
  <si>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</si>
  <si>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</si>
  <si>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</si>
  <si>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</si>
  <si>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</si>
  <si>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</si>
  <si>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</si>
  <si>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</si>
  <si>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</si>
  <si>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</si>
  <si>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</si>
  <si>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</si>
  <si>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</si>
  <si>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</si>
  <si>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</si>
  <si>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</si>
  <si>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</si>
  <si>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</si>
  <si>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</si>
  <si>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</si>
  <si>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</si>
  <si>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</si>
  <si>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</si>
  <si>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</si>
  <si>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</si>
  <si>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</si>
  <si>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</si>
  <si>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</si>
  <si>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</si>
  <si>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</si>
  <si>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</si>
  <si>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</si>
  <si>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</si>
  <si>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</si>
  <si>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</si>
  <si>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</si>
  <si>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</si>
  <si>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</si>
  <si>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</si>
  <si>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</si>
  <si>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</si>
  <si>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</si>
  <si>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</si>
  <si>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</si>
  <si>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</si>
  <si>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</si>
  <si>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</si>
  <si>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</si>
  <si>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</si>
  <si>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</si>
  <si>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</si>
  <si>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</si>
  <si>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</si>
  <si>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</si>
  <si>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</si>
  <si>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</si>
  <si>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</si>
  <si>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</si>
  <si>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</si>
  <si>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</si>
  <si>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</si>
  <si>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</si>
  <si>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</si>
  <si>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</si>
  <si>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</si>
  <si>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</si>
  <si>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</si>
  <si>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</si>
  <si>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</si>
  <si>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</si>
  <si>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</si>
  <si>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</si>
  <si>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</si>
  <si>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</si>
  <si>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</si>
  <si>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</si>
  <si>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</si>
  <si>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</si>
  <si>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</si>
  <si>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</si>
  <si>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</si>
  <si>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</si>
  <si>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</si>
  <si>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</si>
  <si>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</si>
  <si>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</si>
  <si>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</si>
  <si>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</si>
  <si>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</si>
  <si>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</si>
  <si>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</si>
  <si>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</si>
  <si>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</si>
  <si>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</si>
  <si>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</si>
  <si>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</si>
  <si>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</si>
  <si>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</si>
  <si>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</si>
  <si>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</si>
  <si>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</si>
  <si>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</si>
  <si>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</si>
  <si>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</si>
  <si>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</si>
  <si>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</si>
  <si>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</si>
  <si>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</si>
  <si>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</si>
  <si>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</si>
  <si>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</si>
  <si>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</si>
  <si>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</si>
  <si>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</si>
  <si>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</si>
  <si>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</si>
  <si>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</si>
  <si>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</si>
  <si>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</si>
  <si>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</si>
  <si>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</si>
  <si>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</si>
  <si>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</si>
  <si>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</si>
  <si>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</si>
  <si>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</si>
  <si>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</si>
  <si>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</si>
  <si>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</si>
  <si>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</si>
  <si>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</si>
  <si>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</si>
  <si>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</si>
  <si>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</si>
  <si>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</si>
  <si>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</si>
  <si>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</si>
  <si>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</si>
  <si>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</si>
  <si>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</si>
  <si>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</si>
  <si>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</si>
  <si>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</si>
  <si>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</si>
  <si>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</si>
  <si>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</si>
  <si>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</si>
  <si>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</si>
  <si>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</si>
  <si>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</si>
  <si>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</si>
  <si>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</si>
  <si>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</si>
  <si>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</si>
  <si>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</si>
  <si>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</si>
  <si>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</si>
  <si>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</si>
  <si>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</si>
  <si>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</si>
  <si>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</si>
  <si>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</si>
  <si>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</si>
  <si>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</si>
  <si>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</si>
  <si>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</si>
  <si>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</si>
  <si>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</si>
  <si>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</si>
  <si>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</si>
  <si>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</si>
  <si>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</si>
  <si>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</si>
  <si>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</si>
  <si>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</si>
  <si>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</si>
  <si>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</si>
  <si>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</si>
  <si>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</si>
  <si>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</si>
  <si>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</si>
  <si>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</si>
  <si>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</si>
  <si>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</si>
  <si>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</si>
  <si>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</si>
  <si>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</si>
  <si>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</si>
  <si>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</si>
  <si>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</si>
  <si>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</si>
  <si>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</si>
  <si>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</si>
  <si>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</si>
  <si>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</si>
  <si>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</si>
  <si>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</si>
  <si>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</si>
  <si>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</si>
  <si>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</si>
  <si>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</si>
  <si>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</si>
  <si>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</si>
  <si>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</si>
  <si>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</si>
  <si>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</si>
  <si>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</si>
  <si>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</si>
  <si>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</si>
  <si>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</si>
  <si>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</si>
  <si>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</si>
  <si>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</si>
  <si>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</si>
  <si>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</si>
  <si>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</si>
  <si>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</si>
  <si>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</si>
  <si>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</si>
  <si>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</si>
  <si>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</si>
  <si>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</si>
  <si>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</si>
  <si>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</si>
  <si>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</si>
  <si>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</si>
  <si>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</si>
  <si>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</si>
  <si>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</si>
  <si>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</si>
  <si>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</si>
  <si>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</si>
  <si>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</si>
  <si>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</si>
  <si>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</si>
  <si>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</si>
  <si>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</si>
  <si>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</si>
  <si>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</si>
  <si>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</si>
  <si>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</si>
  <si>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</si>
  <si>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</si>
  <si>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</si>
  <si>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</si>
  <si>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</si>
  <si>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</si>
  <si>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</si>
  <si>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</si>
  <si>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</si>
  <si>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</si>
  <si>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</si>
  <si>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</si>
  <si>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</si>
  <si>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</si>
  <si>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</si>
  <si>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</si>
  <si>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</si>
  <si>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</si>
  <si>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</si>
  <si>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</si>
  <si>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</si>
  <si>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</si>
  <si>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</si>
  <si>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</si>
  <si>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</si>
  <si>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</si>
  <si>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</si>
  <si>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</si>
  <si>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</si>
  <si>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</si>
  <si>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</si>
  <si>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</si>
  <si>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</si>
  <si>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</si>
  <si>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</si>
  <si>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</si>
  <si>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</si>
  <si>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</si>
  <si>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</si>
  <si>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</si>
  <si>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</si>
  <si>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</si>
  <si>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</si>
  <si>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</si>
  <si>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</si>
  <si>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</si>
  <si>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</si>
  <si>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</si>
  <si>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</si>
  <si>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</si>
  <si>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</si>
  <si>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</si>
  <si>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</si>
  <si>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</si>
  <si>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</si>
  <si>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</si>
  <si>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</si>
  <si>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</si>
  <si>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</si>
  <si>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</si>
  <si>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</si>
  <si>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</si>
  <si>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</si>
  <si>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</si>
  <si>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</si>
  <si>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</si>
  <si>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</si>
  <si>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</si>
  <si>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</si>
  <si>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</si>
  <si>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</si>
  <si>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</si>
  <si>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</si>
  <si>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</si>
  <si>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</si>
  <si>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</si>
  <si>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</si>
  <si>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</si>
  <si>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</si>
  <si>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</si>
  <si>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</si>
  <si>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</si>
  <si>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</si>
  <si>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</si>
  <si>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</si>
  <si>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</si>
  <si>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</si>
  <si>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</si>
  <si>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</si>
  <si>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</si>
  <si>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</si>
  <si>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</si>
  <si>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</si>
  <si>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</si>
  <si>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</si>
  <si>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</si>
  <si>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</si>
  <si>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</si>
  <si>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</si>
  <si>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</si>
  <si>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</si>
  <si>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</si>
  <si>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</si>
  <si>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</si>
  <si>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</si>
  <si>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</si>
  <si>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</si>
  <si>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</si>
  <si>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</si>
  <si>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</si>
  <si>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</si>
  <si>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</si>
  <si>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</si>
  <si>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</si>
  <si>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</si>
  <si>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</si>
  <si>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</si>
  <si>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</si>
  <si>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</si>
  <si>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</si>
  <si>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</si>
  <si>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</si>
  <si>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</si>
  <si>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</si>
  <si>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</si>
  <si>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</si>
  <si>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</si>
  <si>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</si>
  <si>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</si>
  <si>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</si>
  <si>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</si>
  <si>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</si>
  <si>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</si>
  <si>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</si>
  <si>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</si>
  <si>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</si>
  <si>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</si>
  <si>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</si>
  <si>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</si>
  <si>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</si>
  <si>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</si>
  <si>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</si>
  <si>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</si>
  <si>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</si>
  <si>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</si>
  <si>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</si>
  <si>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</si>
  <si>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</si>
  <si>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</si>
  <si>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</si>
  <si>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</si>
  <si>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</si>
  <si>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</si>
  <si>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</si>
  <si>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</si>
  <si>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</si>
  <si>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</si>
  <si>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</si>
  <si>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</si>
  <si>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</si>
  <si>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</si>
  <si>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</si>
  <si>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</si>
  <si>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</si>
  <si>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</si>
  <si>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</si>
  <si>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</si>
  <si>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</si>
  <si>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</si>
  <si>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</si>
  <si>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</si>
  <si>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</si>
  <si>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</si>
  <si>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</si>
  <si>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</si>
  <si>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</si>
  <si>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</si>
  <si>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</si>
  <si>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</si>
  <si>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</si>
  <si>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</si>
  <si>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</si>
  <si>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</si>
  <si>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</si>
  <si>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</si>
  <si>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</si>
  <si>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</si>
  <si>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</si>
  <si>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</si>
  <si>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</si>
  <si>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</si>
  <si>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</si>
  <si>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</si>
  <si>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</si>
  <si>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</si>
  <si>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</si>
  <si>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</si>
  <si>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</si>
  <si>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</si>
  <si>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</si>
  <si>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</si>
  <si>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</si>
  <si>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</si>
  <si>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</si>
  <si>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</si>
  <si>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</si>
  <si>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</si>
  <si>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</si>
  <si>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</si>
  <si>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</si>
  <si>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</si>
  <si>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</si>
  <si>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</si>
  <si>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</si>
  <si>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</si>
  <si>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</si>
  <si>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</si>
  <si>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</si>
  <si>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</si>
  <si>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</si>
  <si>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</si>
  <si>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</si>
  <si>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</si>
  <si>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</si>
  <si>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</si>
  <si>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</si>
  <si>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</si>
  <si>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</si>
  <si>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</si>
  <si>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</si>
  <si>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</si>
  <si>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</si>
  <si>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</si>
  <si>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</si>
  <si>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</si>
  <si>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</si>
  <si>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</si>
  <si>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</si>
  <si>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</si>
  <si>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</si>
  <si>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</si>
  <si>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</si>
  <si>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</si>
  <si>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</si>
  <si>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</si>
  <si>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</si>
  <si>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</si>
  <si>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</si>
  <si>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</si>
  <si>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</si>
  <si>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</si>
  <si>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</si>
  <si>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</si>
  <si>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</si>
  <si>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</si>
  <si>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</si>
  <si>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</si>
  <si>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</si>
  <si>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</si>
  <si>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</si>
  <si>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</si>
  <si>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</si>
  <si>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</si>
  <si>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</si>
  <si>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</si>
  <si>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</si>
  <si>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</si>
  <si>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</si>
  <si>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</si>
  <si>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</si>
  <si>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</si>
  <si>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</si>
  <si>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</si>
  <si>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</si>
  <si>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</si>
  <si>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</si>
  <si>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</si>
  <si>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</si>
  <si>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</si>
  <si>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</si>
  <si>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</si>
  <si>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</si>
  <si>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</si>
  <si>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</si>
  <si>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</si>
  <si>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</si>
  <si>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</si>
  <si>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</si>
  <si>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</si>
  <si>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</si>
  <si>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</si>
  <si>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</si>
  <si>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</si>
  <si>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</si>
  <si>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</si>
  <si>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</si>
  <si>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</si>
  <si>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</si>
  <si>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</si>
  <si>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</si>
  <si>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</si>
  <si>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</si>
  <si>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</si>
  <si>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</si>
  <si>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</si>
  <si>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</si>
  <si>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</si>
  <si>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</si>
  <si>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</si>
  <si>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</si>
  <si>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</si>
  <si>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</si>
  <si>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</si>
  <si>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</si>
  <si>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</si>
  <si>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</si>
  <si>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</si>
  <si>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</si>
  <si>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</si>
  <si>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</si>
  <si>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</si>
  <si>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</si>
  <si>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</si>
  <si>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</si>
  <si>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</si>
  <si>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</si>
  <si>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</si>
  <si>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</si>
  <si>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</si>
  <si>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</si>
  <si>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</si>
  <si>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</si>
  <si>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</si>
  <si>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</si>
  <si>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</si>
  <si>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</si>
  <si>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</si>
  <si>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</si>
  <si>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</si>
  <si>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</si>
  <si>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</si>
  <si>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</si>
  <si>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</si>
  <si>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</si>
  <si>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</si>
  <si>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</si>
  <si>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</si>
  <si>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</si>
  <si>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</si>
  <si>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</si>
  <si>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</si>
  <si>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</si>
  <si>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</si>
  <si>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</si>
  <si>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</si>
  <si>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</si>
  <si>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</si>
  <si>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</si>
  <si>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</si>
  <si>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</si>
  <si>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</si>
  <si>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</si>
  <si>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</si>
  <si>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</si>
  <si>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</si>
  <si>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</si>
  <si>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</si>
  <si>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</si>
  <si>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</si>
  <si>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</si>
  <si>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</si>
  <si>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</si>
  <si>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</si>
  <si>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</si>
  <si>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</si>
  <si>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</si>
  <si>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</si>
  <si>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</si>
  <si>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</si>
  <si>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</si>
  <si>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</si>
  <si>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</si>
  <si>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</si>
  <si>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</si>
  <si>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</si>
  <si>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</si>
  <si>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</si>
  <si>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</si>
  <si>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</si>
  <si>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</si>
  <si>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</si>
  <si>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</si>
  <si>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</si>
  <si>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</si>
  <si>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</si>
  <si>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</si>
  <si>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</si>
  <si>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</si>
  <si>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</si>
  <si>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</si>
  <si>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</si>
  <si>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</si>
  <si>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</si>
  <si>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</si>
  <si>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</si>
  <si>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</si>
  <si>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</si>
  <si>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</si>
  <si>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</si>
  <si>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</si>
  <si>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</si>
  <si>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</si>
  <si>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</si>
  <si>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</si>
  <si>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</si>
  <si>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</si>
  <si>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</si>
  <si>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</si>
  <si>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</si>
  <si>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</si>
  <si>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</si>
  <si>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</si>
  <si>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</si>
  <si>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</si>
  <si>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</si>
  <si>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</si>
  <si>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</si>
  <si>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</si>
  <si>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</si>
  <si>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</si>
  <si>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</si>
  <si>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</si>
  <si>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</si>
  <si>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</si>
  <si>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</si>
  <si>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</si>
  <si>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</si>
  <si>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</si>
  <si>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</si>
  <si>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</si>
  <si>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</si>
  <si>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</si>
  <si>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</si>
  <si>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</si>
  <si>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</si>
  <si>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</si>
  <si>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</si>
  <si>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</si>
  <si>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</si>
  <si>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</si>
  <si>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</si>
  <si>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</si>
  <si>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</si>
  <si>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</si>
  <si>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</si>
  <si>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</si>
  <si>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</si>
  <si>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</si>
  <si>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</si>
  <si>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</si>
  <si>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</si>
  <si>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</si>
  <si>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</si>
  <si>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</si>
  <si>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</si>
  <si>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</si>
  <si>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</si>
  <si>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</si>
  <si>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</si>
  <si>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</si>
  <si>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</si>
  <si>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</si>
  <si>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</si>
  <si>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</si>
  <si>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</si>
  <si>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</si>
  <si>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</si>
  <si>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</si>
  <si>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</si>
  <si>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</si>
  <si>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</si>
  <si>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</si>
  <si>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</si>
  <si>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</si>
  <si>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</si>
  <si>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</si>
  <si>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</si>
  <si>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</si>
  <si>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</si>
  <si>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</si>
  <si>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</si>
  <si>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</si>
  <si>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</si>
  <si>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</si>
  <si>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</si>
  <si>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</si>
  <si>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</si>
  <si>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</si>
  <si>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</si>
  <si>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</si>
  <si>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</si>
  <si>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</si>
  <si>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</si>
  <si>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</si>
  <si>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</si>
  <si>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</si>
  <si>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</si>
  <si>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</si>
  <si>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</si>
  <si>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</si>
  <si>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</si>
  <si>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</si>
  <si>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</si>
  <si>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</si>
  <si>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</si>
  <si>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</si>
  <si>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</si>
  <si>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</si>
  <si>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</si>
  <si>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</si>
  <si>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</si>
  <si>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</si>
  <si>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</si>
  <si>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</si>
  <si>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</si>
  <si>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</si>
  <si>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</si>
  <si>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</si>
  <si>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</si>
  <si>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</si>
  <si>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</si>
  <si>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</si>
  <si>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</si>
  <si>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</si>
  <si>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</si>
  <si>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</si>
  <si>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</si>
  <si>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</si>
  <si>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</si>
  <si>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</si>
  <si>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</si>
  <si>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</si>
  <si>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</si>
  <si>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</si>
  <si>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</si>
  <si>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</si>
  <si>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</si>
  <si>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</si>
  <si>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</si>
  <si>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</si>
  <si>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</si>
  <si>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</si>
  <si>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</si>
  <si>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</si>
  <si>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</si>
  <si>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</si>
  <si>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</si>
  <si>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</si>
  <si>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</si>
  <si>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</si>
  <si>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</si>
  <si>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</si>
  <si>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</si>
  <si>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</si>
  <si>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</si>
  <si>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</si>
  <si>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</si>
  <si>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</si>
  <si>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</si>
  <si>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</si>
  <si>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</si>
  <si>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</si>
  <si>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</si>
  <si>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</si>
  <si>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</si>
  <si>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</si>
  <si>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</si>
  <si>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</si>
  <si>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</si>
  <si>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</si>
  <si>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</si>
  <si>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</si>
  <si>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</si>
  <si>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</si>
  <si>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</si>
  <si>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</si>
  <si>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</si>
  <si>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</si>
  <si>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</si>
  <si>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</si>
  <si>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</si>
  <si>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</si>
  <si>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</si>
  <si>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</si>
  <si>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</si>
  <si>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</si>
  <si>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</si>
  <si>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</si>
  <si>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</si>
  <si>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</si>
  <si>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</si>
  <si>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</si>
  <si>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</si>
  <si>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</si>
  <si>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</si>
  <si>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</si>
  <si>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</si>
  <si>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</si>
  <si>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</si>
  <si>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</si>
  <si>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</si>
  <si>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</si>
  <si>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</si>
  <si>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</si>
  <si>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</si>
  <si>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</si>
  <si>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</si>
  <si>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</si>
  <si>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</si>
  <si>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</si>
  <si>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</si>
  <si>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</si>
  <si>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</si>
  <si>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</si>
  <si>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</si>
  <si>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</si>
  <si>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</si>
  <si>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</si>
  <si>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</si>
  <si>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</si>
  <si>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</si>
  <si>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</si>
  <si>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</si>
  <si>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</si>
  <si>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</si>
  <si>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</si>
  <si>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</si>
  <si>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</si>
  <si>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</si>
  <si>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</si>
  <si>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</si>
  <si>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</si>
  <si>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</si>
  <si>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</si>
  <si>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</si>
  <si>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</si>
  <si>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</si>
  <si>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</si>
  <si>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</si>
  <si>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</si>
  <si>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</si>
  <si>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</si>
  <si>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</si>
  <si>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</si>
  <si>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</si>
  <si>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</si>
  <si>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</si>
  <si>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</si>
  <si>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</si>
  <si>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</si>
  <si>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</si>
  <si>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</si>
  <si>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</si>
  <si>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</si>
  <si>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</si>
  <si>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</si>
  <si>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</si>
  <si>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</si>
  <si>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</si>
  <si>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</si>
  <si>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</si>
  <si>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</si>
  <si>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</si>
  <si>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</si>
  <si>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</si>
  <si>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</si>
  <si>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</si>
  <si>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</si>
  <si>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</si>
  <si>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</si>
  <si>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</si>
  <si>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</si>
  <si>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</si>
  <si>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</si>
  <si>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</si>
  <si>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</si>
  <si>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</si>
  <si>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</si>
  <si>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</si>
  <si>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</si>
  <si>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</si>
  <si>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</si>
  <si>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</si>
  <si>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</si>
  <si>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</si>
  <si>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</si>
  <si>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</si>
  <si>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</si>
  <si>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</si>
  <si>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</si>
  <si>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</si>
  <si>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</si>
  <si>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</si>
  <si>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</si>
  <si>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</si>
  <si>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</si>
  <si>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</si>
  <si>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</si>
  <si>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</si>
  <si>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</si>
  <si>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</si>
  <si>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</si>
  <si>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</si>
  <si>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</si>
  <si>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</si>
  <si>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</si>
  <si>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</si>
  <si>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</si>
  <si>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</si>
  <si>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</si>
  <si>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</si>
  <si>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</si>
  <si>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</si>
  <si>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</si>
  <si>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</si>
  <si>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</si>
  <si>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</si>
  <si>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</si>
  <si>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</si>
  <si>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</si>
  <si>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</si>
  <si>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</si>
  <si>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</si>
  <si>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</si>
  <si>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</si>
  <si>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</si>
  <si>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</si>
  <si>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</si>
  <si>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</si>
  <si>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</si>
  <si>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</si>
  <si>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</si>
  <si>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</si>
  <si>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</si>
  <si>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</si>
  <si>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</si>
  <si>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</si>
  <si>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</si>
  <si>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</si>
  <si>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</si>
  <si>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</si>
  <si>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</si>
  <si>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</si>
  <si>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</si>
  <si>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</si>
  <si>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</si>
  <si>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</si>
  <si>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</si>
  <si>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</si>
  <si>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</si>
  <si>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</si>
  <si>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</si>
  <si>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</si>
  <si>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</si>
  <si>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</si>
  <si>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</si>
  <si>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</si>
  <si>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</si>
  <si>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</si>
  <si>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</si>
  <si>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</si>
  <si>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</si>
  <si>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</si>
  <si>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</si>
  <si>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</si>
  <si>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</si>
  <si>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</si>
  <si>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</si>
  <si>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</si>
  <si>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</si>
  <si>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</si>
  <si>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</si>
  <si>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</si>
  <si>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</si>
  <si>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</si>
  <si>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</si>
  <si>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</si>
  <si>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</si>
  <si>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</si>
  <si>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</si>
  <si>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</si>
  <si>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</si>
  <si>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</si>
  <si>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</si>
  <si>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</si>
  <si>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</si>
  <si>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</si>
  <si>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</si>
  <si>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</si>
  <si>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</si>
  <si>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</si>
  <si>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</si>
  <si>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</si>
  <si>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</si>
  <si>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</si>
  <si>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</si>
  <si>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</si>
  <si>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</si>
  <si>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</si>
  <si>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</si>
  <si>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</si>
  <si>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</si>
  <si>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</si>
  <si>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</si>
  <si>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</si>
  <si>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</si>
  <si>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</si>
  <si>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</si>
  <si>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</si>
  <si>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</si>
  <si>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</si>
  <si>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</si>
  <si>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</si>
  <si>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</si>
  <si>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</si>
  <si>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</si>
  <si>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</si>
  <si>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</si>
  <si>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</si>
  <si>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</si>
  <si>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</si>
  <si>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</si>
  <si>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</si>
  <si>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</si>
  <si>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</si>
  <si>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</si>
  <si>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</si>
  <si>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</si>
  <si>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</si>
  <si>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</si>
  <si>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</si>
  <si>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</si>
  <si>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</si>
  <si>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</si>
  <si>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</si>
  <si>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</si>
  <si>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</si>
  <si>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</si>
  <si>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</si>
  <si>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</si>
  <si>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</si>
  <si>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</si>
  <si>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</si>
  <si>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</si>
  <si>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</si>
  <si>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</si>
  <si>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</si>
  <si>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</si>
  <si>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</si>
  <si>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</si>
  <si>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</si>
  <si>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</si>
  <si>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</si>
  <si>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</si>
  <si>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</si>
  <si>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</si>
  <si>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</si>
  <si>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</si>
  <si>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</si>
  <si>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</si>
  <si>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</si>
  <si>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</si>
  <si>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</si>
  <si>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</si>
  <si>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</si>
  <si>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</si>
  <si>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</si>
  <si>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</si>
  <si>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</si>
  <si>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</si>
  <si>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</si>
  <si>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</si>
  <si>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</si>
  <si>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</si>
  <si>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</si>
  <si>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</si>
  <si>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</si>
  <si>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</si>
  <si>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</si>
  <si>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</si>
  <si>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</si>
  <si>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</si>
  <si>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</si>
  <si>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</si>
  <si>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</si>
  <si>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</si>
  <si>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</si>
  <si>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</si>
  <si>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</si>
  <si>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</si>
  <si>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</si>
  <si>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</si>
  <si>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</si>
  <si>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</si>
  <si>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</si>
  <si>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</si>
  <si>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</si>
  <si>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</si>
  <si>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</si>
  <si>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</si>
  <si>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cluster</t>
  </si>
  <si>
    <t>supervisor/all/status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</si>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</sst>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0" totalsRowShown="0" headerRowDxfId="68" dataDxfId="66" headerRowBorderDxfId="67">
  <autoFilter ref="A3:BN490" xr:uid="{00000000-000C-0000-FFFF-FFFF00000000}"/>
  <sortState xmlns:xlrd2="http://schemas.microsoft.com/office/spreadsheetml/2017/richdata2" ref="A4:BN490">
    <sortCondition ref="A3:A490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0"/>
  <sheetViews>
    <sheetView tabSelected="1" topLeftCell="AI252" zoomScale="121" zoomScaleNormal="120" workbookViewId="0">
      <selection activeCell="AK290" sqref="AK29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1537</v>
      </c>
      <c r="F289" s="30" t="str">
        <f>IF(ISBLANK(Table2[[#This Row],[unique_id]]), "", PROPER(SUBSTITUTE(Table2[[#This Row],[unique_id]], "_", " ")))</f>
        <v>Cluster</v>
      </c>
      <c r="G289" s="30" t="str">
        <f t="shared" ref="G289" si="1">TRIM(RIGHT(SUBSTITUTE(TRIM(F289)," ",REPT(" ",100)),100))</f>
        <v>Cluster</v>
      </c>
      <c r="H289" s="30" t="s">
        <v>1532</v>
      </c>
      <c r="I289" s="30" t="s">
        <v>273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F289" s="30">
        <v>6</v>
      </c>
      <c r="AG289" s="31" t="s">
        <v>34</v>
      </c>
      <c r="AH289" s="31"/>
      <c r="AI289" s="30" t="s">
        <v>1539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homeassistant/switch/supervisor_all/cluster/config</v>
      </c>
      <c r="AK289" s="30" t="str">
        <f>IF(ISBLANK(Table2[[#This Row],[index]]),"",_xlfn.CONCAT("supervisor/",Table2[[#This Row],[unique_id_device]],"/data/cluster"))</f>
        <v>supervisor/all/data/cluster</v>
      </c>
      <c r="AL289" s="30" t="str">
        <f>IF(ISBLANK(Table2[[#This Row],[index]]),  "", _xlfn.CONCAT("supervisor/", Table2[[#This Row],[unique_id_device]], "/command/", SUBSTITUTE(LOWER(Table2[[#This Row],[unique_id]]), "_", "/")))</f>
        <v>supervisor/all/command/cluster</v>
      </c>
      <c r="AM289" s="30" t="s">
        <v>1538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Cluster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1531</v>
      </c>
      <c r="F290" s="30" t="str">
        <f>IF(ISBLANK(Table2[[#This Row],[unique_id]]), "", PROPER(SUBSTITUTE(Table2[[#This Row],[unique_id]], "_", " ")))</f>
        <v>Host Mad</v>
      </c>
      <c r="G290" s="30" t="str">
        <f t="shared" ref="G290:G294" si="2">TRIM(RIGHT(SUBSTITUTE(TRIM(F290)," ",REPT(" ",100)),100))</f>
        <v>Mad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1426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90" s="30" t="str">
        <f>IF(ISBLANK(Table2[[#This Row],[index]]), "", _xlfn.CONCAT("supervisor/", Table2[[#This Row],[unique_id_device]], "/data/host"))</f>
        <v>supervisor/macmini-mad/data/host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1533</v>
      </c>
      <c r="F291" s="30" t="str">
        <f>IF(ISBLANK(Table2[[#This Row],[unique_id]]), "", PROPER(SUBSTITUTE(Table2[[#This Row],[unique_id]], "_", " ")))</f>
        <v>Host Max</v>
      </c>
      <c r="G291" s="30" t="str">
        <f t="shared" si="2"/>
        <v>Max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1" s="30" t="str">
        <f>IF(ISBLANK(Table2[[#This Row],[index]]), "", _xlfn.CONCAT("supervisor/", Table2[[#This Row],[unique_id_device]], "/data/host"))</f>
        <v>supervisor/macmini-max/data/host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1" s="30" t="str">
        <f>IF(ISBLANK(Table2[[#This Row],[index]]),  "", _xlfn.CONCAT("supervisor/", Table2[[#This Row],[unique_id_device]], "/status"))</f>
        <v>supervisor/macmini-max/status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1534</v>
      </c>
      <c r="F292" s="30" t="str">
        <f>IF(ISBLANK(Table2[[#This Row],[unique_id]]), "", PROPER(SUBSTITUTE(Table2[[#This Row],[unique_id]], "_", " ")))</f>
        <v>Host May</v>
      </c>
      <c r="G292" s="30" t="str">
        <f t="shared" si="2"/>
        <v>May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1391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2" s="30" t="str">
        <f>IF(ISBLANK(Table2[[#This Row],[index]]), "", _xlfn.CONCAT("supervisor/", Table2[[#This Row],[unique_id_device]], "/data/host"))</f>
        <v>supervisor/macmini-may/data/host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2" s="30" t="str">
        <f>IF(ISBLANK(Table2[[#This Row],[index]]),  "", _xlfn.CONCAT("supervisor/", Table2[[#This Row],[unique_id_device]], "/status"))</f>
        <v>supervisor/macmini-may/status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1535</v>
      </c>
      <c r="F293" s="30" t="str">
        <f>IF(ISBLANK(Table2[[#This Row],[unique_id]]), "", PROPER(SUBSTITUTE(Table2[[#This Row],[unique_id]], "_", " ")))</f>
        <v>Host Meg</v>
      </c>
      <c r="G293" s="30" t="str">
        <f t="shared" si="2"/>
        <v>Meg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1099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3" s="30" t="str">
        <f>IF(ISBLANK(Table2[[#This Row],[index]]), "", _xlfn.CONCAT("supervisor/", Table2[[#This Row],[unique_id_device]], "/data/host"))</f>
        <v>supervisor/macmini-meg/data/host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3" s="30" t="str">
        <f>IF(ISBLANK(Table2[[#This Row],[index]]),  "", _xlfn.CONCAT("supervisor/", Table2[[#This Row],[unique_id_device]], "/status"))</f>
        <v>supervisor/macmini-meg/status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1536</v>
      </c>
      <c r="F294" s="30" t="str">
        <f>IF(ISBLANK(Table2[[#This Row],[unique_id]]), "", PROPER(SUBSTITUTE(Table2[[#This Row],[unique_id]], "_", " ")))</f>
        <v>Host Jen</v>
      </c>
      <c r="G294" s="30" t="str">
        <f t="shared" si="2"/>
        <v>Jen</v>
      </c>
      <c r="H294" s="30" t="s">
        <v>1532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1394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4" s="30" t="str">
        <f>IF(ISBLANK(Table2[[#This Row],[index]]), "", _xlfn.CONCAT("supervisor/", Table2[[#This Row],[unique_id_device]], "/data/host"))</f>
        <v>supervisor/raspbpi-jen/data/host</v>
      </c>
      <c r="AL294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4" s="30" t="str">
        <f>IF(ISBLANK(Table2[[#This Row],[index]]),  "", _xlfn.CONCAT("supervisor/", Table2[[#This Row],[unique_id_device]], "/status"))</f>
        <v>supervisor/raspbpi-jen/status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422</v>
      </c>
      <c r="D295" s="30" t="s">
        <v>315</v>
      </c>
      <c r="E295" s="30" t="s">
        <v>314</v>
      </c>
      <c r="F295" s="36" t="str">
        <f>IF(ISBLANK(Table2[[#This Row],[unique_id]]), "", PROPER(SUBSTITUTE(Table2[[#This Row],[unique_id]], "_", " ")))</f>
        <v>Column Break</v>
      </c>
      <c r="G295" s="30" t="s">
        <v>311</v>
      </c>
      <c r="H295" s="30" t="s">
        <v>1532</v>
      </c>
      <c r="I295" s="30" t="s">
        <v>273</v>
      </c>
      <c r="M295" s="30" t="s">
        <v>312</v>
      </c>
      <c r="N295" s="30" t="s">
        <v>313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1516</v>
      </c>
      <c r="F296" s="30" t="str">
        <f>IF(ISBLANK(Table2[[#This Row],[unique_id]]), "", PROPER(SUBSTITUTE(Table2[[#This Row],[unique_id]], "_", " ")))</f>
        <v>Service Network</v>
      </c>
      <c r="G296" s="30" t="s">
        <v>768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1463</v>
      </c>
      <c r="F297" s="30" t="str">
        <f>IF(ISBLANK(Table2[[#This Row],[unique_id]]), "", PROPER(SUBSTITUTE(Table2[[#This Row],[unique_id]], "_", " ")))</f>
        <v>Service Plex</v>
      </c>
      <c r="G297" s="30" t="s">
        <v>1149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Postgres</v>
      </c>
      <c r="G298" s="30" t="s">
        <v>1153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1464</v>
      </c>
      <c r="F299" s="30" t="str">
        <f>IF(ISBLANK(Table2[[#This Row],[unique_id]]), "", PROPER(SUBSTITUTE(Table2[[#This Row],[unique_id]], "_", " ")))</f>
        <v>Service Sabnzbd</v>
      </c>
      <c r="G299" s="30" t="s">
        <v>1481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Wrangle</v>
      </c>
      <c r="G300" s="30" t="s">
        <v>1151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1521</v>
      </c>
      <c r="F301" s="30" t="str">
        <f>IF(ISBLANK(Table2[[#This Row],[unique_id]]), "", PROPER(SUBSTITUTE(Table2[[#This Row],[unique_id]], "_", " ")))</f>
        <v>Service Cloudflare</v>
      </c>
      <c r="G301" s="30" t="s">
        <v>1522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1469</v>
      </c>
      <c r="F302" s="30" t="str">
        <f>IF(ISBLANK(Table2[[#This Row],[unique_id]]), "", PROPER(SUBSTITUTE(Table2[[#This Row],[unique_id]], "_", " ")))</f>
        <v>Service Grafana</v>
      </c>
      <c r="G302" s="30" t="s">
        <v>1150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1470</v>
      </c>
      <c r="F303" s="30" t="str">
        <f>IF(ISBLANK(Table2[[#This Row],[unique_id]]), "", PROPER(SUBSTITUTE(Table2[[#This Row],[unique_id]], "_", " ")))</f>
        <v>Service Letsencrypt</v>
      </c>
      <c r="G303" s="30" t="s">
        <v>1485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561</v>
      </c>
      <c r="C304" s="30" t="s">
        <v>1148</v>
      </c>
      <c r="D304" s="30" t="s">
        <v>133</v>
      </c>
      <c r="E304" s="30" t="s">
        <v>1468</v>
      </c>
      <c r="F304" s="30" t="str">
        <f>IF(ISBLANK(Table2[[#This Row],[unique_id]]), "", PROPER(SUBSTITUTE(Table2[[#This Row],[unique_id]], "_", " ")))</f>
        <v>Service Openra</v>
      </c>
      <c r="G304" s="30" t="s">
        <v>1484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1427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Influxdb3</v>
      </c>
      <c r="G305" s="30" t="s">
        <v>1480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1466</v>
      </c>
      <c r="F306" s="30" t="str">
        <f>IF(ISBLANK(Table2[[#This Row],[unique_id]]), "", PROPER(SUBSTITUTE(Table2[[#This Row],[unique_id]], "_", " ")))</f>
        <v>Service Mlflow</v>
      </c>
      <c r="G306" s="30" t="s">
        <v>1482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1467</v>
      </c>
      <c r="F307" s="30" t="str">
        <f>IF(ISBLANK(Table2[[#This Row],[unique_id]]), "", PROPER(SUBSTITUTE(Table2[[#This Row],[unique_id]], "_", " ")))</f>
        <v>Service Mlserver</v>
      </c>
      <c r="G307" s="30" t="s">
        <v>1483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1471</v>
      </c>
      <c r="F308" s="30" t="str">
        <f>IF(ISBLANK(Table2[[#This Row],[unique_id]]), "", PROPER(SUBSTITUTE(Table2[[#This Row],[unique_id]], "_", " ")))</f>
        <v>Service Sonarr</v>
      </c>
      <c r="G308" s="30" t="s">
        <v>1479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1495</v>
      </c>
      <c r="F309" s="30" t="str">
        <f>IF(ISBLANK(Table2[[#This Row],[unique_id]]), "", PROPER(SUBSTITUTE(Table2[[#This Row],[unique_id]], "_", " ")))</f>
        <v>Service Tempstat</v>
      </c>
      <c r="G309" s="30" t="s">
        <v>1491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1391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1462</v>
      </c>
      <c r="F310" s="30" t="str">
        <f>IF(ISBLANK(Table2[[#This Row],[unique_id]]), "", PROPER(SUBSTITUTE(Table2[[#This Row],[unique_id]], "_", " ")))</f>
        <v>Service Homeassistant</v>
      </c>
      <c r="G310" s="30" t="s">
        <v>1154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1473</v>
      </c>
      <c r="F311" s="30" t="str">
        <f>IF(ISBLANK(Table2[[#This Row],[unique_id]]), "", PROPER(SUBSTITUTE(Table2[[#This Row],[unique_id]], "_", " ")))</f>
        <v>Service Mariadb</v>
      </c>
      <c r="G311" s="30" t="s">
        <v>1486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1474</v>
      </c>
      <c r="F312" s="30" t="str">
        <f>IF(ISBLANK(Table2[[#This Row],[unique_id]]), "", PROPER(SUBSTITUTE(Table2[[#This Row],[unique_id]], "_", " ")))</f>
        <v>Service Nginx</v>
      </c>
      <c r="G312" s="30" t="s">
        <v>1152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1523</v>
      </c>
      <c r="F313" s="30" t="str">
        <f>IF(ISBLANK(Table2[[#This Row],[unique_id]]), "", PROPER(SUBSTITUTE(Table2[[#This Row],[unique_id]], "_", " ")))</f>
        <v>Service Tasmota</v>
      </c>
      <c r="G313" s="30" t="s">
        <v>676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1476</v>
      </c>
      <c r="F314" s="30" t="str">
        <f>IF(ISBLANK(Table2[[#This Row],[unique_id]]), "", PROPER(SUBSTITUTE(Table2[[#This Row],[unique_id]], "_", " ")))</f>
        <v>Service Vernemq</v>
      </c>
      <c r="G314" s="30" t="s">
        <v>1487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1099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1477</v>
      </c>
      <c r="F315" s="30" t="str">
        <f>IF(ISBLANK(Table2[[#This Row],[unique_id]]), "", PROPER(SUBSTITUTE(Table2[[#This Row],[unique_id]], "_", " ")))</f>
        <v>Service Weewx</v>
      </c>
      <c r="G315" s="30" t="s">
        <v>39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1148</v>
      </c>
      <c r="D316" s="30" t="s">
        <v>133</v>
      </c>
      <c r="E316" s="30" t="s">
        <v>1478</v>
      </c>
      <c r="F316" s="30" t="str">
        <f>IF(ISBLANK(Table2[[#This Row],[unique_id]]), "", PROPER(SUBSTITUTE(Table2[[#This Row],[unique_id]], "_", " ")))</f>
        <v>Service Zigbee2Mqtt</v>
      </c>
      <c r="G316" s="30" t="s">
        <v>1488</v>
      </c>
      <c r="H316" s="30" t="s">
        <v>1498</v>
      </c>
      <c r="I316" s="30" t="s">
        <v>273</v>
      </c>
      <c r="M316" s="30" t="s">
        <v>255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1490</v>
      </c>
      <c r="AF316" s="30">
        <v>6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6" s="30" t="str">
        <f>IF(ISBLANK(Table2[[#This Row],[index]]),  "", _xlfn.CONCAT("supervisor/", Table2[[#This Row],[unique_id_device]], "/status"))</f>
        <v>supervisor/raspbpi-jen/status</v>
      </c>
      <c r="AR316" s="30" t="s">
        <v>1489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1148</v>
      </c>
      <c r="BC316" s="30" t="s">
        <v>1461</v>
      </c>
      <c r="BD316" s="30" t="s">
        <v>1080</v>
      </c>
      <c r="BF316" s="30" t="s">
        <v>955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422</v>
      </c>
      <c r="D317" s="30" t="s">
        <v>315</v>
      </c>
      <c r="E317" s="30" t="s">
        <v>314</v>
      </c>
      <c r="F317" s="36" t="str">
        <f>IF(ISBLANK(Table2[[#This Row],[unique_id]]), "", PROPER(SUBSTITUTE(Table2[[#This Row],[unique_id]], "_", " ")))</f>
        <v>Column Break</v>
      </c>
      <c r="G317" s="30" t="s">
        <v>311</v>
      </c>
      <c r="H317" s="30" t="s">
        <v>1498</v>
      </c>
      <c r="I317" s="30" t="s">
        <v>273</v>
      </c>
      <c r="M317" s="30" t="s">
        <v>312</v>
      </c>
      <c r="N317" s="30" t="s">
        <v>313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1159</v>
      </c>
      <c r="D318" s="30" t="s">
        <v>27</v>
      </c>
      <c r="E318" s="30" t="s">
        <v>1165</v>
      </c>
      <c r="F318" s="30" t="str">
        <f>IF(ISBLANK(Table2[[#This Row],[unique_id]]), "", PROPER(SUBSTITUTE(Table2[[#This Row],[unique_id]], "_", " ")))</f>
        <v>Template Utility Temperature Proxy</v>
      </c>
      <c r="G318" s="30" t="s">
        <v>1160</v>
      </c>
      <c r="H318" s="30" t="s">
        <v>1162</v>
      </c>
      <c r="I318" s="30" t="s">
        <v>273</v>
      </c>
      <c r="K318" s="30" t="s">
        <v>1130</v>
      </c>
      <c r="M318" s="30" t="s">
        <v>135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R318" s="39"/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1077</v>
      </c>
      <c r="F319" s="36" t="str">
        <f>IF(ISBLANK(Table2[[#This Row],[unique_id]]), "", PROPER(SUBSTITUTE(Table2[[#This Row],[unique_id]], "_", " ")))</f>
        <v>Rack Top Temperature</v>
      </c>
      <c r="G319" s="30" t="s">
        <v>1079</v>
      </c>
      <c r="H319" s="30" t="s">
        <v>1162</v>
      </c>
      <c r="I319" s="30" t="s">
        <v>273</v>
      </c>
      <c r="K319" s="30" t="s">
        <v>1122</v>
      </c>
      <c r="O319" s="31"/>
      <c r="P319" s="30"/>
      <c r="T319" s="37"/>
      <c r="U319" s="30"/>
      <c r="V319" s="31" t="s">
        <v>1142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300</v>
      </c>
      <c r="AG319" s="31" t="s">
        <v>34</v>
      </c>
      <c r="AH319" s="31"/>
      <c r="AI319" s="30" t="s">
        <v>1391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9" s="30" t="str">
        <f>IF(ISBLANK(Table2[[#This Row],[index]]),  "", _xlfn.CONCAT(LOWER(Table2[[#This Row],[device_via_device]]), "/data"))</f>
        <v>tempstat/data</v>
      </c>
      <c r="AL319" s="30" t="str">
        <f>IF(ISBLANK(Table2[[#This Row],[index]]), "", _xlfn.CONCAT(LOWER(Table2[[#This Row],[device_via_device]]), "/command"))</f>
        <v>tempstat/command</v>
      </c>
      <c r="AM319" s="30" t="str">
        <f>IF(ISBLANK(Table2[[#This Row],[index]]), "", _xlfn.CONCAT(LOWER(Table2[[#This Row],[device_via_device]]), "/status"))</f>
        <v>tempstat/status</v>
      </c>
      <c r="AR319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86</v>
      </c>
      <c r="BC319" s="30" t="s">
        <v>1493</v>
      </c>
      <c r="BD319" s="30" t="s">
        <v>1494</v>
      </c>
      <c r="BF319" s="30" t="s">
        <v>955</v>
      </c>
      <c r="BG319" s="30" t="s">
        <v>28</v>
      </c>
      <c r="BL319" s="30" t="s">
        <v>1098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1122</v>
      </c>
      <c r="F320" s="30" t="str">
        <f>IF(ISBLANK(Table2[[#This Row],[unique_id]]), "", PROPER(SUBSTITUTE(Table2[[#This Row],[unique_id]], "_", " ")))</f>
        <v>Compensation Sensor Rack Top Temperature</v>
      </c>
      <c r="G320" s="30" t="s">
        <v>1079</v>
      </c>
      <c r="H320" s="30" t="s">
        <v>1162</v>
      </c>
      <c r="I320" s="30" t="s">
        <v>273</v>
      </c>
      <c r="J320" s="30" t="s">
        <v>86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1078</v>
      </c>
      <c r="F321" s="36" t="str">
        <f>IF(ISBLANK(Table2[[#This Row],[unique_id]]), "", PROPER(SUBSTITUTE(Table2[[#This Row],[unique_id]], "_", " ")))</f>
        <v>Rack Bottom Temperature</v>
      </c>
      <c r="G321" s="30" t="s">
        <v>1081</v>
      </c>
      <c r="H321" s="30" t="s">
        <v>1162</v>
      </c>
      <c r="I321" s="30" t="s">
        <v>273</v>
      </c>
      <c r="K321" s="30" t="s">
        <v>1123</v>
      </c>
      <c r="O321" s="31"/>
      <c r="P321" s="30"/>
      <c r="T321" s="37"/>
      <c r="U321" s="30"/>
      <c r="V321" s="31" t="s">
        <v>1142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300</v>
      </c>
      <c r="AG321" s="31" t="s">
        <v>34</v>
      </c>
      <c r="AH321" s="31"/>
      <c r="AI321" s="30" t="s">
        <v>1391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1" s="30" t="str">
        <f>IF(ISBLANK(Table2[[#This Row],[index]]),  "", _xlfn.CONCAT(LOWER(Table2[[#This Row],[device_via_device]]), "/data"))</f>
        <v>tempstat/data</v>
      </c>
      <c r="AL321" s="30" t="str">
        <f>IF(ISBLANK(Table2[[#This Row],[index]]), "", _xlfn.CONCAT(LOWER(Table2[[#This Row],[device_via_device]]), "/command"))</f>
        <v>tempstat/command</v>
      </c>
      <c r="AM321" s="30" t="str">
        <f>IF(ISBLANK(Table2[[#This Row],[index]]), "", _xlfn.CONCAT(LOWER(Table2[[#This Row],[device_via_device]]), "/status"))</f>
        <v>tempstat/status</v>
      </c>
      <c r="AR32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86</v>
      </c>
      <c r="BC321" s="30" t="s">
        <v>1493</v>
      </c>
      <c r="BD321" s="30" t="s">
        <v>1494</v>
      </c>
      <c r="BF321" s="30" t="s">
        <v>955</v>
      </c>
      <c r="BG321" s="30" t="s">
        <v>28</v>
      </c>
      <c r="BL321" s="30" t="s">
        <v>1097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6" ht="16" customHeight="1" x14ac:dyDescent="0.2">
      <c r="A322" s="30">
        <v>2540</v>
      </c>
      <c r="B322" s="30" t="s">
        <v>26</v>
      </c>
      <c r="C322" s="30" t="s">
        <v>1491</v>
      </c>
      <c r="D322" s="30" t="s">
        <v>27</v>
      </c>
      <c r="E322" s="30" t="s">
        <v>1123</v>
      </c>
      <c r="F322" s="30" t="str">
        <f>IF(ISBLANK(Table2[[#This Row],[unique_id]]), "", PROPER(SUBSTITUTE(Table2[[#This Row],[unique_id]], "_", " ")))</f>
        <v>Compensation Sensor Rack Bottom Temperature</v>
      </c>
      <c r="G322" s="30" t="s">
        <v>1081</v>
      </c>
      <c r="H322" s="30" t="s">
        <v>1162</v>
      </c>
      <c r="I322" s="30" t="s">
        <v>273</v>
      </c>
      <c r="J322" s="30" t="s">
        <v>86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1420</v>
      </c>
      <c r="F323" s="30" t="str">
        <f>IF(ISBLANK(Table2[[#This Row],[unique_id]]), "", PROPER(SUBSTITUTE(Table2[[#This Row],[unique_id]], "_", " ")))</f>
        <v>Host Mad Temperature</v>
      </c>
      <c r="G323" s="30" t="s">
        <v>1424</v>
      </c>
      <c r="H323" s="30" t="s">
        <v>1162</v>
      </c>
      <c r="I323" s="30" t="s">
        <v>273</v>
      </c>
      <c r="K323" s="30" t="s">
        <v>1421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1426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3" s="30" t="str">
        <f>IF(ISBLANK(Table2[[#This Row],[index]]), "", _xlfn.CONCAT("supervisor/", Table2[[#This Row],[unique_id_device]], "/data/host/temperature"))</f>
        <v>supervisor/macmini-mad/data/host/temperature</v>
      </c>
      <c r="AM323" s="30" t="str">
        <f>IF(ISBLANK(Table2[[#This Row],[index]]),  "", _xlfn.CONCAT("supervisor/", Table2[[#This Row],[unique_id_device]], "/status"))</f>
        <v>supervisor/macmini-mad/status</v>
      </c>
      <c r="AR323" s="30" t="s">
        <v>1524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1148</v>
      </c>
      <c r="BC323" s="30" t="s">
        <v>1461</v>
      </c>
      <c r="BD323" s="30" t="s">
        <v>1080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1421</v>
      </c>
      <c r="F324" s="30" t="str">
        <f>IF(ISBLANK(Table2[[#This Row],[unique_id]]), "", PROPER(SUBSTITUTE(Table2[[#This Row],[unique_id]], "_", " ")))</f>
        <v>Compensation Sensor Host Mad Temperature</v>
      </c>
      <c r="G324" s="30" t="s">
        <v>1424</v>
      </c>
      <c r="H324" s="30" t="s">
        <v>1162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1422</v>
      </c>
      <c r="F325" s="30" t="str">
        <f>IF(ISBLANK(Table2[[#This Row],[unique_id]]), "", PROPER(SUBSTITUTE(Table2[[#This Row],[unique_id]], "_", " ")))</f>
        <v>Host Max Temperature</v>
      </c>
      <c r="G325" s="30" t="s">
        <v>1425</v>
      </c>
      <c r="H325" s="30" t="s">
        <v>1162</v>
      </c>
      <c r="I325" s="30" t="s">
        <v>273</v>
      </c>
      <c r="K325" s="30" t="s">
        <v>1423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1427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5" s="30" t="str">
        <f>IF(ISBLANK(Table2[[#This Row],[index]]), "", _xlfn.CONCAT("supervisor/", Table2[[#This Row],[unique_id_device]], "/data/host/temperature"))</f>
        <v>supervisor/macmini-max/data/host/temperature</v>
      </c>
      <c r="AM325" s="30" t="str">
        <f>IF(ISBLANK(Table2[[#This Row],[index]]),  "", _xlfn.CONCAT("supervisor/", Table2[[#This Row],[unique_id_device]], "/status"))</f>
        <v>supervisor/macmini-max/status</v>
      </c>
      <c r="AR325" s="30" t="s">
        <v>1524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1148</v>
      </c>
      <c r="BC325" s="30" t="s">
        <v>1461</v>
      </c>
      <c r="BD325" s="30" t="s">
        <v>1080</v>
      </c>
      <c r="BF325" s="30" t="s">
        <v>955</v>
      </c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1423</v>
      </c>
      <c r="F326" s="30" t="str">
        <f>IF(ISBLANK(Table2[[#This Row],[unique_id]]), "", PROPER(SUBSTITUTE(Table2[[#This Row],[unique_id]], "_", " ")))</f>
        <v>Compensation Sensor Host Max Temperature</v>
      </c>
      <c r="G326" s="30" t="s">
        <v>1425</v>
      </c>
      <c r="H326" s="30" t="s">
        <v>1162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1385</v>
      </c>
      <c r="F327" s="30" t="str">
        <f>IF(ISBLANK(Table2[[#This Row],[unique_id]]), "", PROPER(SUBSTITUTE(Table2[[#This Row],[unique_id]], "_", " ")))</f>
        <v>Host May Temperature</v>
      </c>
      <c r="G327" s="30" t="s">
        <v>1384</v>
      </c>
      <c r="H327" s="30" t="s">
        <v>1162</v>
      </c>
      <c r="I327" s="30" t="s">
        <v>273</v>
      </c>
      <c r="K327" s="30" t="s">
        <v>1386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1391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7" s="30" t="str">
        <f>IF(ISBLANK(Table2[[#This Row],[index]]), "", _xlfn.CONCAT("supervisor/", Table2[[#This Row],[unique_id_device]], "/data/host/temperature"))</f>
        <v>supervisor/macmini-may/data/host/temperature</v>
      </c>
      <c r="AM327" s="30" t="str">
        <f>IF(ISBLANK(Table2[[#This Row],[index]]),  "", _xlfn.CONCAT("supervisor/", Table2[[#This Row],[unique_id_device]], "/status"))</f>
        <v>supervisor/macmini-may/status</v>
      </c>
      <c r="AR327" s="30" t="s">
        <v>1524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1148</v>
      </c>
      <c r="BC327" s="30" t="s">
        <v>1461</v>
      </c>
      <c r="BD327" s="30" t="s">
        <v>1080</v>
      </c>
      <c r="BF327" s="30" t="s">
        <v>955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1386</v>
      </c>
      <c r="F328" s="30" t="str">
        <f>IF(ISBLANK(Table2[[#This Row],[unique_id]]), "", PROPER(SUBSTITUTE(Table2[[#This Row],[unique_id]], "_", " ")))</f>
        <v>Compensation Sensor Host May Temperature</v>
      </c>
      <c r="G328" s="30" t="s">
        <v>1384</v>
      </c>
      <c r="H328" s="30" t="s">
        <v>1162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1155</v>
      </c>
      <c r="F329" s="30" t="str">
        <f>IF(ISBLANK(Table2[[#This Row],[unique_id]]), "", PROPER(SUBSTITUTE(Table2[[#This Row],[unique_id]], "_", " ")))</f>
        <v>Host Meg Temperature</v>
      </c>
      <c r="G329" s="30" t="s">
        <v>1158</v>
      </c>
      <c r="H329" s="30" t="s">
        <v>1162</v>
      </c>
      <c r="I329" s="30" t="s">
        <v>273</v>
      </c>
      <c r="K329" s="30" t="s">
        <v>1157</v>
      </c>
      <c r="O329" s="31"/>
      <c r="P329" s="30"/>
      <c r="T329" s="37"/>
      <c r="U329" s="30"/>
      <c r="V329" s="31" t="s">
        <v>297</v>
      </c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F329" s="30">
        <v>5</v>
      </c>
      <c r="AG329" s="31" t="s">
        <v>34</v>
      </c>
      <c r="AH329" s="31"/>
      <c r="AI329" s="30" t="s">
        <v>1099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9" s="30" t="str">
        <f>IF(ISBLANK(Table2[[#This Row],[index]]), "", _xlfn.CONCAT("supervisor/", Table2[[#This Row],[unique_id_device]], "/data/host/temperature"))</f>
        <v>supervisor/macmini-meg/data/host/temperature</v>
      </c>
      <c r="AM329" s="30" t="str">
        <f>IF(ISBLANK(Table2[[#This Row],[index]]),  "", _xlfn.CONCAT("supervisor/", Table2[[#This Row],[unique_id_device]], "/status"))</f>
        <v>supervisor/macmini-meg/status</v>
      </c>
      <c r="AR329" s="30" t="s">
        <v>1524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1148</v>
      </c>
      <c r="BC329" s="30" t="s">
        <v>1461</v>
      </c>
      <c r="BD329" s="30" t="s">
        <v>1080</v>
      </c>
      <c r="BF329" s="30" t="s">
        <v>955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1148</v>
      </c>
      <c r="D330" s="30" t="s">
        <v>27</v>
      </c>
      <c r="E330" s="30" t="s">
        <v>1157</v>
      </c>
      <c r="F330" s="30" t="str">
        <f>IF(ISBLANK(Table2[[#This Row],[unique_id]]), "", PROPER(SUBSTITUTE(Table2[[#This Row],[unique_id]], "_", " ")))</f>
        <v>Compensation Sensor Host Meg Temperature</v>
      </c>
      <c r="G330" s="30" t="s">
        <v>1158</v>
      </c>
      <c r="H330" s="30" t="s">
        <v>1162</v>
      </c>
      <c r="I330" s="30" t="s">
        <v>273</v>
      </c>
      <c r="M330" s="30" t="s">
        <v>135</v>
      </c>
      <c r="O330" s="31"/>
      <c r="P330" s="30"/>
      <c r="T330" s="37"/>
      <c r="U330" s="30" t="s">
        <v>418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1167</v>
      </c>
      <c r="F331" s="30" t="str">
        <f>IF(ISBLANK(Table2[[#This Row],[unique_id]]), "", PROPER(SUBSTITUTE(Table2[[#This Row],[unique_id]], "_", " ")))</f>
        <v>Template Deck Festoons Plug Temperature Proxy</v>
      </c>
      <c r="G331" s="30" t="s">
        <v>1164</v>
      </c>
      <c r="H331" s="30" t="s">
        <v>1163</v>
      </c>
      <c r="I331" s="30" t="s">
        <v>273</v>
      </c>
      <c r="K331" s="30" t="s">
        <v>1121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1159</v>
      </c>
      <c r="D332" s="30" t="s">
        <v>27</v>
      </c>
      <c r="E332" s="30" t="s">
        <v>1166</v>
      </c>
      <c r="F332" s="30" t="str">
        <f>IF(ISBLANK(Table2[[#This Row],[unique_id]]), "", PROPER(SUBSTITUTE(Table2[[#This Row],[unique_id]], "_", " ")))</f>
        <v>Template Wardrobe Temperature Proxy</v>
      </c>
      <c r="G332" s="30" t="s">
        <v>1370</v>
      </c>
      <c r="H332" s="30" t="s">
        <v>1161</v>
      </c>
      <c r="I332" s="30" t="s">
        <v>273</v>
      </c>
      <c r="K332" s="30" t="s">
        <v>1127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1397</v>
      </c>
      <c r="F333" s="30" t="str">
        <f>IF(ISBLANK(Table2[[#This Row],[unique_id]]), "", PROPER(SUBSTITUTE(Table2[[#This Row],[unique_id]], "_", " ")))</f>
        <v>Host Jen Temperature</v>
      </c>
      <c r="G333" s="30" t="s">
        <v>1398</v>
      </c>
      <c r="H333" s="30" t="s">
        <v>1161</v>
      </c>
      <c r="I333" s="30" t="s">
        <v>273</v>
      </c>
      <c r="K333" s="30" t="s">
        <v>1393</v>
      </c>
      <c r="O333" s="31"/>
      <c r="P333" s="30"/>
      <c r="T333" s="37"/>
      <c r="U333" s="30"/>
      <c r="V333" s="31" t="s">
        <v>297</v>
      </c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F333" s="30">
        <v>5</v>
      </c>
      <c r="AG333" s="31" t="s">
        <v>34</v>
      </c>
      <c r="AH333" s="31"/>
      <c r="AI333" s="30" t="s">
        <v>1394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3" s="30" t="str">
        <f>IF(ISBLANK(Table2[[#This Row],[index]]), "", _xlfn.CONCAT("supervisor/", Table2[[#This Row],[unique_id_device]], "/data/host/temperature"))</f>
        <v>supervisor/raspbpi-jen/data/host/temperature</v>
      </c>
      <c r="AM333" s="30" t="str">
        <f>IF(ISBLANK(Table2[[#This Row],[index]]),  "", _xlfn.CONCAT("supervisor/", Table2[[#This Row],[unique_id_device]], "/status"))</f>
        <v>supervisor/raspbpi-jen/status</v>
      </c>
      <c r="AR333" s="30" t="s">
        <v>1524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Wardrobe</v>
      </c>
      <c r="BB333" s="30" t="s">
        <v>1148</v>
      </c>
      <c r="BC333" s="30" t="s">
        <v>1461</v>
      </c>
      <c r="BD333" s="30" t="s">
        <v>1080</v>
      </c>
      <c r="BF333" s="30" t="s">
        <v>955</v>
      </c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1148</v>
      </c>
      <c r="D334" s="30" t="s">
        <v>27</v>
      </c>
      <c r="E334" s="30" t="s">
        <v>1393</v>
      </c>
      <c r="F334" s="30" t="str">
        <f>IF(ISBLANK(Table2[[#This Row],[unique_id]]), "", PROPER(SUBSTITUTE(Table2[[#This Row],[unique_id]], "_", " ")))</f>
        <v>Compensation Sensor Host Jen Temperature</v>
      </c>
      <c r="G334" s="30" t="s">
        <v>1398</v>
      </c>
      <c r="H334" s="30" t="s">
        <v>1161</v>
      </c>
      <c r="I334" s="30" t="s">
        <v>273</v>
      </c>
      <c r="M334" s="30" t="s">
        <v>135</v>
      </c>
      <c r="O334" s="31"/>
      <c r="P334" s="30"/>
      <c r="T334" s="37"/>
      <c r="U334" s="30" t="s">
        <v>418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87</v>
      </c>
      <c r="AD334" s="30" t="s">
        <v>88</v>
      </c>
      <c r="AE334" s="30" t="s">
        <v>298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477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422</v>
      </c>
      <c r="D335" s="30" t="s">
        <v>315</v>
      </c>
      <c r="E335" s="30" t="s">
        <v>314</v>
      </c>
      <c r="F335" s="36" t="str">
        <f>IF(ISBLANK(Table2[[#This Row],[unique_id]]), "", PROPER(SUBSTITUTE(Table2[[#This Row],[unique_id]], "_", " ")))</f>
        <v>Column Break</v>
      </c>
      <c r="G335" s="30" t="s">
        <v>311</v>
      </c>
      <c r="H335" s="30" t="s">
        <v>1161</v>
      </c>
      <c r="I335" s="30" t="s">
        <v>273</v>
      </c>
      <c r="M335" s="30" t="s">
        <v>312</v>
      </c>
      <c r="N335" s="30" t="s">
        <v>313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R335" s="39"/>
      <c r="AT335" s="32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641</v>
      </c>
      <c r="F336" s="36" t="str">
        <f>IF(ISBLANK(Table2[[#This Row],[unique_id]]), "", PROPER(SUBSTITUTE(Table2[[#This Row],[unique_id]], "_", " ")))</f>
        <v>Back Door Lock Battery</v>
      </c>
      <c r="G336" s="30" t="s">
        <v>627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603</v>
      </c>
      <c r="D337" s="30" t="s">
        <v>27</v>
      </c>
      <c r="E337" s="30" t="s">
        <v>642</v>
      </c>
      <c r="F337" s="36" t="str">
        <f>IF(ISBLANK(Table2[[#This Row],[unique_id]]), "", PROPER(SUBSTITUTE(Table2[[#This Row],[unique_id]], "_", " ")))</f>
        <v>Front Door Lock Battery</v>
      </c>
      <c r="G337" s="30" t="s">
        <v>626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644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629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316</v>
      </c>
      <c r="D339" s="30" t="s">
        <v>27</v>
      </c>
      <c r="E339" s="30" t="s">
        <v>643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628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561</v>
      </c>
      <c r="C340" s="30" t="s">
        <v>439</v>
      </c>
      <c r="D340" s="30" t="s">
        <v>27</v>
      </c>
      <c r="E340" s="30" t="s">
        <v>467</v>
      </c>
      <c r="F340" s="36" t="str">
        <f>IF(ISBLANK(Table2[[#This Row],[unique_id]]), "", PROPER(SUBSTITUTE(Table2[[#This Row],[unique_id]], "_", " ")))</f>
        <v>Home Cube Remote Battery</v>
      </c>
      <c r="G340" s="30" t="s">
        <v>447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48" t="s">
        <v>26</v>
      </c>
      <c r="C341" s="48" t="s">
        <v>149</v>
      </c>
      <c r="D341" s="48" t="s">
        <v>27</v>
      </c>
      <c r="E341" s="48" t="s">
        <v>638</v>
      </c>
      <c r="F341" s="49" t="str">
        <f>IF(ISBLANK(Table2[[#This Row],[unique_id]]), "", PROPER(SUBSTITUTE(Table2[[#This Row],[unique_id]], "_", " ")))</f>
        <v>Template Weatherstation Console Battery Percent Int</v>
      </c>
      <c r="G341" s="48" t="s">
        <v>636</v>
      </c>
      <c r="H341" s="48" t="s">
        <v>1146</v>
      </c>
      <c r="I341" s="48" t="s">
        <v>273</v>
      </c>
      <c r="J341" s="48"/>
      <c r="K341" s="48"/>
      <c r="L341" s="48"/>
      <c r="M341" s="48" t="s">
        <v>135</v>
      </c>
      <c r="N341" s="48"/>
      <c r="O341" s="50"/>
      <c r="P341" s="48"/>
      <c r="Q341" s="48"/>
      <c r="R341" s="48"/>
      <c r="S341" s="48"/>
      <c r="T341" s="51"/>
      <c r="U341" s="48"/>
      <c r="V341" s="50"/>
      <c r="W341" s="50"/>
      <c r="X341" s="50"/>
      <c r="Y341" s="50"/>
      <c r="Z341" s="50"/>
      <c r="AA341" s="50"/>
      <c r="AB341" s="48" t="s">
        <v>31</v>
      </c>
      <c r="AC341" s="48" t="s">
        <v>32</v>
      </c>
      <c r="AD341" s="48" t="s">
        <v>637</v>
      </c>
      <c r="AE341" s="48"/>
      <c r="AF341" s="48"/>
      <c r="AG341" s="50"/>
      <c r="AH341" s="50"/>
      <c r="AI341" s="48"/>
      <c r="AJ341" s="48"/>
      <c r="AK341" s="48"/>
      <c r="AL341" s="48"/>
      <c r="AM341" s="48"/>
      <c r="AN341" s="48"/>
      <c r="AO341" s="48"/>
      <c r="AP341" s="48"/>
      <c r="AQ341" s="48"/>
      <c r="AR341" s="52"/>
      <c r="AS341" s="48"/>
      <c r="AT341" s="53"/>
      <c r="AU341" s="50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1" s="48"/>
      <c r="BA341" s="48" t="str">
        <f>IF(ISBLANK(Table2[[#This Row],[device_model]]), "", Table2[[#This Row],[device_suggested_area]])</f>
        <v/>
      </c>
      <c r="BB341" s="48"/>
      <c r="BC341" s="48"/>
      <c r="BD341" s="48"/>
      <c r="BE341" s="48"/>
      <c r="BF341" s="50"/>
      <c r="BG341" s="48"/>
      <c r="BH341" s="48"/>
      <c r="BI341" s="48"/>
      <c r="BJ341" s="48"/>
      <c r="BK341" s="48"/>
      <c r="BL341" s="48"/>
      <c r="BM341" s="48"/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48" t="s">
        <v>26</v>
      </c>
      <c r="C342" s="48" t="s">
        <v>39</v>
      </c>
      <c r="D342" s="48" t="s">
        <v>27</v>
      </c>
      <c r="E342" s="48" t="s">
        <v>169</v>
      </c>
      <c r="F342" s="49" t="str">
        <f>IF(ISBLANK(Table2[[#This Row],[unique_id]]), "", PROPER(SUBSTITUTE(Table2[[#This Row],[unique_id]], "_", " ")))</f>
        <v>Weatherstation Console Battery Voltage</v>
      </c>
      <c r="G342" s="48" t="s">
        <v>446</v>
      </c>
      <c r="H342" s="48" t="s">
        <v>1146</v>
      </c>
      <c r="I342" s="48" t="s">
        <v>273</v>
      </c>
      <c r="O342" s="50"/>
      <c r="T342" s="51"/>
      <c r="V342" s="50" t="s">
        <v>1175</v>
      </c>
      <c r="W342" s="50"/>
      <c r="X342" s="50"/>
      <c r="Y342" s="50"/>
      <c r="Z342" s="50"/>
      <c r="AA342" s="50"/>
      <c r="AB342" s="48" t="s">
        <v>31</v>
      </c>
      <c r="AC342" s="48" t="s">
        <v>83</v>
      </c>
      <c r="AD342" s="48" t="s">
        <v>84</v>
      </c>
      <c r="AE342" s="48" t="s">
        <v>270</v>
      </c>
      <c r="AF342" s="48">
        <v>300</v>
      </c>
      <c r="AG342" s="50" t="s">
        <v>34</v>
      </c>
      <c r="AH342" s="50"/>
      <c r="AI342" s="48" t="s">
        <v>85</v>
      </c>
      <c r="AJ342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8" t="str">
        <f>IF(ISBLANK(Table2[[#This Row],[index]]),  "", _xlfn.CONCAT(LOWER(Table2[[#This Row],[device_via_device]]), "/", Table2[[#This Row],[unique_id]]))</f>
        <v>weewx/weatherstation_console_battery_voltage</v>
      </c>
      <c r="AR342" s="52" t="s">
        <v>1144</v>
      </c>
      <c r="AS342" s="48">
        <v>1</v>
      </c>
      <c r="AT342" s="53"/>
      <c r="AV342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8" t="str">
        <f>IF(ISBLANK(Table2[[#This Row],[device_model]]), "", Table2[[#This Row],[device_suggested_area]])</f>
        <v>Wardrobe</v>
      </c>
      <c r="BB342" s="48" t="s">
        <v>1174</v>
      </c>
      <c r="BC342" s="48" t="s">
        <v>36</v>
      </c>
      <c r="BD342" s="48" t="s">
        <v>37</v>
      </c>
      <c r="BF342" s="48" t="s">
        <v>1029</v>
      </c>
      <c r="BG342" s="48" t="s">
        <v>477</v>
      </c>
      <c r="BN342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s="48" customFormat="1" ht="16" customHeight="1" x14ac:dyDescent="0.2">
      <c r="A343" s="30">
        <v>2561</v>
      </c>
      <c r="B343" s="30" t="s">
        <v>26</v>
      </c>
      <c r="C343" s="30" t="s">
        <v>39</v>
      </c>
      <c r="D343" s="30" t="s">
        <v>27</v>
      </c>
      <c r="E343" s="30" t="s">
        <v>1517</v>
      </c>
      <c r="F343" s="36" t="str">
        <f>IF(ISBLANK(Table2[[#This Row],[unique_id]]), "", PROPER(SUBSTITUTE(Table2[[#This Row],[unique_id]], "_", " ")))</f>
        <v>Weatherstation Coms Signal Quality</v>
      </c>
      <c r="G343" s="30" t="s">
        <v>1518</v>
      </c>
      <c r="H343" s="30" t="s">
        <v>1146</v>
      </c>
      <c r="I343" s="30" t="s">
        <v>273</v>
      </c>
      <c r="J343" s="30"/>
      <c r="K343" s="30"/>
      <c r="L343" s="30"/>
      <c r="M343" s="30"/>
      <c r="N343" s="30"/>
      <c r="O343" s="31"/>
      <c r="P343" s="30"/>
      <c r="Q343" s="30"/>
      <c r="R343" s="30"/>
      <c r="S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D343" s="30"/>
      <c r="AE343" s="30"/>
      <c r="AF343" s="30">
        <v>300</v>
      </c>
      <c r="AG343" s="31" t="s">
        <v>34</v>
      </c>
      <c r="AH343" s="31"/>
      <c r="AI343" s="30" t="s">
        <v>1519</v>
      </c>
      <c r="AJ343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3" s="30" t="str">
        <f>IF(ISBLANK(Table2[[#This Row],[index]]),  "", _xlfn.CONCAT(LOWER(Table2[[#This Row],[device_via_device]]), "/", Table2[[#This Row],[unique_id]]))</f>
        <v>weewx/weatherstation_coms_signal_quality</v>
      </c>
      <c r="AL343" s="30"/>
      <c r="AM343" s="30"/>
      <c r="AN343" s="30"/>
      <c r="AO343" s="30"/>
      <c r="AP343" s="30"/>
      <c r="AQ343" s="30"/>
      <c r="AR343" s="39" t="s">
        <v>1520</v>
      </c>
      <c r="AS343" s="30">
        <v>1</v>
      </c>
      <c r="AT343" s="32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3" s="30"/>
      <c r="BA343" s="30" t="str">
        <f>IF(ISBLANK(Table2[[#This Row],[device_model]]), "", Table2[[#This Row],[device_suggested_area]])</f>
        <v>Wardrobe</v>
      </c>
      <c r="BB343" s="30" t="s">
        <v>1174</v>
      </c>
      <c r="BC343" s="30" t="s">
        <v>36</v>
      </c>
      <c r="BD343" s="30" t="s">
        <v>37</v>
      </c>
      <c r="BE343" s="30"/>
      <c r="BF343" s="30" t="s">
        <v>1029</v>
      </c>
      <c r="BG343" s="30" t="s">
        <v>477</v>
      </c>
      <c r="BH343" s="30"/>
      <c r="BI343" s="30"/>
      <c r="BJ343" s="30"/>
      <c r="BK343" s="30"/>
      <c r="BL343" s="30"/>
      <c r="BM343" s="30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1303</v>
      </c>
      <c r="F344" s="36" t="str">
        <f>IF(ISBLANK(Table2[[#This Row],[unique_id]]), "", PROPER(SUBSTITUTE(Table2[[#This Row],[unique_id]], "_", " ")))</f>
        <v>Office Pantry Battery</v>
      </c>
      <c r="G344" s="30" t="s">
        <v>440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Pantry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209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1304</v>
      </c>
      <c r="F345" s="36" t="str">
        <f>IF(ISBLANK(Table2[[#This Row],[unique_id]]), "", PROPER(SUBSTITUTE(Table2[[#This Row],[unique_id]], "_", " ")))</f>
        <v>Office Lounge Battery</v>
      </c>
      <c r="G345" s="30" t="s">
        <v>441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Lounge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192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1305</v>
      </c>
      <c r="F346" s="36" t="str">
        <f>IF(ISBLANK(Table2[[#This Row],[unique_id]]), "", PROPER(SUBSTITUTE(Table2[[#This Row],[unique_id]], "_", " ")))</f>
        <v>Office Dining Battery</v>
      </c>
      <c r="G346" s="30" t="s">
        <v>442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Dining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191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127</v>
      </c>
      <c r="D347" s="30" t="s">
        <v>27</v>
      </c>
      <c r="E347" s="39" t="s">
        <v>1306</v>
      </c>
      <c r="F347" s="36" t="str">
        <f>IF(ISBLANK(Table2[[#This Row],[unique_id]]), "", PROPER(SUBSTITUTE(Table2[[#This Row],[unique_id]], "_", " ")))</f>
        <v>Office Basement Battery</v>
      </c>
      <c r="G347" s="30" t="s">
        <v>443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Basement</v>
      </c>
      <c r="BB347" s="30" t="s">
        <v>957</v>
      </c>
      <c r="BC347" s="30" t="s">
        <v>959</v>
      </c>
      <c r="BD347" s="30" t="s">
        <v>127</v>
      </c>
      <c r="BF347" s="30" t="s">
        <v>406</v>
      </c>
      <c r="BG347" s="30" t="s">
        <v>208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702</v>
      </c>
      <c r="F348" s="36" t="str">
        <f>IF(ISBLANK(Table2[[#This Row],[unique_id]]), "", PROPER(SUBSTITUTE(Table2[[#This Row],[unique_id]], "_", " ")))</f>
        <v>Parents Move Battery</v>
      </c>
      <c r="G348" s="30" t="s">
        <v>444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180</v>
      </c>
      <c r="D349" s="30" t="s">
        <v>27</v>
      </c>
      <c r="E349" s="30" t="s">
        <v>701</v>
      </c>
      <c r="F349" s="36" t="str">
        <f>IF(ISBLANK(Table2[[#This Row],[unique_id]]), "", PROPER(SUBSTITUTE(Table2[[#This Row],[unique_id]], "_", " ")))</f>
        <v>Kitchen Move Battery</v>
      </c>
      <c r="G349" s="30" t="s">
        <v>445</v>
      </c>
      <c r="H349" s="30" t="s">
        <v>1146</v>
      </c>
      <c r="I349" s="30" t="s">
        <v>273</v>
      </c>
      <c r="M349" s="30" t="s">
        <v>135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422</v>
      </c>
      <c r="D350" s="30" t="s">
        <v>315</v>
      </c>
      <c r="E350" s="30" t="s">
        <v>314</v>
      </c>
      <c r="F350" s="36" t="str">
        <f>IF(ISBLANK(Table2[[#This Row],[unique_id]]), "", PROPER(SUBSTITUTE(Table2[[#This Row],[unique_id]], "_", " ")))</f>
        <v>Column Break</v>
      </c>
      <c r="G350" s="30" t="s">
        <v>311</v>
      </c>
      <c r="H350" s="30" t="s">
        <v>1146</v>
      </c>
      <c r="I350" s="30" t="s">
        <v>273</v>
      </c>
      <c r="M350" s="30" t="s">
        <v>312</v>
      </c>
      <c r="N350" s="30" t="s">
        <v>313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743</v>
      </c>
      <c r="D351" s="30" t="s">
        <v>27</v>
      </c>
      <c r="E351" s="30" t="s">
        <v>794</v>
      </c>
      <c r="F351" s="36" t="str">
        <f>IF(ISBLANK(Table2[[#This Row],[unique_id]]), "", PROPER(SUBSTITUTE(Table2[[#This Row],[unique_id]], "_", " ")))</f>
        <v>All Standby</v>
      </c>
      <c r="G351" s="30" t="s">
        <v>795</v>
      </c>
      <c r="H351" s="30" t="s">
        <v>508</v>
      </c>
      <c r="I351" s="30" t="s">
        <v>273</v>
      </c>
      <c r="O351" s="31" t="s">
        <v>754</v>
      </c>
      <c r="P351" s="30"/>
      <c r="R351" s="41"/>
      <c r="T351" s="37" t="s">
        <v>793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561</v>
      </c>
      <c r="C352" s="30" t="s">
        <v>676</v>
      </c>
      <c r="D352" s="30" t="s">
        <v>133</v>
      </c>
      <c r="E352" s="30" t="s">
        <v>1428</v>
      </c>
      <c r="F352" s="36" t="str">
        <f>IF(ISBLANK(Table2[[#This Row],[unique_id]]), "", PROPER(SUBSTITUTE(Table2[[#This Row],[unique_id]], "_", " ")))</f>
        <v>Rack Printer Plug</v>
      </c>
      <c r="G352" s="30" t="s">
        <v>1443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1071</v>
      </c>
      <c r="AB352" s="30"/>
      <c r="AC352" s="30"/>
      <c r="AE352" s="30" t="s">
        <v>1429</v>
      </c>
      <c r="AF352" s="30">
        <v>10</v>
      </c>
      <c r="AG352" s="31" t="s">
        <v>34</v>
      </c>
      <c r="AH352" s="31" t="s">
        <v>863</v>
      </c>
      <c r="AI352" s="30" t="s">
        <v>1428</v>
      </c>
      <c r="AJ352" s="30" t="str">
        <f>_xlfn.CONCAT("homeassistant/", Table2[[#This Row],[entity_namespace]], "/tasmota/",Table2[[#This Row],[unique_id]], "/config")</f>
        <v>homeassistant/switch/tasmota/rack_printer_plug/config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2" s="30" t="str">
        <f>_xlfn.CONCAT("tasmota/device/",Table2[[#This Row],[unique_id]], "/cmnd/POWER")</f>
        <v>tasmota/device/rack_printer_plug/cmnd/POWER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http://10.0.4.111/?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364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1448</v>
      </c>
      <c r="BM352" s="30" t="s">
        <v>1444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1438</v>
      </c>
      <c r="F353" s="36" t="str">
        <f>IF(ISBLANK(Table2[[#This Row],[unique_id]]), "", PROPER(SUBSTITUTE(Table2[[#This Row],[unique_id]], "_", " ")))</f>
        <v>Rack Screen Plug</v>
      </c>
      <c r="G353" s="30" t="s">
        <v>1431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1432</v>
      </c>
      <c r="AF353" s="30">
        <v>10</v>
      </c>
      <c r="AG353" s="31" t="s">
        <v>34</v>
      </c>
      <c r="AH353" s="31" t="s">
        <v>863</v>
      </c>
      <c r="AI353" s="30" t="s">
        <v>1438</v>
      </c>
      <c r="AJ353" s="30" t="str">
        <f>_xlfn.CONCAT("homeassistant/", Table2[[#This Row],[entity_namespace]], "/tasmota/",Table2[[#This Row],[unique_id]], "/config")</f>
        <v>homeassistant/switch/tasmota/rack_screen_plug/config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3" s="30" t="str">
        <f>_xlfn.CONCAT("tasmota/device/",Table2[[#This Row],[unique_id]], "/cmnd/POWER")</f>
        <v>tasmota/device/rack_screen_plug/cmnd/POWER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http://10.0.4.109/?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1435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1440</v>
      </c>
      <c r="BM353" s="30" t="s">
        <v>1436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1412</v>
      </c>
      <c r="F354" s="36" t="str">
        <f>IF(ISBLANK(Table2[[#This Row],[unique_id]]), "", PROPER(SUBSTITUTE(Table2[[#This Row],[unique_id]], "_", " ")))</f>
        <v>Rack Backup Plug</v>
      </c>
      <c r="G354" s="30" t="s">
        <v>1430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1433</v>
      </c>
      <c r="AF354" s="30">
        <v>10</v>
      </c>
      <c r="AG354" s="31" t="s">
        <v>34</v>
      </c>
      <c r="AH354" s="31" t="s">
        <v>863</v>
      </c>
      <c r="AI354" s="30" t="s">
        <v>1412</v>
      </c>
      <c r="AJ354" s="30" t="str">
        <f>_xlfn.CONCAT("homeassistant/", Table2[[#This Row],[entity_namespace]], "/tasmota/",Table2[[#This Row],[unique_id]], "/config")</f>
        <v>homeassistant/switch/tasmota/rack_backup_plug/config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4" s="30" t="str">
        <f>_xlfn.CONCAT("tasmota/device/",Table2[[#This Row],[unique_id]], "/cmnd/POWER")</f>
        <v>tasmota/device/rack_backup_plug/cmnd/POWER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http://10.0.4.110/?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1434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1439</v>
      </c>
      <c r="BM354" s="30" t="s">
        <v>1437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6" ht="16" customHeight="1" x14ac:dyDescent="0.2">
      <c r="A355" s="30">
        <v>2573</v>
      </c>
      <c r="B355" s="30" t="s">
        <v>26</v>
      </c>
      <c r="C355" s="30" t="s">
        <v>676</v>
      </c>
      <c r="D355" s="30" t="s">
        <v>133</v>
      </c>
      <c r="E355" s="30" t="s">
        <v>854</v>
      </c>
      <c r="F355" s="36" t="str">
        <f>IF(ISBLANK(Table2[[#This Row],[unique_id]]), "", PROPER(SUBSTITUTE(Table2[[#This Row],[unique_id]], "_", " ")))</f>
        <v>Rack Fans Plug</v>
      </c>
      <c r="G355" s="30" t="s">
        <v>570</v>
      </c>
      <c r="H355" s="30" t="s">
        <v>508</v>
      </c>
      <c r="I355" s="30" t="s">
        <v>273</v>
      </c>
      <c r="M355" s="30" t="s">
        <v>255</v>
      </c>
      <c r="O355" s="31" t="s">
        <v>754</v>
      </c>
      <c r="P355" s="30"/>
      <c r="T355" s="37" t="s">
        <v>937</v>
      </c>
      <c r="U355" s="30"/>
      <c r="V355" s="31"/>
      <c r="W355" s="31"/>
      <c r="X355" s="31"/>
      <c r="Y355" s="31"/>
      <c r="Z355" s="31"/>
      <c r="AA355" s="31" t="s">
        <v>1528</v>
      </c>
      <c r="AB355" s="30"/>
      <c r="AC355" s="30"/>
      <c r="AE355" s="30" t="s">
        <v>1511</v>
      </c>
      <c r="AF355" s="30">
        <v>10</v>
      </c>
      <c r="AG355" s="31" t="s">
        <v>34</v>
      </c>
      <c r="AH355" s="31" t="s">
        <v>863</v>
      </c>
      <c r="AI355" s="30" t="s">
        <v>854</v>
      </c>
      <c r="AJ355" s="30" t="str">
        <f>_xlfn.CONCAT("homeassistant/", Table2[[#This Row],[entity_namespace]], "/tasmota/",Table2[[#This Row],[unique_id]], "/config")</f>
        <v>homeassistant/switch/tasmota/rack_fans_plug/config</v>
      </c>
      <c r="AK355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5" s="30" t="str">
        <f>_xlfn.CONCAT("tasmota/device/",Table2[[#This Row],[unique_id]], "/cmnd/POWER")</f>
        <v>tasmota/device/rack_fans_plug/cmnd/POWER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5" s="30" t="s">
        <v>882</v>
      </c>
      <c r="AO355" s="30" t="s">
        <v>883</v>
      </c>
      <c r="AP355" s="30" t="s">
        <v>872</v>
      </c>
      <c r="AQ355" s="30" t="s">
        <v>873</v>
      </c>
      <c r="AR355" s="30" t="s">
        <v>936</v>
      </c>
      <c r="AS355" s="30">
        <v>1</v>
      </c>
      <c r="AT355" s="34" t="str">
        <f>HYPERLINK(_xlfn.CONCAT("http://", Table2[[#This Row],[connection_ip]], "/?"))</f>
        <v>http://10.0.4.101/?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130</v>
      </c>
      <c r="BC355" s="39" t="s">
        <v>733</v>
      </c>
      <c r="BD355" s="30" t="s">
        <v>1072</v>
      </c>
      <c r="BF355" s="30" t="s">
        <v>853</v>
      </c>
      <c r="BG355" s="30" t="s">
        <v>28</v>
      </c>
      <c r="BK355" s="30" t="s">
        <v>1209</v>
      </c>
      <c r="BL355" s="30" t="s">
        <v>571</v>
      </c>
      <c r="BM355" s="30" t="s">
        <v>1263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6" ht="16" customHeight="1" x14ac:dyDescent="0.2">
      <c r="A356" s="30">
        <v>2574</v>
      </c>
      <c r="B356" s="30" t="s">
        <v>26</v>
      </c>
      <c r="C356" s="30" t="s">
        <v>774</v>
      </c>
      <c r="D356" s="30" t="s">
        <v>147</v>
      </c>
      <c r="E356" s="37" t="s">
        <v>1036</v>
      </c>
      <c r="F356" s="36" t="str">
        <f>IF(ISBLANK(Table2[[#This Row],[unique_id]]), "", PROPER(SUBSTITUTE(Table2[[#This Row],[unique_id]], "_", " ")))</f>
        <v>Template Lounge Tv Plug Proxy</v>
      </c>
      <c r="G356" s="30" t="s">
        <v>178</v>
      </c>
      <c r="H356" s="30" t="s">
        <v>508</v>
      </c>
      <c r="I356" s="30" t="s">
        <v>273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">
        <v>1033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R356" s="39"/>
      <c r="AT356" s="32"/>
      <c r="AU356" s="30" t="s">
        <v>133</v>
      </c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231</v>
      </c>
      <c r="D357" s="30" t="s">
        <v>133</v>
      </c>
      <c r="E357" s="30" t="s">
        <v>1035</v>
      </c>
      <c r="F357" s="36" t="str">
        <f>IF(ISBLANK(Table2[[#This Row],[unique_id]]), "", PROPER(SUBSTITUTE(Table2[[#This Row],[unique_id]], "_", " ")))</f>
        <v>Lounge Tv Plug</v>
      </c>
      <c r="G357" s="30" t="s">
        <v>178</v>
      </c>
      <c r="H357" s="30" t="s">
        <v>508</v>
      </c>
      <c r="I357" s="30" t="s">
        <v>273</v>
      </c>
      <c r="M357" s="30" t="s">
        <v>255</v>
      </c>
      <c r="O357" s="31" t="s">
        <v>754</v>
      </c>
      <c r="P357" s="30" t="s">
        <v>164</v>
      </c>
      <c r="Q357" s="30" t="s">
        <v>726</v>
      </c>
      <c r="R357" s="41" t="s">
        <v>711</v>
      </c>
      <c r="S357" s="30" t="str">
        <f>Table2[[#This Row],[friendly_name]]</f>
        <v>Lounge TV</v>
      </c>
      <c r="T357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0"/>
      <c r="V357" s="31"/>
      <c r="W357" s="31"/>
      <c r="X357" s="31"/>
      <c r="Y357" s="31"/>
      <c r="Z357" s="31"/>
      <c r="AA357" s="31"/>
      <c r="AB357" s="30"/>
      <c r="AC357" s="30"/>
      <c r="AE357" s="30" t="s">
        <v>248</v>
      </c>
      <c r="AG357" s="31"/>
      <c r="AH357" s="31"/>
      <c r="AT357" s="40"/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946</v>
      </c>
      <c r="BC357" s="30" t="s">
        <v>341</v>
      </c>
      <c r="BD357" s="30" t="s">
        <v>231</v>
      </c>
      <c r="BF357" s="30" t="s">
        <v>344</v>
      </c>
      <c r="BG357" s="30" t="s">
        <v>192</v>
      </c>
      <c r="BJ357" s="30" t="s">
        <v>943</v>
      </c>
      <c r="BK357" s="30" t="s">
        <v>1209</v>
      </c>
      <c r="BL357" s="30" t="s">
        <v>331</v>
      </c>
      <c r="BM357" s="30" t="s">
        <v>1243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6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1346</v>
      </c>
      <c r="F358" s="56" t="str">
        <f>IF(ISBLANK(Table2[[#This Row],[unique_id]]), "", PROPER(SUBSTITUTE(Table2[[#This Row],[unique_id]], "_", " ")))</f>
        <v>Broken Template Lounge Sub Plug Proxy</v>
      </c>
      <c r="G358" s="54" t="s">
        <v>758</v>
      </c>
      <c r="H358" s="54" t="s">
        <v>508</v>
      </c>
      <c r="I358" s="54" t="s">
        <v>273</v>
      </c>
      <c r="J358" s="54"/>
      <c r="K358" s="54"/>
      <c r="L358" s="54"/>
      <c r="M358" s="54"/>
      <c r="N358" s="54"/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">
        <v>1033</v>
      </c>
      <c r="U358" s="54"/>
      <c r="V358" s="57"/>
      <c r="W358" s="57"/>
      <c r="X358" s="57"/>
      <c r="Y358" s="57"/>
      <c r="Z358" s="57"/>
      <c r="AA358" s="57"/>
      <c r="AB358" s="54"/>
      <c r="AC358" s="54"/>
      <c r="AD358" s="54"/>
      <c r="AE358" s="54"/>
      <c r="AF358" s="54"/>
      <c r="AG358" s="57"/>
      <c r="AH358" s="57"/>
      <c r="AI358" s="54"/>
      <c r="AJ358" s="54"/>
      <c r="AK358" s="54"/>
      <c r="AL358" s="54"/>
      <c r="AM358" s="54"/>
      <c r="AN358" s="54"/>
      <c r="AO358" s="54"/>
      <c r="AP358" s="54"/>
      <c r="AQ358" s="54"/>
      <c r="AR358" s="59"/>
      <c r="AS358" s="54"/>
      <c r="AT358" s="61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8" s="54"/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E358" s="54"/>
      <c r="BF358" s="54" t="s">
        <v>343</v>
      </c>
      <c r="BG358" s="54" t="s">
        <v>192</v>
      </c>
      <c r="BH358" s="54"/>
      <c r="BI358" s="54"/>
      <c r="BJ358" s="54"/>
      <c r="BK358" s="54"/>
      <c r="BL358" s="54"/>
      <c r="BM358" s="54"/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1347</v>
      </c>
      <c r="F359" s="56" t="str">
        <f>IF(ISBLANK(Table2[[#This Row],[unique_id]]), "", PROPER(SUBSTITUTE(Table2[[#This Row],[unique_id]], "_", " ")))</f>
        <v>Broken Lounge Sub Plug</v>
      </c>
      <c r="G359" s="54" t="s">
        <v>758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726</v>
      </c>
      <c r="R359" s="60" t="s">
        <v>711</v>
      </c>
      <c r="S359" s="54" t="str">
        <f>Table2[[#This Row],[friendly_name]]</f>
        <v>Lounge Sub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759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Lounge</v>
      </c>
      <c r="BB359" s="54" t="s">
        <v>986</v>
      </c>
      <c r="BC359" s="59" t="s">
        <v>342</v>
      </c>
      <c r="BD359" s="54" t="s">
        <v>231</v>
      </c>
      <c r="BF359" s="54" t="s">
        <v>343</v>
      </c>
      <c r="BG359" s="54" t="s">
        <v>192</v>
      </c>
      <c r="BJ359" s="54" t="s">
        <v>942</v>
      </c>
      <c r="BK359" s="54" t="s">
        <v>1209</v>
      </c>
      <c r="BL359" s="54" t="s">
        <v>322</v>
      </c>
      <c r="BM359" s="54" t="s">
        <v>1244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1348</v>
      </c>
      <c r="F360" s="56" t="str">
        <f>IF(ISBLANK(Table2[[#This Row],[unique_id]]), "", PROPER(SUBSTITUTE(Table2[[#This Row],[unique_id]], "_", " ")))</f>
        <v>Broken Template Study Outlet Plug Proxy</v>
      </c>
      <c r="G360" s="54" t="s">
        <v>224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1349</v>
      </c>
      <c r="F361" s="56" t="str">
        <f>IF(ISBLANK(Table2[[#This Row],[unique_id]]), "", PROPER(SUBSTITUTE(Table2[[#This Row],[unique_id]], "_", " ")))</f>
        <v>Broken Study Outlet Plug</v>
      </c>
      <c r="G361" s="54" t="s">
        <v>224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Study Outlet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249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Study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338</v>
      </c>
      <c r="BJ361" s="54" t="s">
        <v>942</v>
      </c>
      <c r="BK361" s="54" t="s">
        <v>1209</v>
      </c>
      <c r="BL361" s="54" t="s">
        <v>333</v>
      </c>
      <c r="BM361" s="54" t="s">
        <v>1245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1350</v>
      </c>
      <c r="F362" s="56" t="str">
        <f>IF(ISBLANK(Table2[[#This Row],[unique_id]]), "", PROPER(SUBSTITUTE(Table2[[#This Row],[unique_id]], "_", " ")))</f>
        <v>Broken Template Office Outlet Plug Proxy</v>
      </c>
      <c r="G362" s="54" t="s">
        <v>223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1351</v>
      </c>
      <c r="F363" s="56" t="str">
        <f>IF(ISBLANK(Table2[[#This Row],[unique_id]]), "", PROPER(SUBSTITUTE(Table2[[#This Row],[unique_id]], "_", " ")))</f>
        <v>Broken Office Outlet Plug</v>
      </c>
      <c r="G363" s="54" t="s">
        <v>223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726</v>
      </c>
      <c r="R363" s="54" t="s">
        <v>508</v>
      </c>
      <c r="S363" s="54" t="str">
        <f>Table2[[#This Row],[friendly_name]]</f>
        <v>Office Outlet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249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Office</v>
      </c>
      <c r="BB363" s="54" t="s">
        <v>984</v>
      </c>
      <c r="BC363" s="59" t="s">
        <v>342</v>
      </c>
      <c r="BD363" s="54" t="s">
        <v>231</v>
      </c>
      <c r="BF363" s="54" t="s">
        <v>343</v>
      </c>
      <c r="BG363" s="54" t="s">
        <v>210</v>
      </c>
      <c r="BJ363" s="54" t="s">
        <v>943</v>
      </c>
      <c r="BK363" s="54" t="s">
        <v>1209</v>
      </c>
      <c r="BL363" s="54" t="s">
        <v>334</v>
      </c>
      <c r="BM363" s="54" t="s">
        <v>1246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1352</v>
      </c>
      <c r="F364" s="56" t="str">
        <f>IF(ISBLANK(Table2[[#This Row],[unique_id]]), "", PROPER(SUBSTITUTE(Table2[[#This Row],[unique_id]], "_", " ")))</f>
        <v>Broken Template Kitchen Dish Washer Plug Proxy</v>
      </c>
      <c r="G364" s="54" t="s">
        <v>226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1353</v>
      </c>
      <c r="F365" s="56" t="str">
        <f>IF(ISBLANK(Table2[[#This Row],[unique_id]]), "", PROPER(SUBSTITUTE(Table2[[#This Row],[unique_id]], "_", " ")))</f>
        <v>Broken Kitchen Dish Washer Plug</v>
      </c>
      <c r="G365" s="54" t="s">
        <v>226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Dish Washer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242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Kitchen</v>
      </c>
      <c r="BB365" s="54" t="s">
        <v>226</v>
      </c>
      <c r="BC365" s="59" t="s">
        <v>342</v>
      </c>
      <c r="BD365" s="54" t="s">
        <v>231</v>
      </c>
      <c r="BF365" s="54" t="s">
        <v>343</v>
      </c>
      <c r="BG365" s="54" t="s">
        <v>204</v>
      </c>
      <c r="BJ365" s="54" t="s">
        <v>943</v>
      </c>
      <c r="BK365" s="54" t="s">
        <v>1209</v>
      </c>
      <c r="BL365" s="54" t="s">
        <v>325</v>
      </c>
      <c r="BM365" s="54" t="s">
        <v>1247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6" s="54" customFormat="1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930</v>
      </c>
      <c r="F366" s="36" t="str">
        <f>IF(ISBLANK(Table2[[#This Row],[unique_id]]), "", PROPER(SUBSTITUTE(Table2[[#This Row],[unique_id]], "_", " ")))</f>
        <v>Template Kitchen Dish Washer Plug Proxy</v>
      </c>
      <c r="G366" s="30" t="s">
        <v>226</v>
      </c>
      <c r="H366" s="30" t="s">
        <v>508</v>
      </c>
      <c r="I366" s="30" t="s">
        <v>273</v>
      </c>
      <c r="J366" s="30"/>
      <c r="K366" s="30"/>
      <c r="L366" s="30"/>
      <c r="M366" s="30"/>
      <c r="N366" s="30"/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0"/>
      <c r="V366" s="31"/>
      <c r="W366" s="31"/>
      <c r="X366" s="31"/>
      <c r="Y366" s="31"/>
      <c r="Z366" s="31"/>
      <c r="AA366" s="31"/>
      <c r="AB366" s="30"/>
      <c r="AC366" s="30"/>
      <c r="AD366" s="30"/>
      <c r="AE366" s="30"/>
      <c r="AF366" s="30"/>
      <c r="AG366" s="31"/>
      <c r="AH366" s="31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6" s="30"/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E366" s="30"/>
      <c r="BF366" s="30" t="s">
        <v>344</v>
      </c>
      <c r="BG366" s="30" t="s">
        <v>204</v>
      </c>
      <c r="BH366" s="30"/>
      <c r="BI366" s="30"/>
      <c r="BJ366" s="30"/>
      <c r="BK366" s="30"/>
      <c r="BL366" s="30"/>
      <c r="BM366" s="30"/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801</v>
      </c>
      <c r="F367" s="36" t="str">
        <f>IF(ISBLANK(Table2[[#This Row],[unique_id]]), "", PROPER(SUBSTITUTE(Table2[[#This Row],[unique_id]], "_", " ")))</f>
        <v>Kitchen Dish Washer Plug</v>
      </c>
      <c r="G367" s="30" t="s">
        <v>226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727</v>
      </c>
      <c r="R367" s="30" t="s">
        <v>737</v>
      </c>
      <c r="S367" s="30" t="str">
        <f>Table2[[#This Row],[friendly_name]]</f>
        <v>Dish Washer</v>
      </c>
      <c r="T367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242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226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30" t="s">
        <v>1209</v>
      </c>
      <c r="BL367" s="30" t="s">
        <v>337</v>
      </c>
      <c r="BM367" s="30" t="s">
        <v>1258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6" ht="16" customHeight="1" x14ac:dyDescent="0.2">
      <c r="A368" s="30">
        <v>2586</v>
      </c>
      <c r="B368" s="54" t="s">
        <v>561</v>
      </c>
      <c r="C368" s="54" t="s">
        <v>774</v>
      </c>
      <c r="D368" s="54" t="s">
        <v>147</v>
      </c>
      <c r="E368" s="55" t="s">
        <v>1354</v>
      </c>
      <c r="F368" s="56" t="str">
        <f>IF(ISBLANK(Table2[[#This Row],[unique_id]]), "", PROPER(SUBSTITUTE(Table2[[#This Row],[unique_id]], "_", " ")))</f>
        <v>Broken Template Laundry Clothes Dryer Plug Proxy</v>
      </c>
      <c r="G368" s="54" t="s">
        <v>227</v>
      </c>
      <c r="H368" s="54" t="s">
        <v>508</v>
      </c>
      <c r="I368" s="54" t="s">
        <v>273</v>
      </c>
      <c r="J368" s="54"/>
      <c r="K368" s="54"/>
      <c r="L368" s="54"/>
      <c r="M368" s="54"/>
      <c r="N368" s="54"/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">
        <v>1032</v>
      </c>
      <c r="U368" s="54"/>
      <c r="V368" s="57"/>
      <c r="W368" s="57"/>
      <c r="X368" s="57"/>
      <c r="Y368" s="57"/>
      <c r="Z368" s="57"/>
      <c r="AA368" s="57"/>
      <c r="AB368" s="54"/>
      <c r="AC368" s="54"/>
      <c r="AD368" s="54"/>
      <c r="AE368" s="54"/>
      <c r="AF368" s="54"/>
      <c r="AG368" s="57"/>
      <c r="AH368" s="57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8"/>
      <c r="AU368" s="54" t="s">
        <v>133</v>
      </c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8" s="54"/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E368" s="54"/>
      <c r="BF368" s="54" t="s">
        <v>343</v>
      </c>
      <c r="BG368" s="54" t="s">
        <v>211</v>
      </c>
      <c r="BH368" s="54"/>
      <c r="BI368" s="54"/>
      <c r="BJ368" s="54"/>
      <c r="BK368" s="54"/>
      <c r="BL368" s="54"/>
      <c r="BM368" s="54"/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231</v>
      </c>
      <c r="D369" s="54" t="s">
        <v>133</v>
      </c>
      <c r="E369" s="54" t="s">
        <v>1355</v>
      </c>
      <c r="F369" s="56" t="str">
        <f>IF(ISBLANK(Table2[[#This Row],[unique_id]]), "", PROPER(SUBSTITUTE(Table2[[#This Row],[unique_id]], "_", " ")))</f>
        <v>Broken Laundry Clothes Dryer Plug</v>
      </c>
      <c r="G369" s="54" t="s">
        <v>227</v>
      </c>
      <c r="H369" s="54" t="s">
        <v>508</v>
      </c>
      <c r="I369" s="54" t="s">
        <v>273</v>
      </c>
      <c r="M369" s="54" t="s">
        <v>255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Clothes Dryer</v>
      </c>
      <c r="T369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9" s="57"/>
      <c r="W369" s="57"/>
      <c r="X369" s="57"/>
      <c r="Y369" s="57"/>
      <c r="Z369" s="57"/>
      <c r="AA369" s="57"/>
      <c r="AE369" s="54" t="s">
        <v>243</v>
      </c>
      <c r="AG369" s="57"/>
      <c r="AH369" s="57"/>
      <c r="AT369" s="58"/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227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J369" s="54" t="s">
        <v>942</v>
      </c>
      <c r="BK369" s="54" t="s">
        <v>1209</v>
      </c>
      <c r="BL369" s="54" t="s">
        <v>326</v>
      </c>
      <c r="BM369" s="54" t="s">
        <v>1248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1356</v>
      </c>
      <c r="F370" s="56" t="str">
        <f>IF(ISBLANK(Table2[[#This Row],[unique_id]]), "", PROPER(SUBSTITUTE(Table2[[#This Row],[unique_id]], "_", " ")))</f>
        <v>Broken Template Laundry Washing Machine Plug Proxy</v>
      </c>
      <c r="G370" s="54" t="s">
        <v>225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1357</v>
      </c>
      <c r="F371" s="56" t="str">
        <f>IF(ISBLANK(Table2[[#This Row],[unique_id]]), "", PROPER(SUBSTITUTE(Table2[[#This Row],[unique_id]], "_", " ")))</f>
        <v>Broken Laundry Washing Machine Plug</v>
      </c>
      <c r="G371" s="54" t="s">
        <v>225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727</v>
      </c>
      <c r="R371" s="54" t="s">
        <v>737</v>
      </c>
      <c r="S371" s="54" t="str">
        <f>Table2[[#This Row],[friendly_name]]</f>
        <v>Washing Machine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244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225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J371" s="54" t="s">
        <v>942</v>
      </c>
      <c r="BK371" s="54" t="s">
        <v>1209</v>
      </c>
      <c r="BL371" s="54" t="s">
        <v>327</v>
      </c>
      <c r="BM371" s="54" t="s">
        <v>1249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6" s="54" customFormat="1" ht="16" customHeight="1" x14ac:dyDescent="0.2">
      <c r="A372" s="30">
        <v>2590</v>
      </c>
      <c r="B372" s="30" t="s">
        <v>26</v>
      </c>
      <c r="C372" s="30" t="s">
        <v>774</v>
      </c>
      <c r="D372" s="30" t="s">
        <v>147</v>
      </c>
      <c r="E372" s="37" t="s">
        <v>1442</v>
      </c>
      <c r="F372" s="36" t="str">
        <f>IF(ISBLANK(Table2[[#This Row],[unique_id]]), "", PROPER(SUBSTITUTE(Table2[[#This Row],[unique_id]], "_", " ")))</f>
        <v>Template Kitchen Fridge Plug Proxy</v>
      </c>
      <c r="G372" s="30" t="s">
        <v>221</v>
      </c>
      <c r="H372" s="30" t="s">
        <v>508</v>
      </c>
      <c r="I372" s="30" t="s">
        <v>273</v>
      </c>
      <c r="J372" s="30"/>
      <c r="K372" s="30"/>
      <c r="L372" s="30"/>
      <c r="M372" s="30"/>
      <c r="N372" s="30"/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">
        <v>1033</v>
      </c>
      <c r="U372" s="30"/>
      <c r="V372" s="31"/>
      <c r="W372" s="31"/>
      <c r="X372" s="31"/>
      <c r="Y372" s="31"/>
      <c r="Z372" s="31"/>
      <c r="AA372" s="31"/>
      <c r="AB372" s="30"/>
      <c r="AC372" s="30"/>
      <c r="AD372" s="30"/>
      <c r="AE372" s="30"/>
      <c r="AF372" s="30"/>
      <c r="AG372" s="31"/>
      <c r="AH372" s="31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40"/>
      <c r="AU372" s="30" t="s">
        <v>133</v>
      </c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2" s="30"/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E372" s="30"/>
      <c r="BF372" s="30" t="s">
        <v>344</v>
      </c>
      <c r="BG372" s="30" t="s">
        <v>204</v>
      </c>
      <c r="BH372" s="30"/>
      <c r="BI372" s="30"/>
      <c r="BJ372" s="30"/>
      <c r="BK372" s="30"/>
      <c r="BL372" s="30"/>
      <c r="BM372" s="30"/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ht="16" customHeight="1" x14ac:dyDescent="0.2">
      <c r="A373" s="30">
        <v>2591</v>
      </c>
      <c r="B373" s="30" t="s">
        <v>26</v>
      </c>
      <c r="C373" s="30" t="s">
        <v>231</v>
      </c>
      <c r="D373" s="30" t="s">
        <v>133</v>
      </c>
      <c r="E373" s="30" t="s">
        <v>1441</v>
      </c>
      <c r="F373" s="36" t="str">
        <f>IF(ISBLANK(Table2[[#This Row],[unique_id]]), "", PROPER(SUBSTITUTE(Table2[[#This Row],[unique_id]], "_", " ")))</f>
        <v>Kitchen Fridge Plug</v>
      </c>
      <c r="G373" s="30" t="s">
        <v>221</v>
      </c>
      <c r="H373" s="30" t="s">
        <v>508</v>
      </c>
      <c r="I373" s="30" t="s">
        <v>273</v>
      </c>
      <c r="M373" s="30" t="s">
        <v>255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Kitchen Fridge</v>
      </c>
      <c r="T373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0"/>
      <c r="V373" s="31"/>
      <c r="W373" s="31"/>
      <c r="X373" s="31"/>
      <c r="Y373" s="31"/>
      <c r="Z373" s="31"/>
      <c r="AA373" s="31"/>
      <c r="AB373" s="30"/>
      <c r="AC373" s="30"/>
      <c r="AE373" s="30" t="s">
        <v>246</v>
      </c>
      <c r="AG373" s="31"/>
      <c r="AH373" s="31"/>
      <c r="AT373" s="40"/>
      <c r="AU373" s="30"/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987</v>
      </c>
      <c r="BC373" s="30" t="s">
        <v>341</v>
      </c>
      <c r="BD373" s="30" t="s">
        <v>231</v>
      </c>
      <c r="BF373" s="30" t="s">
        <v>344</v>
      </c>
      <c r="BG373" s="30" t="s">
        <v>204</v>
      </c>
      <c r="BJ373" s="30" t="s">
        <v>943</v>
      </c>
      <c r="BK373" s="63" t="s">
        <v>1209</v>
      </c>
      <c r="BL373" s="63" t="s">
        <v>1413</v>
      </c>
      <c r="BM373" s="63" t="s">
        <v>1414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6" ht="16" customHeight="1" x14ac:dyDescent="0.2">
      <c r="A374" s="30">
        <v>2592</v>
      </c>
      <c r="B374" s="30" t="s">
        <v>26</v>
      </c>
      <c r="C374" s="30" t="s">
        <v>774</v>
      </c>
      <c r="D374" s="30" t="s">
        <v>147</v>
      </c>
      <c r="E374" s="37" t="s">
        <v>932</v>
      </c>
      <c r="F374" s="36" t="str">
        <f>IF(ISBLANK(Table2[[#This Row],[unique_id]]), "", PROPER(SUBSTITUTE(Table2[[#This Row],[unique_id]], "_", " ")))</f>
        <v>Template Deck Freezer Plug Proxy</v>
      </c>
      <c r="G374" s="30" t="s">
        <v>222</v>
      </c>
      <c r="H374" s="30" t="s">
        <v>508</v>
      </c>
      <c r="I374" s="30" t="s">
        <v>273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">
        <v>1033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133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K374" s="64"/>
      <c r="BL374" s="64"/>
      <c r="BM374" s="64"/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231</v>
      </c>
      <c r="D375" s="30" t="s">
        <v>133</v>
      </c>
      <c r="E375" s="30" t="s">
        <v>803</v>
      </c>
      <c r="F375" s="36" t="str">
        <f>IF(ISBLANK(Table2[[#This Row],[unique_id]]), "", PROPER(SUBSTITUTE(Table2[[#This Row],[unique_id]], "_", " ")))</f>
        <v>Deck Freezer Plug</v>
      </c>
      <c r="G375" s="30" t="s">
        <v>222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738</v>
      </c>
      <c r="S375" s="30" t="str">
        <f>Table2[[#This Row],[friendly_name]]</f>
        <v>Deck Freezer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247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988</v>
      </c>
      <c r="BC375" s="30" t="s">
        <v>341</v>
      </c>
      <c r="BD375" s="30" t="s">
        <v>231</v>
      </c>
      <c r="BF375" s="30" t="s">
        <v>344</v>
      </c>
      <c r="BG375" s="30" t="s">
        <v>339</v>
      </c>
      <c r="BJ375" s="30" t="s">
        <v>943</v>
      </c>
      <c r="BK375" s="30" t="s">
        <v>1209</v>
      </c>
      <c r="BL375" s="30" t="s">
        <v>329</v>
      </c>
      <c r="BM375" s="30" t="s">
        <v>1251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6" ht="16" customHeight="1" x14ac:dyDescent="0.2">
      <c r="A376" s="30">
        <v>2594</v>
      </c>
      <c r="B376" s="30" t="s">
        <v>26</v>
      </c>
      <c r="C376" s="30" t="s">
        <v>774</v>
      </c>
      <c r="D376" s="30" t="s">
        <v>147</v>
      </c>
      <c r="E376" s="37" t="s">
        <v>1338</v>
      </c>
      <c r="F376" s="36" t="str">
        <f>IF(ISBLANK(Table2[[#This Row],[unique_id]]), "", PROPER(SUBSTITUTE(Table2[[#This Row],[unique_id]], "_", " ")))</f>
        <v>Template Garden Sewerage Blower Plug Proxy</v>
      </c>
      <c r="G376" s="30" t="s">
        <v>1339</v>
      </c>
      <c r="H376" s="30" t="s">
        <v>508</v>
      </c>
      <c r="I376" s="30" t="s">
        <v>273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133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L376" s="36"/>
      <c r="BM376" s="36"/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231</v>
      </c>
      <c r="D377" s="30" t="s">
        <v>133</v>
      </c>
      <c r="E377" s="30" t="s">
        <v>1337</v>
      </c>
      <c r="F377" s="36" t="str">
        <f>IF(ISBLANK(Table2[[#This Row],[unique_id]]), "", PROPER(SUBSTITUTE(Table2[[#This Row],[unique_id]], "_", " ")))</f>
        <v>Garden Sewerage Blower Plug</v>
      </c>
      <c r="G377" s="30" t="s">
        <v>1339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508</v>
      </c>
      <c r="S377" s="30" t="str">
        <f>Table2[[#This Row],[friendly_name]]</f>
        <v>Sewerage Blower</v>
      </c>
      <c r="T377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241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558</v>
      </c>
      <c r="BB377" s="30" t="s">
        <v>1339</v>
      </c>
      <c r="BC377" s="30" t="s">
        <v>341</v>
      </c>
      <c r="BD377" s="30" t="s">
        <v>231</v>
      </c>
      <c r="BF377" s="30" t="s">
        <v>344</v>
      </c>
      <c r="BG377" s="30" t="s">
        <v>558</v>
      </c>
      <c r="BJ377" s="30" t="s">
        <v>943</v>
      </c>
      <c r="BK377" s="30" t="s">
        <v>1209</v>
      </c>
      <c r="BL377" s="36" t="s">
        <v>345</v>
      </c>
      <c r="BM377" s="36" t="s">
        <v>1230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6" ht="16" customHeight="1" x14ac:dyDescent="0.2">
      <c r="A378" s="30">
        <v>2596</v>
      </c>
      <c r="B378" s="54" t="s">
        <v>561</v>
      </c>
      <c r="C378" s="54" t="s">
        <v>774</v>
      </c>
      <c r="D378" s="54" t="s">
        <v>147</v>
      </c>
      <c r="E378" s="55" t="s">
        <v>1358</v>
      </c>
      <c r="F378" s="56" t="str">
        <f>IF(ISBLANK(Table2[[#This Row],[unique_id]]), "", PROPER(SUBSTITUTE(Table2[[#This Row],[unique_id]], "_", " ")))</f>
        <v>Broken Template Study Battery Charger Plug Proxy</v>
      </c>
      <c r="G378" s="54" t="s">
        <v>229</v>
      </c>
      <c r="H378" s="54" t="s">
        <v>508</v>
      </c>
      <c r="I378" s="54" t="s">
        <v>273</v>
      </c>
      <c r="J378" s="54"/>
      <c r="K378" s="54"/>
      <c r="L378" s="54"/>
      <c r="M378" s="54"/>
      <c r="N378" s="54"/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">
        <v>1032</v>
      </c>
      <c r="U378" s="54"/>
      <c r="V378" s="57"/>
      <c r="W378" s="57"/>
      <c r="X378" s="57"/>
      <c r="Y378" s="57"/>
      <c r="Z378" s="57"/>
      <c r="AA378" s="57"/>
      <c r="AB378" s="54"/>
      <c r="AC378" s="54"/>
      <c r="AD378" s="54"/>
      <c r="AE378" s="54"/>
      <c r="AF378" s="54"/>
      <c r="AG378" s="57"/>
      <c r="AH378" s="57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8"/>
      <c r="AU378" s="54" t="s">
        <v>133</v>
      </c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54"/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E378" s="54"/>
      <c r="BF378" s="54" t="s">
        <v>343</v>
      </c>
      <c r="BG378" s="54" t="s">
        <v>338</v>
      </c>
      <c r="BH378" s="54"/>
      <c r="BI378" s="54"/>
      <c r="BJ378" s="54"/>
      <c r="BK378" s="54"/>
      <c r="BL378" s="54"/>
      <c r="BM378" s="54"/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231</v>
      </c>
      <c r="D379" s="54" t="s">
        <v>133</v>
      </c>
      <c r="E379" s="54" t="s">
        <v>1359</v>
      </c>
      <c r="F379" s="56" t="str">
        <f>IF(ISBLANK(Table2[[#This Row],[unique_id]]), "", PROPER(SUBSTITUTE(Table2[[#This Row],[unique_id]], "_", " ")))</f>
        <v>Broken Study Battery Charger Plug</v>
      </c>
      <c r="G379" s="54" t="s">
        <v>229</v>
      </c>
      <c r="H379" s="54" t="s">
        <v>508</v>
      </c>
      <c r="I379" s="54" t="s">
        <v>273</v>
      </c>
      <c r="M379" s="54" t="s">
        <v>255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Battery Charger</v>
      </c>
      <c r="T379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9" s="57"/>
      <c r="W379" s="57"/>
      <c r="X379" s="57"/>
      <c r="Y379" s="57"/>
      <c r="Z379" s="57"/>
      <c r="AA379" s="57"/>
      <c r="AE379" s="54" t="s">
        <v>253</v>
      </c>
      <c r="AG379" s="57"/>
      <c r="AH379" s="57"/>
      <c r="AT379" s="58"/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Study</v>
      </c>
      <c r="BB379" s="54" t="s">
        <v>229</v>
      </c>
      <c r="BC379" s="59" t="s">
        <v>342</v>
      </c>
      <c r="BD379" s="54" t="s">
        <v>231</v>
      </c>
      <c r="BF379" s="54" t="s">
        <v>343</v>
      </c>
      <c r="BG379" s="54" t="s">
        <v>338</v>
      </c>
      <c r="BJ379" s="54" t="s">
        <v>942</v>
      </c>
      <c r="BK379" s="54" t="s">
        <v>1209</v>
      </c>
      <c r="BL379" s="54" t="s">
        <v>323</v>
      </c>
      <c r="BM379" s="54" t="s">
        <v>1252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1360</v>
      </c>
      <c r="F380" s="56" t="str">
        <f>IF(ISBLANK(Table2[[#This Row],[unique_id]]), "", PROPER(SUBSTITUTE(Table2[[#This Row],[unique_id]], "_", " ")))</f>
        <v>Broken Template Laundry Vacuum Charger Plug Proxy</v>
      </c>
      <c r="G380" s="54" t="s">
        <v>228</v>
      </c>
      <c r="H380" s="54" t="s">
        <v>508</v>
      </c>
      <c r="I380" s="54" t="s">
        <v>273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T380" s="58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1361</v>
      </c>
      <c r="F381" s="56" t="str">
        <f>IF(ISBLANK(Table2[[#This Row],[unique_id]]), "", PROPER(SUBSTITUTE(Table2[[#This Row],[unique_id]], "_", " ")))</f>
        <v>Broken Laundry Vacuum Charger Plug</v>
      </c>
      <c r="G381" s="54" t="s">
        <v>228</v>
      </c>
      <c r="H381" s="54" t="s">
        <v>508</v>
      </c>
      <c r="I381" s="54" t="s">
        <v>273</v>
      </c>
      <c r="M381" s="54" t="s">
        <v>255</v>
      </c>
      <c r="O381" s="57" t="s">
        <v>754</v>
      </c>
      <c r="P381" s="54" t="s">
        <v>164</v>
      </c>
      <c r="Q381" s="54" t="s">
        <v>726</v>
      </c>
      <c r="R381" s="54" t="s">
        <v>508</v>
      </c>
      <c r="S381" s="54" t="str">
        <f>Table2[[#This Row],[friendly_name]]</f>
        <v>Vacuum Charger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253</v>
      </c>
      <c r="AG381" s="57"/>
      <c r="AH381" s="57"/>
      <c r="AT381" s="58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Laundry</v>
      </c>
      <c r="BB381" s="54" t="s">
        <v>228</v>
      </c>
      <c r="BC381" s="59" t="s">
        <v>342</v>
      </c>
      <c r="BD381" s="54" t="s">
        <v>231</v>
      </c>
      <c r="BF381" s="54" t="s">
        <v>343</v>
      </c>
      <c r="BG381" s="54" t="s">
        <v>211</v>
      </c>
      <c r="BJ381" s="54" t="s">
        <v>943</v>
      </c>
      <c r="BK381" s="54" t="s">
        <v>1209</v>
      </c>
      <c r="BL381" s="54" t="s">
        <v>324</v>
      </c>
      <c r="BM381" s="54" t="s">
        <v>1253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1362</v>
      </c>
      <c r="F382" s="56" t="str">
        <f>IF(ISBLANK(Table2[[#This Row],[unique_id]]), "", PROPER(SUBSTITUTE(Table2[[#This Row],[unique_id]], "_", " ")))</f>
        <v>Broken Template Ada Tablet Plug Proxy</v>
      </c>
      <c r="G382" s="54" t="s">
        <v>787</v>
      </c>
      <c r="H382" s="54" t="s">
        <v>508</v>
      </c>
      <c r="I382" s="54" t="s">
        <v>273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1363</v>
      </c>
      <c r="F383" s="56" t="str">
        <f>IF(ISBLANK(Table2[[#This Row],[unique_id]]), "", PROPER(SUBSTITUTE(Table2[[#This Row],[unique_id]], "_", " ")))</f>
        <v>Broken Ada Tablet Plug</v>
      </c>
      <c r="G383" s="54" t="s">
        <v>787</v>
      </c>
      <c r="H383" s="54" t="s">
        <v>508</v>
      </c>
      <c r="I383" s="54" t="s">
        <v>273</v>
      </c>
      <c r="M383" s="54" t="s">
        <v>255</v>
      </c>
      <c r="O383" s="57" t="s">
        <v>754</v>
      </c>
      <c r="P383" s="54" t="s">
        <v>164</v>
      </c>
      <c r="Q383" s="54" t="s">
        <v>726</v>
      </c>
      <c r="R383" s="60" t="s">
        <v>711</v>
      </c>
      <c r="S383" s="54" t="str">
        <f>Table2[[#This Row],[friendly_name]]</f>
        <v>Ada Tablet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788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Lounge</v>
      </c>
      <c r="BB383" s="54" t="s">
        <v>787</v>
      </c>
      <c r="BC383" s="59" t="s">
        <v>342</v>
      </c>
      <c r="BD383" s="54" t="s">
        <v>231</v>
      </c>
      <c r="BF383" s="54" t="s">
        <v>343</v>
      </c>
      <c r="BG383" s="54" t="s">
        <v>192</v>
      </c>
      <c r="BJ383" s="54" t="s">
        <v>942</v>
      </c>
      <c r="BK383" s="54" t="s">
        <v>1209</v>
      </c>
      <c r="BL383" s="54" t="s">
        <v>766</v>
      </c>
      <c r="BM383" s="54" t="s">
        <v>1254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6" s="54" customFormat="1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593</v>
      </c>
      <c r="F384" s="36" t="str">
        <f>IF(ISBLANK(Table2[[#This Row],[unique_id]]), "", PROPER(SUBSTITUTE(Table2[[#This Row],[unique_id]], "_", " ")))</f>
        <v>Deck Fans Outlet</v>
      </c>
      <c r="G384" s="30" t="s">
        <v>596</v>
      </c>
      <c r="H384" s="30" t="s">
        <v>508</v>
      </c>
      <c r="I384" s="30" t="s">
        <v>273</v>
      </c>
      <c r="J384" s="30"/>
      <c r="K384" s="30"/>
      <c r="L384" s="30"/>
      <c r="M384" s="30" t="s">
        <v>255</v>
      </c>
      <c r="N384" s="30"/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D384" s="30"/>
      <c r="AE384" s="30" t="s">
        <v>249</v>
      </c>
      <c r="AF384" s="30"/>
      <c r="AG384" s="31"/>
      <c r="AH384" s="31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Deck</v>
      </c>
      <c r="BA384" s="30" t="str">
        <f>IF(ISBLANK(Table2[[#This Row],[device_model]]), "", Table2[[#This Row],[device_suggested_area]])</f>
        <v>Deck</v>
      </c>
      <c r="BB384" s="37" t="s">
        <v>980</v>
      </c>
      <c r="BC384" s="37" t="s">
        <v>598</v>
      </c>
      <c r="BD384" s="30" t="s">
        <v>359</v>
      </c>
      <c r="BE384" s="30"/>
      <c r="BF384" s="37" t="s">
        <v>599</v>
      </c>
      <c r="BG384" s="30" t="s">
        <v>339</v>
      </c>
      <c r="BH384" s="30"/>
      <c r="BI384" s="30"/>
      <c r="BJ384" s="30"/>
      <c r="BK384" s="30"/>
      <c r="BL384" s="30" t="s">
        <v>600</v>
      </c>
      <c r="BM384" s="30"/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594</v>
      </c>
      <c r="F385" s="36" t="str">
        <f>IF(ISBLANK(Table2[[#This Row],[unique_id]]), "", PROPER(SUBSTITUTE(Table2[[#This Row],[unique_id]], "_", " ")))</f>
        <v>Kitchen Fan Outlet</v>
      </c>
      <c r="G385" s="30" t="s">
        <v>595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31"/>
      <c r="AA385" s="31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Kitchen</v>
      </c>
      <c r="BA385" s="30" t="str">
        <f>IF(ISBLANK(Table2[[#This Row],[device_model]]), "", Table2[[#This Row],[device_suggested_area]])</f>
        <v>Kitchen</v>
      </c>
      <c r="BB385" s="37" t="s">
        <v>981</v>
      </c>
      <c r="BC385" s="37" t="s">
        <v>598</v>
      </c>
      <c r="BD385" s="30" t="s">
        <v>359</v>
      </c>
      <c r="BF385" s="37" t="s">
        <v>599</v>
      </c>
      <c r="BG385" s="30" t="s">
        <v>204</v>
      </c>
      <c r="BL385" s="30" t="s">
        <v>601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1458</v>
      </c>
      <c r="F386" s="36" t="str">
        <f>IF(ISBLANK(Table2[[#This Row],[unique_id]]), "", PROPER(SUBSTITUTE(Table2[[#This Row],[unique_id]], "_", " ")))</f>
        <v>Ada Desk Outlet</v>
      </c>
      <c r="G386" s="30" t="s">
        <v>1457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Ada</v>
      </c>
      <c r="BA386" s="30" t="str">
        <f>IF(ISBLANK(Table2[[#This Row],[device_model]]), "", Table2[[#This Row],[device_suggested_area]])</f>
        <v>Ada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129</v>
      </c>
      <c r="BL386" s="30" t="s">
        <v>1459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6" ht="16" customHeight="1" x14ac:dyDescent="0.2">
      <c r="A387" s="30">
        <v>2605</v>
      </c>
      <c r="B387" s="30" t="s">
        <v>26</v>
      </c>
      <c r="C387" s="30" t="s">
        <v>359</v>
      </c>
      <c r="D387" s="30" t="s">
        <v>133</v>
      </c>
      <c r="E387" s="39" t="s">
        <v>1446</v>
      </c>
      <c r="F387" s="36" t="str">
        <f>IF(ISBLANK(Table2[[#This Row],[unique_id]]), "", PROPER(SUBSTITUTE(Table2[[#This Row],[unique_id]], "_", " ")))</f>
        <v>Edwin Desk Outlet</v>
      </c>
      <c r="G387" s="30" t="s">
        <v>1445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">
        <v>785</v>
      </c>
      <c r="T387" s="37" t="s">
        <v>784</v>
      </c>
      <c r="U387" s="30"/>
      <c r="V387" s="31"/>
      <c r="W387" s="31" t="s">
        <v>471</v>
      </c>
      <c r="X387" s="31"/>
      <c r="Y387" s="42" t="s">
        <v>723</v>
      </c>
      <c r="Z387" s="42"/>
      <c r="AA387" s="42"/>
      <c r="AB387" s="30"/>
      <c r="AC387" s="30"/>
      <c r="AE387" s="30" t="s">
        <v>249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1447</v>
      </c>
      <c r="BC387" s="37" t="s">
        <v>598</v>
      </c>
      <c r="BD387" s="30" t="s">
        <v>359</v>
      </c>
      <c r="BF387" s="37" t="s">
        <v>599</v>
      </c>
      <c r="BG387" s="30" t="s">
        <v>126</v>
      </c>
      <c r="BL387" s="30" t="s">
        <v>597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ht="16" customHeight="1" x14ac:dyDescent="0.2">
      <c r="A388" s="30">
        <v>2606</v>
      </c>
      <c r="B388" s="54" t="s">
        <v>561</v>
      </c>
      <c r="C388" s="54" t="s">
        <v>774</v>
      </c>
      <c r="D388" s="54" t="s">
        <v>147</v>
      </c>
      <c r="E388" s="55" t="s">
        <v>1387</v>
      </c>
      <c r="F388" s="56" t="str">
        <f>IF(ISBLANK(Table2[[#This Row],[unique_id]]), "", PROPER(SUBSTITUTE(Table2[[#This Row],[unique_id]], "_", " ")))</f>
        <v>Broken Template Server May Plug Proxy</v>
      </c>
      <c r="G388" s="54" t="s">
        <v>1388</v>
      </c>
      <c r="H388" s="54" t="s">
        <v>508</v>
      </c>
      <c r="I388" s="54" t="s">
        <v>273</v>
      </c>
      <c r="J388" s="54"/>
      <c r="K388" s="54"/>
      <c r="L388" s="54"/>
      <c r="M388" s="54"/>
      <c r="N388" s="54"/>
      <c r="O388" s="57" t="s">
        <v>754</v>
      </c>
      <c r="P388" s="54"/>
      <c r="Q388" s="54"/>
      <c r="R388" s="54" t="s">
        <v>767</v>
      </c>
      <c r="S388" s="54" t="str">
        <f>Table2[[#This Row],[friendly_name]]</f>
        <v>Server May</v>
      </c>
      <c r="T388" s="55" t="s">
        <v>1032</v>
      </c>
      <c r="U388" s="54"/>
      <c r="V388" s="57"/>
      <c r="W388" s="57"/>
      <c r="X388" s="57"/>
      <c r="Y388" s="57"/>
      <c r="Z388" s="57"/>
      <c r="AA388" s="57"/>
      <c r="AB388" s="54"/>
      <c r="AC388" s="54"/>
      <c r="AD388" s="54"/>
      <c r="AE388" s="54"/>
      <c r="AF388" s="54"/>
      <c r="AG388" s="57"/>
      <c r="AH388" s="57"/>
      <c r="AI388" s="54"/>
      <c r="AJ388" s="54"/>
      <c r="AK388" s="54"/>
      <c r="AL388" s="54"/>
      <c r="AM388" s="54"/>
      <c r="AN388" s="54"/>
      <c r="AO388" s="54"/>
      <c r="AP388" s="54"/>
      <c r="AQ388" s="54"/>
      <c r="AR388" s="59"/>
      <c r="AS388" s="54"/>
      <c r="AT388" s="61"/>
      <c r="AU388" s="54" t="s">
        <v>133</v>
      </c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54"/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E388" s="54"/>
      <c r="BF388" s="54" t="s">
        <v>343</v>
      </c>
      <c r="BG388" s="54" t="s">
        <v>28</v>
      </c>
      <c r="BH388" s="54"/>
      <c r="BI388" s="54"/>
      <c r="BJ388" s="54"/>
      <c r="BK388" s="54"/>
      <c r="BL388" s="54"/>
      <c r="BM388" s="54"/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231</v>
      </c>
      <c r="D389" s="54" t="s">
        <v>133</v>
      </c>
      <c r="E389" s="54" t="s">
        <v>1389</v>
      </c>
      <c r="F389" s="56" t="str">
        <f>IF(ISBLANK(Table2[[#This Row],[unique_id]]), "", PROPER(SUBSTITUTE(Table2[[#This Row],[unique_id]], "_", " ")))</f>
        <v>Broken Server May Plug</v>
      </c>
      <c r="G389" s="54" t="s">
        <v>1388</v>
      </c>
      <c r="H389" s="54" t="s">
        <v>508</v>
      </c>
      <c r="I389" s="54" t="s">
        <v>273</v>
      </c>
      <c r="M389" s="54" t="s">
        <v>255</v>
      </c>
      <c r="O389" s="57" t="s">
        <v>754</v>
      </c>
      <c r="R389" s="54" t="s">
        <v>767</v>
      </c>
      <c r="S389" s="54" t="str">
        <f>Table2[[#This Row],[friendly_name]]</f>
        <v>Server May</v>
      </c>
      <c r="T389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7"/>
      <c r="W389" s="57"/>
      <c r="X389" s="57"/>
      <c r="Y389" s="57"/>
      <c r="Z389" s="57"/>
      <c r="AA389" s="57"/>
      <c r="AE389" s="54" t="s">
        <v>250</v>
      </c>
      <c r="AG389" s="57"/>
      <c r="AH389" s="57"/>
      <c r="AR389" s="59"/>
      <c r="AT389" s="61"/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1392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J389" s="54" t="s">
        <v>943</v>
      </c>
      <c r="BK389" s="54" t="s">
        <v>1209</v>
      </c>
      <c r="BL389" s="54" t="s">
        <v>770</v>
      </c>
      <c r="BM389" s="54" t="s">
        <v>1255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774</v>
      </c>
      <c r="D390" s="54" t="s">
        <v>147</v>
      </c>
      <c r="E390" s="55" t="s">
        <v>1364</v>
      </c>
      <c r="F390" s="56" t="str">
        <f>IF(ISBLANK(Table2[[#This Row],[unique_id]]), "", PROPER(SUBSTITUTE(Table2[[#This Row],[unique_id]], "_", " ")))</f>
        <v>Broken Template Server Meg Plug Proxy</v>
      </c>
      <c r="G390" s="59" t="s">
        <v>771</v>
      </c>
      <c r="H390" s="54" t="s">
        <v>508</v>
      </c>
      <c r="I390" s="54" t="s">
        <v>273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">
        <v>1032</v>
      </c>
      <c r="V390" s="57"/>
      <c r="W390" s="57"/>
      <c r="X390" s="57"/>
      <c r="Y390" s="57"/>
      <c r="Z390" s="57"/>
      <c r="AA390" s="57"/>
      <c r="AG390" s="57"/>
      <c r="AH390" s="57"/>
      <c r="AR390" s="59"/>
      <c r="AT390" s="61"/>
      <c r="AU390" s="54" t="s">
        <v>133</v>
      </c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4" customFormat="1" ht="16" customHeight="1" x14ac:dyDescent="0.2">
      <c r="A391" s="30">
        <v>2609</v>
      </c>
      <c r="B391" s="54" t="s">
        <v>561</v>
      </c>
      <c r="C391" s="54" t="s">
        <v>231</v>
      </c>
      <c r="D391" s="54" t="s">
        <v>133</v>
      </c>
      <c r="E391" s="54" t="s">
        <v>1365</v>
      </c>
      <c r="F391" s="56" t="str">
        <f>IF(ISBLANK(Table2[[#This Row],[unique_id]]), "", PROPER(SUBSTITUTE(Table2[[#This Row],[unique_id]], "_", " ")))</f>
        <v>Broken Server Meg Plug</v>
      </c>
      <c r="G391" s="59" t="s">
        <v>771</v>
      </c>
      <c r="H391" s="54" t="s">
        <v>508</v>
      </c>
      <c r="I391" s="54" t="s">
        <v>273</v>
      </c>
      <c r="M391" s="54" t="s">
        <v>255</v>
      </c>
      <c r="O391" s="57" t="s">
        <v>754</v>
      </c>
      <c r="R391" s="54" t="s">
        <v>767</v>
      </c>
      <c r="S391" s="54" t="str">
        <f>Table2[[#This Row],[friendly_name]]</f>
        <v>Server Meg</v>
      </c>
      <c r="T391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7"/>
      <c r="W391" s="57"/>
      <c r="X391" s="57"/>
      <c r="Y391" s="57"/>
      <c r="Z391" s="57"/>
      <c r="AA391" s="57"/>
      <c r="AE391" s="54" t="s">
        <v>250</v>
      </c>
      <c r="AG391" s="57"/>
      <c r="AH391" s="57"/>
      <c r="AR391" s="59"/>
      <c r="AT391" s="61"/>
      <c r="AV39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4" t="str">
        <f>IF(ISBLANK(Table2[[#This Row],[device_model]]), "", Table2[[#This Row],[device_suggested_area]])</f>
        <v>Rack</v>
      </c>
      <c r="BB391" s="54" t="s">
        <v>1025</v>
      </c>
      <c r="BC391" s="59" t="s">
        <v>342</v>
      </c>
      <c r="BD391" s="54" t="s">
        <v>231</v>
      </c>
      <c r="BF391" s="54" t="s">
        <v>343</v>
      </c>
      <c r="BG391" s="54" t="s">
        <v>28</v>
      </c>
      <c r="BJ391" s="54" t="s">
        <v>943</v>
      </c>
      <c r="BK391" s="54" t="s">
        <v>1209</v>
      </c>
      <c r="BL391" s="54" t="s">
        <v>769</v>
      </c>
      <c r="BM391" s="54" t="s">
        <v>1256</v>
      </c>
      <c r="BN39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s="54" customFormat="1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1395</v>
      </c>
      <c r="F392" s="36" t="str">
        <f>IF(ISBLANK(Table2[[#This Row],[unique_id]]), "", PROPER(SUBSTITUTE(Table2[[#This Row],[unique_id]], "_", " ")))</f>
        <v>Template Server Jen Plug Proxy</v>
      </c>
      <c r="G392" s="30" t="s">
        <v>1399</v>
      </c>
      <c r="H392" s="30" t="s">
        <v>508</v>
      </c>
      <c r="I392" s="30" t="s">
        <v>273</v>
      </c>
      <c r="J392" s="30"/>
      <c r="K392" s="30"/>
      <c r="L392" s="30"/>
      <c r="M392" s="30"/>
      <c r="N392" s="30"/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D392" s="30"/>
      <c r="AE392" s="30"/>
      <c r="AF392" s="30"/>
      <c r="AG392" s="31"/>
      <c r="AH392" s="31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/>
      <c r="BA392" s="30" t="s">
        <v>477</v>
      </c>
      <c r="BB392" s="30" t="s">
        <v>1400</v>
      </c>
      <c r="BC392" s="30" t="s">
        <v>341</v>
      </c>
      <c r="BD392" s="30" t="s">
        <v>231</v>
      </c>
      <c r="BE392" s="30"/>
      <c r="BF392" s="30" t="s">
        <v>344</v>
      </c>
      <c r="BG392" s="30" t="s">
        <v>477</v>
      </c>
      <c r="BH392" s="30"/>
      <c r="BI392" s="30"/>
      <c r="BJ392" s="30"/>
      <c r="BK392" s="30"/>
      <c r="BL392" s="30"/>
      <c r="BM392" s="30"/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231</v>
      </c>
      <c r="D393" s="30" t="s">
        <v>133</v>
      </c>
      <c r="E393" s="30" t="s">
        <v>1396</v>
      </c>
      <c r="F393" s="36" t="str">
        <f>IF(ISBLANK(Table2[[#This Row],[unique_id]]), "", PROPER(SUBSTITUTE(Table2[[#This Row],[unique_id]], "_", " ")))</f>
        <v>Server Jen Plug</v>
      </c>
      <c r="G393" s="30" t="s">
        <v>1399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250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477</v>
      </c>
      <c r="BB393" s="30" t="s">
        <v>1400</v>
      </c>
      <c r="BC393" s="30" t="s">
        <v>341</v>
      </c>
      <c r="BD393" s="30" t="s">
        <v>231</v>
      </c>
      <c r="BF393" s="30" t="s">
        <v>344</v>
      </c>
      <c r="BG393" s="30" t="s">
        <v>477</v>
      </c>
      <c r="BJ393" s="30" t="s">
        <v>943</v>
      </c>
      <c r="BK393" s="30" t="s">
        <v>1209</v>
      </c>
      <c r="BL393" s="30" t="s">
        <v>330</v>
      </c>
      <c r="BM393" s="30" t="s">
        <v>1257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2612</v>
      </c>
      <c r="B394" s="30" t="s">
        <v>26</v>
      </c>
      <c r="C394" s="30" t="s">
        <v>774</v>
      </c>
      <c r="D394" s="30" t="s">
        <v>147</v>
      </c>
      <c r="E394" s="37" t="s">
        <v>933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220</v>
      </c>
      <c r="H394" s="30" t="s">
        <v>508</v>
      </c>
      <c r="I394" s="30" t="s">
        <v>273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">
        <v>1034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133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133</v>
      </c>
      <c r="E395" s="30" t="s">
        <v>804</v>
      </c>
      <c r="F395" s="36" t="str">
        <f>IF(ISBLANK(Table2[[#This Row],[unique_id]]), "", PROPER(SUBSTITUTE(Table2[[#This Row],[unique_id]], "_", " ")))</f>
        <v>Rack Outlet Plug</v>
      </c>
      <c r="G395" s="30" t="s">
        <v>220</v>
      </c>
      <c r="H395" s="30" t="s">
        <v>508</v>
      </c>
      <c r="I395" s="30" t="s">
        <v>273</v>
      </c>
      <c r="M395" s="30" t="s">
        <v>255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1529</v>
      </c>
      <c r="AB395" s="30"/>
      <c r="AC395" s="30"/>
      <c r="AE395" s="30" t="s">
        <v>250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936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K395" s="30" t="s">
        <v>1209</v>
      </c>
      <c r="BL395" s="30" t="s">
        <v>880</v>
      </c>
      <c r="BM395" s="30" t="s">
        <v>1259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934</v>
      </c>
      <c r="F396" s="36" t="str">
        <f>IF(ISBLANK(Table2[[#This Row],[unique_id]]), "", PROPER(SUBSTITUTE(Table2[[#This Row],[unique_id]], "_", " ")))</f>
        <v>Rack Outlet Plug Energy Power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309</v>
      </c>
      <c r="AD396" s="30" t="s">
        <v>864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1068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676</v>
      </c>
      <c r="D397" s="30" t="s">
        <v>27</v>
      </c>
      <c r="E397" s="30" t="s">
        <v>935</v>
      </c>
      <c r="F397" s="36" t="str">
        <f>IF(ISBLANK(Table2[[#This Row],[unique_id]]), "", PROPER(SUBSTITUTE(Table2[[#This Row],[unique_id]], "_", " ")))</f>
        <v>Rack Outlet Plug Energy Total</v>
      </c>
      <c r="G397" s="30" t="s">
        <v>220</v>
      </c>
      <c r="H397" s="30" t="s">
        <v>508</v>
      </c>
      <c r="I397" s="30" t="s">
        <v>273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310</v>
      </c>
      <c r="AD397" s="30" t="s">
        <v>865</v>
      </c>
      <c r="AF397" s="30">
        <v>10</v>
      </c>
      <c r="AG397" s="31" t="s">
        <v>34</v>
      </c>
      <c r="AH397" s="31" t="s">
        <v>863</v>
      </c>
      <c r="AI397" s="30" t="s">
        <v>804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882</v>
      </c>
      <c r="AO397" s="30" t="s">
        <v>883</v>
      </c>
      <c r="AP397" s="30" t="s">
        <v>872</v>
      </c>
      <c r="AQ397" s="30" t="s">
        <v>873</v>
      </c>
      <c r="AR397" s="30" t="s">
        <v>1069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984</v>
      </c>
      <c r="BC397" s="30" t="s">
        <v>881</v>
      </c>
      <c r="BD397" s="30" t="s">
        <v>1072</v>
      </c>
      <c r="BF397" s="30" t="s">
        <v>853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774</v>
      </c>
      <c r="D398" s="30" t="s">
        <v>147</v>
      </c>
      <c r="E398" s="37" t="s">
        <v>1059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1379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">
        <v>1034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133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133</v>
      </c>
      <c r="E399" s="30" t="s">
        <v>1060</v>
      </c>
      <c r="F399" s="36" t="str">
        <f>IF(ISBLANK(Table2[[#This Row],[unique_id]]), "", PROPER(SUBSTITUTE(Table2[[#This Row],[unique_id]], "_", " ")))</f>
        <v>Ceiling Network Switch Plug</v>
      </c>
      <c r="G399" s="30" t="s">
        <v>1379</v>
      </c>
      <c r="H399" s="30" t="s">
        <v>508</v>
      </c>
      <c r="I399" s="30" t="s">
        <v>273</v>
      </c>
      <c r="M399" s="30" t="s">
        <v>255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1530</v>
      </c>
      <c r="AB399" s="30"/>
      <c r="AC399" s="30"/>
      <c r="AE399" s="30" t="s">
        <v>251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936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K399" s="30" t="s">
        <v>1209</v>
      </c>
      <c r="BL399" s="41" t="s">
        <v>945</v>
      </c>
      <c r="BM399" s="30" t="s">
        <v>1261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1061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309</v>
      </c>
      <c r="AD400" s="30" t="s">
        <v>864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1068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676</v>
      </c>
      <c r="D401" s="30" t="s">
        <v>27</v>
      </c>
      <c r="E401" s="30" t="s">
        <v>1062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1379</v>
      </c>
      <c r="H401" s="30" t="s">
        <v>508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310</v>
      </c>
      <c r="AD401" s="30" t="s">
        <v>865</v>
      </c>
      <c r="AF401" s="30">
        <v>10</v>
      </c>
      <c r="AG401" s="31" t="s">
        <v>34</v>
      </c>
      <c r="AH401" s="31" t="s">
        <v>863</v>
      </c>
      <c r="AI401" s="30" t="s">
        <v>1060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882</v>
      </c>
      <c r="AO401" s="30" t="s">
        <v>883</v>
      </c>
      <c r="AP401" s="30" t="s">
        <v>872</v>
      </c>
      <c r="AQ401" s="30" t="s">
        <v>873</v>
      </c>
      <c r="AR401" s="30" t="s">
        <v>1069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218</v>
      </c>
      <c r="BC401" s="30" t="s">
        <v>881</v>
      </c>
      <c r="BD401" s="30" t="s">
        <v>1072</v>
      </c>
      <c r="BF401" s="30" t="s">
        <v>853</v>
      </c>
      <c r="BG401" s="30" t="s">
        <v>385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54" t="s">
        <v>561</v>
      </c>
      <c r="C402" s="54" t="s">
        <v>774</v>
      </c>
      <c r="D402" s="54" t="s">
        <v>147</v>
      </c>
      <c r="E402" s="55" t="s">
        <v>1366</v>
      </c>
      <c r="F402" s="56" t="str">
        <f>IF(ISBLANK(Table2[[#This Row],[unique_id]]), "", PROPER(SUBSTITUTE(Table2[[#This Row],[unique_id]], "_", " ")))</f>
        <v>Broken Template Rack Internet Modem Plug Proxy</v>
      </c>
      <c r="G402" s="54" t="s">
        <v>219</v>
      </c>
      <c r="H402" s="54" t="s">
        <v>508</v>
      </c>
      <c r="I402" s="54" t="s">
        <v>273</v>
      </c>
      <c r="J402" s="54"/>
      <c r="K402" s="54"/>
      <c r="L402" s="54"/>
      <c r="M402" s="54"/>
      <c r="N402" s="54"/>
      <c r="O402" s="57" t="s">
        <v>754</v>
      </c>
      <c r="P402" s="54"/>
      <c r="Q402" s="54"/>
      <c r="R402" s="54" t="s">
        <v>768</v>
      </c>
      <c r="S402" s="54" t="str">
        <f>Table2[[#This Row],[friendly_name]]</f>
        <v>Internet Modem</v>
      </c>
      <c r="T402" s="55" t="s">
        <v>1032</v>
      </c>
      <c r="U402" s="54"/>
      <c r="V402" s="57"/>
      <c r="W402" s="57"/>
      <c r="X402" s="57"/>
      <c r="Y402" s="57"/>
      <c r="Z402" s="57"/>
      <c r="AA402" s="57"/>
      <c r="AB402" s="54"/>
      <c r="AC402" s="54"/>
      <c r="AD402" s="54"/>
      <c r="AE402" s="54"/>
      <c r="AF402" s="54"/>
      <c r="AG402" s="57"/>
      <c r="AH402" s="57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8"/>
      <c r="AU402" s="54" t="s">
        <v>133</v>
      </c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54"/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E402" s="54"/>
      <c r="BF402" s="54" t="s">
        <v>343</v>
      </c>
      <c r="BG402" s="54" t="s">
        <v>28</v>
      </c>
      <c r="BH402" s="54"/>
      <c r="BI402" s="54"/>
      <c r="BJ402" s="54"/>
      <c r="BK402" s="54"/>
      <c r="BL402" s="54"/>
      <c r="BM402" s="54"/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4" customFormat="1" ht="16" customHeight="1" x14ac:dyDescent="0.2">
      <c r="A403" s="30">
        <v>2621</v>
      </c>
      <c r="B403" s="54" t="s">
        <v>561</v>
      </c>
      <c r="C403" s="54" t="s">
        <v>231</v>
      </c>
      <c r="D403" s="54" t="s">
        <v>133</v>
      </c>
      <c r="E403" s="54" t="s">
        <v>1367</v>
      </c>
      <c r="F403" s="56" t="str">
        <f>IF(ISBLANK(Table2[[#This Row],[unique_id]]), "", PROPER(SUBSTITUTE(Table2[[#This Row],[unique_id]], "_", " ")))</f>
        <v>Broken Rack Internet Modem Plug</v>
      </c>
      <c r="G403" s="54" t="s">
        <v>219</v>
      </c>
      <c r="H403" s="54" t="s">
        <v>508</v>
      </c>
      <c r="I403" s="54" t="s">
        <v>273</v>
      </c>
      <c r="M403" s="54" t="s">
        <v>255</v>
      </c>
      <c r="O403" s="57" t="s">
        <v>754</v>
      </c>
      <c r="R403" s="54" t="s">
        <v>768</v>
      </c>
      <c r="S403" s="54" t="str">
        <f>Table2[[#This Row],[friendly_name]]</f>
        <v>Internet Modem</v>
      </c>
      <c r="T403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7"/>
      <c r="W403" s="57"/>
      <c r="X403" s="57"/>
      <c r="Y403" s="57"/>
      <c r="Z403" s="57"/>
      <c r="AA403" s="57"/>
      <c r="AE403" s="54" t="s">
        <v>252</v>
      </c>
      <c r="AG403" s="57"/>
      <c r="AH403" s="57"/>
      <c r="AT403" s="58"/>
      <c r="AV40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4" t="str">
        <f>IF(ISBLANK(Table2[[#This Row],[device_model]]), "", Table2[[#This Row],[device_suggested_area]])</f>
        <v>Rack</v>
      </c>
      <c r="BB403" s="54" t="s">
        <v>989</v>
      </c>
      <c r="BC403" s="59" t="s">
        <v>342</v>
      </c>
      <c r="BD403" s="54" t="s">
        <v>231</v>
      </c>
      <c r="BF403" s="54" t="s">
        <v>343</v>
      </c>
      <c r="BG403" s="54" t="s">
        <v>28</v>
      </c>
      <c r="BJ403" s="54" t="s">
        <v>942</v>
      </c>
      <c r="BK403" s="54" t="s">
        <v>1209</v>
      </c>
      <c r="BL403" s="54" t="s">
        <v>336</v>
      </c>
      <c r="BM403" s="54" t="s">
        <v>1262</v>
      </c>
      <c r="BN40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s="54" customFormat="1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780</v>
      </c>
      <c r="F404" s="36" t="str">
        <f>IF(ISBLANK(Table2[[#This Row],[unique_id]]), "", PROPER(SUBSTITUTE(Table2[[#This Row],[unique_id]], "_", " ")))</f>
        <v>Garden Repeater Linkquality</v>
      </c>
      <c r="G404" s="30" t="s">
        <v>680</v>
      </c>
      <c r="H404" s="30" t="s">
        <v>508</v>
      </c>
      <c r="I404" s="30" t="s">
        <v>273</v>
      </c>
      <c r="J404" s="30"/>
      <c r="K404" s="30"/>
      <c r="L404" s="30"/>
      <c r="M404" s="30"/>
      <c r="N404" s="30"/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D404" s="30"/>
      <c r="AE404" s="30"/>
      <c r="AF404" s="30"/>
      <c r="AG404" s="31"/>
      <c r="AH404" s="31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954</v>
      </c>
      <c r="BC404" s="39" t="s">
        <v>678</v>
      </c>
      <c r="BD404" s="30" t="s">
        <v>432</v>
      </c>
      <c r="BE404" s="30"/>
      <c r="BF404" s="30" t="s">
        <v>677</v>
      </c>
      <c r="BG404" s="30" t="s">
        <v>558</v>
      </c>
      <c r="BH404" s="30"/>
      <c r="BI404" s="30"/>
      <c r="BJ404" s="30"/>
      <c r="BK404" s="30"/>
      <c r="BL404" s="30" t="s">
        <v>679</v>
      </c>
      <c r="BM404" s="30"/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781</v>
      </c>
      <c r="F405" s="36" t="str">
        <f>IF(ISBLANK(Table2[[#This Row],[unique_id]]), "", PROPER(SUBSTITUTE(Table2[[#This Row],[unique_id]], "_", " ")))</f>
        <v>Landing Repeater Linkquality</v>
      </c>
      <c r="G405" s="30" t="s">
        <v>682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541</v>
      </c>
      <c r="BL405" s="30" t="s">
        <v>684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2624</v>
      </c>
      <c r="B406" s="30" t="s">
        <v>26</v>
      </c>
      <c r="C406" s="30" t="s">
        <v>432</v>
      </c>
      <c r="D406" s="30" t="s">
        <v>27</v>
      </c>
      <c r="E406" s="30" t="s">
        <v>782</v>
      </c>
      <c r="F406" s="36" t="str">
        <f>IF(ISBLANK(Table2[[#This Row],[unique_id]]), "", PROPER(SUBSTITUTE(Table2[[#This Row],[unique_id]], "_", " ")))</f>
        <v>Driveway Repeater Linkquality</v>
      </c>
      <c r="G406" s="30" t="s">
        <v>681</v>
      </c>
      <c r="H406" s="30" t="s">
        <v>508</v>
      </c>
      <c r="I406" s="30" t="s">
        <v>273</v>
      </c>
      <c r="O406" s="31" t="s">
        <v>754</v>
      </c>
      <c r="P406" s="30" t="s">
        <v>164</v>
      </c>
      <c r="Q406" s="30" t="s">
        <v>726</v>
      </c>
      <c r="R406" s="30" t="s">
        <v>728</v>
      </c>
      <c r="S406" s="30" t="s">
        <v>785</v>
      </c>
      <c r="T406" s="37" t="s">
        <v>783</v>
      </c>
      <c r="U406" s="30"/>
      <c r="V406" s="31"/>
      <c r="W406" s="31" t="s">
        <v>471</v>
      </c>
      <c r="X406" s="31"/>
      <c r="Y406" s="42" t="s">
        <v>723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954</v>
      </c>
      <c r="BC406" s="39" t="s">
        <v>678</v>
      </c>
      <c r="BD406" s="30" t="s">
        <v>432</v>
      </c>
      <c r="BF406" s="30" t="s">
        <v>677</v>
      </c>
      <c r="BG406" s="30" t="s">
        <v>683</v>
      </c>
      <c r="BL406" s="30" t="s">
        <v>685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0" t="s">
        <v>852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756</v>
      </c>
      <c r="H407" s="30" t="s">
        <v>526</v>
      </c>
      <c r="I407" s="30" t="s">
        <v>273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513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129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507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203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514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390</v>
      </c>
      <c r="H410" s="30" t="s">
        <v>526</v>
      </c>
      <c r="I410" s="30" t="s">
        <v>273</v>
      </c>
      <c r="J410" s="30" t="s">
        <v>525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126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515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198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836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821</v>
      </c>
      <c r="H412" s="30" t="s">
        <v>526</v>
      </c>
      <c r="I412" s="30" t="s">
        <v>273</v>
      </c>
      <c r="J412" s="30" t="s">
        <v>837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386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516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137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517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205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568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1451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538</v>
      </c>
      <c r="H416" s="30" t="s">
        <v>526</v>
      </c>
      <c r="I416" s="30" t="s">
        <v>273</v>
      </c>
      <c r="J416" s="30" t="s">
        <v>512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164</v>
      </c>
      <c r="BI416" s="30" t="s">
        <v>668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518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194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838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830</v>
      </c>
      <c r="H418" s="30" t="s">
        <v>526</v>
      </c>
      <c r="I418" s="30" t="s">
        <v>273</v>
      </c>
      <c r="J418" s="30" t="s">
        <v>840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839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831</v>
      </c>
      <c r="H419" s="30" t="s">
        <v>526</v>
      </c>
      <c r="I419" s="30" t="s">
        <v>273</v>
      </c>
      <c r="J419" s="30" t="s">
        <v>841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842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708</v>
      </c>
      <c r="H420" s="30" t="s">
        <v>526</v>
      </c>
      <c r="I420" s="30" t="s">
        <v>273</v>
      </c>
      <c r="J420" s="30" t="s">
        <v>512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338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519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200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204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520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202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211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521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201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534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197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522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196</v>
      </c>
      <c r="H425" s="30" t="s">
        <v>526</v>
      </c>
      <c r="I425" s="30" t="s">
        <v>273</v>
      </c>
      <c r="J425" s="30" t="s">
        <v>533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843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827</v>
      </c>
      <c r="H426" s="30" t="s">
        <v>526</v>
      </c>
      <c r="I426" s="30" t="s">
        <v>273</v>
      </c>
      <c r="J426" s="30" t="s">
        <v>837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340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523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195</v>
      </c>
      <c r="H427" s="30" t="s">
        <v>526</v>
      </c>
      <c r="I427" s="30" t="s">
        <v>273</v>
      </c>
      <c r="J427" s="30" t="s">
        <v>533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844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810</v>
      </c>
      <c r="H428" s="30" t="s">
        <v>526</v>
      </c>
      <c r="I428" s="30" t="s">
        <v>273</v>
      </c>
      <c r="J428" s="30" t="s">
        <v>837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376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292</v>
      </c>
      <c r="E429" s="36" t="s">
        <v>524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199</v>
      </c>
      <c r="H429" s="30" t="s">
        <v>526</v>
      </c>
      <c r="I429" s="30" t="s">
        <v>273</v>
      </c>
      <c r="J429" s="30" t="s">
        <v>533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274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477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149</v>
      </c>
      <c r="D430" s="30" t="s">
        <v>587</v>
      </c>
      <c r="E430" s="30" t="s">
        <v>1275</v>
      </c>
      <c r="F430" s="36" t="str">
        <f>IF(ISBLANK(Table2[[#This Row],[unique_id]]), "", PROPER(SUBSTITUTE(Table2[[#This Row],[unique_id]], "_", " ")))</f>
        <v>Google Assistant Synchronize Devices</v>
      </c>
      <c r="G430" s="30" t="s">
        <v>1147</v>
      </c>
      <c r="H430" s="30" t="s">
        <v>588</v>
      </c>
      <c r="I430" s="30" t="s">
        <v>273</v>
      </c>
      <c r="M430" s="30" t="s">
        <v>255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R430" s="39"/>
      <c r="AT430" s="32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2700</v>
      </c>
      <c r="B431" s="30" t="s">
        <v>26</v>
      </c>
      <c r="C431" s="30" t="s">
        <v>233</v>
      </c>
      <c r="D431" s="30" t="s">
        <v>144</v>
      </c>
      <c r="E431" s="30" t="s">
        <v>145</v>
      </c>
      <c r="F431" s="36" t="str">
        <f>IF(ISBLANK(Table2[[#This Row],[unique_id]]), "", PROPER(SUBSTITUTE(Table2[[#This Row],[unique_id]], "_", " ")))</f>
        <v>Ada Home</v>
      </c>
      <c r="G431" s="30" t="s">
        <v>183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Ada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Ada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129</v>
      </c>
      <c r="BK431" s="30" t="s">
        <v>1208</v>
      </c>
      <c r="BL431" s="41" t="s">
        <v>402</v>
      </c>
      <c r="BM431" s="39" t="s">
        <v>1210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66" ht="16" customHeight="1" x14ac:dyDescent="0.2">
      <c r="A432" s="30">
        <v>2701</v>
      </c>
      <c r="B432" s="30" t="s">
        <v>26</v>
      </c>
      <c r="C432" s="30" t="s">
        <v>233</v>
      </c>
      <c r="D432" s="30" t="s">
        <v>144</v>
      </c>
      <c r="E432" s="30" t="s">
        <v>256</v>
      </c>
      <c r="F432" s="36" t="str">
        <f>IF(ISBLANK(Table2[[#This Row],[unique_id]]), "", PROPER(SUBSTITUTE(Table2[[#This Row],[unique_id]], "_", " ")))</f>
        <v>Edwin Home</v>
      </c>
      <c r="G432" s="30" t="s">
        <v>257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Edwin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Edwin</v>
      </c>
      <c r="BB432" s="30" t="s">
        <v>164</v>
      </c>
      <c r="BC432" s="30" t="s">
        <v>373</v>
      </c>
      <c r="BD432" s="30" t="s">
        <v>233</v>
      </c>
      <c r="BF432" s="30" t="s">
        <v>1008</v>
      </c>
      <c r="BG432" s="30" t="s">
        <v>126</v>
      </c>
      <c r="BK432" s="30" t="s">
        <v>1208</v>
      </c>
      <c r="BL432" s="41" t="s">
        <v>401</v>
      </c>
      <c r="BM432" s="39" t="s">
        <v>1211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66" ht="16" customHeight="1" x14ac:dyDescent="0.2">
      <c r="A433" s="30">
        <v>2702</v>
      </c>
      <c r="B433" s="30" t="s">
        <v>26</v>
      </c>
      <c r="C433" s="30" t="s">
        <v>233</v>
      </c>
      <c r="D433" s="30" t="s">
        <v>144</v>
      </c>
      <c r="E433" s="30" t="s">
        <v>264</v>
      </c>
      <c r="F433" s="36" t="str">
        <f>IF(ISBLANK(Table2[[#This Row],[unique_id]]), "", PROPER(SUBSTITUTE(Table2[[#This Row],[unique_id]], "_", " ")))</f>
        <v>Parents Home</v>
      </c>
      <c r="G433" s="30" t="s">
        <v>258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Parents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190</v>
      </c>
      <c r="BK433" s="30" t="s">
        <v>1208</v>
      </c>
      <c r="BL433" s="41" t="s">
        <v>618</v>
      </c>
      <c r="BM433" s="39" t="s">
        <v>1212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66" ht="16" customHeight="1" x14ac:dyDescent="0.2">
      <c r="A434" s="30">
        <v>2703</v>
      </c>
      <c r="B434" s="30" t="s">
        <v>26</v>
      </c>
      <c r="C434" s="30" t="s">
        <v>233</v>
      </c>
      <c r="D434" s="30" t="s">
        <v>144</v>
      </c>
      <c r="E434" s="30" t="s">
        <v>260</v>
      </c>
      <c r="F434" s="36" t="str">
        <f>IF(ISBLANK(Table2[[#This Row],[unique_id]]), "", PROPER(SUBSTITUTE(Table2[[#This Row],[unique_id]], "_", " ")))</f>
        <v>Kitchen Home</v>
      </c>
      <c r="G434" s="30" t="s">
        <v>259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Kitchen Home Devices</v>
      </c>
      <c r="T434" s="37" t="s">
        <v>736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164</v>
      </c>
      <c r="BC434" s="30" t="s">
        <v>1002</v>
      </c>
      <c r="BD434" s="30" t="s">
        <v>233</v>
      </c>
      <c r="BF434" s="30" t="s">
        <v>1009</v>
      </c>
      <c r="BG434" s="30" t="s">
        <v>204</v>
      </c>
      <c r="BK434" s="30" t="s">
        <v>1208</v>
      </c>
      <c r="BL434" s="41" t="s">
        <v>696</v>
      </c>
      <c r="BM434" s="39" t="s">
        <v>1213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66" ht="16" customHeight="1" x14ac:dyDescent="0.2">
      <c r="A435" s="30">
        <v>2704</v>
      </c>
      <c r="B435" s="30" t="s">
        <v>26</v>
      </c>
      <c r="C435" s="30" t="s">
        <v>233</v>
      </c>
      <c r="D435" s="30" t="s">
        <v>144</v>
      </c>
      <c r="E435" s="30" t="s">
        <v>589</v>
      </c>
      <c r="F435" s="36" t="str">
        <f>IF(ISBLANK(Table2[[#This Row],[unique_id]]), "", PROPER(SUBSTITUTE(Table2[[#This Row],[unique_id]], "_", " ")))</f>
        <v>Office Home</v>
      </c>
      <c r="G435" s="30" t="s">
        <v>590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Office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210</v>
      </c>
      <c r="BK435" s="30" t="s">
        <v>1208</v>
      </c>
      <c r="BL435" s="41" t="s">
        <v>399</v>
      </c>
      <c r="BM435" s="39" t="s">
        <v>1214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66" ht="16" customHeight="1" x14ac:dyDescent="0.2">
      <c r="A436" s="30">
        <v>2705</v>
      </c>
      <c r="B436" s="30" t="s">
        <v>26</v>
      </c>
      <c r="C436" s="30" t="s">
        <v>233</v>
      </c>
      <c r="D436" s="30" t="s">
        <v>144</v>
      </c>
      <c r="E436" s="30" t="s">
        <v>621</v>
      </c>
      <c r="F436" s="36" t="str">
        <f>IF(ISBLANK(Table2[[#This Row],[unique_id]]), "", PROPER(SUBSTITUTE(Table2[[#This Row],[unique_id]], "_", " ")))</f>
        <v>Lounge Home</v>
      </c>
      <c r="G436" s="30" t="s">
        <v>622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Lounge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164</v>
      </c>
      <c r="BC436" s="30" t="s">
        <v>373</v>
      </c>
      <c r="BD436" s="30" t="s">
        <v>233</v>
      </c>
      <c r="BF436" s="30" t="s">
        <v>1008</v>
      </c>
      <c r="BG436" s="30" t="s">
        <v>192</v>
      </c>
      <c r="BK436" s="30" t="s">
        <v>1208</v>
      </c>
      <c r="BL436" s="41" t="s">
        <v>400</v>
      </c>
      <c r="BM436" s="39" t="s">
        <v>1215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66" ht="16" customHeight="1" x14ac:dyDescent="0.2">
      <c r="A437" s="30">
        <v>2706</v>
      </c>
      <c r="B437" s="30" t="s">
        <v>26</v>
      </c>
      <c r="C437" s="30" t="s">
        <v>233</v>
      </c>
      <c r="D437" s="30" t="s">
        <v>144</v>
      </c>
      <c r="E437" s="30" t="s">
        <v>786</v>
      </c>
      <c r="F437" s="36" t="str">
        <f>IF(ISBLANK(Table2[[#This Row],[unique_id]]), "", PROPER(SUBSTITUTE(Table2[[#This Row],[unique_id]], "_", " ")))</f>
        <v>Ada Tablet</v>
      </c>
      <c r="G437" s="30" t="s">
        <v>787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787</v>
      </c>
      <c r="BC437" s="30" t="s">
        <v>1010</v>
      </c>
      <c r="BD437" s="30" t="s">
        <v>233</v>
      </c>
      <c r="BF437" s="30" t="s">
        <v>789</v>
      </c>
      <c r="BG437" s="30" t="s">
        <v>192</v>
      </c>
      <c r="BK437" s="30" t="s">
        <v>1208</v>
      </c>
      <c r="BL437" s="41" t="s">
        <v>1187</v>
      </c>
      <c r="BM437" s="39" t="s">
        <v>1216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66" ht="16" customHeight="1" x14ac:dyDescent="0.2">
      <c r="A438" s="30">
        <v>2707</v>
      </c>
      <c r="B438" s="30" t="s">
        <v>26</v>
      </c>
      <c r="C438" s="30" t="s">
        <v>233</v>
      </c>
      <c r="D438" s="30" t="s">
        <v>144</v>
      </c>
      <c r="E438" s="30" t="s">
        <v>790</v>
      </c>
      <c r="F438" s="36" t="str">
        <f>IF(ISBLANK(Table2[[#This Row],[unique_id]]), "", PROPER(SUBSTITUTE(Table2[[#This Row],[unique_id]], "_", " ")))</f>
        <v>Edwin Tablet</v>
      </c>
      <c r="G438" s="30" t="s">
        <v>791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791</v>
      </c>
      <c r="BC438" s="30" t="s">
        <v>1010</v>
      </c>
      <c r="BD438" s="30" t="s">
        <v>233</v>
      </c>
      <c r="BF438" s="30" t="s">
        <v>789</v>
      </c>
      <c r="BG438" s="30" t="s">
        <v>204</v>
      </c>
      <c r="BK438" s="30" t="s">
        <v>1208</v>
      </c>
      <c r="BL438" s="41" t="s">
        <v>1188</v>
      </c>
      <c r="BM438" s="39" t="s">
        <v>1219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66" ht="16" customHeight="1" x14ac:dyDescent="0.2">
      <c r="A439" s="30">
        <v>2708</v>
      </c>
      <c r="B439" s="30" t="s">
        <v>26</v>
      </c>
      <c r="C439" s="30" t="s">
        <v>562</v>
      </c>
      <c r="D439" s="30" t="s">
        <v>144</v>
      </c>
      <c r="E439" s="30" t="s">
        <v>586</v>
      </c>
      <c r="F439" s="36" t="str">
        <f>IF(ISBLANK(Table2[[#This Row],[unique_id]]), "", PROPER(SUBSTITUTE(Table2[[#This Row],[unique_id]], "_", " ")))</f>
        <v>Lg Webos Smart Tv</v>
      </c>
      <c r="G439" s="30" t="s">
        <v>178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946</v>
      </c>
      <c r="BC439" s="30" t="s">
        <v>565</v>
      </c>
      <c r="BD439" s="30" t="s">
        <v>562</v>
      </c>
      <c r="BF439" s="30" t="s">
        <v>564</v>
      </c>
      <c r="BG439" s="30" t="s">
        <v>192</v>
      </c>
      <c r="BK439" s="30" t="s">
        <v>1208</v>
      </c>
      <c r="BL439" s="41" t="s">
        <v>563</v>
      </c>
      <c r="BM439" s="39" t="s">
        <v>1217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66" ht="16" customHeight="1" x14ac:dyDescent="0.2">
      <c r="A440" s="30">
        <v>2709</v>
      </c>
      <c r="B440" s="30" t="s">
        <v>561</v>
      </c>
      <c r="C440" s="30" t="s">
        <v>262</v>
      </c>
      <c r="D440" s="30" t="s">
        <v>144</v>
      </c>
      <c r="E440" s="30" t="s">
        <v>263</v>
      </c>
      <c r="F440" s="36" t="str">
        <f>IF(ISBLANK(Table2[[#This Row],[unique_id]]), "", PROPER(SUBSTITUTE(Table2[[#This Row],[unique_id]], "_", " ")))</f>
        <v>Parents Tv</v>
      </c>
      <c r="G440" s="30" t="s">
        <v>261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946</v>
      </c>
      <c r="BC440" s="30" t="s">
        <v>1003</v>
      </c>
      <c r="BD440" s="30" t="s">
        <v>262</v>
      </c>
      <c r="BF440" s="30" t="s">
        <v>379</v>
      </c>
      <c r="BG440" s="30" t="s">
        <v>190</v>
      </c>
      <c r="BK440" s="30" t="s">
        <v>1208</v>
      </c>
      <c r="BL440" s="41" t="s">
        <v>381</v>
      </c>
      <c r="BM440" s="39" t="s">
        <v>1218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66" ht="16" customHeight="1" x14ac:dyDescent="0.2">
      <c r="A441" s="30">
        <v>2710</v>
      </c>
      <c r="B441" s="30" t="s">
        <v>561</v>
      </c>
      <c r="C441" s="30" t="s">
        <v>233</v>
      </c>
      <c r="D441" s="30" t="s">
        <v>144</v>
      </c>
      <c r="E441" s="30" t="s">
        <v>666</v>
      </c>
      <c r="F441" s="36" t="str">
        <f>IF(ISBLANK(Table2[[#This Row],[unique_id]]), "", PROPER(SUBSTITUTE(Table2[[#This Row],[unique_id]], "_", " ")))</f>
        <v>Office Tv</v>
      </c>
      <c r="G441" s="30" t="s">
        <v>667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Office</v>
      </c>
      <c r="BB441" s="30" t="s">
        <v>946</v>
      </c>
      <c r="BC441" s="30" t="s">
        <v>374</v>
      </c>
      <c r="BD441" s="30" t="s">
        <v>233</v>
      </c>
      <c r="BF441" s="30" t="s">
        <v>375</v>
      </c>
      <c r="BG441" s="30" t="s">
        <v>210</v>
      </c>
      <c r="BK441" s="30" t="s">
        <v>1208</v>
      </c>
      <c r="BL441" s="41" t="s">
        <v>403</v>
      </c>
      <c r="BM441" s="39" t="s">
        <v>1220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66" ht="16" customHeight="1" x14ac:dyDescent="0.2">
      <c r="A442" s="30">
        <v>2711</v>
      </c>
      <c r="B442" s="30" t="s">
        <v>26</v>
      </c>
      <c r="C442" s="30" t="s">
        <v>422</v>
      </c>
      <c r="D442" s="30" t="s">
        <v>315</v>
      </c>
      <c r="E442" s="30" t="s">
        <v>314</v>
      </c>
      <c r="F442" s="36" t="str">
        <f>IF(ISBLANK(Table2[[#This Row],[unique_id]]), "", PROPER(SUBSTITUTE(Table2[[#This Row],[unique_id]], "_", " ")))</f>
        <v>Column Break</v>
      </c>
      <c r="G442" s="30" t="s">
        <v>311</v>
      </c>
      <c r="H442" s="30" t="s">
        <v>711</v>
      </c>
      <c r="I442" s="30" t="s">
        <v>143</v>
      </c>
      <c r="M442" s="30" t="s">
        <v>312</v>
      </c>
      <c r="N442" s="30" t="s">
        <v>313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2712</v>
      </c>
      <c r="B443" s="30" t="s">
        <v>26</v>
      </c>
      <c r="C443" s="30" t="s">
        <v>180</v>
      </c>
      <c r="D443" s="30" t="s">
        <v>144</v>
      </c>
      <c r="E443" s="30" t="s">
        <v>700</v>
      </c>
      <c r="F443" s="36" t="str">
        <f>IF(ISBLANK(Table2[[#This Row],[unique_id]]), "", PROPER(SUBSTITUTE(Table2[[#This Row],[unique_id]], "_", " ")))</f>
        <v>Lounge Arc</v>
      </c>
      <c r="G443" s="30" t="s">
        <v>703</v>
      </c>
      <c r="H443" s="30" t="s">
        <v>711</v>
      </c>
      <c r="I443" s="30" t="s">
        <v>143</v>
      </c>
      <c r="M443" s="30" t="s">
        <v>135</v>
      </c>
      <c r="N443" s="30" t="s">
        <v>268</v>
      </c>
      <c r="O443" s="31" t="s">
        <v>754</v>
      </c>
      <c r="P443" s="30"/>
      <c r="R443" s="41"/>
      <c r="T443" s="37" t="str">
        <f>_xlfn.CONCAT("name: ", Table2[[#This Row],[friendly_name]])</f>
        <v>name: Lounge Arc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566</v>
      </c>
      <c r="BC443" s="30" t="s">
        <v>1006</v>
      </c>
      <c r="BD443" s="30" t="s">
        <v>180</v>
      </c>
      <c r="BF443" s="30">
        <v>15.4</v>
      </c>
      <c r="BG443" s="30" t="s">
        <v>192</v>
      </c>
      <c r="BK443" s="30" t="s">
        <v>1208</v>
      </c>
      <c r="BL443" s="30" t="s">
        <v>567</v>
      </c>
      <c r="BM443" s="39" t="s">
        <v>1221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66" ht="16" customHeight="1" x14ac:dyDescent="0.2">
      <c r="A444" s="30">
        <v>2713</v>
      </c>
      <c r="B444" s="30" t="s">
        <v>561</v>
      </c>
      <c r="C444" s="30" t="s">
        <v>774</v>
      </c>
      <c r="D444" s="30" t="s">
        <v>147</v>
      </c>
      <c r="E444" s="30" t="s">
        <v>776</v>
      </c>
      <c r="F444" s="36" t="str">
        <f>IF(ISBLANK(Table2[[#This Row],[unique_id]]), "", PROPER(SUBSTITUTE(Table2[[#This Row],[unique_id]], "_", " ")))</f>
        <v>Template Kitchen Move Proxy</v>
      </c>
      <c r="G444" s="30" t="s">
        <v>704</v>
      </c>
      <c r="H444" s="30" t="s">
        <v>711</v>
      </c>
      <c r="I444" s="30" t="s">
        <v>143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 t="s">
        <v>779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 t="s">
        <v>144</v>
      </c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2714</v>
      </c>
      <c r="B445" s="30" t="s">
        <v>26</v>
      </c>
      <c r="C445" s="30" t="s">
        <v>180</v>
      </c>
      <c r="D445" s="30" t="s">
        <v>144</v>
      </c>
      <c r="E445" s="30" t="s">
        <v>699</v>
      </c>
      <c r="F445" s="36" t="str">
        <f>IF(ISBLANK(Table2[[#This Row],[unique_id]]), "", PROPER(SUBSTITUTE(Table2[[#This Row],[unique_id]], "_", " ")))</f>
        <v>Kitchen Move</v>
      </c>
      <c r="G445" s="30" t="s">
        <v>704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Move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347</v>
      </c>
      <c r="BC445" s="30" t="s">
        <v>1004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0" t="s">
        <v>350</v>
      </c>
      <c r="BM445" s="39" t="s">
        <v>1222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66" ht="16" customHeight="1" x14ac:dyDescent="0.2">
      <c r="A446" s="30">
        <v>2715</v>
      </c>
      <c r="B446" s="30" t="s">
        <v>26</v>
      </c>
      <c r="C446" s="30" t="s">
        <v>180</v>
      </c>
      <c r="D446" s="30" t="s">
        <v>144</v>
      </c>
      <c r="E446" s="30" t="s">
        <v>698</v>
      </c>
      <c r="F446" s="36" t="str">
        <f>IF(ISBLANK(Table2[[#This Row],[unique_id]]), "", PROPER(SUBSTITUTE(Table2[[#This Row],[unique_id]], "_", " ")))</f>
        <v>Kitchen Five</v>
      </c>
      <c r="G446" s="30" t="s">
        <v>705</v>
      </c>
      <c r="H446" s="30" t="s">
        <v>711</v>
      </c>
      <c r="I446" s="30" t="s">
        <v>143</v>
      </c>
      <c r="M446" s="30" t="s">
        <v>135</v>
      </c>
      <c r="N446" s="30" t="s">
        <v>268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Kitchen Five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778</v>
      </c>
      <c r="BC446" s="30" t="s">
        <v>1005</v>
      </c>
      <c r="BD446" s="30" t="s">
        <v>180</v>
      </c>
      <c r="BF446" s="30">
        <v>15.4</v>
      </c>
      <c r="BG446" s="30" t="s">
        <v>204</v>
      </c>
      <c r="BK446" s="30" t="s">
        <v>1208</v>
      </c>
      <c r="BL446" s="37" t="s">
        <v>349</v>
      </c>
      <c r="BM446" s="39" t="s">
        <v>1223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66" ht="16" customHeight="1" x14ac:dyDescent="0.2">
      <c r="A447" s="30">
        <v>2716</v>
      </c>
      <c r="B447" s="30" t="s">
        <v>561</v>
      </c>
      <c r="C447" s="30" t="s">
        <v>774</v>
      </c>
      <c r="D447" s="30" t="s">
        <v>147</v>
      </c>
      <c r="E447" s="30" t="s">
        <v>777</v>
      </c>
      <c r="F447" s="36" t="str">
        <f>IF(ISBLANK(Table2[[#This Row],[unique_id]]), "", PROPER(SUBSTITUTE(Table2[[#This Row],[unique_id]], "_", " ")))</f>
        <v>Template Parents Move Proxy</v>
      </c>
      <c r="G447" s="30" t="s">
        <v>706</v>
      </c>
      <c r="H447" s="30" t="s">
        <v>711</v>
      </c>
      <c r="I447" s="30" t="s">
        <v>143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 t="s">
        <v>779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144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2717</v>
      </c>
      <c r="B448" s="30" t="s">
        <v>26</v>
      </c>
      <c r="C448" s="30" t="s">
        <v>180</v>
      </c>
      <c r="D448" s="30" t="s">
        <v>144</v>
      </c>
      <c r="E448" s="30" t="s">
        <v>697</v>
      </c>
      <c r="F448" s="36" t="str">
        <f>IF(ISBLANK(Table2[[#This Row],[unique_id]]), "", PROPER(SUBSTITUTE(Table2[[#This Row],[unique_id]], "_", " ")))</f>
        <v>Parents Move</v>
      </c>
      <c r="G448" s="30" t="s">
        <v>706</v>
      </c>
      <c r="H448" s="30" t="s">
        <v>711</v>
      </c>
      <c r="I448" s="30" t="s">
        <v>143</v>
      </c>
      <c r="M448" s="30" t="s">
        <v>135</v>
      </c>
      <c r="N448" s="30" t="s">
        <v>268</v>
      </c>
      <c r="O448" s="31" t="s">
        <v>754</v>
      </c>
      <c r="P448" s="30" t="s">
        <v>164</v>
      </c>
      <c r="Q448" s="30" t="s">
        <v>726</v>
      </c>
      <c r="R448" s="41" t="s">
        <v>711</v>
      </c>
      <c r="S448" s="30" t="str">
        <f>_xlfn.CONCAT( Table2[[#This Row],[friendly_name]], " Devices")</f>
        <v>Parents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347</v>
      </c>
      <c r="BC448" s="30" t="s">
        <v>1004</v>
      </c>
      <c r="BD448" s="30" t="s">
        <v>180</v>
      </c>
      <c r="BF448" s="30">
        <v>15.4</v>
      </c>
      <c r="BG448" s="30" t="s">
        <v>190</v>
      </c>
      <c r="BK448" s="30" t="s">
        <v>1208</v>
      </c>
      <c r="BL448" s="30" t="s">
        <v>348</v>
      </c>
      <c r="BM448" s="39" t="s">
        <v>1224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66" ht="16" customHeight="1" x14ac:dyDescent="0.2">
      <c r="A449" s="30">
        <v>2718</v>
      </c>
      <c r="B449" s="30" t="s">
        <v>26</v>
      </c>
      <c r="C449" s="30" t="s">
        <v>262</v>
      </c>
      <c r="D449" s="30" t="s">
        <v>144</v>
      </c>
      <c r="E449" s="30" t="s">
        <v>1267</v>
      </c>
      <c r="F449" s="36" t="str">
        <f>IF(ISBLANK(Table2[[#This Row],[unique_id]]), "", PROPER(SUBSTITUTE(Table2[[#This Row],[unique_id]], "_", " ")))</f>
        <v>Parents Homepod</v>
      </c>
      <c r="G449" s="30" t="s">
        <v>1268</v>
      </c>
      <c r="H449" s="30" t="s">
        <v>711</v>
      </c>
      <c r="I449" s="30" t="s">
        <v>143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1269</v>
      </c>
      <c r="BC449" s="30" t="s">
        <v>1007</v>
      </c>
      <c r="BD449" s="30" t="s">
        <v>262</v>
      </c>
      <c r="BF449" s="30" t="s">
        <v>379</v>
      </c>
      <c r="BG449" s="30" t="s">
        <v>190</v>
      </c>
      <c r="BK449" s="30" t="s">
        <v>1208</v>
      </c>
      <c r="BL449" s="41" t="s">
        <v>382</v>
      </c>
      <c r="BM449" s="39" t="s">
        <v>1225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66" ht="16" customHeight="1" x14ac:dyDescent="0.2">
      <c r="A450" s="30">
        <v>2750</v>
      </c>
      <c r="B450" s="30" t="s">
        <v>26</v>
      </c>
      <c r="C450" s="30" t="s">
        <v>149</v>
      </c>
      <c r="D450" s="30" t="s">
        <v>292</v>
      </c>
      <c r="E450" s="30" t="s">
        <v>634</v>
      </c>
      <c r="F450" s="36" t="str">
        <f>IF(ISBLANK(Table2[[#This Row],[unique_id]]), "", PROPER(SUBSTITUTE(Table2[[#This Row],[unique_id]], "_", " ")))</f>
        <v>Back Door Lock Security</v>
      </c>
      <c r="G450" s="30" t="s">
        <v>630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E450" s="30" t="s">
        <v>645</v>
      </c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2751</v>
      </c>
      <c r="B451" s="30" t="s">
        <v>26</v>
      </c>
      <c r="C451" s="30" t="s">
        <v>149</v>
      </c>
      <c r="D451" s="30" t="s">
        <v>147</v>
      </c>
      <c r="E451" s="30" t="s">
        <v>647</v>
      </c>
      <c r="F451" s="36" t="str">
        <f>IF(ISBLANK(Table2[[#This Row],[unique_id]]), "", PROPER(SUBSTITUTE(Table2[[#This Row],[unique_id]], "_", " ")))</f>
        <v>Template Back Door State</v>
      </c>
      <c r="G451" s="30" t="s">
        <v>272</v>
      </c>
      <c r="H451" s="30" t="s">
        <v>612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2752</v>
      </c>
      <c r="B452" s="30" t="s">
        <v>26</v>
      </c>
      <c r="C452" s="30" t="s">
        <v>603</v>
      </c>
      <c r="D452" s="30" t="s">
        <v>606</v>
      </c>
      <c r="E452" s="30" t="s">
        <v>607</v>
      </c>
      <c r="F452" s="36" t="str">
        <f>IF(ISBLANK(Table2[[#This Row],[unique_id]]), "", PROPER(SUBSTITUTE(Table2[[#This Row],[unique_id]], "_", " ")))</f>
        <v>Back Door Lock</v>
      </c>
      <c r="G452" s="30" t="s">
        <v>649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0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0" t="s">
        <v>997</v>
      </c>
      <c r="BC452" s="30" t="s">
        <v>604</v>
      </c>
      <c r="BD452" s="30" t="s">
        <v>603</v>
      </c>
      <c r="BF452" s="30" t="s">
        <v>605</v>
      </c>
      <c r="BG452" s="30" t="s">
        <v>612</v>
      </c>
      <c r="BL452" s="30" t="s">
        <v>602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66" ht="16" customHeight="1" x14ac:dyDescent="0.2">
      <c r="A453" s="30">
        <v>2753</v>
      </c>
      <c r="B453" s="30" t="s">
        <v>26</v>
      </c>
      <c r="C453" s="30" t="s">
        <v>316</v>
      </c>
      <c r="D453" s="30" t="s">
        <v>147</v>
      </c>
      <c r="E453" s="30" t="s">
        <v>640</v>
      </c>
      <c r="F453" s="36" t="str">
        <f>IF(ISBLANK(Table2[[#This Row],[unique_id]]), "", PROPER(SUBSTITUTE(Table2[[#This Row],[unique_id]], "_", " ")))</f>
        <v>Template Back Door Sensor Contact Last</v>
      </c>
      <c r="G453" s="30" t="s">
        <v>648</v>
      </c>
      <c r="H453" s="30" t="s">
        <v>612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 t="s">
        <v>471</v>
      </c>
      <c r="X453" s="31"/>
      <c r="Y453" s="42" t="s">
        <v>722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7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7" t="s">
        <v>1001</v>
      </c>
      <c r="BC453" s="37" t="s">
        <v>623</v>
      </c>
      <c r="BD453" s="30" t="s">
        <v>1072</v>
      </c>
      <c r="BF453" s="30" t="s">
        <v>605</v>
      </c>
      <c r="BG453" s="30" t="s">
        <v>612</v>
      </c>
      <c r="BL453" s="30" t="s">
        <v>625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66" ht="16" customHeight="1" x14ac:dyDescent="0.2">
      <c r="A454" s="30">
        <v>2754</v>
      </c>
      <c r="B454" s="30" t="s">
        <v>561</v>
      </c>
      <c r="C454" s="30" t="s">
        <v>232</v>
      </c>
      <c r="D454" s="30" t="s">
        <v>146</v>
      </c>
      <c r="F454" s="36" t="str">
        <f>IF(ISBLANK(Table2[[#This Row],[unique_id]]), "", PROPER(SUBSTITUTE(Table2[[#This Row],[unique_id]], "_", " ")))</f>
        <v/>
      </c>
      <c r="G454" s="30" t="s">
        <v>612</v>
      </c>
      <c r="H454" s="30" t="s">
        <v>620</v>
      </c>
      <c r="I454" s="30" t="s">
        <v>207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C454" s="37"/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2755</v>
      </c>
      <c r="B455" s="30" t="s">
        <v>26</v>
      </c>
      <c r="C455" s="30" t="s">
        <v>149</v>
      </c>
      <c r="D455" s="30" t="s">
        <v>292</v>
      </c>
      <c r="E455" s="30" t="s">
        <v>635</v>
      </c>
      <c r="F455" s="36" t="str">
        <f>IF(ISBLANK(Table2[[#This Row],[unique_id]]), "", PROPER(SUBSTITUTE(Table2[[#This Row],[unique_id]], "_", " ")))</f>
        <v>Front Door Lock Security</v>
      </c>
      <c r="G455" s="30" t="s">
        <v>630</v>
      </c>
      <c r="H455" s="30" t="s">
        <v>611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E455" s="30" t="s">
        <v>645</v>
      </c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2756</v>
      </c>
      <c r="B456" s="30" t="s">
        <v>26</v>
      </c>
      <c r="C456" s="30" t="s">
        <v>149</v>
      </c>
      <c r="D456" s="30" t="s">
        <v>147</v>
      </c>
      <c r="E456" s="30" t="s">
        <v>646</v>
      </c>
      <c r="F456" s="36" t="str">
        <f>IF(ISBLANK(Table2[[#This Row],[unique_id]]), "", PROPER(SUBSTITUTE(Table2[[#This Row],[unique_id]], "_", " ")))</f>
        <v>Template Front Door State</v>
      </c>
      <c r="G456" s="30" t="s">
        <v>272</v>
      </c>
      <c r="H456" s="30" t="s">
        <v>611</v>
      </c>
      <c r="I456" s="30" t="s">
        <v>207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2757</v>
      </c>
      <c r="B457" s="30" t="s">
        <v>26</v>
      </c>
      <c r="C457" s="30" t="s">
        <v>603</v>
      </c>
      <c r="D457" s="30" t="s">
        <v>606</v>
      </c>
      <c r="E457" s="30" t="s">
        <v>608</v>
      </c>
      <c r="F457" s="36" t="str">
        <f>IF(ISBLANK(Table2[[#This Row],[unique_id]]), "", PROPER(SUBSTITUTE(Table2[[#This Row],[unique_id]], "_", " ")))</f>
        <v>Front Door Lock</v>
      </c>
      <c r="G457" s="30" t="s">
        <v>649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0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0" t="s">
        <v>997</v>
      </c>
      <c r="BC457" s="30" t="s">
        <v>604</v>
      </c>
      <c r="BD457" s="30" t="s">
        <v>603</v>
      </c>
      <c r="BF457" s="30" t="s">
        <v>605</v>
      </c>
      <c r="BG457" s="30" t="s">
        <v>611</v>
      </c>
      <c r="BL457" s="30" t="s">
        <v>609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66" ht="16" customHeight="1" x14ac:dyDescent="0.2">
      <c r="A458" s="30">
        <v>2758</v>
      </c>
      <c r="B458" s="30" t="s">
        <v>26</v>
      </c>
      <c r="C458" s="30" t="s">
        <v>316</v>
      </c>
      <c r="D458" s="30" t="s">
        <v>147</v>
      </c>
      <c r="E458" s="30" t="s">
        <v>639</v>
      </c>
      <c r="F458" s="36" t="str">
        <f>IF(ISBLANK(Table2[[#This Row],[unique_id]]), "", PROPER(SUBSTITUTE(Table2[[#This Row],[unique_id]], "_", " ")))</f>
        <v>Template Front Door Sensor Contact Last</v>
      </c>
      <c r="G458" s="30" t="s">
        <v>648</v>
      </c>
      <c r="H458" s="30" t="s">
        <v>611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 t="s">
        <v>471</v>
      </c>
      <c r="X458" s="31"/>
      <c r="Y458" s="42" t="s">
        <v>722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7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7" t="s">
        <v>1001</v>
      </c>
      <c r="BC458" s="37" t="s">
        <v>623</v>
      </c>
      <c r="BD458" s="30" t="s">
        <v>1072</v>
      </c>
      <c r="BF458" s="30" t="s">
        <v>605</v>
      </c>
      <c r="BG458" s="30" t="s">
        <v>611</v>
      </c>
      <c r="BL458" s="30" t="s">
        <v>624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66" ht="16" customHeight="1" x14ac:dyDescent="0.2">
      <c r="A459" s="30">
        <v>2759</v>
      </c>
      <c r="B459" s="30" t="s">
        <v>561</v>
      </c>
      <c r="C459" s="30" t="s">
        <v>232</v>
      </c>
      <c r="D459" s="30" t="s">
        <v>146</v>
      </c>
      <c r="F459" s="36" t="str">
        <f>IF(ISBLANK(Table2[[#This Row],[unique_id]]), "", PROPER(SUBSTITUTE(Table2[[#This Row],[unique_id]], "_", " ")))</f>
        <v/>
      </c>
      <c r="G459" s="30" t="s">
        <v>611</v>
      </c>
      <c r="H459" s="30" t="s">
        <v>619</v>
      </c>
      <c r="I459" s="30" t="s">
        <v>207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C459" s="37"/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2760</v>
      </c>
      <c r="B460" s="30" t="s">
        <v>26</v>
      </c>
      <c r="C460" s="30" t="s">
        <v>132</v>
      </c>
      <c r="D460" s="30" t="s">
        <v>147</v>
      </c>
      <c r="E460" s="30" t="s">
        <v>581</v>
      </c>
      <c r="F460" s="36" t="str">
        <f>IF(ISBLANK(Table2[[#This Row],[unique_id]]), "", PROPER(SUBSTITUTE(Table2[[#This Row],[unique_id]], "_", " ")))</f>
        <v>Ada Fan Occupancy</v>
      </c>
      <c r="G460" s="30" t="s">
        <v>129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2761</v>
      </c>
      <c r="B461" s="30" t="s">
        <v>26</v>
      </c>
      <c r="C461" s="30" t="s">
        <v>132</v>
      </c>
      <c r="D461" s="30" t="s">
        <v>147</v>
      </c>
      <c r="E461" s="30" t="s">
        <v>580</v>
      </c>
      <c r="F461" s="36" t="str">
        <f>IF(ISBLANK(Table2[[#This Row],[unique_id]]), "", PROPER(SUBSTITUTE(Table2[[#This Row],[unique_id]], "_", " ")))</f>
        <v>Edwin Fan Occupancy</v>
      </c>
      <c r="G461" s="30" t="s">
        <v>126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2762</v>
      </c>
      <c r="B462" s="30" t="s">
        <v>26</v>
      </c>
      <c r="C462" s="30" t="s">
        <v>132</v>
      </c>
      <c r="D462" s="30" t="s">
        <v>147</v>
      </c>
      <c r="E462" s="30" t="s">
        <v>582</v>
      </c>
      <c r="F462" s="36" t="str">
        <f>IF(ISBLANK(Table2[[#This Row],[unique_id]]), "", PROPER(SUBSTITUTE(Table2[[#This Row],[unique_id]], "_", " ")))</f>
        <v>Parents Fan Occupancy</v>
      </c>
      <c r="G462" s="30" t="s">
        <v>190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2763</v>
      </c>
      <c r="B463" s="30" t="s">
        <v>26</v>
      </c>
      <c r="C463" s="30" t="s">
        <v>132</v>
      </c>
      <c r="D463" s="30" t="s">
        <v>147</v>
      </c>
      <c r="E463" s="30" t="s">
        <v>583</v>
      </c>
      <c r="F463" s="36" t="str">
        <f>IF(ISBLANK(Table2[[#This Row],[unique_id]]), "", PROPER(SUBSTITUTE(Table2[[#This Row],[unique_id]], "_", " ")))</f>
        <v>Lounge Fan Occupancy</v>
      </c>
      <c r="G463" s="30" t="s">
        <v>192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2764</v>
      </c>
      <c r="B464" s="30" t="s">
        <v>26</v>
      </c>
      <c r="C464" s="30" t="s">
        <v>132</v>
      </c>
      <c r="D464" s="30" t="s">
        <v>147</v>
      </c>
      <c r="E464" s="30" t="s">
        <v>584</v>
      </c>
      <c r="F464" s="36" t="str">
        <f>IF(ISBLANK(Table2[[#This Row],[unique_id]]), "", PROPER(SUBSTITUTE(Table2[[#This Row],[unique_id]], "_", " ")))</f>
        <v>Deck East Fan Occupancy</v>
      </c>
      <c r="G464" s="30" t="s">
        <v>213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2765</v>
      </c>
      <c r="B465" s="30" t="s">
        <v>26</v>
      </c>
      <c r="C465" s="30" t="s">
        <v>132</v>
      </c>
      <c r="D465" s="30" t="s">
        <v>147</v>
      </c>
      <c r="E465" s="30" t="s">
        <v>585</v>
      </c>
      <c r="F465" s="36" t="str">
        <f>IF(ISBLANK(Table2[[#This Row],[unique_id]]), "", PROPER(SUBSTITUTE(Table2[[#This Row],[unique_id]], "_", " ")))</f>
        <v>Deck West Fan Occupancy</v>
      </c>
      <c r="G465" s="30" t="s">
        <v>212</v>
      </c>
      <c r="H465" s="30" t="s">
        <v>617</v>
      </c>
      <c r="I465" s="30" t="s">
        <v>207</v>
      </c>
      <c r="M465" s="30" t="s">
        <v>135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2766</v>
      </c>
      <c r="B466" s="30" t="s">
        <v>26</v>
      </c>
      <c r="C466" s="30" t="s">
        <v>422</v>
      </c>
      <c r="D466" s="30" t="s">
        <v>315</v>
      </c>
      <c r="E466" s="30" t="s">
        <v>314</v>
      </c>
      <c r="F466" s="36" t="str">
        <f>IF(ISBLANK(Table2[[#This Row],[unique_id]]), "", PROPER(SUBSTITUTE(Table2[[#This Row],[unique_id]], "_", " ")))</f>
        <v>Column Break</v>
      </c>
      <c r="G466" s="30" t="s">
        <v>311</v>
      </c>
      <c r="H466" s="30" t="s">
        <v>614</v>
      </c>
      <c r="I466" s="30" t="s">
        <v>207</v>
      </c>
      <c r="M466" s="30" t="s">
        <v>312</v>
      </c>
      <c r="N466" s="30" t="s">
        <v>313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2767</v>
      </c>
      <c r="B467" s="30" t="s">
        <v>26</v>
      </c>
      <c r="C467" s="30" t="s">
        <v>232</v>
      </c>
      <c r="D467" s="30" t="s">
        <v>147</v>
      </c>
      <c r="E467" s="30" t="s">
        <v>148</v>
      </c>
      <c r="F467" s="36" t="str">
        <f>IF(ISBLANK(Table2[[#This Row],[unique_id]]), "", PROPER(SUBSTITUTE(Table2[[#This Row],[unique_id]], "_", " ")))</f>
        <v>Uvc Ada Motion</v>
      </c>
      <c r="G467" s="30" t="s">
        <v>610</v>
      </c>
      <c r="H467" s="30" t="s">
        <v>614</v>
      </c>
      <c r="I467" s="30" t="s">
        <v>207</v>
      </c>
      <c r="M467" s="30" t="s">
        <v>135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2768</v>
      </c>
      <c r="B468" s="30" t="s">
        <v>26</v>
      </c>
      <c r="C468" s="30" t="s">
        <v>232</v>
      </c>
      <c r="D468" s="30" t="s">
        <v>146</v>
      </c>
      <c r="E468" s="30" t="s">
        <v>1280</v>
      </c>
      <c r="F468" s="36" t="str">
        <f>IF(ISBLANK(Table2[[#This Row],[unique_id]]), "", PROPER(SUBSTITUTE(Table2[[#This Row],[unique_id]], "_", " ")))</f>
        <v>Uvc Ada Medium Resolution Channel</v>
      </c>
      <c r="G468" s="30" t="s">
        <v>129</v>
      </c>
      <c r="H468" s="30" t="s">
        <v>616</v>
      </c>
      <c r="I468" s="30" t="s">
        <v>207</v>
      </c>
      <c r="M468" s="30" t="s">
        <v>135</v>
      </c>
      <c r="N468" s="30" t="s">
        <v>269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1380</v>
      </c>
      <c r="BA468" s="30" t="str">
        <f>IF(ISBLANK(Table2[[#This Row],[device_model]]), "", Table2[[#This Row],[device_suggested_area]])</f>
        <v>Ada</v>
      </c>
      <c r="BB468" s="30" t="str">
        <f>Table2[[#This Row],[device_suggested_area]]</f>
        <v>Ada</v>
      </c>
      <c r="BC468" s="30" t="s">
        <v>367</v>
      </c>
      <c r="BD468" s="30" t="s">
        <v>232</v>
      </c>
      <c r="BF468" s="30" t="s">
        <v>368</v>
      </c>
      <c r="BG468" s="30" t="s">
        <v>129</v>
      </c>
      <c r="BK468" s="30" t="s">
        <v>1209</v>
      </c>
      <c r="BL468" s="30" t="s">
        <v>365</v>
      </c>
      <c r="BM468" s="30" t="s">
        <v>1264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66" ht="16" customHeight="1" x14ac:dyDescent="0.2">
      <c r="A469" s="30">
        <v>2769</v>
      </c>
      <c r="B469" s="30" t="s">
        <v>26</v>
      </c>
      <c r="C469" s="30" t="s">
        <v>232</v>
      </c>
      <c r="D469" s="30" t="s">
        <v>147</v>
      </c>
      <c r="E469" s="30" t="s">
        <v>206</v>
      </c>
      <c r="F469" s="36" t="str">
        <f>IF(ISBLANK(Table2[[#This Row],[unique_id]]), "", PROPER(SUBSTITUTE(Table2[[#This Row],[unique_id]], "_", " ")))</f>
        <v>Uvc Edwin Motion</v>
      </c>
      <c r="G469" s="30" t="s">
        <v>610</v>
      </c>
      <c r="H469" s="30" t="s">
        <v>613</v>
      </c>
      <c r="I469" s="30" t="s">
        <v>207</v>
      </c>
      <c r="M469" s="30" t="s">
        <v>135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2770</v>
      </c>
      <c r="B470" s="30" t="s">
        <v>26</v>
      </c>
      <c r="C470" s="30" t="s">
        <v>232</v>
      </c>
      <c r="D470" s="30" t="s">
        <v>146</v>
      </c>
      <c r="E470" s="30" t="s">
        <v>1281</v>
      </c>
      <c r="F470" s="36" t="str">
        <f>IF(ISBLANK(Table2[[#This Row],[unique_id]]), "", PROPER(SUBSTITUTE(Table2[[#This Row],[unique_id]], "_", " ")))</f>
        <v>Uvc Edwin Medium Resolution Channel</v>
      </c>
      <c r="G470" s="30" t="s">
        <v>126</v>
      </c>
      <c r="H470" s="30" t="s">
        <v>615</v>
      </c>
      <c r="I470" s="30" t="s">
        <v>207</v>
      </c>
      <c r="M470" s="30" t="s">
        <v>135</v>
      </c>
      <c r="N470" s="30" t="s">
        <v>269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1380</v>
      </c>
      <c r="BA470" s="30" t="str">
        <f>IF(ISBLANK(Table2[[#This Row],[device_model]]), "", Table2[[#This Row],[device_suggested_area]])</f>
        <v>Edwin</v>
      </c>
      <c r="BB470" s="30" t="str">
        <f>Table2[[#This Row],[device_suggested_area]]</f>
        <v>Edwin</v>
      </c>
      <c r="BC470" s="30" t="s">
        <v>367</v>
      </c>
      <c r="BD470" s="30" t="s">
        <v>232</v>
      </c>
      <c r="BF470" s="30" t="s">
        <v>368</v>
      </c>
      <c r="BG470" s="30" t="s">
        <v>126</v>
      </c>
      <c r="BK470" s="30" t="s">
        <v>1209</v>
      </c>
      <c r="BL470" s="30" t="s">
        <v>366</v>
      </c>
      <c r="BM470" s="30" t="s">
        <v>1265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66" ht="16" customHeight="1" x14ac:dyDescent="0.2">
      <c r="A471" s="30">
        <v>2771</v>
      </c>
      <c r="B471" s="30" t="s">
        <v>26</v>
      </c>
      <c r="C471" s="30" t="s">
        <v>422</v>
      </c>
      <c r="D471" s="30" t="s">
        <v>315</v>
      </c>
      <c r="E471" s="30" t="s">
        <v>314</v>
      </c>
      <c r="F471" s="36" t="str">
        <f>IF(ISBLANK(Table2[[#This Row],[unique_id]]), "", PROPER(SUBSTITUTE(Table2[[#This Row],[unique_id]], "_", " ")))</f>
        <v>Column Break</v>
      </c>
      <c r="G471" s="30" t="s">
        <v>311</v>
      </c>
      <c r="H471" s="30" t="s">
        <v>615</v>
      </c>
      <c r="I471" s="30" t="s">
        <v>207</v>
      </c>
      <c r="M471" s="30" t="s">
        <v>312</v>
      </c>
      <c r="N471" s="30" t="s">
        <v>313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5000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1381</v>
      </c>
      <c r="BA472" s="30" t="str">
        <f>IF(ISBLANK(Table2[[#This Row],[device_model]]), "", Table2[[#This Row],[device_suggested_area]])</f>
        <v>Rack</v>
      </c>
      <c r="BC472" s="30" t="s">
        <v>993</v>
      </c>
      <c r="BD472" s="30" t="s">
        <v>232</v>
      </c>
      <c r="BF472" s="30" t="s">
        <v>384</v>
      </c>
      <c r="BG472" s="30" t="s">
        <v>28</v>
      </c>
      <c r="BK472" s="30" t="s">
        <v>1202</v>
      </c>
      <c r="BL472" s="30" t="s">
        <v>387</v>
      </c>
      <c r="BM472" s="30" t="s">
        <v>1203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66" ht="16" customHeight="1" x14ac:dyDescent="0.2">
      <c r="A473" s="30">
        <v>5001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Rack</v>
      </c>
      <c r="BB473" s="30" t="str">
        <f>Table2[[#This Row],[device_suggested_area]]</f>
        <v>Rack</v>
      </c>
      <c r="BC473" s="30" t="s">
        <v>990</v>
      </c>
      <c r="BD473" s="30" t="s">
        <v>232</v>
      </c>
      <c r="BF473" s="30" t="s">
        <v>591</v>
      </c>
      <c r="BG473" s="30" t="s">
        <v>28</v>
      </c>
      <c r="BK473" s="30" t="s">
        <v>1202</v>
      </c>
      <c r="BL473" s="30" t="s">
        <v>592</v>
      </c>
      <c r="BM473" s="30" t="s">
        <v>1204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66" ht="16" customHeight="1" x14ac:dyDescent="0.2">
      <c r="A474" s="30">
        <v>5002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Office</v>
      </c>
      <c r="BB474" s="30" t="str">
        <f>Table2[[#This Row],[device_suggested_area]]</f>
        <v>Office</v>
      </c>
      <c r="BC474" s="30" t="s">
        <v>991</v>
      </c>
      <c r="BD474" s="30" t="s">
        <v>232</v>
      </c>
      <c r="BF474" s="30" t="s">
        <v>1031</v>
      </c>
      <c r="BG474" s="30" t="s">
        <v>210</v>
      </c>
      <c r="BK474" s="30" t="s">
        <v>1202</v>
      </c>
      <c r="BL474" s="30" t="s">
        <v>388</v>
      </c>
      <c r="BM474" s="30" t="s">
        <v>1418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66" ht="16" customHeight="1" x14ac:dyDescent="0.2">
      <c r="A475" s="30">
        <v>5003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1382</v>
      </c>
      <c r="BA475" s="30" t="str">
        <f>IF(ISBLANK(Table2[[#This Row],[device_model]]), "", Table2[[#This Row],[device_suggested_area]])</f>
        <v>Ceiling</v>
      </c>
      <c r="BB475" s="30" t="str">
        <f>Table2[[#This Row],[device_suggested_area]]</f>
        <v>Ceiling</v>
      </c>
      <c r="BC475" s="30" t="s">
        <v>1417</v>
      </c>
      <c r="BD475" s="30" t="s">
        <v>232</v>
      </c>
      <c r="BF475" s="30" t="s">
        <v>1031</v>
      </c>
      <c r="BG475" s="30" t="s">
        <v>385</v>
      </c>
      <c r="BK475" s="30" t="s">
        <v>1202</v>
      </c>
      <c r="BL475" s="30" t="s">
        <v>1419</v>
      </c>
      <c r="BM475" s="30" t="s">
        <v>1205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66" ht="16" customHeight="1" x14ac:dyDescent="0.2">
      <c r="A476" s="30">
        <v>5004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Hallway</v>
      </c>
      <c r="BB476" s="30" t="str">
        <f>Table2[[#This Row],[device_suggested_area]]</f>
        <v>Hallway</v>
      </c>
      <c r="BC476" s="30" t="s">
        <v>1325</v>
      </c>
      <c r="BD476" s="30" t="s">
        <v>232</v>
      </c>
      <c r="BF476" s="30" t="s">
        <v>1030</v>
      </c>
      <c r="BG476" s="30" t="s">
        <v>386</v>
      </c>
      <c r="BK476" s="30" t="s">
        <v>1202</v>
      </c>
      <c r="BL476" s="30" t="s">
        <v>1324</v>
      </c>
      <c r="BM476" s="30" t="s">
        <v>1206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66" ht="16" customHeight="1" x14ac:dyDescent="0.2">
      <c r="A477" s="30">
        <v>5005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North</v>
      </c>
      <c r="BB477" s="30" t="str">
        <f>Table2[[#This Row],[device_suggested_area]]</f>
        <v>Deck North</v>
      </c>
      <c r="BC477" s="30" t="s">
        <v>992</v>
      </c>
      <c r="BD477" s="30" t="s">
        <v>232</v>
      </c>
      <c r="BF477" s="30" t="s">
        <v>1030</v>
      </c>
      <c r="BG477" s="30" t="s">
        <v>1376</v>
      </c>
      <c r="BK477" s="30" t="s">
        <v>1202</v>
      </c>
      <c r="BL477" s="30" t="s">
        <v>1378</v>
      </c>
      <c r="BM477" s="30" t="s">
        <v>1207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66" ht="16" customHeight="1" x14ac:dyDescent="0.2">
      <c r="A478" s="30">
        <v>5006</v>
      </c>
      <c r="B478" s="39" t="s">
        <v>26</v>
      </c>
      <c r="C478" s="30" t="s">
        <v>232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1383</v>
      </c>
      <c r="BA478" s="30" t="str">
        <f>IF(ISBLANK(Table2[[#This Row],[device_model]]), "", Table2[[#This Row],[device_suggested_area]])</f>
        <v>Deck South</v>
      </c>
      <c r="BB478" s="30" t="str">
        <f>Table2[[#This Row],[device_suggested_area]]</f>
        <v>Deck South</v>
      </c>
      <c r="BC478" s="30" t="s">
        <v>992</v>
      </c>
      <c r="BD478" s="30" t="s">
        <v>232</v>
      </c>
      <c r="BF478" s="30" t="s">
        <v>1030</v>
      </c>
      <c r="BG478" s="30" t="s">
        <v>1375</v>
      </c>
      <c r="BK478" s="30" t="s">
        <v>1202</v>
      </c>
      <c r="BL478" s="30" t="s">
        <v>389</v>
      </c>
      <c r="BM478" s="30" t="s">
        <v>1377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66" ht="16" customHeight="1" x14ac:dyDescent="0.2">
      <c r="A479" s="30">
        <v>5007</v>
      </c>
      <c r="B479" s="39" t="s">
        <v>561</v>
      </c>
      <c r="C479" s="39" t="s">
        <v>232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1321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1320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66" ht="16" customHeight="1" x14ac:dyDescent="0.2">
      <c r="A480" s="30">
        <v>5008</v>
      </c>
      <c r="B480" s="39" t="s">
        <v>561</v>
      </c>
      <c r="C480" s="39" t="s">
        <v>1310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1311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1310</v>
      </c>
      <c r="BA480" s="30" t="str">
        <f>IF(ISBLANK(Table2[[#This Row],[device_model]]), "", Table2[[#This Row],[device_suggested_area]])</f>
        <v>Rack</v>
      </c>
      <c r="BB480" s="30" t="s">
        <v>989</v>
      </c>
      <c r="BC480" s="30" t="s">
        <v>1312</v>
      </c>
      <c r="BD480" s="30" t="s">
        <v>1310</v>
      </c>
      <c r="BF480" s="30" t="s">
        <v>1318</v>
      </c>
      <c r="BG480" s="30" t="s">
        <v>28</v>
      </c>
      <c r="BL480" s="41"/>
      <c r="BM480" s="30" t="s">
        <v>1313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66" ht="16" customHeight="1" x14ac:dyDescent="0.2">
      <c r="A481" s="30">
        <v>5009</v>
      </c>
      <c r="B481" s="39" t="s">
        <v>561</v>
      </c>
      <c r="C481" s="39" t="s">
        <v>1314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1315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1314</v>
      </c>
      <c r="BA481" s="30" t="str">
        <f>IF(ISBLANK(Table2[[#This Row],[device_model]]), "", Table2[[#This Row],[device_suggested_area]])</f>
        <v>Rack</v>
      </c>
      <c r="BB481" s="30" t="s">
        <v>1316</v>
      </c>
      <c r="BC481" s="30" t="s">
        <v>1317</v>
      </c>
      <c r="BD481" s="30" t="s">
        <v>1314</v>
      </c>
      <c r="BF481" s="30" t="s">
        <v>1318</v>
      </c>
      <c r="BG481" s="30" t="s">
        <v>28</v>
      </c>
      <c r="BL481" s="41"/>
      <c r="BM481" s="30" t="s">
        <v>1319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66" ht="16" customHeight="1" x14ac:dyDescent="0.2">
      <c r="A482" s="30">
        <v>5010</v>
      </c>
      <c r="B482" s="39" t="s">
        <v>561</v>
      </c>
      <c r="C482" s="39" t="s">
        <v>369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994</v>
      </c>
      <c r="BA482" s="30" t="str">
        <f>IF(ISBLANK(Table2[[#This Row],[device_model]]), "", Table2[[#This Row],[device_suggested_area]])</f>
        <v>Rack</v>
      </c>
      <c r="BB482" s="30" t="s">
        <v>369</v>
      </c>
      <c r="BC482" s="30" t="s">
        <v>370</v>
      </c>
      <c r="BD482" s="30" t="s">
        <v>372</v>
      </c>
      <c r="BF482" s="30" t="s">
        <v>371</v>
      </c>
      <c r="BG482" s="30" t="s">
        <v>28</v>
      </c>
      <c r="BK482" s="30" t="s">
        <v>1208</v>
      </c>
      <c r="BL482" s="41" t="s">
        <v>414</v>
      </c>
      <c r="BM482" s="30" t="s">
        <v>1226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66" ht="16" customHeight="1" x14ac:dyDescent="0.2">
      <c r="A483" s="30">
        <v>5011</v>
      </c>
      <c r="B483" s="39" t="s">
        <v>26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ref="AJ483:AJ488" si="3">IF(ISBLANK(AI483),  "", _xlfn.CONCAT("haas/entity/sensor/", LOWER(C483), "/", E483, "/config"))</f>
        <v/>
      </c>
      <c r="AK483" s="30" t="str">
        <f t="shared" ref="AK483:AK488" si="4"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Wardrobe</v>
      </c>
      <c r="BB483" s="30" t="s">
        <v>1401</v>
      </c>
      <c r="BC483" s="30" t="s">
        <v>1000</v>
      </c>
      <c r="BD483" s="30" t="s">
        <v>536</v>
      </c>
      <c r="BF483" s="62" t="s">
        <v>1405</v>
      </c>
      <c r="BG483" s="30" t="s">
        <v>477</v>
      </c>
      <c r="BK483" s="30" t="s">
        <v>383</v>
      </c>
      <c r="BL483" s="30" t="s">
        <v>535</v>
      </c>
      <c r="BM483" s="30" t="s">
        <v>1201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66" ht="16" customHeight="1" x14ac:dyDescent="0.2">
      <c r="A484" s="30">
        <v>5012</v>
      </c>
      <c r="B484" s="39" t="s">
        <v>561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3"/>
        <v/>
      </c>
      <c r="AK484" s="30" t="str">
        <f t="shared" si="4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1021</v>
      </c>
      <c r="BA484" s="30" t="str">
        <f>IF(ISBLANK(Table2[[#This Row],[device_model]]), "", Table2[[#This Row],[device_suggested_area]])</f>
        <v>Guildford</v>
      </c>
      <c r="BB484" s="30" t="s">
        <v>1403</v>
      </c>
      <c r="BC484" s="30" t="s">
        <v>1404</v>
      </c>
      <c r="BD484" s="30" t="s">
        <v>536</v>
      </c>
      <c r="BF484" s="62" t="s">
        <v>1405</v>
      </c>
      <c r="BG484" s="30" t="s">
        <v>1402</v>
      </c>
      <c r="BL484" s="30" t="s">
        <v>1409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66" ht="16" customHeight="1" x14ac:dyDescent="0.2">
      <c r="A485" s="30">
        <v>5013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3"/>
        <v/>
      </c>
      <c r="AK485" s="30" t="str">
        <f t="shared" si="4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1406</v>
      </c>
      <c r="BC485" s="30" t="s">
        <v>1407</v>
      </c>
      <c r="BD485" s="30" t="s">
        <v>262</v>
      </c>
      <c r="BF485" s="62" t="s">
        <v>1411</v>
      </c>
      <c r="BG485" s="30" t="s">
        <v>28</v>
      </c>
      <c r="BK485" s="30" t="s">
        <v>383</v>
      </c>
      <c r="BL485" s="41" t="s">
        <v>1410</v>
      </c>
      <c r="BM485" s="30" t="s">
        <v>1197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66" ht="16" customHeight="1" x14ac:dyDescent="0.2">
      <c r="A486" s="30">
        <v>5014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3"/>
        <v/>
      </c>
      <c r="AK486" s="30" t="str">
        <f t="shared" si="4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1408</v>
      </c>
      <c r="BC486" s="30" t="s">
        <v>998</v>
      </c>
      <c r="BD486" s="30" t="s">
        <v>262</v>
      </c>
      <c r="BF486" s="62" t="s">
        <v>1415</v>
      </c>
      <c r="BG486" s="30" t="s">
        <v>28</v>
      </c>
      <c r="BK486" s="30" t="s">
        <v>383</v>
      </c>
      <c r="BL486" s="46" t="s">
        <v>1416</v>
      </c>
      <c r="BM486" s="30" t="s">
        <v>1198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66" ht="16" customHeight="1" x14ac:dyDescent="0.2">
      <c r="A487" s="30">
        <v>5015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3"/>
        <v/>
      </c>
      <c r="AK487" s="30" t="str">
        <f t="shared" si="4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1390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46" t="s">
        <v>1276</v>
      </c>
      <c r="BM487" s="30" t="s">
        <v>1199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66" ht="16" customHeight="1" x14ac:dyDescent="0.2">
      <c r="A488" s="30">
        <v>5016</v>
      </c>
      <c r="B488" s="39" t="s">
        <v>26</v>
      </c>
      <c r="C488" s="39" t="s">
        <v>360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3"/>
        <v/>
      </c>
      <c r="AK488" s="30" t="str">
        <f t="shared" si="4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1020</v>
      </c>
      <c r="BA488" s="30" t="str">
        <f>IF(ISBLANK(Table2[[#This Row],[device_model]]), "", Table2[[#This Row],[device_suggested_area]])</f>
        <v>Rack</v>
      </c>
      <c r="BB488" s="30" t="s">
        <v>999</v>
      </c>
      <c r="BC488" s="30" t="s">
        <v>998</v>
      </c>
      <c r="BD488" s="30" t="s">
        <v>262</v>
      </c>
      <c r="BF488" s="62" t="s">
        <v>1405</v>
      </c>
      <c r="BG488" s="30" t="s">
        <v>28</v>
      </c>
      <c r="BK488" s="30" t="s">
        <v>383</v>
      </c>
      <c r="BL488" s="30" t="s">
        <v>569</v>
      </c>
      <c r="BM488" s="30" t="s">
        <v>1200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66" ht="16" customHeight="1" x14ac:dyDescent="0.2">
      <c r="A489" s="30">
        <v>5017</v>
      </c>
      <c r="B489" s="30" t="s">
        <v>26</v>
      </c>
      <c r="C489" s="30" t="s">
        <v>364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T489" s="40"/>
      <c r="AU489" s="3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362</v>
      </c>
      <c r="BA489" s="30" t="str">
        <f>IF(ISBLANK(Table2[[#This Row],[device_model]]), "", Table2[[#This Row],[device_suggested_area]])</f>
        <v>Rack</v>
      </c>
      <c r="BB489" s="30" t="s">
        <v>364</v>
      </c>
      <c r="BC489" s="30" t="s">
        <v>363</v>
      </c>
      <c r="BD489" s="30" t="s">
        <v>362</v>
      </c>
      <c r="BF489" s="30" t="s">
        <v>742</v>
      </c>
      <c r="BG489" s="30" t="s">
        <v>28</v>
      </c>
      <c r="BK489" s="30" t="s">
        <v>1209</v>
      </c>
      <c r="BL489" s="30" t="s">
        <v>361</v>
      </c>
      <c r="BM489" s="30" t="s">
        <v>1266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66" ht="16" customHeight="1" x14ac:dyDescent="0.2">
      <c r="A490" s="30">
        <v>5018</v>
      </c>
      <c r="B490" s="30" t="s">
        <v>26</v>
      </c>
      <c r="C490" s="30" t="s">
        <v>439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 t="s">
        <v>471</v>
      </c>
      <c r="X490" s="31"/>
      <c r="Y490" s="42" t="s">
        <v>722</v>
      </c>
      <c r="Z490" s="42"/>
      <c r="AA490" s="42"/>
      <c r="AB490" s="30"/>
      <c r="AC490" s="30"/>
      <c r="AG490" s="31"/>
      <c r="AH490" s="31"/>
      <c r="AT4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0" s="37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7" t="str">
        <f>Table2[[#This Row],[device_suggested_area]]</f>
        <v>Home</v>
      </c>
      <c r="BA490" s="30" t="str">
        <f>IF(ISBLANK(Table2[[#This Row],[device_model]]), "", Table2[[#This Row],[device_suggested_area]])</f>
        <v>Home</v>
      </c>
      <c r="BB490" s="37" t="s">
        <v>996</v>
      </c>
      <c r="BC490" s="37" t="s">
        <v>463</v>
      </c>
      <c r="BD490" s="30" t="s">
        <v>439</v>
      </c>
      <c r="BF490" s="37" t="s">
        <v>464</v>
      </c>
      <c r="BG490" s="30" t="s">
        <v>164</v>
      </c>
      <c r="BL490" s="30" t="s">
        <v>462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2026-09-17T11:24:33Z</dcterms:modified>
</cp:coreProperties>
</file>